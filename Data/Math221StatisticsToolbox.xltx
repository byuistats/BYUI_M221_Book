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ata/"/>
    </mc:Choice>
  </mc:AlternateContent>
  <xr:revisionPtr revIDLastSave="0" documentId="8_{E6F177FD-B842-5847-B78B-227056B265A4}" xr6:coauthVersionLast="47" xr6:coauthVersionMax="47" xr10:uidLastSave="{00000000-0000-0000-0000-000000000000}"/>
  <bookViews>
    <workbookView xWindow="11020" yWindow="420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O15" i="8" l="1"/>
  <c r="Q9" i="8"/>
  <c r="AD6" i="8"/>
  <c r="P10" i="14" l="1"/>
  <c r="P9" i="14"/>
  <c r="P7" i="14"/>
  <c r="P6" i="14"/>
  <c r="P10" i="15"/>
  <c r="P9" i="15"/>
  <c r="P7" i="15"/>
  <c r="P6" i="15"/>
  <c r="J14" i="14"/>
  <c r="J16" i="15"/>
  <c r="E8" i="15"/>
  <c r="J10" i="15" s="1"/>
  <c r="E7" i="15"/>
  <c r="I10" i="15" s="1"/>
  <c r="E7" i="14"/>
  <c r="I9" i="14" s="1"/>
  <c r="K9" i="14" s="1"/>
  <c r="Y6" i="7"/>
  <c r="X6" i="7"/>
  <c r="W6" i="7"/>
  <c r="V6" i="7"/>
  <c r="U6" i="7"/>
  <c r="T6" i="7"/>
  <c r="AE41" i="8"/>
  <c r="AE53" i="8"/>
  <c r="AE59" i="8"/>
  <c r="AE71" i="8"/>
  <c r="AE95" i="8"/>
  <c r="AE107" i="8"/>
  <c r="AE113" i="8"/>
  <c r="AE125" i="8"/>
  <c r="AE149" i="8"/>
  <c r="AE161" i="8"/>
  <c r="AE167" i="8"/>
  <c r="AE179" i="8"/>
  <c r="AE203" i="8"/>
  <c r="AE215" i="8"/>
  <c r="AE221" i="8"/>
  <c r="AE233" i="8"/>
  <c r="AE257" i="8"/>
  <c r="AE269" i="8"/>
  <c r="AE275" i="8"/>
  <c r="AE287" i="8"/>
  <c r="AE311" i="8"/>
  <c r="AE323" i="8"/>
  <c r="AE329" i="8"/>
  <c r="AE341" i="8"/>
  <c r="AE365" i="8"/>
  <c r="AE377" i="8"/>
  <c r="AE383" i="8"/>
  <c r="AE395" i="8"/>
  <c r="AE419" i="8"/>
  <c r="AE443" i="8"/>
  <c r="AE449" i="8"/>
  <c r="AE455" i="8"/>
  <c r="AE461" i="8"/>
  <c r="AE485" i="8"/>
  <c r="AE497"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E32" i="8" s="1"/>
  <c r="AB33" i="8"/>
  <c r="AE33" i="8" s="1"/>
  <c r="AB34" i="8"/>
  <c r="AE34" i="8" s="1"/>
  <c r="AB35" i="8"/>
  <c r="AE35" i="8" s="1"/>
  <c r="AB36" i="8"/>
  <c r="AE36" i="8" s="1"/>
  <c r="AB37" i="8"/>
  <c r="AE37" i="8" s="1"/>
  <c r="AB38" i="8"/>
  <c r="AE38" i="8" s="1"/>
  <c r="AB39" i="8"/>
  <c r="AE39" i="8" s="1"/>
  <c r="AB40" i="8"/>
  <c r="AE40" i="8" s="1"/>
  <c r="AB41" i="8"/>
  <c r="AB42" i="8"/>
  <c r="AE42" i="8" s="1"/>
  <c r="AB43" i="8"/>
  <c r="AE43" i="8" s="1"/>
  <c r="AB44" i="8"/>
  <c r="AE44" i="8" s="1"/>
  <c r="AB45" i="8"/>
  <c r="AE45" i="8" s="1"/>
  <c r="AB46" i="8"/>
  <c r="AE46" i="8" s="1"/>
  <c r="AB47" i="8"/>
  <c r="AE47" i="8" s="1"/>
  <c r="AB48" i="8"/>
  <c r="AE48" i="8" s="1"/>
  <c r="AB49" i="8"/>
  <c r="AE49" i="8" s="1"/>
  <c r="AB50" i="8"/>
  <c r="AE50" i="8" s="1"/>
  <c r="AB51" i="8"/>
  <c r="AE51" i="8" s="1"/>
  <c r="AB52" i="8"/>
  <c r="AE52" i="8" s="1"/>
  <c r="AB53" i="8"/>
  <c r="AB54" i="8"/>
  <c r="AE54" i="8" s="1"/>
  <c r="AB55" i="8"/>
  <c r="AE55" i="8" s="1"/>
  <c r="AB56" i="8"/>
  <c r="AE56" i="8" s="1"/>
  <c r="AB57" i="8"/>
  <c r="AE57" i="8" s="1"/>
  <c r="AB58" i="8"/>
  <c r="AE58" i="8" s="1"/>
  <c r="AB59" i="8"/>
  <c r="AB60" i="8"/>
  <c r="AE60" i="8" s="1"/>
  <c r="AB61" i="8"/>
  <c r="AE61" i="8" s="1"/>
  <c r="AB62" i="8"/>
  <c r="AE62" i="8" s="1"/>
  <c r="AB63" i="8"/>
  <c r="AE63" i="8" s="1"/>
  <c r="AB64" i="8"/>
  <c r="AE64" i="8" s="1"/>
  <c r="AB65" i="8"/>
  <c r="AE65" i="8" s="1"/>
  <c r="AB66" i="8"/>
  <c r="AE66" i="8" s="1"/>
  <c r="AB67" i="8"/>
  <c r="AE67" i="8" s="1"/>
  <c r="AB68" i="8"/>
  <c r="AE68" i="8" s="1"/>
  <c r="AB69" i="8"/>
  <c r="AE69" i="8" s="1"/>
  <c r="AB70" i="8"/>
  <c r="AE70" i="8" s="1"/>
  <c r="AB71" i="8"/>
  <c r="AB72" i="8"/>
  <c r="AE72" i="8" s="1"/>
  <c r="AB73" i="8"/>
  <c r="AE73" i="8" s="1"/>
  <c r="AB74" i="8"/>
  <c r="AE74" i="8" s="1"/>
  <c r="AB75" i="8"/>
  <c r="AE75" i="8" s="1"/>
  <c r="AB76" i="8"/>
  <c r="AE76" i="8" s="1"/>
  <c r="AB77" i="8"/>
  <c r="AE77" i="8" s="1"/>
  <c r="AB78" i="8"/>
  <c r="AE78" i="8" s="1"/>
  <c r="AB79" i="8"/>
  <c r="AE79" i="8" s="1"/>
  <c r="AB80" i="8"/>
  <c r="AE80" i="8" s="1"/>
  <c r="AB81" i="8"/>
  <c r="AE81" i="8" s="1"/>
  <c r="AB82" i="8"/>
  <c r="AE82" i="8" s="1"/>
  <c r="AB83" i="8"/>
  <c r="AE83" i="8" s="1"/>
  <c r="AB84" i="8"/>
  <c r="AE84" i="8" s="1"/>
  <c r="AB85" i="8"/>
  <c r="AE85" i="8" s="1"/>
  <c r="AB86" i="8"/>
  <c r="AE86" i="8" s="1"/>
  <c r="AB87" i="8"/>
  <c r="AE87" i="8" s="1"/>
  <c r="AB88" i="8"/>
  <c r="AE88" i="8" s="1"/>
  <c r="AB89" i="8"/>
  <c r="AE89" i="8" s="1"/>
  <c r="AB90" i="8"/>
  <c r="AE90" i="8" s="1"/>
  <c r="AB91" i="8"/>
  <c r="AE91" i="8" s="1"/>
  <c r="AB92" i="8"/>
  <c r="AE92" i="8" s="1"/>
  <c r="AB93" i="8"/>
  <c r="AE93" i="8" s="1"/>
  <c r="AB94" i="8"/>
  <c r="AE94" i="8" s="1"/>
  <c r="AB95" i="8"/>
  <c r="AB96" i="8"/>
  <c r="AE96" i="8" s="1"/>
  <c r="AB97" i="8"/>
  <c r="AE97" i="8" s="1"/>
  <c r="AB98" i="8"/>
  <c r="AE98" i="8" s="1"/>
  <c r="AB99" i="8"/>
  <c r="AE99" i="8" s="1"/>
  <c r="AB100" i="8"/>
  <c r="AE100" i="8" s="1"/>
  <c r="AB101" i="8"/>
  <c r="AE101" i="8" s="1"/>
  <c r="AB102" i="8"/>
  <c r="AE102" i="8" s="1"/>
  <c r="AB103" i="8"/>
  <c r="AE103" i="8" s="1"/>
  <c r="AB104" i="8"/>
  <c r="AE104" i="8" s="1"/>
  <c r="AB105" i="8"/>
  <c r="AE105" i="8" s="1"/>
  <c r="AB106" i="8"/>
  <c r="AE106" i="8" s="1"/>
  <c r="AB107" i="8"/>
  <c r="AB108" i="8"/>
  <c r="AE108" i="8" s="1"/>
  <c r="AB109" i="8"/>
  <c r="AE109" i="8" s="1"/>
  <c r="AB110" i="8"/>
  <c r="AE110" i="8" s="1"/>
  <c r="AB111" i="8"/>
  <c r="AE111" i="8" s="1"/>
  <c r="AB112" i="8"/>
  <c r="AE112" i="8" s="1"/>
  <c r="AB113" i="8"/>
  <c r="AB114" i="8"/>
  <c r="AE114" i="8" s="1"/>
  <c r="AB115" i="8"/>
  <c r="AE115" i="8" s="1"/>
  <c r="AB116" i="8"/>
  <c r="AE116" i="8" s="1"/>
  <c r="AB117" i="8"/>
  <c r="AE117" i="8" s="1"/>
  <c r="AB118" i="8"/>
  <c r="AE118" i="8" s="1"/>
  <c r="AB119" i="8"/>
  <c r="AE119" i="8" s="1"/>
  <c r="AB120" i="8"/>
  <c r="AE120" i="8" s="1"/>
  <c r="AB121" i="8"/>
  <c r="AE121" i="8" s="1"/>
  <c r="AB122" i="8"/>
  <c r="AE122" i="8" s="1"/>
  <c r="AB123" i="8"/>
  <c r="AE123" i="8" s="1"/>
  <c r="AB124" i="8"/>
  <c r="AE124" i="8" s="1"/>
  <c r="AB125" i="8"/>
  <c r="AB126" i="8"/>
  <c r="AE126" i="8" s="1"/>
  <c r="AB127" i="8"/>
  <c r="AE127" i="8" s="1"/>
  <c r="AB128" i="8"/>
  <c r="AE128" i="8" s="1"/>
  <c r="AB129" i="8"/>
  <c r="AE129" i="8" s="1"/>
  <c r="AB130" i="8"/>
  <c r="AE130" i="8" s="1"/>
  <c r="AB131" i="8"/>
  <c r="AE131" i="8" s="1"/>
  <c r="AB132" i="8"/>
  <c r="AE132" i="8" s="1"/>
  <c r="AB133" i="8"/>
  <c r="AE133" i="8" s="1"/>
  <c r="AB134" i="8"/>
  <c r="AE134" i="8" s="1"/>
  <c r="AB135" i="8"/>
  <c r="AE135" i="8" s="1"/>
  <c r="AB136" i="8"/>
  <c r="AE136" i="8" s="1"/>
  <c r="AB137" i="8"/>
  <c r="AE137" i="8" s="1"/>
  <c r="AB138" i="8"/>
  <c r="AE138" i="8" s="1"/>
  <c r="AB139" i="8"/>
  <c r="AE139" i="8" s="1"/>
  <c r="AB140" i="8"/>
  <c r="AE140" i="8" s="1"/>
  <c r="AB141" i="8"/>
  <c r="AE141" i="8" s="1"/>
  <c r="AB142" i="8"/>
  <c r="AE142" i="8" s="1"/>
  <c r="AB143" i="8"/>
  <c r="AE143" i="8" s="1"/>
  <c r="AB144" i="8"/>
  <c r="AE144" i="8" s="1"/>
  <c r="AB145" i="8"/>
  <c r="AE145" i="8" s="1"/>
  <c r="AB146" i="8"/>
  <c r="AE146" i="8" s="1"/>
  <c r="AB147" i="8"/>
  <c r="AE147" i="8" s="1"/>
  <c r="AB148" i="8"/>
  <c r="AE148" i="8" s="1"/>
  <c r="AB149" i="8"/>
  <c r="AB150" i="8"/>
  <c r="AE150" i="8" s="1"/>
  <c r="AB151" i="8"/>
  <c r="AE151" i="8" s="1"/>
  <c r="AB152" i="8"/>
  <c r="AE152" i="8" s="1"/>
  <c r="AB153" i="8"/>
  <c r="AE153" i="8" s="1"/>
  <c r="AB154" i="8"/>
  <c r="AE154" i="8" s="1"/>
  <c r="AB155" i="8"/>
  <c r="AE155" i="8" s="1"/>
  <c r="AB156" i="8"/>
  <c r="AE156" i="8" s="1"/>
  <c r="AB157" i="8"/>
  <c r="AE157" i="8" s="1"/>
  <c r="AB158" i="8"/>
  <c r="AE158" i="8" s="1"/>
  <c r="AB159" i="8"/>
  <c r="AE159" i="8" s="1"/>
  <c r="AB160" i="8"/>
  <c r="AE160" i="8" s="1"/>
  <c r="AB161" i="8"/>
  <c r="AB162" i="8"/>
  <c r="AE162" i="8" s="1"/>
  <c r="AB163" i="8"/>
  <c r="AE163" i="8" s="1"/>
  <c r="AB164" i="8"/>
  <c r="AE164" i="8" s="1"/>
  <c r="AB165" i="8"/>
  <c r="AE165" i="8" s="1"/>
  <c r="AB166" i="8"/>
  <c r="AE166" i="8" s="1"/>
  <c r="AB167" i="8"/>
  <c r="AB168" i="8"/>
  <c r="AE168" i="8" s="1"/>
  <c r="AB169" i="8"/>
  <c r="AE169" i="8" s="1"/>
  <c r="AB170" i="8"/>
  <c r="AE170" i="8" s="1"/>
  <c r="AB171" i="8"/>
  <c r="AE171" i="8" s="1"/>
  <c r="AB172" i="8"/>
  <c r="AE172" i="8" s="1"/>
  <c r="AB173" i="8"/>
  <c r="AE173" i="8" s="1"/>
  <c r="AB174" i="8"/>
  <c r="AE174" i="8" s="1"/>
  <c r="AB175" i="8"/>
  <c r="AE175" i="8" s="1"/>
  <c r="AB176" i="8"/>
  <c r="AE176" i="8" s="1"/>
  <c r="AB177" i="8"/>
  <c r="AE177" i="8" s="1"/>
  <c r="AB178" i="8"/>
  <c r="AE178" i="8" s="1"/>
  <c r="AB179" i="8"/>
  <c r="AB180" i="8"/>
  <c r="AE180" i="8" s="1"/>
  <c r="AB181" i="8"/>
  <c r="AE181" i="8" s="1"/>
  <c r="AB182" i="8"/>
  <c r="AE182" i="8" s="1"/>
  <c r="AB183" i="8"/>
  <c r="AE183" i="8" s="1"/>
  <c r="AB184" i="8"/>
  <c r="AE184" i="8" s="1"/>
  <c r="AB185" i="8"/>
  <c r="AE185" i="8" s="1"/>
  <c r="AB186" i="8"/>
  <c r="AE186" i="8" s="1"/>
  <c r="AB187" i="8"/>
  <c r="AE187" i="8" s="1"/>
  <c r="AB188" i="8"/>
  <c r="AE188" i="8" s="1"/>
  <c r="AB189" i="8"/>
  <c r="AE189" i="8" s="1"/>
  <c r="AB190" i="8"/>
  <c r="AE190" i="8" s="1"/>
  <c r="AB191" i="8"/>
  <c r="AE191" i="8" s="1"/>
  <c r="AB192" i="8"/>
  <c r="AE192" i="8" s="1"/>
  <c r="AB193" i="8"/>
  <c r="AE193" i="8" s="1"/>
  <c r="AB194" i="8"/>
  <c r="AE194" i="8" s="1"/>
  <c r="AB195" i="8"/>
  <c r="AE195" i="8" s="1"/>
  <c r="AB196" i="8"/>
  <c r="AE196" i="8" s="1"/>
  <c r="AB197" i="8"/>
  <c r="AE197" i="8" s="1"/>
  <c r="AB198" i="8"/>
  <c r="AE198" i="8" s="1"/>
  <c r="AB199" i="8"/>
  <c r="AE199" i="8" s="1"/>
  <c r="AB200" i="8"/>
  <c r="AE200" i="8" s="1"/>
  <c r="AB201" i="8"/>
  <c r="AE201" i="8" s="1"/>
  <c r="AB202" i="8"/>
  <c r="AE202" i="8" s="1"/>
  <c r="AB203" i="8"/>
  <c r="AB204" i="8"/>
  <c r="AE204" i="8" s="1"/>
  <c r="AB205" i="8"/>
  <c r="AE205" i="8" s="1"/>
  <c r="AB206" i="8"/>
  <c r="AE206" i="8" s="1"/>
  <c r="AB207" i="8"/>
  <c r="AE207" i="8" s="1"/>
  <c r="AB208" i="8"/>
  <c r="AE208" i="8" s="1"/>
  <c r="AB209" i="8"/>
  <c r="AE209" i="8" s="1"/>
  <c r="AB210" i="8"/>
  <c r="AE210" i="8" s="1"/>
  <c r="AB211" i="8"/>
  <c r="AE211" i="8" s="1"/>
  <c r="AB212" i="8"/>
  <c r="AE212" i="8" s="1"/>
  <c r="AB213" i="8"/>
  <c r="AE213" i="8" s="1"/>
  <c r="AB214" i="8"/>
  <c r="AE214" i="8" s="1"/>
  <c r="AB215" i="8"/>
  <c r="AB216" i="8"/>
  <c r="AE216" i="8" s="1"/>
  <c r="AB217" i="8"/>
  <c r="AE217" i="8" s="1"/>
  <c r="AB218" i="8"/>
  <c r="AE218" i="8" s="1"/>
  <c r="AB219" i="8"/>
  <c r="AE219" i="8" s="1"/>
  <c r="AB220" i="8"/>
  <c r="AE220" i="8" s="1"/>
  <c r="AB221" i="8"/>
  <c r="AB222" i="8"/>
  <c r="AE222" i="8" s="1"/>
  <c r="AB223" i="8"/>
  <c r="AE223" i="8" s="1"/>
  <c r="AB224" i="8"/>
  <c r="AE224" i="8" s="1"/>
  <c r="AB225" i="8"/>
  <c r="AE225" i="8" s="1"/>
  <c r="AB226" i="8"/>
  <c r="AE226" i="8" s="1"/>
  <c r="AB227" i="8"/>
  <c r="AE227" i="8" s="1"/>
  <c r="AB228" i="8"/>
  <c r="AE228" i="8" s="1"/>
  <c r="AB229" i="8"/>
  <c r="AE229" i="8" s="1"/>
  <c r="AB230" i="8"/>
  <c r="AE230" i="8" s="1"/>
  <c r="AB231" i="8"/>
  <c r="AE231" i="8" s="1"/>
  <c r="AB232" i="8"/>
  <c r="AE232" i="8" s="1"/>
  <c r="AB233" i="8"/>
  <c r="AB234" i="8"/>
  <c r="AE234" i="8" s="1"/>
  <c r="AB235" i="8"/>
  <c r="AE235" i="8" s="1"/>
  <c r="AB236" i="8"/>
  <c r="AE236" i="8" s="1"/>
  <c r="AB237" i="8"/>
  <c r="AE237" i="8" s="1"/>
  <c r="AB238" i="8"/>
  <c r="AE238" i="8" s="1"/>
  <c r="AB239" i="8"/>
  <c r="AE239" i="8" s="1"/>
  <c r="AB240" i="8"/>
  <c r="AE240" i="8" s="1"/>
  <c r="AB241" i="8"/>
  <c r="AE241" i="8" s="1"/>
  <c r="AB242" i="8"/>
  <c r="AE242" i="8" s="1"/>
  <c r="AB243" i="8"/>
  <c r="AE243" i="8" s="1"/>
  <c r="AB244" i="8"/>
  <c r="AE244" i="8" s="1"/>
  <c r="AB245" i="8"/>
  <c r="AE245" i="8" s="1"/>
  <c r="AB246" i="8"/>
  <c r="AE246" i="8" s="1"/>
  <c r="AB247" i="8"/>
  <c r="AE247" i="8" s="1"/>
  <c r="AB248" i="8"/>
  <c r="AE248" i="8" s="1"/>
  <c r="AB249" i="8"/>
  <c r="AE249" i="8" s="1"/>
  <c r="AB250" i="8"/>
  <c r="AE250" i="8" s="1"/>
  <c r="AB251" i="8"/>
  <c r="AE251" i="8" s="1"/>
  <c r="AB252" i="8"/>
  <c r="AE252" i="8" s="1"/>
  <c r="AB253" i="8"/>
  <c r="AE253" i="8" s="1"/>
  <c r="AB254" i="8"/>
  <c r="AE254" i="8" s="1"/>
  <c r="AB255" i="8"/>
  <c r="AE255" i="8" s="1"/>
  <c r="AB256" i="8"/>
  <c r="AE256" i="8" s="1"/>
  <c r="AB257" i="8"/>
  <c r="AB258" i="8"/>
  <c r="AE258" i="8" s="1"/>
  <c r="AB259" i="8"/>
  <c r="AE259" i="8" s="1"/>
  <c r="AB260" i="8"/>
  <c r="AE260" i="8" s="1"/>
  <c r="AB261" i="8"/>
  <c r="AE261" i="8" s="1"/>
  <c r="AB262" i="8"/>
  <c r="AE262" i="8" s="1"/>
  <c r="AB263" i="8"/>
  <c r="AE263" i="8" s="1"/>
  <c r="AB264" i="8"/>
  <c r="AE264" i="8" s="1"/>
  <c r="AB265" i="8"/>
  <c r="AE265" i="8" s="1"/>
  <c r="AB266" i="8"/>
  <c r="AE266" i="8" s="1"/>
  <c r="AB267" i="8"/>
  <c r="AE267" i="8" s="1"/>
  <c r="AB268" i="8"/>
  <c r="AE268" i="8" s="1"/>
  <c r="AB269" i="8"/>
  <c r="AB270" i="8"/>
  <c r="AE270" i="8" s="1"/>
  <c r="AB271" i="8"/>
  <c r="AE271" i="8" s="1"/>
  <c r="AB272" i="8"/>
  <c r="AE272" i="8" s="1"/>
  <c r="AB273" i="8"/>
  <c r="AE273" i="8" s="1"/>
  <c r="AB274" i="8"/>
  <c r="AE274" i="8" s="1"/>
  <c r="AB275" i="8"/>
  <c r="AB276" i="8"/>
  <c r="AE276" i="8" s="1"/>
  <c r="AB277" i="8"/>
  <c r="AE277" i="8" s="1"/>
  <c r="AB278" i="8"/>
  <c r="AE278" i="8" s="1"/>
  <c r="AB279" i="8"/>
  <c r="AE279" i="8" s="1"/>
  <c r="AB280" i="8"/>
  <c r="AE280" i="8" s="1"/>
  <c r="AB281" i="8"/>
  <c r="AE281" i="8" s="1"/>
  <c r="AB282" i="8"/>
  <c r="AE282" i="8" s="1"/>
  <c r="AB283" i="8"/>
  <c r="AE283" i="8" s="1"/>
  <c r="AB284" i="8"/>
  <c r="AE284" i="8" s="1"/>
  <c r="AB285" i="8"/>
  <c r="AE285" i="8" s="1"/>
  <c r="AB286" i="8"/>
  <c r="AE286" i="8" s="1"/>
  <c r="AB287" i="8"/>
  <c r="AB288" i="8"/>
  <c r="AE288" i="8" s="1"/>
  <c r="AB289" i="8"/>
  <c r="AE289" i="8" s="1"/>
  <c r="AB290" i="8"/>
  <c r="AE290" i="8" s="1"/>
  <c r="AB291" i="8"/>
  <c r="AE291" i="8" s="1"/>
  <c r="AB292" i="8"/>
  <c r="AE292" i="8" s="1"/>
  <c r="AB293" i="8"/>
  <c r="AE293" i="8" s="1"/>
  <c r="AB294" i="8"/>
  <c r="AE294" i="8" s="1"/>
  <c r="AB295" i="8"/>
  <c r="AE295" i="8" s="1"/>
  <c r="AB296" i="8"/>
  <c r="AE296" i="8" s="1"/>
  <c r="AB297" i="8"/>
  <c r="AE297" i="8" s="1"/>
  <c r="AB298" i="8"/>
  <c r="AE298" i="8" s="1"/>
  <c r="AB299" i="8"/>
  <c r="AE299" i="8" s="1"/>
  <c r="AB300" i="8"/>
  <c r="AE300" i="8" s="1"/>
  <c r="AB301" i="8"/>
  <c r="AE301" i="8" s="1"/>
  <c r="AB302" i="8"/>
  <c r="AE302" i="8" s="1"/>
  <c r="AB303" i="8"/>
  <c r="AE303" i="8" s="1"/>
  <c r="AB304" i="8"/>
  <c r="AE304" i="8" s="1"/>
  <c r="AB305" i="8"/>
  <c r="AE305" i="8" s="1"/>
  <c r="AB306" i="8"/>
  <c r="AE306" i="8" s="1"/>
  <c r="AB307" i="8"/>
  <c r="AE307" i="8" s="1"/>
  <c r="AB308" i="8"/>
  <c r="AE308" i="8" s="1"/>
  <c r="AB309" i="8"/>
  <c r="AE309" i="8" s="1"/>
  <c r="AB310" i="8"/>
  <c r="AE310" i="8" s="1"/>
  <c r="AB311" i="8"/>
  <c r="AB312" i="8"/>
  <c r="AE312" i="8" s="1"/>
  <c r="AB313" i="8"/>
  <c r="AE313" i="8" s="1"/>
  <c r="AB314" i="8"/>
  <c r="AE314" i="8" s="1"/>
  <c r="AB315" i="8"/>
  <c r="AE315" i="8" s="1"/>
  <c r="AB316" i="8"/>
  <c r="AE316" i="8" s="1"/>
  <c r="AB317" i="8"/>
  <c r="AE317" i="8" s="1"/>
  <c r="AB318" i="8"/>
  <c r="AE318" i="8" s="1"/>
  <c r="AB319" i="8"/>
  <c r="AE319" i="8" s="1"/>
  <c r="AB320" i="8"/>
  <c r="AE320" i="8" s="1"/>
  <c r="AB321" i="8"/>
  <c r="AE321" i="8" s="1"/>
  <c r="AB322" i="8"/>
  <c r="AE322" i="8" s="1"/>
  <c r="AB323" i="8"/>
  <c r="AB324" i="8"/>
  <c r="AE324" i="8" s="1"/>
  <c r="AB325" i="8"/>
  <c r="AE325" i="8" s="1"/>
  <c r="AB326" i="8"/>
  <c r="AE326" i="8" s="1"/>
  <c r="AB327" i="8"/>
  <c r="AE327" i="8" s="1"/>
  <c r="AB328" i="8"/>
  <c r="AE328" i="8" s="1"/>
  <c r="AB329" i="8"/>
  <c r="AB330" i="8"/>
  <c r="AE330" i="8" s="1"/>
  <c r="AB331" i="8"/>
  <c r="AE331" i="8" s="1"/>
  <c r="AB332" i="8"/>
  <c r="AE332" i="8" s="1"/>
  <c r="AB333" i="8"/>
  <c r="AE333" i="8" s="1"/>
  <c r="AB334" i="8"/>
  <c r="AE334" i="8" s="1"/>
  <c r="AB335" i="8"/>
  <c r="AE335" i="8" s="1"/>
  <c r="AB336" i="8"/>
  <c r="AE336" i="8" s="1"/>
  <c r="AB337" i="8"/>
  <c r="AE337" i="8" s="1"/>
  <c r="AB338" i="8"/>
  <c r="AE338" i="8" s="1"/>
  <c r="AB339" i="8"/>
  <c r="AE339" i="8" s="1"/>
  <c r="AB340" i="8"/>
  <c r="AE340" i="8" s="1"/>
  <c r="AB341" i="8"/>
  <c r="AB342" i="8"/>
  <c r="AE342" i="8" s="1"/>
  <c r="AB343" i="8"/>
  <c r="AE343" i="8" s="1"/>
  <c r="AB344" i="8"/>
  <c r="AE344" i="8" s="1"/>
  <c r="AB345" i="8"/>
  <c r="AE345" i="8" s="1"/>
  <c r="AB346" i="8"/>
  <c r="AE346" i="8" s="1"/>
  <c r="AB347" i="8"/>
  <c r="AE347" i="8" s="1"/>
  <c r="AB348" i="8"/>
  <c r="AE348" i="8" s="1"/>
  <c r="AB349" i="8"/>
  <c r="AE349" i="8" s="1"/>
  <c r="AB350" i="8"/>
  <c r="AE350" i="8" s="1"/>
  <c r="AB351" i="8"/>
  <c r="AE351" i="8" s="1"/>
  <c r="AB352" i="8"/>
  <c r="AE352" i="8" s="1"/>
  <c r="AB353" i="8"/>
  <c r="AE353" i="8" s="1"/>
  <c r="AB354" i="8"/>
  <c r="AE354" i="8" s="1"/>
  <c r="AB355" i="8"/>
  <c r="AE355" i="8" s="1"/>
  <c r="AB356" i="8"/>
  <c r="AE356" i="8" s="1"/>
  <c r="AB357" i="8"/>
  <c r="AE357" i="8" s="1"/>
  <c r="AB358" i="8"/>
  <c r="AE358" i="8" s="1"/>
  <c r="AB359" i="8"/>
  <c r="AE359" i="8" s="1"/>
  <c r="AB360" i="8"/>
  <c r="AE360" i="8" s="1"/>
  <c r="AB361" i="8"/>
  <c r="AE361" i="8" s="1"/>
  <c r="AB362" i="8"/>
  <c r="AE362" i="8" s="1"/>
  <c r="AB363" i="8"/>
  <c r="AE363" i="8" s="1"/>
  <c r="AB364" i="8"/>
  <c r="AE364" i="8" s="1"/>
  <c r="AB365" i="8"/>
  <c r="AB366" i="8"/>
  <c r="AE366" i="8" s="1"/>
  <c r="AB367" i="8"/>
  <c r="AE367" i="8" s="1"/>
  <c r="AB368" i="8"/>
  <c r="AE368" i="8" s="1"/>
  <c r="AB369" i="8"/>
  <c r="AE369" i="8" s="1"/>
  <c r="AB370" i="8"/>
  <c r="AE370" i="8" s="1"/>
  <c r="AB371" i="8"/>
  <c r="AE371" i="8" s="1"/>
  <c r="AB372" i="8"/>
  <c r="AE372" i="8" s="1"/>
  <c r="AB373" i="8"/>
  <c r="AE373" i="8" s="1"/>
  <c r="AB374" i="8"/>
  <c r="AE374" i="8" s="1"/>
  <c r="AB375" i="8"/>
  <c r="AE375" i="8" s="1"/>
  <c r="AB376" i="8"/>
  <c r="AE376" i="8" s="1"/>
  <c r="AB377" i="8"/>
  <c r="AB378" i="8"/>
  <c r="AE378" i="8" s="1"/>
  <c r="AB379" i="8"/>
  <c r="AE379" i="8" s="1"/>
  <c r="AB380" i="8"/>
  <c r="AE380" i="8" s="1"/>
  <c r="AB381" i="8"/>
  <c r="AE381" i="8" s="1"/>
  <c r="AB382" i="8"/>
  <c r="AE382" i="8" s="1"/>
  <c r="AB383" i="8"/>
  <c r="AB384" i="8"/>
  <c r="AE384" i="8" s="1"/>
  <c r="AB385" i="8"/>
  <c r="AE385" i="8" s="1"/>
  <c r="AB386" i="8"/>
  <c r="AE386" i="8" s="1"/>
  <c r="AB387" i="8"/>
  <c r="AE387" i="8" s="1"/>
  <c r="AB388" i="8"/>
  <c r="AE388" i="8" s="1"/>
  <c r="AB389" i="8"/>
  <c r="AE389" i="8" s="1"/>
  <c r="AB390" i="8"/>
  <c r="AE390" i="8" s="1"/>
  <c r="AB391" i="8"/>
  <c r="AE391" i="8" s="1"/>
  <c r="AB392" i="8"/>
  <c r="AE392" i="8" s="1"/>
  <c r="AB393" i="8"/>
  <c r="AE393" i="8" s="1"/>
  <c r="AB394" i="8"/>
  <c r="AE394" i="8" s="1"/>
  <c r="AB395" i="8"/>
  <c r="AB396" i="8"/>
  <c r="AE396" i="8" s="1"/>
  <c r="AB397" i="8"/>
  <c r="AE397" i="8" s="1"/>
  <c r="AB398" i="8"/>
  <c r="AE398" i="8" s="1"/>
  <c r="AB399" i="8"/>
  <c r="AE399" i="8" s="1"/>
  <c r="AB400" i="8"/>
  <c r="AE400" i="8" s="1"/>
  <c r="AB401" i="8"/>
  <c r="AE401" i="8" s="1"/>
  <c r="AB402" i="8"/>
  <c r="AE402" i="8" s="1"/>
  <c r="AB403" i="8"/>
  <c r="AE403" i="8" s="1"/>
  <c r="AB404" i="8"/>
  <c r="AE404" i="8" s="1"/>
  <c r="AB405" i="8"/>
  <c r="AE405" i="8" s="1"/>
  <c r="AB406" i="8"/>
  <c r="AE406" i="8" s="1"/>
  <c r="AB407" i="8"/>
  <c r="AE407" i="8" s="1"/>
  <c r="AB408" i="8"/>
  <c r="AE408" i="8" s="1"/>
  <c r="AB409" i="8"/>
  <c r="AE409" i="8" s="1"/>
  <c r="AB410" i="8"/>
  <c r="AE410" i="8" s="1"/>
  <c r="AB411" i="8"/>
  <c r="AE411" i="8" s="1"/>
  <c r="AB412" i="8"/>
  <c r="AE412" i="8" s="1"/>
  <c r="AB413" i="8"/>
  <c r="AE413" i="8" s="1"/>
  <c r="AB414" i="8"/>
  <c r="AE414" i="8" s="1"/>
  <c r="AB415" i="8"/>
  <c r="AE415" i="8" s="1"/>
  <c r="AB416" i="8"/>
  <c r="AE416" i="8" s="1"/>
  <c r="AB417" i="8"/>
  <c r="AE417" i="8" s="1"/>
  <c r="AB418" i="8"/>
  <c r="AE418" i="8" s="1"/>
  <c r="AB419" i="8"/>
  <c r="AB420" i="8"/>
  <c r="AE420" i="8" s="1"/>
  <c r="AB421" i="8"/>
  <c r="AE421" i="8" s="1"/>
  <c r="AB422" i="8"/>
  <c r="AE422" i="8" s="1"/>
  <c r="AB423" i="8"/>
  <c r="AE423" i="8" s="1"/>
  <c r="AB424" i="8"/>
  <c r="AE424" i="8" s="1"/>
  <c r="AB425" i="8"/>
  <c r="AE425" i="8" s="1"/>
  <c r="AB426" i="8"/>
  <c r="AE426" i="8" s="1"/>
  <c r="AB427" i="8"/>
  <c r="AE427" i="8" s="1"/>
  <c r="AB428" i="8"/>
  <c r="AE428" i="8" s="1"/>
  <c r="AB429" i="8"/>
  <c r="AE429" i="8" s="1"/>
  <c r="AB430" i="8"/>
  <c r="AE430" i="8" s="1"/>
  <c r="AB431" i="8"/>
  <c r="AE431" i="8" s="1"/>
  <c r="AB432" i="8"/>
  <c r="AE432" i="8" s="1"/>
  <c r="AB433" i="8"/>
  <c r="AE433" i="8" s="1"/>
  <c r="AB434" i="8"/>
  <c r="AE434" i="8" s="1"/>
  <c r="AB435" i="8"/>
  <c r="AE435" i="8" s="1"/>
  <c r="AB436" i="8"/>
  <c r="AE436" i="8" s="1"/>
  <c r="AB437" i="8"/>
  <c r="AE437" i="8" s="1"/>
  <c r="AB438" i="8"/>
  <c r="AE438" i="8" s="1"/>
  <c r="AB439" i="8"/>
  <c r="AE439" i="8" s="1"/>
  <c r="AB440" i="8"/>
  <c r="AE440" i="8" s="1"/>
  <c r="AB441" i="8"/>
  <c r="AE441" i="8" s="1"/>
  <c r="AB442" i="8"/>
  <c r="AE442" i="8" s="1"/>
  <c r="AB443" i="8"/>
  <c r="AB444" i="8"/>
  <c r="AE444" i="8" s="1"/>
  <c r="AB445" i="8"/>
  <c r="AE445" i="8" s="1"/>
  <c r="AB446" i="8"/>
  <c r="AE446" i="8" s="1"/>
  <c r="AB447" i="8"/>
  <c r="AE447" i="8" s="1"/>
  <c r="AB448" i="8"/>
  <c r="AE448" i="8" s="1"/>
  <c r="AB449" i="8"/>
  <c r="AB450" i="8"/>
  <c r="AE450" i="8" s="1"/>
  <c r="AB451" i="8"/>
  <c r="AE451" i="8" s="1"/>
  <c r="AB452" i="8"/>
  <c r="AE452" i="8" s="1"/>
  <c r="AB453" i="8"/>
  <c r="AE453" i="8" s="1"/>
  <c r="AB454" i="8"/>
  <c r="AE454" i="8" s="1"/>
  <c r="AB455" i="8"/>
  <c r="AB456" i="8"/>
  <c r="AE456" i="8" s="1"/>
  <c r="AB457" i="8"/>
  <c r="AE457" i="8" s="1"/>
  <c r="AB458" i="8"/>
  <c r="AE458" i="8" s="1"/>
  <c r="AB459" i="8"/>
  <c r="AE459" i="8" s="1"/>
  <c r="AB460" i="8"/>
  <c r="AE460" i="8" s="1"/>
  <c r="AB461" i="8"/>
  <c r="AB462" i="8"/>
  <c r="AE462" i="8" s="1"/>
  <c r="AB463" i="8"/>
  <c r="AE463" i="8" s="1"/>
  <c r="AB464" i="8"/>
  <c r="AE464" i="8" s="1"/>
  <c r="AB465" i="8"/>
  <c r="AE465" i="8" s="1"/>
  <c r="AB466" i="8"/>
  <c r="AE466" i="8" s="1"/>
  <c r="AB467" i="8"/>
  <c r="AE467" i="8" s="1"/>
  <c r="AB468" i="8"/>
  <c r="AE468" i="8" s="1"/>
  <c r="AB469" i="8"/>
  <c r="AE469" i="8" s="1"/>
  <c r="AB470" i="8"/>
  <c r="AE470" i="8" s="1"/>
  <c r="AB471" i="8"/>
  <c r="AE471" i="8" s="1"/>
  <c r="AB472" i="8"/>
  <c r="AE472" i="8" s="1"/>
  <c r="AB473" i="8"/>
  <c r="AE473" i="8" s="1"/>
  <c r="AB474" i="8"/>
  <c r="AE474" i="8" s="1"/>
  <c r="AB475" i="8"/>
  <c r="AE475" i="8" s="1"/>
  <c r="AB476" i="8"/>
  <c r="AE476" i="8" s="1"/>
  <c r="AB477" i="8"/>
  <c r="AE477" i="8" s="1"/>
  <c r="AB478" i="8"/>
  <c r="AE478" i="8" s="1"/>
  <c r="AB479" i="8"/>
  <c r="AE479" i="8" s="1"/>
  <c r="AB480" i="8"/>
  <c r="AE480" i="8" s="1"/>
  <c r="AB481" i="8"/>
  <c r="AE481" i="8" s="1"/>
  <c r="AB482" i="8"/>
  <c r="AE482" i="8" s="1"/>
  <c r="AB483" i="8"/>
  <c r="AE483" i="8" s="1"/>
  <c r="AB484" i="8"/>
  <c r="AE484" i="8" s="1"/>
  <c r="AB485" i="8"/>
  <c r="AB486" i="8"/>
  <c r="AE486" i="8" s="1"/>
  <c r="AB487" i="8"/>
  <c r="AE487" i="8" s="1"/>
  <c r="AB488" i="8"/>
  <c r="AE488" i="8" s="1"/>
  <c r="AB489" i="8"/>
  <c r="AE489" i="8" s="1"/>
  <c r="AB490" i="8"/>
  <c r="AE490" i="8" s="1"/>
  <c r="AB491" i="8"/>
  <c r="AE491" i="8" s="1"/>
  <c r="AB492" i="8"/>
  <c r="AE492" i="8" s="1"/>
  <c r="AB493" i="8"/>
  <c r="AE493" i="8" s="1"/>
  <c r="AB494" i="8"/>
  <c r="AE494" i="8" s="1"/>
  <c r="AB495" i="8"/>
  <c r="AE495" i="8" s="1"/>
  <c r="AB496" i="8"/>
  <c r="AE496" i="8" s="1"/>
  <c r="AB497" i="8"/>
  <c r="AB498" i="8"/>
  <c r="AE498" i="8" s="1"/>
  <c r="AB499" i="8"/>
  <c r="AE499" i="8" s="1"/>
  <c r="AB500" i="8"/>
  <c r="AE500" i="8" s="1"/>
  <c r="AB501" i="8"/>
  <c r="AE501" i="8" s="1"/>
  <c r="AB502" i="8"/>
  <c r="AE502" i="8" s="1"/>
  <c r="AB503" i="8"/>
  <c r="AE503" i="8" s="1"/>
  <c r="AB504" i="8"/>
  <c r="AE504" i="8" s="1"/>
  <c r="AB505" i="8"/>
  <c r="AE505" i="8" s="1"/>
  <c r="AB506" i="8"/>
  <c r="AE506" i="8" s="1"/>
  <c r="AB507" i="8"/>
  <c r="AE507" i="8" s="1"/>
  <c r="AB508" i="8"/>
  <c r="AE508" i="8" s="1"/>
  <c r="AB509" i="8"/>
  <c r="AE509" i="8" s="1"/>
  <c r="AB510" i="8"/>
  <c r="AE510" i="8" s="1"/>
  <c r="AB511" i="8"/>
  <c r="AE511" i="8" s="1"/>
  <c r="AB512" i="8"/>
  <c r="AE512" i="8" s="1"/>
  <c r="AB513" i="8"/>
  <c r="AE513" i="8" s="1"/>
  <c r="AB514" i="8"/>
  <c r="AE514" i="8" s="1"/>
  <c r="AB515" i="8"/>
  <c r="AE515" i="8" s="1"/>
  <c r="AB516" i="8"/>
  <c r="AE516" i="8" s="1"/>
  <c r="AB517" i="8"/>
  <c r="AE517" i="8" s="1"/>
  <c r="AB518" i="8"/>
  <c r="AE518" i="8" s="1"/>
  <c r="AB519" i="8"/>
  <c r="AE519" i="8" s="1"/>
  <c r="AB520" i="8"/>
  <c r="AE520" i="8" s="1"/>
  <c r="AB521" i="8"/>
  <c r="AE521" i="8" s="1"/>
  <c r="AB522" i="8"/>
  <c r="AE522" i="8" s="1"/>
  <c r="AB523" i="8"/>
  <c r="AE523" i="8" s="1"/>
  <c r="AB524" i="8"/>
  <c r="AE524" i="8" s="1"/>
  <c r="AB525" i="8"/>
  <c r="AE525" i="8" s="1"/>
  <c r="AB526" i="8"/>
  <c r="AE526" i="8" s="1"/>
  <c r="AB527" i="8"/>
  <c r="AE527" i="8" s="1"/>
  <c r="AB528" i="8"/>
  <c r="AE528" i="8" s="1"/>
  <c r="AB529" i="8"/>
  <c r="AE529" i="8" s="1"/>
  <c r="AB530" i="8"/>
  <c r="AE530" i="8" s="1"/>
  <c r="AB531" i="8"/>
  <c r="AE531" i="8" s="1"/>
  <c r="AB532" i="8"/>
  <c r="AE532" i="8" s="1"/>
  <c r="AB533" i="8"/>
  <c r="AE533" i="8" s="1"/>
  <c r="AB534" i="8"/>
  <c r="AE534" i="8" s="1"/>
  <c r="AB535" i="8"/>
  <c r="AE535" i="8" s="1"/>
  <c r="AB536" i="8"/>
  <c r="AE536" i="8" s="1"/>
  <c r="AB537" i="8"/>
  <c r="AE537" i="8" s="1"/>
  <c r="AB538" i="8"/>
  <c r="AE538" i="8" s="1"/>
  <c r="AB539" i="8"/>
  <c r="AE539" i="8" s="1"/>
  <c r="AB540" i="8"/>
  <c r="AE540" i="8" s="1"/>
  <c r="AB541" i="8"/>
  <c r="AE541" i="8" s="1"/>
  <c r="AB542" i="8"/>
  <c r="AE542" i="8" s="1"/>
  <c r="AB543" i="8"/>
  <c r="AE543" i="8" s="1"/>
  <c r="AB544" i="8"/>
  <c r="AE544" i="8" s="1"/>
  <c r="AB545" i="8"/>
  <c r="AE545" i="8" s="1"/>
  <c r="AB546" i="8"/>
  <c r="AE546" i="8" s="1"/>
  <c r="AB547" i="8"/>
  <c r="AE547" i="8" s="1"/>
  <c r="AB548" i="8"/>
  <c r="AE548" i="8" s="1"/>
  <c r="AB549" i="8"/>
  <c r="AE549" i="8" s="1"/>
  <c r="AB550" i="8"/>
  <c r="AE550" i="8" s="1"/>
  <c r="AB551" i="8"/>
  <c r="AE551" i="8" s="1"/>
  <c r="AB552" i="8"/>
  <c r="AE552" i="8" s="1"/>
  <c r="AB553" i="8"/>
  <c r="AE553" i="8" s="1"/>
  <c r="AB554" i="8"/>
  <c r="AE554" i="8" s="1"/>
  <c r="AB555" i="8"/>
  <c r="AE555" i="8" s="1"/>
  <c r="AB556" i="8"/>
  <c r="AE556" i="8" s="1"/>
  <c r="AB557" i="8"/>
  <c r="AE557" i="8" s="1"/>
  <c r="AB558" i="8"/>
  <c r="AE558" i="8" s="1"/>
  <c r="AB559" i="8"/>
  <c r="AE559" i="8" s="1"/>
  <c r="AB560" i="8"/>
  <c r="AE560" i="8" s="1"/>
  <c r="AB561" i="8"/>
  <c r="AE561" i="8" s="1"/>
  <c r="AB562" i="8"/>
  <c r="AE562" i="8" s="1"/>
  <c r="AB563" i="8"/>
  <c r="AE563" i="8" s="1"/>
  <c r="AB564" i="8"/>
  <c r="AE564" i="8" s="1"/>
  <c r="AB565" i="8"/>
  <c r="AE565" i="8" s="1"/>
  <c r="AB566" i="8"/>
  <c r="AE566" i="8" s="1"/>
  <c r="AB567" i="8"/>
  <c r="AE567" i="8" s="1"/>
  <c r="AB568" i="8"/>
  <c r="AE568" i="8" s="1"/>
  <c r="AB569" i="8"/>
  <c r="AE569" i="8" s="1"/>
  <c r="AB570" i="8"/>
  <c r="AE570" i="8" s="1"/>
  <c r="AB571" i="8"/>
  <c r="AE571" i="8" s="1"/>
  <c r="AB572" i="8"/>
  <c r="AE572" i="8" s="1"/>
  <c r="AB573" i="8"/>
  <c r="AE573" i="8" s="1"/>
  <c r="AB574" i="8"/>
  <c r="AE574" i="8" s="1"/>
  <c r="AB575" i="8"/>
  <c r="AE575" i="8" s="1"/>
  <c r="AB576" i="8"/>
  <c r="AE576" i="8" s="1"/>
  <c r="AB577" i="8"/>
  <c r="AE577" i="8" s="1"/>
  <c r="AB578" i="8"/>
  <c r="AE578" i="8" s="1"/>
  <c r="AB579" i="8"/>
  <c r="AE579" i="8" s="1"/>
  <c r="AB580" i="8"/>
  <c r="AE580" i="8" s="1"/>
  <c r="AB581" i="8"/>
  <c r="AE581" i="8" s="1"/>
  <c r="AB582" i="8"/>
  <c r="AE582" i="8" s="1"/>
  <c r="AB583" i="8"/>
  <c r="AE583" i="8" s="1"/>
  <c r="AB584" i="8"/>
  <c r="AE584" i="8" s="1"/>
  <c r="AB585" i="8"/>
  <c r="AE585" i="8" s="1"/>
  <c r="AB586" i="8"/>
  <c r="AE586" i="8" s="1"/>
  <c r="AB587" i="8"/>
  <c r="AE587" i="8" s="1"/>
  <c r="AB588" i="8"/>
  <c r="AE588" i="8" s="1"/>
  <c r="AB589" i="8"/>
  <c r="AE589" i="8" s="1"/>
  <c r="AB590" i="8"/>
  <c r="AE590" i="8" s="1"/>
  <c r="AB591" i="8"/>
  <c r="AE591" i="8" s="1"/>
  <c r="AB592" i="8"/>
  <c r="AE592" i="8" s="1"/>
  <c r="AB593" i="8"/>
  <c r="AE593" i="8" s="1"/>
  <c r="AB594" i="8"/>
  <c r="AE594" i="8" s="1"/>
  <c r="AB595" i="8"/>
  <c r="AE595" i="8" s="1"/>
  <c r="AB596" i="8"/>
  <c r="AE596" i="8" s="1"/>
  <c r="AB597" i="8"/>
  <c r="AE597" i="8" s="1"/>
  <c r="AB598" i="8"/>
  <c r="AE598" i="8" s="1"/>
  <c r="AB599" i="8"/>
  <c r="AE599" i="8" s="1"/>
  <c r="AB600" i="8"/>
  <c r="AE600" i="8" s="1"/>
  <c r="AB601" i="8"/>
  <c r="AE601" i="8" s="1"/>
  <c r="AB602" i="8"/>
  <c r="AE602" i="8" s="1"/>
  <c r="AB603" i="8"/>
  <c r="AE603" i="8" s="1"/>
  <c r="AB604" i="8"/>
  <c r="AE604" i="8" s="1"/>
  <c r="AB605" i="8"/>
  <c r="AE605" i="8" s="1"/>
  <c r="AB606" i="8"/>
  <c r="AE606" i="8" s="1"/>
  <c r="AB607" i="8"/>
  <c r="AE607" i="8" s="1"/>
  <c r="AB608" i="8"/>
  <c r="AE608" i="8" s="1"/>
  <c r="AB609" i="8"/>
  <c r="AE609" i="8" s="1"/>
  <c r="AB610" i="8"/>
  <c r="AE610" i="8" s="1"/>
  <c r="AB611" i="8"/>
  <c r="AE611" i="8" s="1"/>
  <c r="AB612" i="8"/>
  <c r="AE612" i="8" s="1"/>
  <c r="AB613" i="8"/>
  <c r="AE613" i="8" s="1"/>
  <c r="AB614" i="8"/>
  <c r="AE614" i="8" s="1"/>
  <c r="AB615" i="8"/>
  <c r="AE615" i="8" s="1"/>
  <c r="AB616" i="8"/>
  <c r="AE616" i="8" s="1"/>
  <c r="AB617" i="8"/>
  <c r="AE617" i="8" s="1"/>
  <c r="AB618" i="8"/>
  <c r="AE618" i="8" s="1"/>
  <c r="AB619" i="8"/>
  <c r="AE619" i="8" s="1"/>
  <c r="AB620" i="8"/>
  <c r="AE620" i="8" s="1"/>
  <c r="AB621" i="8"/>
  <c r="AE621" i="8" s="1"/>
  <c r="AB622" i="8"/>
  <c r="AE622" i="8" s="1"/>
  <c r="AB623" i="8"/>
  <c r="AE623" i="8" s="1"/>
  <c r="AB624" i="8"/>
  <c r="AE624" i="8" s="1"/>
  <c r="AB625" i="8"/>
  <c r="AE625" i="8" s="1"/>
  <c r="AB626" i="8"/>
  <c r="AE626" i="8" s="1"/>
  <c r="AB627" i="8"/>
  <c r="AE627" i="8" s="1"/>
  <c r="AB628" i="8"/>
  <c r="AE628" i="8" s="1"/>
  <c r="AB629" i="8"/>
  <c r="AE629" i="8" s="1"/>
  <c r="AB630" i="8"/>
  <c r="AE630" i="8" s="1"/>
  <c r="AB631" i="8"/>
  <c r="AE631" i="8" s="1"/>
  <c r="AB632" i="8"/>
  <c r="AE632" i="8" s="1"/>
  <c r="AB633" i="8"/>
  <c r="AE633" i="8" s="1"/>
  <c r="AB634" i="8"/>
  <c r="AE634" i="8" s="1"/>
  <c r="AB635" i="8"/>
  <c r="AE635" i="8" s="1"/>
  <c r="AB636" i="8"/>
  <c r="AE636" i="8" s="1"/>
  <c r="AB637" i="8"/>
  <c r="AE637" i="8" s="1"/>
  <c r="AB638" i="8"/>
  <c r="AE638" i="8" s="1"/>
  <c r="AB639" i="8"/>
  <c r="AE639" i="8" s="1"/>
  <c r="AB640" i="8"/>
  <c r="AE640" i="8" s="1"/>
  <c r="AB641" i="8"/>
  <c r="AE641" i="8" s="1"/>
  <c r="AB642" i="8"/>
  <c r="AE642" i="8" s="1"/>
  <c r="AB643" i="8"/>
  <c r="AE643" i="8" s="1"/>
  <c r="AB644" i="8"/>
  <c r="AE644" i="8" s="1"/>
  <c r="AB645" i="8"/>
  <c r="AE645" i="8" s="1"/>
  <c r="AB646" i="8"/>
  <c r="AE646" i="8" s="1"/>
  <c r="AB647" i="8"/>
  <c r="AE647" i="8" s="1"/>
  <c r="AB648" i="8"/>
  <c r="AE648" i="8" s="1"/>
  <c r="AB649" i="8"/>
  <c r="AE649" i="8" s="1"/>
  <c r="AB650" i="8"/>
  <c r="AE650" i="8" s="1"/>
  <c r="AB651" i="8"/>
  <c r="AE651" i="8" s="1"/>
  <c r="AB652" i="8"/>
  <c r="AE652" i="8" s="1"/>
  <c r="AB653" i="8"/>
  <c r="AE653" i="8" s="1"/>
  <c r="AB654" i="8"/>
  <c r="AE654" i="8" s="1"/>
  <c r="AB655" i="8"/>
  <c r="AE655" i="8" s="1"/>
  <c r="AB656" i="8"/>
  <c r="AE656" i="8" s="1"/>
  <c r="AB657" i="8"/>
  <c r="AE657" i="8" s="1"/>
  <c r="AB658" i="8"/>
  <c r="AE658" i="8" s="1"/>
  <c r="AB659" i="8"/>
  <c r="AE659" i="8" s="1"/>
  <c r="AB660" i="8"/>
  <c r="AE660" i="8" s="1"/>
  <c r="AB661" i="8"/>
  <c r="AE661" i="8" s="1"/>
  <c r="AB662" i="8"/>
  <c r="AE662" i="8" s="1"/>
  <c r="AB663" i="8"/>
  <c r="AE663" i="8" s="1"/>
  <c r="AB664" i="8"/>
  <c r="AE664" i="8" s="1"/>
  <c r="AB665" i="8"/>
  <c r="AE665" i="8" s="1"/>
  <c r="AB666" i="8"/>
  <c r="AE666" i="8" s="1"/>
  <c r="AB667" i="8"/>
  <c r="AE667" i="8" s="1"/>
  <c r="AB668" i="8"/>
  <c r="AE668" i="8" s="1"/>
  <c r="AB669" i="8"/>
  <c r="AE669" i="8" s="1"/>
  <c r="AB670" i="8"/>
  <c r="AE670" i="8" s="1"/>
  <c r="AB671" i="8"/>
  <c r="AE671" i="8" s="1"/>
  <c r="AB672" i="8"/>
  <c r="AE672" i="8" s="1"/>
  <c r="AB673" i="8"/>
  <c r="AE673" i="8" s="1"/>
  <c r="AB674" i="8"/>
  <c r="AE674" i="8" s="1"/>
  <c r="AB675" i="8"/>
  <c r="AE675" i="8" s="1"/>
  <c r="AB676" i="8"/>
  <c r="AE676" i="8" s="1"/>
  <c r="AB677" i="8"/>
  <c r="AE677" i="8" s="1"/>
  <c r="AB678" i="8"/>
  <c r="AE678" i="8" s="1"/>
  <c r="AB679" i="8"/>
  <c r="AE679" i="8" s="1"/>
  <c r="AB680" i="8"/>
  <c r="AE680" i="8" s="1"/>
  <c r="AB681" i="8"/>
  <c r="AE681" i="8" s="1"/>
  <c r="AB682" i="8"/>
  <c r="AE682" i="8" s="1"/>
  <c r="AB683" i="8"/>
  <c r="AE683" i="8" s="1"/>
  <c r="AB684" i="8"/>
  <c r="AE684" i="8" s="1"/>
  <c r="AB685" i="8"/>
  <c r="AE685" i="8" s="1"/>
  <c r="AB686" i="8"/>
  <c r="AE686" i="8" s="1"/>
  <c r="AB687" i="8"/>
  <c r="AE687" i="8" s="1"/>
  <c r="AB688" i="8"/>
  <c r="AE688" i="8" s="1"/>
  <c r="AB689" i="8"/>
  <c r="AE689" i="8" s="1"/>
  <c r="AB690" i="8"/>
  <c r="AE690" i="8" s="1"/>
  <c r="AB691" i="8"/>
  <c r="AE691" i="8" s="1"/>
  <c r="AB692" i="8"/>
  <c r="AE692" i="8" s="1"/>
  <c r="AB693" i="8"/>
  <c r="AE693" i="8" s="1"/>
  <c r="AB694" i="8"/>
  <c r="AE694" i="8" s="1"/>
  <c r="AB695" i="8"/>
  <c r="AE695" i="8" s="1"/>
  <c r="AB696" i="8"/>
  <c r="AE696" i="8" s="1"/>
  <c r="AB697" i="8"/>
  <c r="AE697" i="8" s="1"/>
  <c r="AB698" i="8"/>
  <c r="AE698" i="8" s="1"/>
  <c r="AB699" i="8"/>
  <c r="AE699" i="8" s="1"/>
  <c r="AB700" i="8"/>
  <c r="AE700" i="8" s="1"/>
  <c r="AB701" i="8"/>
  <c r="AE701" i="8" s="1"/>
  <c r="AB702" i="8"/>
  <c r="AE702" i="8" s="1"/>
  <c r="AB703" i="8"/>
  <c r="AE703" i="8" s="1"/>
  <c r="AB704" i="8"/>
  <c r="AE704" i="8" s="1"/>
  <c r="AB705" i="8"/>
  <c r="AE705" i="8" s="1"/>
  <c r="AB706" i="8"/>
  <c r="AE706" i="8" s="1"/>
  <c r="AB707" i="8"/>
  <c r="AE707" i="8" s="1"/>
  <c r="AB708" i="8"/>
  <c r="AE708" i="8" s="1"/>
  <c r="AB709" i="8"/>
  <c r="AE709" i="8" s="1"/>
  <c r="AB710" i="8"/>
  <c r="AE710" i="8" s="1"/>
  <c r="AB711" i="8"/>
  <c r="AE711" i="8" s="1"/>
  <c r="AB712" i="8"/>
  <c r="AE712" i="8" s="1"/>
  <c r="AB713" i="8"/>
  <c r="AE713" i="8" s="1"/>
  <c r="AB714" i="8"/>
  <c r="AE714" i="8" s="1"/>
  <c r="AB715" i="8"/>
  <c r="AE715" i="8" s="1"/>
  <c r="AB716" i="8"/>
  <c r="AE716" i="8" s="1"/>
  <c r="AB717" i="8"/>
  <c r="AE717" i="8" s="1"/>
  <c r="AB718" i="8"/>
  <c r="AE718" i="8" s="1"/>
  <c r="AB719" i="8"/>
  <c r="AE719" i="8" s="1"/>
  <c r="AB720" i="8"/>
  <c r="AE720" i="8" s="1"/>
  <c r="AB721" i="8"/>
  <c r="AE721" i="8" s="1"/>
  <c r="AB722" i="8"/>
  <c r="AE722" i="8" s="1"/>
  <c r="AB723" i="8"/>
  <c r="AE723" i="8" s="1"/>
  <c r="AB724" i="8"/>
  <c r="AE724" i="8" s="1"/>
  <c r="AB725" i="8"/>
  <c r="AE725" i="8" s="1"/>
  <c r="AB726" i="8"/>
  <c r="AE726" i="8" s="1"/>
  <c r="AB727" i="8"/>
  <c r="AE727" i="8" s="1"/>
  <c r="AB728" i="8"/>
  <c r="AE728" i="8" s="1"/>
  <c r="AB729" i="8"/>
  <c r="AE729" i="8" s="1"/>
  <c r="AB730" i="8"/>
  <c r="AE730" i="8" s="1"/>
  <c r="AB731" i="8"/>
  <c r="AE731" i="8" s="1"/>
  <c r="AB732" i="8"/>
  <c r="AE732" i="8" s="1"/>
  <c r="AB733" i="8"/>
  <c r="AE733" i="8" s="1"/>
  <c r="AB734" i="8"/>
  <c r="AE734" i="8" s="1"/>
  <c r="AB735" i="8"/>
  <c r="AE735" i="8" s="1"/>
  <c r="AB736" i="8"/>
  <c r="AE736" i="8" s="1"/>
  <c r="AB737" i="8"/>
  <c r="AE737" i="8" s="1"/>
  <c r="AB738" i="8"/>
  <c r="AE738" i="8" s="1"/>
  <c r="AB739" i="8"/>
  <c r="AE739" i="8" s="1"/>
  <c r="AB740" i="8"/>
  <c r="AE740" i="8" s="1"/>
  <c r="AB741" i="8"/>
  <c r="AE741" i="8" s="1"/>
  <c r="AB742" i="8"/>
  <c r="AE742" i="8" s="1"/>
  <c r="AB743" i="8"/>
  <c r="AE743" i="8" s="1"/>
  <c r="AB744" i="8"/>
  <c r="AE744" i="8" s="1"/>
  <c r="AB745" i="8"/>
  <c r="AE745" i="8" s="1"/>
  <c r="AB746" i="8"/>
  <c r="AE746" i="8" s="1"/>
  <c r="AB747" i="8"/>
  <c r="AE747" i="8" s="1"/>
  <c r="AB748" i="8"/>
  <c r="AE748" i="8" s="1"/>
  <c r="AB749" i="8"/>
  <c r="AE749" i="8" s="1"/>
  <c r="AB750" i="8"/>
  <c r="AE750" i="8" s="1"/>
  <c r="AB751" i="8"/>
  <c r="AE751" i="8" s="1"/>
  <c r="AB752" i="8"/>
  <c r="AE752" i="8" s="1"/>
  <c r="AB753" i="8"/>
  <c r="AE753" i="8" s="1"/>
  <c r="AB754" i="8"/>
  <c r="AE754" i="8" s="1"/>
  <c r="AB755" i="8"/>
  <c r="AE755" i="8" s="1"/>
  <c r="AB756" i="8"/>
  <c r="AE756" i="8" s="1"/>
  <c r="AB757" i="8"/>
  <c r="AE757" i="8" s="1"/>
  <c r="AB758" i="8"/>
  <c r="AE758" i="8" s="1"/>
  <c r="AB759" i="8"/>
  <c r="AE759" i="8" s="1"/>
  <c r="AB760" i="8"/>
  <c r="AE760" i="8" s="1"/>
  <c r="AB761" i="8"/>
  <c r="AE761" i="8" s="1"/>
  <c r="AB762" i="8"/>
  <c r="AE762" i="8" s="1"/>
  <c r="AB763" i="8"/>
  <c r="AE763" i="8" s="1"/>
  <c r="AB764" i="8"/>
  <c r="AE764" i="8" s="1"/>
  <c r="AB765" i="8"/>
  <c r="AE765" i="8" s="1"/>
  <c r="AB766" i="8"/>
  <c r="AE766" i="8" s="1"/>
  <c r="AB767" i="8"/>
  <c r="AE767" i="8" s="1"/>
  <c r="AB768" i="8"/>
  <c r="AE768" i="8" s="1"/>
  <c r="AB769" i="8"/>
  <c r="AE769" i="8" s="1"/>
  <c r="AB770" i="8"/>
  <c r="AE770" i="8" s="1"/>
  <c r="AB771" i="8"/>
  <c r="AE771" i="8" s="1"/>
  <c r="AB772" i="8"/>
  <c r="AE772" i="8" s="1"/>
  <c r="AB773" i="8"/>
  <c r="AE773" i="8" s="1"/>
  <c r="AB774" i="8"/>
  <c r="AE774" i="8" s="1"/>
  <c r="AB775" i="8"/>
  <c r="AE775" i="8" s="1"/>
  <c r="AB776" i="8"/>
  <c r="AE776" i="8" s="1"/>
  <c r="AB777" i="8"/>
  <c r="AE777" i="8" s="1"/>
  <c r="AB778" i="8"/>
  <c r="AE778" i="8" s="1"/>
  <c r="AB779" i="8"/>
  <c r="AE779" i="8" s="1"/>
  <c r="AB780" i="8"/>
  <c r="AE780" i="8" s="1"/>
  <c r="AB781" i="8"/>
  <c r="AE781" i="8" s="1"/>
  <c r="AB782" i="8"/>
  <c r="AE782" i="8" s="1"/>
  <c r="AB783" i="8"/>
  <c r="AE783" i="8" s="1"/>
  <c r="AB784" i="8"/>
  <c r="AE784" i="8" s="1"/>
  <c r="AB785" i="8"/>
  <c r="AE785" i="8" s="1"/>
  <c r="AB786" i="8"/>
  <c r="AE786" i="8" s="1"/>
  <c r="AB787" i="8"/>
  <c r="AE787" i="8" s="1"/>
  <c r="AB788" i="8"/>
  <c r="AE788" i="8" s="1"/>
  <c r="AB789" i="8"/>
  <c r="AE789" i="8" s="1"/>
  <c r="AB790" i="8"/>
  <c r="AE790" i="8" s="1"/>
  <c r="AB791" i="8"/>
  <c r="AE791" i="8" s="1"/>
  <c r="AB792" i="8"/>
  <c r="AE792" i="8" s="1"/>
  <c r="AB793" i="8"/>
  <c r="AE793" i="8" s="1"/>
  <c r="AB794" i="8"/>
  <c r="AE794" i="8" s="1"/>
  <c r="AB795" i="8"/>
  <c r="AE795" i="8" s="1"/>
  <c r="AB796" i="8"/>
  <c r="AE796" i="8" s="1"/>
  <c r="AB797" i="8"/>
  <c r="AE797" i="8" s="1"/>
  <c r="AB798" i="8"/>
  <c r="AE798" i="8" s="1"/>
  <c r="AB799" i="8"/>
  <c r="AE799" i="8" s="1"/>
  <c r="AB800" i="8"/>
  <c r="AE800" i="8" s="1"/>
  <c r="AB801" i="8"/>
  <c r="AE801" i="8" s="1"/>
  <c r="AB802" i="8"/>
  <c r="AE802" i="8" s="1"/>
  <c r="AB803" i="8"/>
  <c r="AE803" i="8" s="1"/>
  <c r="AB804" i="8"/>
  <c r="AE804" i="8" s="1"/>
  <c r="AB805" i="8"/>
  <c r="AE805" i="8" s="1"/>
  <c r="AB806" i="8"/>
  <c r="AE806" i="8" s="1"/>
  <c r="AB807" i="8"/>
  <c r="AE807" i="8" s="1"/>
  <c r="AB808" i="8"/>
  <c r="AE808" i="8" s="1"/>
  <c r="AB809" i="8"/>
  <c r="AE809" i="8" s="1"/>
  <c r="AB810" i="8"/>
  <c r="AE810" i="8" s="1"/>
  <c r="AB811" i="8"/>
  <c r="AE811" i="8" s="1"/>
  <c r="AB812" i="8"/>
  <c r="AE812" i="8" s="1"/>
  <c r="AB813" i="8"/>
  <c r="AE813" i="8" s="1"/>
  <c r="AB814" i="8"/>
  <c r="AE814" i="8" s="1"/>
  <c r="AB815" i="8"/>
  <c r="AE815" i="8" s="1"/>
  <c r="AB816" i="8"/>
  <c r="AE816" i="8" s="1"/>
  <c r="AB817" i="8"/>
  <c r="AE817" i="8" s="1"/>
  <c r="AB818" i="8"/>
  <c r="AE818" i="8" s="1"/>
  <c r="AB819" i="8"/>
  <c r="AE819" i="8" s="1"/>
  <c r="AB820" i="8"/>
  <c r="AE820" i="8" s="1"/>
  <c r="AB821" i="8"/>
  <c r="AE821" i="8" s="1"/>
  <c r="AB822" i="8"/>
  <c r="AE822" i="8" s="1"/>
  <c r="AB823" i="8"/>
  <c r="AE823" i="8" s="1"/>
  <c r="AB824" i="8"/>
  <c r="AE824" i="8" s="1"/>
  <c r="AB825" i="8"/>
  <c r="AE825" i="8" s="1"/>
  <c r="AB826" i="8"/>
  <c r="AE826" i="8" s="1"/>
  <c r="AB827" i="8"/>
  <c r="AE827" i="8" s="1"/>
  <c r="AB828" i="8"/>
  <c r="AE828" i="8" s="1"/>
  <c r="AB829" i="8"/>
  <c r="AE829" i="8" s="1"/>
  <c r="AB830" i="8"/>
  <c r="AE830" i="8" s="1"/>
  <c r="AB831" i="8"/>
  <c r="AE831" i="8" s="1"/>
  <c r="AB832" i="8"/>
  <c r="AE832" i="8" s="1"/>
  <c r="AB833" i="8"/>
  <c r="AE833" i="8" s="1"/>
  <c r="AB834" i="8"/>
  <c r="AE834" i="8" s="1"/>
  <c r="AB835" i="8"/>
  <c r="AE835" i="8" s="1"/>
  <c r="AB836" i="8"/>
  <c r="AE836" i="8" s="1"/>
  <c r="AB837" i="8"/>
  <c r="AE837" i="8" s="1"/>
  <c r="AB838" i="8"/>
  <c r="AE838" i="8" s="1"/>
  <c r="AB839" i="8"/>
  <c r="AE839" i="8" s="1"/>
  <c r="AB840" i="8"/>
  <c r="AE840" i="8" s="1"/>
  <c r="AB841" i="8"/>
  <c r="AE841" i="8" s="1"/>
  <c r="AB842" i="8"/>
  <c r="AE842" i="8" s="1"/>
  <c r="AB843" i="8"/>
  <c r="AE843" i="8" s="1"/>
  <c r="AB844" i="8"/>
  <c r="AE844" i="8" s="1"/>
  <c r="AB845" i="8"/>
  <c r="AE845" i="8" s="1"/>
  <c r="AB846" i="8"/>
  <c r="AE846" i="8" s="1"/>
  <c r="AB847" i="8"/>
  <c r="AE847" i="8" s="1"/>
  <c r="AB848" i="8"/>
  <c r="AE848" i="8" s="1"/>
  <c r="AB849" i="8"/>
  <c r="AE849" i="8" s="1"/>
  <c r="AB850" i="8"/>
  <c r="AE850" i="8" s="1"/>
  <c r="AB851" i="8"/>
  <c r="AE851" i="8" s="1"/>
  <c r="AB852" i="8"/>
  <c r="AE852" i="8" s="1"/>
  <c r="AB853" i="8"/>
  <c r="AE853" i="8" s="1"/>
  <c r="AB854" i="8"/>
  <c r="AE854" i="8" s="1"/>
  <c r="AB855" i="8"/>
  <c r="AE855" i="8" s="1"/>
  <c r="AB856" i="8"/>
  <c r="AE856" i="8" s="1"/>
  <c r="AB857" i="8"/>
  <c r="AE857" i="8" s="1"/>
  <c r="AB858" i="8"/>
  <c r="AE858" i="8" s="1"/>
  <c r="AB859" i="8"/>
  <c r="AE859" i="8" s="1"/>
  <c r="AB860" i="8"/>
  <c r="AE860" i="8" s="1"/>
  <c r="AB861" i="8"/>
  <c r="AE861" i="8" s="1"/>
  <c r="AB862" i="8"/>
  <c r="AE862" i="8" s="1"/>
  <c r="AB863" i="8"/>
  <c r="AE863" i="8" s="1"/>
  <c r="AB864" i="8"/>
  <c r="AE864" i="8" s="1"/>
  <c r="AB865" i="8"/>
  <c r="AE865" i="8" s="1"/>
  <c r="AB866" i="8"/>
  <c r="AE866" i="8" s="1"/>
  <c r="AB867" i="8"/>
  <c r="AE867" i="8" s="1"/>
  <c r="AB868" i="8"/>
  <c r="AE868" i="8" s="1"/>
  <c r="AB869" i="8"/>
  <c r="AE869" i="8" s="1"/>
  <c r="AB870" i="8"/>
  <c r="AE870" i="8" s="1"/>
  <c r="AB871" i="8"/>
  <c r="AE871" i="8" s="1"/>
  <c r="AB872" i="8"/>
  <c r="AE872" i="8" s="1"/>
  <c r="AB873" i="8"/>
  <c r="AE873" i="8" s="1"/>
  <c r="AB874" i="8"/>
  <c r="AE874" i="8" s="1"/>
  <c r="AB875" i="8"/>
  <c r="AE875" i="8" s="1"/>
  <c r="AB876" i="8"/>
  <c r="AE876" i="8" s="1"/>
  <c r="AB877" i="8"/>
  <c r="AE877" i="8" s="1"/>
  <c r="AB878" i="8"/>
  <c r="AE878" i="8" s="1"/>
  <c r="AB879" i="8"/>
  <c r="AE879" i="8" s="1"/>
  <c r="AB880" i="8"/>
  <c r="AE880" i="8" s="1"/>
  <c r="AB881" i="8"/>
  <c r="AE881" i="8" s="1"/>
  <c r="AB882" i="8"/>
  <c r="AE882" i="8" s="1"/>
  <c r="AB883" i="8"/>
  <c r="AE883" i="8" s="1"/>
  <c r="AB884" i="8"/>
  <c r="AE884" i="8" s="1"/>
  <c r="AB885" i="8"/>
  <c r="AE885" i="8" s="1"/>
  <c r="AB886" i="8"/>
  <c r="AE886" i="8" s="1"/>
  <c r="AB887" i="8"/>
  <c r="AE887" i="8" s="1"/>
  <c r="AB888" i="8"/>
  <c r="AE888" i="8" s="1"/>
  <c r="AB889" i="8"/>
  <c r="AE889" i="8" s="1"/>
  <c r="AB890" i="8"/>
  <c r="AE890" i="8" s="1"/>
  <c r="AB891" i="8"/>
  <c r="AE891" i="8" s="1"/>
  <c r="AB892" i="8"/>
  <c r="AE892" i="8" s="1"/>
  <c r="AB893" i="8"/>
  <c r="AE893" i="8" s="1"/>
  <c r="AB894" i="8"/>
  <c r="AE894" i="8" s="1"/>
  <c r="AB895" i="8"/>
  <c r="AE895" i="8" s="1"/>
  <c r="AB896" i="8"/>
  <c r="AE896" i="8" s="1"/>
  <c r="AB897" i="8"/>
  <c r="AE897" i="8" s="1"/>
  <c r="AB898" i="8"/>
  <c r="AE898" i="8" s="1"/>
  <c r="AB899" i="8"/>
  <c r="AE899" i="8" s="1"/>
  <c r="AB900" i="8"/>
  <c r="AE900" i="8" s="1"/>
  <c r="AB901" i="8"/>
  <c r="AE901" i="8" s="1"/>
  <c r="AB902" i="8"/>
  <c r="AE902" i="8" s="1"/>
  <c r="AB903" i="8"/>
  <c r="AE903" i="8" s="1"/>
  <c r="AB904" i="8"/>
  <c r="AE904" i="8" s="1"/>
  <c r="AB905" i="8"/>
  <c r="AE905" i="8" s="1"/>
  <c r="AB906" i="8"/>
  <c r="AE906" i="8" s="1"/>
  <c r="AB907" i="8"/>
  <c r="AE907" i="8" s="1"/>
  <c r="AB908" i="8"/>
  <c r="AE908" i="8" s="1"/>
  <c r="AB909" i="8"/>
  <c r="AE909" i="8" s="1"/>
  <c r="AB910" i="8"/>
  <c r="AE910" i="8" s="1"/>
  <c r="AB911" i="8"/>
  <c r="AE911" i="8" s="1"/>
  <c r="AB912" i="8"/>
  <c r="AE912" i="8" s="1"/>
  <c r="AB913" i="8"/>
  <c r="AE913" i="8" s="1"/>
  <c r="AB914" i="8"/>
  <c r="AE914" i="8" s="1"/>
  <c r="AB915" i="8"/>
  <c r="AE915" i="8" s="1"/>
  <c r="AB916" i="8"/>
  <c r="AE916" i="8" s="1"/>
  <c r="AB917" i="8"/>
  <c r="AE917" i="8" s="1"/>
  <c r="AB918" i="8"/>
  <c r="AE918" i="8" s="1"/>
  <c r="AB919" i="8"/>
  <c r="AE919" i="8" s="1"/>
  <c r="AB920" i="8"/>
  <c r="AE920" i="8" s="1"/>
  <c r="AB921" i="8"/>
  <c r="AE921" i="8" s="1"/>
  <c r="AB922" i="8"/>
  <c r="AE922" i="8" s="1"/>
  <c r="AB923" i="8"/>
  <c r="AE923" i="8" s="1"/>
  <c r="AB924" i="8"/>
  <c r="AE924" i="8" s="1"/>
  <c r="AB925" i="8"/>
  <c r="AE925" i="8" s="1"/>
  <c r="AB926" i="8"/>
  <c r="AE926" i="8" s="1"/>
  <c r="AB927" i="8"/>
  <c r="AE927" i="8" s="1"/>
  <c r="AB928" i="8"/>
  <c r="AE928" i="8" s="1"/>
  <c r="AB929" i="8"/>
  <c r="AE929" i="8" s="1"/>
  <c r="AB930" i="8"/>
  <c r="AE930" i="8" s="1"/>
  <c r="AB931" i="8"/>
  <c r="AE931" i="8" s="1"/>
  <c r="AB932" i="8"/>
  <c r="AE932" i="8" s="1"/>
  <c r="AB933" i="8"/>
  <c r="AE933" i="8" s="1"/>
  <c r="AB934" i="8"/>
  <c r="AE934" i="8" s="1"/>
  <c r="AB935" i="8"/>
  <c r="AE935" i="8" s="1"/>
  <c r="AB936" i="8"/>
  <c r="AE936" i="8" s="1"/>
  <c r="AB937" i="8"/>
  <c r="AE937" i="8" s="1"/>
  <c r="AB938" i="8"/>
  <c r="AE938" i="8" s="1"/>
  <c r="AB939" i="8"/>
  <c r="AE939" i="8" s="1"/>
  <c r="AB940" i="8"/>
  <c r="AE940" i="8" s="1"/>
  <c r="AB941" i="8"/>
  <c r="AE941" i="8" s="1"/>
  <c r="AB942" i="8"/>
  <c r="AE942" i="8" s="1"/>
  <c r="AB943" i="8"/>
  <c r="AE943" i="8" s="1"/>
  <c r="AB944" i="8"/>
  <c r="AE944" i="8" s="1"/>
  <c r="AB945" i="8"/>
  <c r="AE945" i="8" s="1"/>
  <c r="AB946" i="8"/>
  <c r="AE946" i="8" s="1"/>
  <c r="AB947" i="8"/>
  <c r="AE947" i="8" s="1"/>
  <c r="AB948" i="8"/>
  <c r="AE948" i="8" s="1"/>
  <c r="AB949" i="8"/>
  <c r="AE949" i="8" s="1"/>
  <c r="AB950" i="8"/>
  <c r="AE950" i="8" s="1"/>
  <c r="AB951" i="8"/>
  <c r="AE951" i="8" s="1"/>
  <c r="AB952" i="8"/>
  <c r="AE952" i="8" s="1"/>
  <c r="AB953" i="8"/>
  <c r="AE953" i="8" s="1"/>
  <c r="AB954" i="8"/>
  <c r="AE954" i="8" s="1"/>
  <c r="AB955" i="8"/>
  <c r="AE955" i="8" s="1"/>
  <c r="AB956" i="8"/>
  <c r="AE956" i="8" s="1"/>
  <c r="AB957" i="8"/>
  <c r="AE957" i="8" s="1"/>
  <c r="AB958" i="8"/>
  <c r="AE958" i="8" s="1"/>
  <c r="AB959" i="8"/>
  <c r="AE959" i="8" s="1"/>
  <c r="AB960" i="8"/>
  <c r="AE960" i="8" s="1"/>
  <c r="AB961" i="8"/>
  <c r="AE961" i="8" s="1"/>
  <c r="AB962" i="8"/>
  <c r="AE962" i="8" s="1"/>
  <c r="AB963" i="8"/>
  <c r="AE963" i="8" s="1"/>
  <c r="AB964" i="8"/>
  <c r="AE964" i="8" s="1"/>
  <c r="AB965" i="8"/>
  <c r="AE965" i="8" s="1"/>
  <c r="AB966" i="8"/>
  <c r="AE966" i="8" s="1"/>
  <c r="AB967" i="8"/>
  <c r="AE967" i="8" s="1"/>
  <c r="AB968" i="8"/>
  <c r="AE968" i="8" s="1"/>
  <c r="AB969" i="8"/>
  <c r="AE969" i="8" s="1"/>
  <c r="AB970" i="8"/>
  <c r="AE970" i="8" s="1"/>
  <c r="AB971" i="8"/>
  <c r="AE971" i="8" s="1"/>
  <c r="AB972" i="8"/>
  <c r="AE972" i="8" s="1"/>
  <c r="AB973" i="8"/>
  <c r="AE973" i="8" s="1"/>
  <c r="AB974" i="8"/>
  <c r="AE974" i="8" s="1"/>
  <c r="AB975" i="8"/>
  <c r="AE975" i="8" s="1"/>
  <c r="AB976" i="8"/>
  <c r="AE976" i="8" s="1"/>
  <c r="AB977" i="8"/>
  <c r="AE977" i="8" s="1"/>
  <c r="AB978" i="8"/>
  <c r="AE978" i="8" s="1"/>
  <c r="AB979" i="8"/>
  <c r="AE979" i="8" s="1"/>
  <c r="AB980" i="8"/>
  <c r="AE980" i="8" s="1"/>
  <c r="AB981" i="8"/>
  <c r="AE981" i="8" s="1"/>
  <c r="AB982" i="8"/>
  <c r="AE982" i="8" s="1"/>
  <c r="AB983" i="8"/>
  <c r="AE983" i="8" s="1"/>
  <c r="AB984" i="8"/>
  <c r="AE984" i="8" s="1"/>
  <c r="AB985" i="8"/>
  <c r="AE985" i="8" s="1"/>
  <c r="AB986" i="8"/>
  <c r="AE986" i="8" s="1"/>
  <c r="AB987" i="8"/>
  <c r="AE987" i="8" s="1"/>
  <c r="AB988" i="8"/>
  <c r="AE988" i="8" s="1"/>
  <c r="AB989" i="8"/>
  <c r="AE989" i="8" s="1"/>
  <c r="AB990" i="8"/>
  <c r="AE990" i="8" s="1"/>
  <c r="AB991" i="8"/>
  <c r="AE991" i="8" s="1"/>
  <c r="AB992" i="8"/>
  <c r="AE992" i="8" s="1"/>
  <c r="AB993" i="8"/>
  <c r="AE993" i="8" s="1"/>
  <c r="AB994" i="8"/>
  <c r="AE994" i="8" s="1"/>
  <c r="AB995" i="8"/>
  <c r="AE995" i="8" s="1"/>
  <c r="AB996" i="8"/>
  <c r="AE996" i="8" s="1"/>
  <c r="AB997" i="8"/>
  <c r="AE997" i="8" s="1"/>
  <c r="AB998" i="8"/>
  <c r="AE998" i="8" s="1"/>
  <c r="AB999" i="8"/>
  <c r="AE999" i="8" s="1"/>
  <c r="AB1000" i="8"/>
  <c r="AE1000" i="8" s="1"/>
  <c r="AB1001" i="8"/>
  <c r="AE1001" i="8" s="1"/>
  <c r="AB2" i="8"/>
  <c r="AA2" i="8"/>
  <c r="AE11" i="8" s="1"/>
  <c r="AE29" i="8" l="1"/>
  <c r="AE23" i="8"/>
  <c r="AE2" i="8"/>
  <c r="AE30" i="8"/>
  <c r="AE24" i="8"/>
  <c r="AE18" i="8"/>
  <c r="AE17" i="8"/>
  <c r="AE28" i="8"/>
  <c r="AE22" i="8"/>
  <c r="AE16" i="8"/>
  <c r="AE27" i="8"/>
  <c r="AE21" i="8"/>
  <c r="AE15" i="8"/>
  <c r="AE3" i="8"/>
  <c r="AE26" i="8"/>
  <c r="AE20" i="8"/>
  <c r="AE31" i="8"/>
  <c r="AE25" i="8"/>
  <c r="AE19" i="8"/>
  <c r="AE9" i="8"/>
  <c r="AE14" i="8"/>
  <c r="AE8" i="8"/>
  <c r="AE7" i="8"/>
  <c r="AE6" i="8"/>
  <c r="AE4" i="8"/>
  <c r="AE5" i="8"/>
  <c r="AE10" i="8"/>
  <c r="K10" i="15"/>
  <c r="J15" i="15"/>
  <c r="I15" i="15"/>
  <c r="AE12" i="8"/>
  <c r="AE13" i="8"/>
  <c r="I7" i="8"/>
  <c r="AD3" i="13"/>
  <c r="AD4" i="13"/>
  <c r="AD5" i="13"/>
  <c r="AD6" i="13"/>
  <c r="AD7" i="13"/>
  <c r="AD8" i="13"/>
  <c r="AD2" i="13"/>
  <c r="Y3" i="13" s="1"/>
  <c r="AD4" i="8" l="1"/>
  <c r="L15" i="15"/>
  <c r="K15" i="15"/>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E12" i="15"/>
  <c r="E11" i="15"/>
  <c r="J15"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L10" i="15"/>
  <c r="I14" i="14"/>
  <c r="L14" i="14" s="1"/>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V7" i="7" l="1"/>
  <c r="V17" i="7" s="1"/>
  <c r="T8" i="7"/>
  <c r="T18" i="7" s="1"/>
  <c r="U7" i="7"/>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P10" i="3" s="1"/>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2" i="13"/>
  <c r="Z25"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Y796" i="8"/>
  <c r="AF797" i="8" s="1"/>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X24" i="8"/>
  <c r="Y24" i="8" s="1"/>
  <c r="X902" i="8"/>
  <c r="Y902" i="8"/>
  <c r="AF903" i="8" s="1"/>
  <c r="Y654" i="8"/>
  <c r="AF655" i="8" s="1"/>
  <c r="X654" i="8"/>
  <c r="X618" i="8"/>
  <c r="Y618" i="8"/>
  <c r="AF619" i="8" s="1"/>
  <c r="Y972" i="8"/>
  <c r="AF973" i="8" s="1"/>
  <c r="X972" i="8"/>
  <c r="Y760" i="8"/>
  <c r="AF761" i="8" s="1"/>
  <c r="X760" i="8"/>
  <c r="Y908" i="8"/>
  <c r="AF909" i="8" s="1"/>
  <c r="X908" i="8"/>
  <c r="Y890" i="8"/>
  <c r="AF891" i="8" s="1"/>
  <c r="X890" i="8"/>
  <c r="Y946" i="8"/>
  <c r="AF947" i="8" s="1"/>
  <c r="X946" i="8"/>
  <c r="X56" i="8"/>
  <c r="Y56" i="8"/>
  <c r="AF57" i="8" s="1"/>
  <c r="X748" i="8"/>
  <c r="Y748" i="8"/>
  <c r="AF749" i="8"/>
  <c r="Y674" i="8"/>
  <c r="AF675" i="8" s="1"/>
  <c r="X674" i="8"/>
  <c r="X854" i="8"/>
  <c r="Y854" i="8"/>
  <c r="AF855" i="8" s="1"/>
  <c r="Y86" i="8"/>
  <c r="AF87" i="8" s="1"/>
  <c r="X86" i="8"/>
  <c r="Y924" i="8"/>
  <c r="AF925" i="8" s="1"/>
  <c r="X924" i="8"/>
  <c r="Y958" i="8"/>
  <c r="AF959" i="8" s="1"/>
  <c r="X958" i="8"/>
  <c r="Y838" i="8"/>
  <c r="AF839" i="8" s="1"/>
  <c r="X838" i="8"/>
  <c r="Y622" i="8"/>
  <c r="AF623" i="8" s="1"/>
  <c r="X622" i="8"/>
  <c r="Y844" i="8"/>
  <c r="AF845" i="8" s="1"/>
  <c r="X844" i="8"/>
  <c r="Y986" i="8"/>
  <c r="AF987" i="8" s="1"/>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Y852" i="8"/>
  <c r="AF853" i="8" s="1"/>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s="1"/>
  <c r="X990" i="8"/>
  <c r="Y990" i="8"/>
  <c r="AF991" i="8" s="1"/>
  <c r="X970" i="8"/>
  <c r="Y970" i="8"/>
  <c r="AF971" i="8" s="1"/>
  <c r="Y740" i="8"/>
  <c r="AF741" i="8" s="1"/>
  <c r="X740" i="8"/>
  <c r="X834" i="8"/>
  <c r="Y834" i="8"/>
  <c r="AF835" i="8" s="1"/>
  <c r="X114" i="8"/>
  <c r="Y114" i="8"/>
  <c r="AF115" i="8" s="1"/>
  <c r="Y778" i="8"/>
  <c r="AF779" i="8" s="1"/>
  <c r="X778" i="8"/>
  <c r="Y650" i="8"/>
  <c r="AF651" i="8" s="1"/>
  <c r="X650" i="8"/>
  <c r="X20" i="8"/>
  <c r="Y20" i="8" s="1"/>
  <c r="X954" i="8"/>
  <c r="Y954" i="8"/>
  <c r="AF955" i="8" s="1"/>
  <c r="X352" i="8"/>
  <c r="Y352" i="8"/>
  <c r="AF353" i="8" s="1"/>
  <c r="X756" i="8"/>
  <c r="Y756" i="8"/>
  <c r="AF757" i="8" s="1"/>
  <c r="X832" i="8"/>
  <c r="Y832" i="8"/>
  <c r="AF833" i="8" s="1"/>
  <c r="X870" i="8"/>
  <c r="Y870" i="8"/>
  <c r="AF871" i="8" s="1"/>
  <c r="X818" i="8"/>
  <c r="Y818" i="8"/>
  <c r="AF819" i="8" s="1"/>
  <c r="X638" i="8"/>
  <c r="Y638" i="8"/>
  <c r="AF639" i="8" s="1"/>
  <c r="X138" i="8"/>
  <c r="Y138" i="8"/>
  <c r="AF139" i="8" s="1"/>
  <c r="Y78" i="8"/>
  <c r="AF79" i="8" s="1"/>
  <c r="X78" i="8"/>
  <c r="Y916" i="8"/>
  <c r="AF917" i="8" s="1"/>
  <c r="X916" i="8"/>
  <c r="Y950" i="8"/>
  <c r="AF951" i="8" s="1"/>
  <c r="X950" i="8"/>
  <c r="Y830" i="8"/>
  <c r="AF831" i="8" s="1"/>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Y678" i="8"/>
  <c r="AF679" i="8" s="1"/>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Y934" i="8"/>
  <c r="AF935" i="8" s="1"/>
  <c r="X934" i="8"/>
  <c r="Y744" i="8"/>
  <c r="AF745" i="8" s="1"/>
  <c r="X744" i="8"/>
  <c r="Y666" i="8"/>
  <c r="AF667" i="8" s="1"/>
  <c r="X666" i="8"/>
  <c r="Y634" i="8"/>
  <c r="AF635" i="8" s="1"/>
  <c r="X634" i="8"/>
  <c r="Y126" i="8"/>
  <c r="AF127" i="8" s="1"/>
  <c r="X126" i="8"/>
  <c r="Y956" i="8"/>
  <c r="AF957" i="8" s="1"/>
  <c r="X956" i="8"/>
  <c r="Y860" i="8"/>
  <c r="AF861" i="8" s="1"/>
  <c r="X860" i="8"/>
  <c r="Y804" i="8"/>
  <c r="AF805" i="8" s="1"/>
  <c r="X804" i="8"/>
  <c r="Y762" i="8"/>
  <c r="AF763" i="8" s="1"/>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Y978" i="8"/>
  <c r="AF979" i="8" s="1"/>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Y880" i="8"/>
  <c r="AF881" i="8" s="1"/>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X626" i="8"/>
  <c r="Y626" i="8"/>
  <c r="AF627" i="8" s="1"/>
  <c r="X614" i="8"/>
  <c r="Y614" i="8"/>
  <c r="AF615" i="8" s="1"/>
  <c r="X606" i="8"/>
  <c r="Y606" i="8"/>
  <c r="AF607" i="8" s="1"/>
  <c r="X598" i="8"/>
  <c r="Y598" i="8"/>
  <c r="AF599" i="8" s="1"/>
  <c r="X438" i="8"/>
  <c r="Y438" i="8"/>
  <c r="AF439" i="8" s="1"/>
  <c r="X612" i="8"/>
  <c r="Y612" i="8"/>
  <c r="AF613" i="8" s="1"/>
  <c r="X560" i="8"/>
  <c r="Y560" i="8"/>
  <c r="AF561" i="8" s="1"/>
  <c r="X400" i="8"/>
  <c r="Y400" i="8"/>
  <c r="AF401" i="8" s="1"/>
  <c r="X547" i="8"/>
  <c r="Y547" i="8"/>
  <c r="AF548" i="8" s="1"/>
  <c r="X212" i="8"/>
  <c r="Y212" i="8"/>
  <c r="AF213" i="8" s="1"/>
  <c r="X590" i="8"/>
  <c r="Y590" i="8"/>
  <c r="AF591" i="8" s="1"/>
  <c r="X582" i="8"/>
  <c r="Y582" i="8"/>
  <c r="AF583" i="8" s="1"/>
  <c r="X574" i="8"/>
  <c r="Y574" i="8"/>
  <c r="AF575" i="8" s="1"/>
  <c r="X566" i="8"/>
  <c r="Y566" i="8"/>
  <c r="AF567" i="8" s="1"/>
  <c r="X558" i="8"/>
  <c r="Y558" i="8"/>
  <c r="AF559" i="8" s="1"/>
  <c r="X554" i="8"/>
  <c r="Y554" i="8"/>
  <c r="AF555" i="8" s="1"/>
  <c r="X754" i="8"/>
  <c r="Y754" i="8"/>
  <c r="AF755" i="8" s="1"/>
  <c r="X542" i="8"/>
  <c r="Y542" i="8"/>
  <c r="AF543" i="8" s="1"/>
  <c r="X534" i="8"/>
  <c r="Y534" i="8"/>
  <c r="AF535" i="8" s="1"/>
  <c r="X526" i="8"/>
  <c r="Y526" i="8"/>
  <c r="AF527" i="8" s="1"/>
  <c r="X518" i="8"/>
  <c r="Y518" i="8"/>
  <c r="AF519" i="8" s="1"/>
  <c r="X510" i="8"/>
  <c r="Y510" i="8"/>
  <c r="AF511" i="8" s="1"/>
  <c r="X502" i="8"/>
  <c r="Y502" i="8"/>
  <c r="AF503" i="8" s="1"/>
  <c r="X494" i="8"/>
  <c r="Y494" i="8"/>
  <c r="AF495" i="8" s="1"/>
  <c r="X490" i="8"/>
  <c r="Y490" i="8"/>
  <c r="AF491" i="8" s="1"/>
  <c r="X434" i="8"/>
  <c r="Y434" i="8"/>
  <c r="AF435" i="8" s="1"/>
  <c r="X426" i="8"/>
  <c r="Y426" i="8"/>
  <c r="AF427" i="8" s="1"/>
  <c r="X418" i="8"/>
  <c r="Y418" i="8"/>
  <c r="AF419" i="8" s="1"/>
  <c r="X410" i="8"/>
  <c r="Y410" i="8"/>
  <c r="AF411" i="8" s="1"/>
  <c r="X406" i="8"/>
  <c r="Y406" i="8"/>
  <c r="AF407" i="8" s="1"/>
  <c r="Y284" i="8"/>
  <c r="AF285" i="8" s="1"/>
  <c r="X284" i="8"/>
  <c r="Y551" i="8"/>
  <c r="AF552" i="8" s="1"/>
  <c r="X551" i="8"/>
  <c r="Y180" i="8"/>
  <c r="AF181" i="8" s="1"/>
  <c r="X180" i="8"/>
  <c r="Y92" i="8"/>
  <c r="AF93" i="8" s="1"/>
  <c r="X92" i="8"/>
  <c r="X858" i="8"/>
  <c r="Y858" i="8"/>
  <c r="AF859" i="8" s="1"/>
  <c r="X850" i="8"/>
  <c r="Y850" i="8"/>
  <c r="AF851" i="8" s="1"/>
  <c r="X118" i="8"/>
  <c r="Y118" i="8"/>
  <c r="AF119" i="8" s="1"/>
  <c r="X110" i="8"/>
  <c r="Y110" i="8"/>
  <c r="AF111" i="8" s="1"/>
  <c r="X102" i="8"/>
  <c r="Y102" i="8"/>
  <c r="AF103" i="8" s="1"/>
  <c r="X94" i="8"/>
  <c r="Y94" i="8"/>
  <c r="AF95" i="8" s="1"/>
  <c r="X82" i="8"/>
  <c r="Y82" i="8"/>
  <c r="AF83" i="8" s="1"/>
  <c r="X814" i="8"/>
  <c r="Y814" i="8"/>
  <c r="AF815" i="8" s="1"/>
  <c r="Y599" i="8"/>
  <c r="AF600" i="8" s="1"/>
  <c r="X599" i="8"/>
  <c r="Y592" i="8"/>
  <c r="AF593" i="8" s="1"/>
  <c r="X592" i="8"/>
  <c r="Y144" i="8"/>
  <c r="AF145" i="8" s="1"/>
  <c r="X144" i="8"/>
  <c r="Y324" i="8"/>
  <c r="AF325" i="8" s="1"/>
  <c r="X324" i="8"/>
  <c r="Y999" i="8"/>
  <c r="AF1000" i="8" s="1"/>
  <c r="X999" i="8"/>
  <c r="Y767" i="8"/>
  <c r="AF768" i="8" s="1"/>
  <c r="X767" i="8"/>
  <c r="X392" i="8"/>
  <c r="Y392" i="8"/>
  <c r="AF393" i="8" s="1"/>
  <c r="X607" i="8"/>
  <c r="Y607" i="8"/>
  <c r="AF608" i="8" s="1"/>
  <c r="X591" i="8"/>
  <c r="Y591" i="8"/>
  <c r="AF592" i="8" s="1"/>
  <c r="X575" i="8"/>
  <c r="Y575" i="8"/>
  <c r="AF576" i="8" s="1"/>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X316" i="8"/>
  <c r="Y316" i="8"/>
  <c r="AF317" i="8" s="1"/>
  <c r="X680" i="8"/>
  <c r="Y680" i="8"/>
  <c r="AF681" i="8" s="1"/>
  <c r="X996" i="8"/>
  <c r="Y996" i="8"/>
  <c r="AF997" i="8" s="1"/>
  <c r="X660" i="8"/>
  <c r="Y660" i="8"/>
  <c r="AF661" i="8" s="1"/>
  <c r="X652" i="8"/>
  <c r="Y652" i="8"/>
  <c r="AF653" i="8" s="1"/>
  <c r="X644" i="8"/>
  <c r="Y644" i="8"/>
  <c r="AF645" i="8" s="1"/>
  <c r="X640" i="8"/>
  <c r="Y640" i="8"/>
  <c r="AF641" i="8" s="1"/>
  <c r="X608" i="8"/>
  <c r="Y608" i="8"/>
  <c r="AF609" i="8" s="1"/>
  <c r="X600" i="8"/>
  <c r="Y600" i="8"/>
  <c r="AF601" i="8" s="1"/>
  <c r="X556" i="8"/>
  <c r="Y556" i="8"/>
  <c r="AF557" i="8" s="1"/>
  <c r="X548" i="8"/>
  <c r="Y548" i="8"/>
  <c r="AF549" i="8" s="1"/>
  <c r="X540" i="8"/>
  <c r="Y540" i="8"/>
  <c r="AF541" i="8" s="1"/>
  <c r="X532" i="8"/>
  <c r="Y532" i="8"/>
  <c r="AF533" i="8" s="1"/>
  <c r="X528" i="8"/>
  <c r="Y528" i="8"/>
  <c r="AF529" i="8" s="1"/>
  <c r="X456" i="8"/>
  <c r="Y456" i="8"/>
  <c r="AF457" i="8" s="1"/>
  <c r="X448" i="8"/>
  <c r="Y448" i="8"/>
  <c r="AF449" i="8" s="1"/>
  <c r="X440" i="8"/>
  <c r="Y440" i="8"/>
  <c r="AF441" i="8" s="1"/>
  <c r="X432" i="8"/>
  <c r="Y432" i="8"/>
  <c r="AF433" i="8" s="1"/>
  <c r="X424" i="8"/>
  <c r="Y424" i="8"/>
  <c r="AF425" i="8" s="1"/>
  <c r="X396" i="8"/>
  <c r="Y396" i="8"/>
  <c r="AF397" i="8" s="1"/>
  <c r="X388" i="8"/>
  <c r="Y388" i="8"/>
  <c r="AF389" i="8" s="1"/>
  <c r="X380" i="8"/>
  <c r="Y380" i="8"/>
  <c r="AF381" i="8" s="1"/>
  <c r="X372" i="8"/>
  <c r="Y372" i="8"/>
  <c r="AF373" i="8" s="1"/>
  <c r="X364" i="8"/>
  <c r="Y364" i="8"/>
  <c r="AF365" i="8" s="1"/>
  <c r="X356" i="8"/>
  <c r="Y356" i="8"/>
  <c r="AF357" i="8" s="1"/>
  <c r="X735" i="8"/>
  <c r="Y735" i="8"/>
  <c r="AF736" i="8" s="1"/>
  <c r="X961" i="8"/>
  <c r="Y961" i="8"/>
  <c r="AF962" i="8" s="1"/>
  <c r="X933" i="8"/>
  <c r="Y933" i="8"/>
  <c r="AF934" i="8" s="1"/>
  <c r="X925" i="8"/>
  <c r="Y925" i="8"/>
  <c r="AF926" i="8" s="1"/>
  <c r="X917" i="8"/>
  <c r="Y917" i="8"/>
  <c r="AF918" i="8" s="1"/>
  <c r="X909" i="8"/>
  <c r="Y909" i="8"/>
  <c r="AF910" i="8" s="1"/>
  <c r="X739" i="8"/>
  <c r="Y739" i="8"/>
  <c r="AF740" i="8" s="1"/>
  <c r="X707" i="8"/>
  <c r="Y707" i="8"/>
  <c r="AF708" i="8" s="1"/>
  <c r="X675" i="8"/>
  <c r="Y675" i="8"/>
  <c r="AF676" i="8" s="1"/>
  <c r="X643" i="8"/>
  <c r="Y643" i="8"/>
  <c r="AF644" i="8" s="1"/>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s="1"/>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s="1"/>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s="1"/>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s="1"/>
  <c r="X11" i="8"/>
  <c r="Y11" i="8" s="1"/>
  <c r="X486" i="8"/>
  <c r="Y486" i="8"/>
  <c r="AF487" i="8" s="1"/>
  <c r="X478" i="8"/>
  <c r="Y478" i="8"/>
  <c r="AF479" i="8" s="1"/>
  <c r="X470" i="8"/>
  <c r="Y470" i="8"/>
  <c r="AF471" i="8" s="1"/>
  <c r="X462" i="8"/>
  <c r="Y462" i="8"/>
  <c r="AF463" i="8" s="1"/>
  <c r="X454" i="8"/>
  <c r="Y454" i="8"/>
  <c r="AF455" i="8" s="1"/>
  <c r="X446" i="8"/>
  <c r="Y446" i="8"/>
  <c r="AF447" i="8" s="1"/>
  <c r="X402" i="8"/>
  <c r="Y402" i="8"/>
  <c r="AF403" i="8" s="1"/>
  <c r="X394" i="8"/>
  <c r="Y394" i="8"/>
  <c r="AF395" i="8" s="1"/>
  <c r="X386" i="8"/>
  <c r="Y386" i="8"/>
  <c r="AF387" i="8" s="1"/>
  <c r="X378" i="8"/>
  <c r="Y378" i="8"/>
  <c r="AF379" i="8" s="1"/>
  <c r="X370" i="8"/>
  <c r="Y370" i="8"/>
  <c r="AF371" i="8" s="1"/>
  <c r="X362" i="8"/>
  <c r="Y362" i="8"/>
  <c r="AF363" i="8" s="1"/>
  <c r="X354" i="8"/>
  <c r="Y354" i="8"/>
  <c r="AF355" i="8" s="1"/>
  <c r="X346" i="8"/>
  <c r="Y346" i="8"/>
  <c r="AF347" i="8" s="1"/>
  <c r="X338" i="8"/>
  <c r="Y338" i="8"/>
  <c r="AF339" i="8" s="1"/>
  <c r="X330" i="8"/>
  <c r="Y330" i="8"/>
  <c r="AF331" i="8" s="1"/>
  <c r="X322" i="8"/>
  <c r="Y322" i="8"/>
  <c r="AF323" i="8" s="1"/>
  <c r="X314" i="8"/>
  <c r="Y314" i="8"/>
  <c r="AF315" i="8" s="1"/>
  <c r="X306" i="8"/>
  <c r="Y306" i="8"/>
  <c r="AF307" i="8" s="1"/>
  <c r="X298" i="8"/>
  <c r="Y298" i="8"/>
  <c r="AF299" i="8" s="1"/>
  <c r="X720" i="8"/>
  <c r="Y720" i="8"/>
  <c r="AF721" i="8" s="1"/>
  <c r="X728" i="8"/>
  <c r="Y728" i="8"/>
  <c r="AF729" i="8" s="1"/>
  <c r="X712" i="8"/>
  <c r="Y712" i="8"/>
  <c r="AF713" i="8" s="1"/>
  <c r="X636" i="8"/>
  <c r="Y636" i="8"/>
  <c r="AF637" i="8" s="1"/>
  <c r="X628" i="8"/>
  <c r="Y628" i="8"/>
  <c r="AF629" i="8" s="1"/>
  <c r="X620" i="8"/>
  <c r="Y620" i="8"/>
  <c r="AF621" i="8" s="1"/>
  <c r="X584" i="8"/>
  <c r="Y584" i="8"/>
  <c r="AF585" i="8" s="1"/>
  <c r="X576" i="8"/>
  <c r="Y576" i="8"/>
  <c r="AF577" i="8" s="1"/>
  <c r="X568" i="8"/>
  <c r="Y568" i="8"/>
  <c r="AF569" i="8" s="1"/>
  <c r="X524" i="8"/>
  <c r="Y524" i="8"/>
  <c r="AF525" i="8" s="1"/>
  <c r="X516" i="8"/>
  <c r="Y516" i="8"/>
  <c r="AF517" i="8" s="1"/>
  <c r="X508" i="8"/>
  <c r="Y508" i="8"/>
  <c r="AF509" i="8" s="1"/>
  <c r="X500" i="8"/>
  <c r="Y500" i="8"/>
  <c r="AF501" i="8" s="1"/>
  <c r="X492" i="8"/>
  <c r="Y492" i="8"/>
  <c r="AF493" i="8" s="1"/>
  <c r="X484" i="8"/>
  <c r="Y484" i="8"/>
  <c r="AF485" i="8" s="1"/>
  <c r="X476" i="8"/>
  <c r="Y476" i="8"/>
  <c r="AF477" i="8" s="1"/>
  <c r="X468" i="8"/>
  <c r="Y468" i="8"/>
  <c r="AF469" i="8" s="1"/>
  <c r="X464" i="8"/>
  <c r="Y464" i="8"/>
  <c r="AF465" i="8" s="1"/>
  <c r="X408" i="8"/>
  <c r="Y408" i="8"/>
  <c r="AF409" i="8" s="1"/>
  <c r="X945" i="8"/>
  <c r="Y945" i="8"/>
  <c r="AF946" i="8" s="1"/>
  <c r="X937" i="8"/>
  <c r="Y937" i="8"/>
  <c r="AF938" i="8" s="1"/>
  <c r="X623" i="8"/>
  <c r="Y623" i="8"/>
  <c r="AF624" i="8" s="1"/>
  <c r="X615" i="8"/>
  <c r="Y615" i="8"/>
  <c r="AF616" i="8" s="1"/>
  <c r="Y68" i="8"/>
  <c r="AF69" i="8" s="1"/>
  <c r="X68" i="8"/>
  <c r="Y459" i="8"/>
  <c r="AF460" i="8" s="1"/>
  <c r="X459" i="8"/>
  <c r="Y423" i="8"/>
  <c r="AF424" i="8" s="1"/>
  <c r="X423" i="8"/>
  <c r="X300" i="8"/>
  <c r="Y300" i="8"/>
  <c r="AF301" i="8" s="1"/>
  <c r="X292" i="8"/>
  <c r="Y292" i="8"/>
  <c r="AF293" i="8" s="1"/>
  <c r="X328" i="8"/>
  <c r="Y328" i="8"/>
  <c r="AF329" i="8" s="1"/>
  <c r="X276" i="8"/>
  <c r="Y276" i="8"/>
  <c r="AF277" i="8" s="1"/>
  <c r="X383" i="8"/>
  <c r="Y383" i="8"/>
  <c r="AF384" i="8" s="1"/>
  <c r="X987" i="8"/>
  <c r="Y987" i="8"/>
  <c r="AF988" i="8" s="1"/>
  <c r="X979" i="8"/>
  <c r="Y979" i="8"/>
  <c r="AF980" i="8" s="1"/>
  <c r="X971" i="8"/>
  <c r="Y971" i="8"/>
  <c r="AF972" i="8" s="1"/>
  <c r="X959" i="8"/>
  <c r="Y959" i="8"/>
  <c r="AF960" i="8" s="1"/>
  <c r="X947" i="8"/>
  <c r="Y947" i="8"/>
  <c r="AF948" i="8" s="1"/>
  <c r="X939" i="8"/>
  <c r="Y939" i="8"/>
  <c r="AF940" i="8" s="1"/>
  <c r="X931" i="8"/>
  <c r="Y931" i="8"/>
  <c r="AF932" i="8" s="1"/>
  <c r="X923" i="8"/>
  <c r="Y923" i="8"/>
  <c r="AF924" i="8" s="1"/>
  <c r="X915" i="8"/>
  <c r="Y915" i="8"/>
  <c r="AF916" i="8" s="1"/>
  <c r="X907" i="8"/>
  <c r="Y907" i="8"/>
  <c r="AF908" i="8" s="1"/>
  <c r="X899" i="8"/>
  <c r="Y899" i="8"/>
  <c r="AF900" i="8" s="1"/>
  <c r="X883" i="8"/>
  <c r="Y883" i="8"/>
  <c r="AF884" i="8" s="1"/>
  <c r="X875" i="8"/>
  <c r="Y875" i="8"/>
  <c r="AF876" i="8" s="1"/>
  <c r="X272" i="8"/>
  <c r="Y272" i="8"/>
  <c r="AF273" i="8" s="1"/>
  <c r="X80" i="8"/>
  <c r="Y80" i="8"/>
  <c r="AF81" i="8" s="1"/>
  <c r="X687" i="8"/>
  <c r="Y687" i="8"/>
  <c r="AF688" i="8" s="1"/>
  <c r="X655" i="8"/>
  <c r="Y655" i="8"/>
  <c r="AF656" i="8" s="1"/>
  <c r="X967" i="8"/>
  <c r="Y967" i="8"/>
  <c r="AF968" i="8" s="1"/>
  <c r="X981" i="8"/>
  <c r="Y981" i="8"/>
  <c r="AF982" i="8" s="1"/>
  <c r="X973" i="8"/>
  <c r="Y973" i="8"/>
  <c r="AF974" i="8" s="1"/>
  <c r="X965" i="8"/>
  <c r="Y965" i="8"/>
  <c r="AF966" i="8" s="1"/>
  <c r="X72" i="8"/>
  <c r="Y72" i="8"/>
  <c r="AF73" i="8" s="1"/>
  <c r="X64" i="8"/>
  <c r="Y64" i="8"/>
  <c r="AF65" i="8" s="1"/>
  <c r="X48" i="8"/>
  <c r="Y48" i="8"/>
  <c r="AF49" i="8" s="1"/>
  <c r="X32" i="8"/>
  <c r="Y32" i="8"/>
  <c r="AF33" i="8" s="1"/>
  <c r="X16" i="8"/>
  <c r="Y16" i="8" s="1"/>
  <c r="X991" i="8"/>
  <c r="Y991" i="8"/>
  <c r="AF992" i="8" s="1"/>
  <c r="X407" i="8"/>
  <c r="Y407" i="8"/>
  <c r="AF408" i="8" s="1"/>
  <c r="X871" i="8"/>
  <c r="Y871" i="8"/>
  <c r="AF872" i="8" s="1"/>
  <c r="X863" i="8"/>
  <c r="Y863" i="8"/>
  <c r="AF864" i="8" s="1"/>
  <c r="X855" i="8"/>
  <c r="Y855" i="8"/>
  <c r="AF856" i="8" s="1"/>
  <c r="X847" i="8"/>
  <c r="Y847" i="8"/>
  <c r="AF848" i="8" s="1"/>
  <c r="X839" i="8"/>
  <c r="Y839" i="8"/>
  <c r="AF840" i="8" s="1"/>
  <c r="X831" i="8"/>
  <c r="Y831" i="8"/>
  <c r="AF832" i="8" s="1"/>
  <c r="X823" i="8"/>
  <c r="Y823" i="8"/>
  <c r="AF824" i="8" s="1"/>
  <c r="X815" i="8"/>
  <c r="Y815" i="8"/>
  <c r="AF816" i="8" s="1"/>
  <c r="X807" i="8"/>
  <c r="Y807" i="8"/>
  <c r="AF808" i="8" s="1"/>
  <c r="X799" i="8"/>
  <c r="Y799" i="8"/>
  <c r="AF800" i="8" s="1"/>
  <c r="X791" i="8"/>
  <c r="Y791" i="8"/>
  <c r="AF792" i="8" s="1"/>
  <c r="X779" i="8"/>
  <c r="Y779" i="8"/>
  <c r="AF780" i="8" s="1"/>
  <c r="X771" i="8"/>
  <c r="Y771" i="8"/>
  <c r="AF772" i="8" s="1"/>
  <c r="X763" i="8"/>
  <c r="Y763" i="8"/>
  <c r="AF764" i="8" s="1"/>
  <c r="X755" i="8"/>
  <c r="Y755" i="8"/>
  <c r="AF756" i="8" s="1"/>
  <c r="X864" i="8"/>
  <c r="Y864" i="8"/>
  <c r="AF865" i="8" s="1"/>
  <c r="X724" i="8"/>
  <c r="Y724" i="8"/>
  <c r="AF725" i="8" s="1"/>
  <c r="X692" i="8"/>
  <c r="Y692" i="8"/>
  <c r="AF693" i="8" s="1"/>
  <c r="X732" i="8"/>
  <c r="Y732" i="8"/>
  <c r="AF733" i="8" s="1"/>
  <c r="X700" i="8"/>
  <c r="Y700" i="8"/>
  <c r="AF701" i="8" s="1"/>
  <c r="X668" i="8"/>
  <c r="Y668" i="8"/>
  <c r="AF669" i="8" s="1"/>
  <c r="X731" i="8"/>
  <c r="Y731" i="8"/>
  <c r="AF732" i="8" s="1"/>
  <c r="X699" i="8"/>
  <c r="Y699" i="8"/>
  <c r="AF700" i="8" s="1"/>
  <c r="X667" i="8"/>
  <c r="Y667" i="8"/>
  <c r="AF668" i="8" s="1"/>
  <c r="X635" i="8"/>
  <c r="Y635" i="8"/>
  <c r="AF636" i="8" s="1"/>
  <c r="X897" i="8"/>
  <c r="Y897" i="8"/>
  <c r="AF898" i="8" s="1"/>
  <c r="X889" i="8"/>
  <c r="Y889" i="8"/>
  <c r="AF890" i="8" s="1"/>
  <c r="X881" i="8"/>
  <c r="Y881" i="8"/>
  <c r="AF882" i="8" s="1"/>
  <c r="X873" i="8"/>
  <c r="Y873" i="8"/>
  <c r="AF874" i="8" s="1"/>
  <c r="X865" i="8"/>
  <c r="Y865" i="8"/>
  <c r="AF866" i="8" s="1"/>
  <c r="X857" i="8"/>
  <c r="Y857" i="8"/>
  <c r="AF858" i="8" s="1"/>
  <c r="X849" i="8"/>
  <c r="Y849" i="8"/>
  <c r="AF850" i="8" s="1"/>
  <c r="X641" i="8"/>
  <c r="Y641" i="8"/>
  <c r="AF642" i="8" s="1"/>
  <c r="X633" i="8"/>
  <c r="Y633" i="8"/>
  <c r="AF634" i="8" s="1"/>
  <c r="X625" i="8"/>
  <c r="Y625" i="8"/>
  <c r="AF626" i="8" s="1"/>
  <c r="X617" i="8"/>
  <c r="Y617" i="8"/>
  <c r="AF618" i="8" s="1"/>
  <c r="X609" i="8"/>
  <c r="Y609" i="8"/>
  <c r="AF610" i="8" s="1"/>
  <c r="X601" i="8"/>
  <c r="Y601" i="8"/>
  <c r="AF602" i="8" s="1"/>
  <c r="X593" i="8"/>
  <c r="Y593" i="8"/>
  <c r="AF594" i="8" s="1"/>
  <c r="X585" i="8"/>
  <c r="Y585" i="8"/>
  <c r="AF586" i="8" s="1"/>
  <c r="X577" i="8"/>
  <c r="Y577" i="8"/>
  <c r="AF578" i="8" s="1"/>
  <c r="X569" i="8"/>
  <c r="Y569" i="8"/>
  <c r="AF570" i="8" s="1"/>
  <c r="X561" i="8"/>
  <c r="Y561" i="8"/>
  <c r="AF562" i="8" s="1"/>
  <c r="X553" i="8"/>
  <c r="Y553" i="8"/>
  <c r="AF554" i="8" s="1"/>
  <c r="X545" i="8"/>
  <c r="Y545" i="8"/>
  <c r="AF546" i="8" s="1"/>
  <c r="X537" i="8"/>
  <c r="Y537" i="8"/>
  <c r="AF538" i="8" s="1"/>
  <c r="X529" i="8"/>
  <c r="Y529" i="8"/>
  <c r="AF530" i="8" s="1"/>
  <c r="X521" i="8"/>
  <c r="Y521" i="8"/>
  <c r="AF522" i="8" s="1"/>
  <c r="X513" i="8"/>
  <c r="Y513" i="8"/>
  <c r="AF514" i="8" s="1"/>
  <c r="X501" i="8"/>
  <c r="Y501" i="8"/>
  <c r="AF502" i="8" s="1"/>
  <c r="X493" i="8"/>
  <c r="Y493" i="8"/>
  <c r="AF494" i="8" s="1"/>
  <c r="X485" i="8"/>
  <c r="Y485" i="8"/>
  <c r="AF486" i="8" s="1"/>
  <c r="Y969" i="8"/>
  <c r="AF970" i="8" s="1"/>
  <c r="X969" i="8"/>
  <c r="Y44" i="8"/>
  <c r="AF45" i="8" s="1"/>
  <c r="X44" i="8"/>
  <c r="Y399" i="8"/>
  <c r="AF400" i="8" s="1"/>
  <c r="X399" i="8"/>
  <c r="X993" i="8"/>
  <c r="Y993" i="8"/>
  <c r="AF994" i="8" s="1"/>
  <c r="X84" i="8"/>
  <c r="Y84" i="8"/>
  <c r="AF85" i="8" s="1"/>
  <c r="X989" i="8"/>
  <c r="Y989" i="8"/>
  <c r="AF990" i="8" s="1"/>
  <c r="X783" i="8"/>
  <c r="Y783" i="8"/>
  <c r="AF784" i="8" s="1"/>
  <c r="X447" i="8"/>
  <c r="Y447" i="8"/>
  <c r="AF448" i="8" s="1"/>
  <c r="X299" i="8"/>
  <c r="Y299" i="8"/>
  <c r="AF300" i="8" s="1"/>
  <c r="X167" i="8"/>
  <c r="Y167" i="8"/>
  <c r="AF168" i="8" s="1"/>
  <c r="X148" i="8"/>
  <c r="Y148" i="8"/>
  <c r="AF149" i="8" s="1"/>
  <c r="X375" i="8"/>
  <c r="Y375" i="8"/>
  <c r="AF376" i="8" s="1"/>
  <c r="X88" i="8"/>
  <c r="Y88" i="8"/>
  <c r="AF89" i="8" s="1"/>
  <c r="X671" i="8"/>
  <c r="Y671" i="8"/>
  <c r="AF672" i="8" s="1"/>
  <c r="X639" i="8"/>
  <c r="Y639" i="8"/>
  <c r="AF640" i="8"/>
  <c r="X997" i="8"/>
  <c r="Y997" i="8"/>
  <c r="AF998" i="8" s="1"/>
  <c r="X495" i="8"/>
  <c r="Y495" i="8"/>
  <c r="AF496" i="8" s="1"/>
  <c r="X867" i="8"/>
  <c r="Y867" i="8"/>
  <c r="AF868" i="8" s="1"/>
  <c r="X859" i="8"/>
  <c r="Y859" i="8"/>
  <c r="AF860" i="8" s="1"/>
  <c r="Y76" i="8"/>
  <c r="AF77" i="8" s="1"/>
  <c r="X76" i="8"/>
  <c r="X28" i="8"/>
  <c r="Y28" i="8" s="1"/>
  <c r="Y775" i="8"/>
  <c r="AF776" i="8" s="1"/>
  <c r="X775" i="8"/>
  <c r="Y477" i="8"/>
  <c r="AF478" i="8" s="1"/>
  <c r="X477" i="8"/>
  <c r="Y469" i="8"/>
  <c r="AF470" i="8" s="1"/>
  <c r="X469" i="8"/>
  <c r="Y461" i="8"/>
  <c r="AF462" i="8" s="1"/>
  <c r="X461" i="8"/>
  <c r="Y453" i="8"/>
  <c r="AF454" i="8" s="1"/>
  <c r="X453" i="8"/>
  <c r="Y437" i="8"/>
  <c r="AF438" i="8" s="1"/>
  <c r="X437" i="8"/>
  <c r="Y429" i="8"/>
  <c r="AF430" i="8" s="1"/>
  <c r="X429" i="8"/>
  <c r="Y491" i="8"/>
  <c r="AF492" i="8" s="1"/>
  <c r="X491" i="8"/>
  <c r="Y483" i="8"/>
  <c r="AF484" i="8" s="1"/>
  <c r="X483" i="8"/>
  <c r="Y475" i="8"/>
  <c r="AF476" i="8" s="1"/>
  <c r="X475" i="8"/>
  <c r="Y467" i="8"/>
  <c r="AF468" i="8" s="1"/>
  <c r="X467" i="8"/>
  <c r="Y455" i="8"/>
  <c r="AF456" i="8" s="1"/>
  <c r="X455" i="8"/>
  <c r="Y443" i="8"/>
  <c r="AF444" i="8" s="1"/>
  <c r="X443" i="8"/>
  <c r="Y435" i="8"/>
  <c r="AF436" i="8" s="1"/>
  <c r="X435" i="8"/>
  <c r="Y427" i="8"/>
  <c r="AF428" i="8" s="1"/>
  <c r="X427" i="8"/>
  <c r="Y62" i="8"/>
  <c r="AF63" i="8" s="1"/>
  <c r="X62" i="8"/>
  <c r="Y54" i="8"/>
  <c r="AF55" i="8" s="1"/>
  <c r="X54" i="8"/>
  <c r="Y46" i="8"/>
  <c r="AF47" i="8" s="1"/>
  <c r="X46" i="8"/>
  <c r="Y38" i="8"/>
  <c r="AF39" i="8" s="1"/>
  <c r="X38" i="8"/>
  <c r="Y743" i="8"/>
  <c r="AF744" i="8" s="1"/>
  <c r="X743" i="8"/>
  <c r="Y26" i="8"/>
  <c r="X26" i="8"/>
  <c r="Y51" i="8"/>
  <c r="AF52" i="8" s="1"/>
  <c r="X51" i="8"/>
  <c r="Y415" i="8"/>
  <c r="AF416" i="8" s="1"/>
  <c r="X415" i="8"/>
  <c r="Y395" i="8"/>
  <c r="AF396" i="8" s="1"/>
  <c r="X395" i="8"/>
  <c r="Y379" i="8"/>
  <c r="AF380" i="8" s="1"/>
  <c r="X379" i="8"/>
  <c r="Y367" i="8"/>
  <c r="AF368" i="8" s="1"/>
  <c r="X367" i="8"/>
  <c r="Y355" i="8"/>
  <c r="AF356" i="8" s="1"/>
  <c r="X355" i="8"/>
  <c r="Y347" i="8"/>
  <c r="AF348" i="8" s="1"/>
  <c r="X347" i="8"/>
  <c r="Y339" i="8"/>
  <c r="AF340" i="8" s="1"/>
  <c r="X339" i="8"/>
  <c r="Y331" i="8"/>
  <c r="AF332" i="8" s="1"/>
  <c r="X331" i="8"/>
  <c r="Y323" i="8"/>
  <c r="AF324" i="8" s="1"/>
  <c r="X323" i="8"/>
  <c r="Y315" i="8"/>
  <c r="AF316" i="8" s="1"/>
  <c r="X315" i="8"/>
  <c r="Y307" i="8"/>
  <c r="AF308" i="8" s="1"/>
  <c r="X307" i="8"/>
  <c r="Y295" i="8"/>
  <c r="AF296" i="8" s="1"/>
  <c r="X295" i="8"/>
  <c r="Y287" i="8"/>
  <c r="AF288" i="8" s="1"/>
  <c r="X287" i="8"/>
  <c r="Y275" i="8"/>
  <c r="AF276" i="8" s="1"/>
  <c r="X275" i="8"/>
  <c r="Y259" i="8"/>
  <c r="AF260" i="8" s="1"/>
  <c r="X259" i="8"/>
  <c r="Y251" i="8"/>
  <c r="AF252" i="8" s="1"/>
  <c r="X251" i="8"/>
  <c r="Y243" i="8"/>
  <c r="AF244" i="8" s="1"/>
  <c r="X243" i="8"/>
  <c r="Y235" i="8"/>
  <c r="AF236" i="8" s="1"/>
  <c r="X235" i="8"/>
  <c r="Y223" i="8"/>
  <c r="AF224" i="8" s="1"/>
  <c r="X223" i="8"/>
  <c r="Y215" i="8"/>
  <c r="AF216" i="8" s="1"/>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Y120" i="8"/>
  <c r="AF121" i="8" s="1"/>
  <c r="X120" i="8"/>
  <c r="Y112" i="8"/>
  <c r="AF113" i="8" s="1"/>
  <c r="X112" i="8"/>
  <c r="Y104" i="8"/>
  <c r="AF105" i="8" s="1"/>
  <c r="X104" i="8"/>
  <c r="Y96" i="8"/>
  <c r="AF97" i="8" s="1"/>
  <c r="X96" i="8"/>
  <c r="Y348" i="8"/>
  <c r="AF349" i="8" s="1"/>
  <c r="X348" i="8"/>
  <c r="Y320" i="8"/>
  <c r="AF321" i="8" s="1"/>
  <c r="X320" i="8"/>
  <c r="Y312" i="8"/>
  <c r="AF313" i="8" s="1"/>
  <c r="X312" i="8"/>
  <c r="Y304" i="8"/>
  <c r="AF305" i="8" s="1"/>
  <c r="X304" i="8"/>
  <c r="Y296" i="8"/>
  <c r="AF297" i="8" s="1"/>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Y335" i="8"/>
  <c r="AF336" i="8" s="1"/>
  <c r="X335" i="8"/>
  <c r="Y203" i="8"/>
  <c r="AF204" i="8" s="1"/>
  <c r="X203" i="8"/>
  <c r="X4" i="8"/>
  <c r="Y4" i="8" s="1"/>
  <c r="X1001" i="8"/>
  <c r="Y1001" i="8"/>
  <c r="X5" i="8"/>
  <c r="Y5" i="8" s="1"/>
  <c r="AC5" i="8" s="1"/>
  <c r="X217" i="8"/>
  <c r="Y217" i="8"/>
  <c r="AF218" i="8" s="1"/>
  <c r="X209" i="8"/>
  <c r="Y209" i="8"/>
  <c r="AF210" i="8" s="1"/>
  <c r="X201" i="8"/>
  <c r="Y201" i="8"/>
  <c r="AF202" i="8" s="1"/>
  <c r="X193" i="8"/>
  <c r="Y193" i="8"/>
  <c r="AF194" i="8" s="1"/>
  <c r="X695" i="8"/>
  <c r="Y695" i="8"/>
  <c r="AF696" i="8" s="1"/>
  <c r="X711" i="8"/>
  <c r="Y711" i="8"/>
  <c r="AF712" i="8" s="1"/>
  <c r="X30" i="8"/>
  <c r="Y30" i="8" s="1"/>
  <c r="X727" i="8"/>
  <c r="Y727" i="8"/>
  <c r="AF728" i="8" s="1"/>
  <c r="X821" i="8"/>
  <c r="Y821" i="8"/>
  <c r="AF822" i="8" s="1"/>
  <c r="X789" i="8"/>
  <c r="Y789" i="8"/>
  <c r="AF790" i="8" s="1"/>
  <c r="X757" i="8"/>
  <c r="Y757" i="8"/>
  <c r="AF758" i="8" s="1"/>
  <c r="X663" i="8"/>
  <c r="Y663" i="8"/>
  <c r="AF664" i="8" s="1"/>
  <c r="X825" i="8"/>
  <c r="Y825" i="8"/>
  <c r="AF826" i="8" s="1"/>
  <c r="X793" i="8"/>
  <c r="Y793" i="8"/>
  <c r="AF794" i="8" s="1"/>
  <c r="X745" i="8"/>
  <c r="Y745" i="8"/>
  <c r="AF746" i="8" s="1"/>
  <c r="X697" i="8"/>
  <c r="Y697" i="8"/>
  <c r="AF698" i="8" s="1"/>
  <c r="X649" i="8"/>
  <c r="Y649" i="8"/>
  <c r="AF650" i="8" s="1"/>
  <c r="X833" i="8"/>
  <c r="Y833" i="8"/>
  <c r="AF834" i="8" s="1"/>
  <c r="X801" i="8"/>
  <c r="Y801" i="8"/>
  <c r="AF802" i="8" s="1"/>
  <c r="X769" i="8"/>
  <c r="Y769" i="8"/>
  <c r="AF770" i="8" s="1"/>
  <c r="X737" i="8"/>
  <c r="Y737" i="8"/>
  <c r="AF738" i="8" s="1"/>
  <c r="X705" i="8"/>
  <c r="Y705" i="8"/>
  <c r="AF706" i="8" s="1"/>
  <c r="X69" i="8"/>
  <c r="Y69" i="8"/>
  <c r="AF70" i="8" s="1"/>
  <c r="X665" i="8"/>
  <c r="Y665" i="8"/>
  <c r="AF666" i="8" s="1"/>
  <c r="X159" i="8"/>
  <c r="Y159" i="8"/>
  <c r="AF160" i="8" s="1"/>
  <c r="X139" i="8"/>
  <c r="Y139" i="8"/>
  <c r="AF140" i="8" s="1"/>
  <c r="X99" i="8"/>
  <c r="Y99" i="8"/>
  <c r="AF100" i="8" s="1"/>
  <c r="X91" i="8"/>
  <c r="Y91" i="8"/>
  <c r="AF92" i="8" s="1"/>
  <c r="X83" i="8"/>
  <c r="Y83" i="8"/>
  <c r="AF84" i="8" s="1"/>
  <c r="X75" i="8"/>
  <c r="Y75" i="8"/>
  <c r="AF76" i="8" s="1"/>
  <c r="X15" i="8"/>
  <c r="Y15" i="8"/>
  <c r="X421" i="8"/>
  <c r="Y421" i="8"/>
  <c r="AF422" i="8" s="1"/>
  <c r="X413" i="8"/>
  <c r="Y413" i="8"/>
  <c r="AF414" i="8" s="1"/>
  <c r="X405" i="8"/>
  <c r="Y405" i="8"/>
  <c r="AF406" i="8" s="1"/>
  <c r="X397" i="8"/>
  <c r="Y397" i="8"/>
  <c r="AF398" i="8" s="1"/>
  <c r="X345" i="8"/>
  <c r="Y345" i="8"/>
  <c r="AF346" i="8" s="1"/>
  <c r="X337" i="8"/>
  <c r="Y337" i="8"/>
  <c r="AF338" i="8" s="1"/>
  <c r="X329" i="8"/>
  <c r="Y329" i="8"/>
  <c r="AF330" i="8" s="1"/>
  <c r="X321" i="8"/>
  <c r="Y321" i="8"/>
  <c r="AF322" i="8" s="1"/>
  <c r="X277" i="8"/>
  <c r="Y277" i="8"/>
  <c r="AF278" i="8" s="1"/>
  <c r="X269" i="8"/>
  <c r="Y269" i="8"/>
  <c r="AF270" i="8" s="1"/>
  <c r="X261" i="8"/>
  <c r="Y261" i="8"/>
  <c r="AF262" i="8" s="1"/>
  <c r="X253" i="8"/>
  <c r="Y253" i="8"/>
  <c r="AF254" i="8" s="1"/>
  <c r="X185" i="8"/>
  <c r="Y185" i="8"/>
  <c r="AF186" i="8" s="1"/>
  <c r="X177" i="8"/>
  <c r="Y177" i="8"/>
  <c r="AF178" i="8" s="1"/>
  <c r="X169" i="8"/>
  <c r="Y169" i="8"/>
  <c r="AF170" i="8" s="1"/>
  <c r="X161" i="8"/>
  <c r="Y161" i="8"/>
  <c r="AF162" i="8" s="1"/>
  <c r="X153" i="8"/>
  <c r="Y153" i="8"/>
  <c r="AF154" i="8" s="1"/>
  <c r="X145" i="8"/>
  <c r="Y145" i="8"/>
  <c r="AF146" i="8" s="1"/>
  <c r="X137" i="8"/>
  <c r="Y137" i="8"/>
  <c r="AF138" i="8" s="1"/>
  <c r="X129" i="8"/>
  <c r="Y129" i="8"/>
  <c r="AF130" i="8" s="1"/>
  <c r="X693" i="8"/>
  <c r="Y693" i="8"/>
  <c r="AF694" i="8" s="1"/>
  <c r="X661" i="8"/>
  <c r="Y661" i="8"/>
  <c r="AF662" i="8" s="1"/>
  <c r="X73" i="8"/>
  <c r="Y73" i="8"/>
  <c r="AF74" i="8" s="1"/>
  <c r="X61" i="8"/>
  <c r="Y61" i="8"/>
  <c r="AF62" i="8" s="1"/>
  <c r="X53" i="8"/>
  <c r="Y53" i="8"/>
  <c r="AF54" i="8" s="1"/>
  <c r="X45" i="8"/>
  <c r="Y45" i="8"/>
  <c r="AF46" i="8" s="1"/>
  <c r="X37" i="8"/>
  <c r="Y37" i="8"/>
  <c r="AF38" i="8" s="1"/>
  <c r="X29" i="8"/>
  <c r="Y29" i="8"/>
  <c r="X21" i="8"/>
  <c r="Y21" i="8" s="1"/>
  <c r="X845" i="8"/>
  <c r="Y845" i="8"/>
  <c r="AF846" i="8" s="1"/>
  <c r="X813" i="8"/>
  <c r="Y813" i="8"/>
  <c r="AF814" i="8" s="1"/>
  <c r="X781" i="8"/>
  <c r="Y781" i="8"/>
  <c r="AF782" i="8" s="1"/>
  <c r="X749" i="8"/>
  <c r="Y749" i="8"/>
  <c r="AF750" i="8" s="1"/>
  <c r="X717" i="8"/>
  <c r="Y717" i="8"/>
  <c r="AF718" i="8" s="1"/>
  <c r="X685" i="8"/>
  <c r="Y685" i="8"/>
  <c r="AF686" i="8" s="1"/>
  <c r="X653" i="8"/>
  <c r="Y653" i="8"/>
  <c r="AF654" i="8" s="1"/>
  <c r="X105" i="8"/>
  <c r="Y105" i="8"/>
  <c r="AF106" i="8" s="1"/>
  <c r="X657" i="8"/>
  <c r="Y657" i="8"/>
  <c r="AF658" i="8" s="1"/>
  <c r="X267" i="8"/>
  <c r="Y267" i="8"/>
  <c r="AF268" i="8" s="1"/>
  <c r="X103" i="8"/>
  <c r="Y103" i="8"/>
  <c r="AF104" i="8" s="1"/>
  <c r="X349" i="8"/>
  <c r="Y349" i="8"/>
  <c r="AF350" i="8" s="1"/>
  <c r="X189" i="8"/>
  <c r="Y189" i="8"/>
  <c r="AF190" i="8" s="1"/>
  <c r="AF25" i="8" l="1"/>
  <c r="AC24" i="8"/>
  <c r="AF21" i="8"/>
  <c r="AC20" i="8"/>
  <c r="AF17" i="8"/>
  <c r="AC16" i="8"/>
  <c r="AF29" i="8"/>
  <c r="AC28" i="8"/>
  <c r="AF22" i="8"/>
  <c r="AC21" i="8"/>
  <c r="AF31" i="8"/>
  <c r="AC30" i="8"/>
  <c r="AF30" i="8"/>
  <c r="AC29" i="8"/>
  <c r="AF16" i="8"/>
  <c r="AC15" i="8"/>
  <c r="AF27" i="8"/>
  <c r="AC26" i="8"/>
  <c r="AC9" i="8"/>
  <c r="AF10" i="8"/>
  <c r="AF6" i="8"/>
  <c r="AC4" i="8"/>
  <c r="AF5" i="8"/>
  <c r="AC11" i="8"/>
  <c r="AF12" i="8"/>
  <c r="AF14" i="8"/>
  <c r="AC13" i="8"/>
  <c r="Y800" i="8"/>
  <c r="AF801" i="8" s="1"/>
  <c r="X800" i="8"/>
  <c r="Y716" i="8"/>
  <c r="AF717" i="8" s="1"/>
  <c r="X716" i="8"/>
  <c r="Y715" i="8"/>
  <c r="AF716" i="8" s="1"/>
  <c r="X715" i="8"/>
  <c r="Y901" i="8"/>
  <c r="AF902" i="8" s="1"/>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Y291" i="8"/>
  <c r="AF292" i="8" s="1"/>
  <c r="X291" i="8"/>
  <c r="Y227" i="8"/>
  <c r="AF228" i="8" s="1"/>
  <c r="X227" i="8"/>
  <c r="Y164" i="8"/>
  <c r="AF165" i="8" s="1"/>
  <c r="X164" i="8"/>
  <c r="Y132" i="8"/>
  <c r="AF133" i="8" s="1"/>
  <c r="X132" i="8"/>
  <c r="Y983" i="8"/>
  <c r="AF984" i="8" s="1"/>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X17" i="8"/>
  <c r="Y765" i="8"/>
  <c r="AF766" i="8" s="1"/>
  <c r="X765" i="8"/>
  <c r="Y729" i="8"/>
  <c r="AF730" i="8" s="1"/>
  <c r="X729" i="8"/>
  <c r="Y89" i="8"/>
  <c r="AF90" i="8" s="1"/>
  <c r="X89" i="8"/>
  <c r="Y71" i="8"/>
  <c r="AF72" i="8" s="1"/>
  <c r="X71" i="8"/>
  <c r="X31" i="8"/>
  <c r="Y31" i="8" s="1"/>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Y42" i="8"/>
  <c r="AF43" i="8" s="1"/>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X22" i="8"/>
  <c r="Y22" i="8" s="1"/>
  <c r="Y773" i="8"/>
  <c r="AF774" i="8" s="1"/>
  <c r="X773" i="8"/>
  <c r="Y677" i="8"/>
  <c r="AF678" i="8" s="1"/>
  <c r="X677" i="8"/>
  <c r="Y57" i="8"/>
  <c r="AF58" i="8" s="1"/>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Y353" i="8"/>
  <c r="AF354" i="8" s="1"/>
  <c r="X353" i="8"/>
  <c r="Y249" i="8"/>
  <c r="AF250" i="8" s="1"/>
  <c r="X249" i="8"/>
  <c r="X759" i="8"/>
  <c r="Y759" i="8"/>
  <c r="AF760" i="8" s="1"/>
  <c r="X708" i="8"/>
  <c r="Y708" i="8"/>
  <c r="AF709" i="8" s="1"/>
  <c r="X747" i="8"/>
  <c r="Y747" i="8"/>
  <c r="AF748" i="8" s="1"/>
  <c r="X651" i="8"/>
  <c r="Y651" i="8"/>
  <c r="AF652" i="8" s="1"/>
  <c r="X885" i="8"/>
  <c r="Y885" i="8"/>
  <c r="AF886" i="8" s="1"/>
  <c r="X861" i="8"/>
  <c r="Y861" i="8"/>
  <c r="AF862" i="8" s="1"/>
  <c r="X645" i="8"/>
  <c r="Y645" i="8"/>
  <c r="AF646" i="8" s="1"/>
  <c r="X621" i="8"/>
  <c r="Y621" i="8"/>
  <c r="AF622" i="8" s="1"/>
  <c r="X597" i="8"/>
  <c r="Y597" i="8"/>
  <c r="AF598" i="8" s="1"/>
  <c r="X489" i="8"/>
  <c r="Y489" i="8"/>
  <c r="AF490" i="8" s="1"/>
  <c r="X465" i="8"/>
  <c r="Y465" i="8"/>
  <c r="AF466" i="8" s="1"/>
  <c r="X439" i="8"/>
  <c r="Y439" i="8"/>
  <c r="AF440" i="8" s="1"/>
  <c r="X58" i="8"/>
  <c r="Y58" i="8"/>
  <c r="AF59" i="8" s="1"/>
  <c r="X34" i="8"/>
  <c r="Y34" i="8"/>
  <c r="AF35" i="8" s="1"/>
  <c r="X343" i="8"/>
  <c r="Y343" i="8"/>
  <c r="AF344" i="8" s="1"/>
  <c r="X271" i="8"/>
  <c r="Y271" i="8"/>
  <c r="AF272" i="8" s="1"/>
  <c r="X211" i="8"/>
  <c r="Y211" i="8"/>
  <c r="AF212" i="8" s="1"/>
  <c r="X140" i="8"/>
  <c r="Y140" i="8"/>
  <c r="AF141" i="8" s="1"/>
  <c r="X332" i="8"/>
  <c r="Y332" i="8"/>
  <c r="AF333" i="8" s="1"/>
  <c r="X963" i="8"/>
  <c r="Y963" i="8"/>
  <c r="AF964" i="8" s="1"/>
  <c r="X879" i="8"/>
  <c r="Y879" i="8"/>
  <c r="AF880" i="8" s="1"/>
  <c r="X221" i="8"/>
  <c r="Y221" i="8"/>
  <c r="AF222" i="8" s="1"/>
  <c r="X197" i="8"/>
  <c r="Y197" i="8"/>
  <c r="AF198" i="8" s="1"/>
  <c r="X165" i="8"/>
  <c r="Y165" i="8"/>
  <c r="AF166" i="8" s="1"/>
  <c r="X141" i="8"/>
  <c r="Y141" i="8"/>
  <c r="AF142" i="8" s="1"/>
  <c r="X631" i="8"/>
  <c r="Y631" i="8"/>
  <c r="AF632" i="8" s="1"/>
  <c r="X837" i="8"/>
  <c r="Y837" i="8"/>
  <c r="AF838" i="8" s="1"/>
  <c r="X741" i="8"/>
  <c r="Y741" i="8"/>
  <c r="AF742" i="8" s="1"/>
  <c r="X77" i="8"/>
  <c r="Y77" i="8"/>
  <c r="AF78" i="8" s="1"/>
  <c r="X49" i="8"/>
  <c r="Y49" i="8"/>
  <c r="AF50" i="8" s="1"/>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Y817" i="8"/>
  <c r="AF818" i="8" s="1"/>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s="1"/>
  <c r="AF11" i="8" s="1"/>
  <c r="X6" i="8"/>
  <c r="Y6" i="8" s="1"/>
  <c r="AC6" i="8" s="1"/>
  <c r="X851" i="8"/>
  <c r="Y851" i="8"/>
  <c r="AF852" i="8" s="1"/>
  <c r="X843" i="8"/>
  <c r="Y843" i="8"/>
  <c r="AF844" i="8" s="1"/>
  <c r="X835" i="8"/>
  <c r="Y835" i="8"/>
  <c r="AF836" i="8" s="1"/>
  <c r="X827" i="8"/>
  <c r="Y827" i="8"/>
  <c r="AF828" i="8" s="1"/>
  <c r="X819" i="8"/>
  <c r="Y819" i="8"/>
  <c r="AF820" i="8" s="1"/>
  <c r="X811" i="8"/>
  <c r="Y811" i="8"/>
  <c r="AF812" i="8" s="1"/>
  <c r="X803" i="8"/>
  <c r="Y803" i="8"/>
  <c r="AF804" i="8" s="1"/>
  <c r="X795" i="8"/>
  <c r="Y795" i="8"/>
  <c r="AF796" i="8" s="1"/>
  <c r="X12" i="8"/>
  <c r="Y12" i="8" s="1"/>
  <c r="AC12" i="8" s="1"/>
  <c r="X787" i="8"/>
  <c r="Y787" i="8"/>
  <c r="AF788" i="8"/>
  <c r="X565" i="8"/>
  <c r="Y565" i="8"/>
  <c r="AF566" i="8" s="1"/>
  <c r="X557" i="8"/>
  <c r="Y557" i="8"/>
  <c r="AF558" i="8" s="1"/>
  <c r="X549" i="8"/>
  <c r="Y549" i="8"/>
  <c r="AF550" i="8" s="1"/>
  <c r="X541" i="8"/>
  <c r="Y541" i="8"/>
  <c r="AF542" i="8" s="1"/>
  <c r="X533" i="8"/>
  <c r="Y533" i="8"/>
  <c r="AF534" i="8" s="1"/>
  <c r="X525" i="8"/>
  <c r="Y525" i="8"/>
  <c r="AF526" i="8" s="1"/>
  <c r="X517" i="8"/>
  <c r="Y517" i="8"/>
  <c r="AF518" i="8" s="1"/>
  <c r="X509" i="8"/>
  <c r="Y509" i="8"/>
  <c r="AF510" i="8" s="1"/>
  <c r="X441" i="8"/>
  <c r="Y441" i="8"/>
  <c r="AF442" i="8" s="1"/>
  <c r="X433" i="8"/>
  <c r="Y433" i="8"/>
  <c r="AF434" i="8" s="1"/>
  <c r="X419" i="8"/>
  <c r="Y419" i="8"/>
  <c r="AF420" i="8" s="1"/>
  <c r="X487" i="8"/>
  <c r="Y487" i="8"/>
  <c r="AF488" i="8" s="1"/>
  <c r="X479" i="8"/>
  <c r="Y479" i="8"/>
  <c r="AF480" i="8" s="1"/>
  <c r="X471" i="8"/>
  <c r="Y471" i="8"/>
  <c r="AF472" i="8" s="1"/>
  <c r="X463" i="8"/>
  <c r="Y463" i="8"/>
  <c r="AF464" i="8" s="1"/>
  <c r="X451" i="8"/>
  <c r="Y451" i="8"/>
  <c r="AF452" i="8" s="1"/>
  <c r="X47" i="8"/>
  <c r="Y47" i="8"/>
  <c r="AF48" i="8" s="1"/>
  <c r="X18" i="8"/>
  <c r="Y18" i="8"/>
  <c r="X403" i="8"/>
  <c r="Y403" i="8"/>
  <c r="AF404" i="8" s="1"/>
  <c r="X387" i="8"/>
  <c r="Y387" i="8"/>
  <c r="AF388" i="8" s="1"/>
  <c r="X371" i="8"/>
  <c r="Y371" i="8"/>
  <c r="AF372" i="8" s="1"/>
  <c r="X363" i="8"/>
  <c r="Y363" i="8"/>
  <c r="AF364" i="8" s="1"/>
  <c r="X327" i="8"/>
  <c r="Y327" i="8"/>
  <c r="AF328" i="8" s="1"/>
  <c r="X319" i="8"/>
  <c r="Y319" i="8"/>
  <c r="AF320" i="8" s="1"/>
  <c r="X311" i="8"/>
  <c r="Y311" i="8"/>
  <c r="AF312" i="8" s="1"/>
  <c r="X303" i="8"/>
  <c r="Y303" i="8"/>
  <c r="AF304" i="8" s="1"/>
  <c r="X263" i="8"/>
  <c r="Y263" i="8"/>
  <c r="AF264" i="8" s="1"/>
  <c r="X255" i="8"/>
  <c r="Y255" i="8"/>
  <c r="AF256" i="8" s="1"/>
  <c r="X247" i="8"/>
  <c r="Y247" i="8"/>
  <c r="AF248" i="8" s="1"/>
  <c r="X239" i="8"/>
  <c r="Y239" i="8"/>
  <c r="AF240" i="8" s="1"/>
  <c r="X231" i="8"/>
  <c r="Y231" i="8"/>
  <c r="AF232" i="8" s="1"/>
  <c r="X195" i="8"/>
  <c r="Y195" i="8"/>
  <c r="AF196" i="8" s="1"/>
  <c r="X187" i="8"/>
  <c r="Y187" i="8"/>
  <c r="AF188" i="8" s="1"/>
  <c r="X503" i="8"/>
  <c r="Y503" i="8"/>
  <c r="AF504" i="8" s="1"/>
  <c r="X344" i="8"/>
  <c r="Y344" i="8"/>
  <c r="AF345" i="8" s="1"/>
  <c r="X891" i="8"/>
  <c r="Y891" i="8"/>
  <c r="AF892" i="8" s="1"/>
  <c r="X703" i="8"/>
  <c r="Y703" i="8"/>
  <c r="AF704" i="8" s="1"/>
  <c r="X60" i="8"/>
  <c r="Y60" i="8"/>
  <c r="AF61" i="8" s="1"/>
  <c r="X445" i="8"/>
  <c r="Y445" i="8"/>
  <c r="AF446" i="8" s="1"/>
  <c r="X179" i="8"/>
  <c r="Y179" i="8"/>
  <c r="AF180" i="8" s="1"/>
  <c r="X143" i="8"/>
  <c r="Y143" i="8"/>
  <c r="AF144" i="8" s="1"/>
  <c r="X135" i="8"/>
  <c r="Y135" i="8"/>
  <c r="AF136" i="8" s="1"/>
  <c r="X127" i="8"/>
  <c r="Y127" i="8"/>
  <c r="AF128" i="8" s="1"/>
  <c r="X119" i="8"/>
  <c r="Y119" i="8"/>
  <c r="AF120" i="8" s="1"/>
  <c r="X111" i="8"/>
  <c r="Y111" i="8"/>
  <c r="AF112" i="8" s="1"/>
  <c r="X95" i="8"/>
  <c r="Y95" i="8"/>
  <c r="AF96" i="8" s="1"/>
  <c r="X87" i="8"/>
  <c r="Y87" i="8"/>
  <c r="AF88" i="8" s="1"/>
  <c r="X79" i="8"/>
  <c r="Y79" i="8"/>
  <c r="AF80" i="8" s="1"/>
  <c r="X67" i="8"/>
  <c r="Y67" i="8"/>
  <c r="AF68" i="8" s="1"/>
  <c r="X59" i="8"/>
  <c r="Y59" i="8"/>
  <c r="AF60" i="8" s="1"/>
  <c r="X43" i="8"/>
  <c r="Y43" i="8"/>
  <c r="AF44" i="8" s="1"/>
  <c r="X35" i="8"/>
  <c r="Y35" i="8"/>
  <c r="AF36" i="8" s="1"/>
  <c r="X27" i="8"/>
  <c r="Y27" i="8" s="1"/>
  <c r="X19" i="8"/>
  <c r="Y19" i="8"/>
  <c r="X425" i="8"/>
  <c r="Y425" i="8"/>
  <c r="AF426" i="8" s="1"/>
  <c r="X417" i="8"/>
  <c r="Y417" i="8"/>
  <c r="AF418" i="8" s="1"/>
  <c r="X409" i="8"/>
  <c r="Y409" i="8"/>
  <c r="AF410" i="8" s="1"/>
  <c r="X401" i="8"/>
  <c r="Y401" i="8"/>
  <c r="AF402" i="8" s="1"/>
  <c r="X389" i="8"/>
  <c r="Y389" i="8"/>
  <c r="AF390" i="8" s="1"/>
  <c r="X381" i="8"/>
  <c r="Y381" i="8"/>
  <c r="AF382" i="8" s="1"/>
  <c r="X373" i="8"/>
  <c r="Y373" i="8"/>
  <c r="AF374" i="8" s="1"/>
  <c r="X365" i="8"/>
  <c r="Y365" i="8"/>
  <c r="AF366" i="8" s="1"/>
  <c r="X357" i="8"/>
  <c r="Y357" i="8"/>
  <c r="AF358" i="8" s="1"/>
  <c r="X341" i="8"/>
  <c r="Y341" i="8"/>
  <c r="AF342" i="8" s="1"/>
  <c r="X333" i="8"/>
  <c r="Y333" i="8"/>
  <c r="AF334" i="8" s="1"/>
  <c r="X325" i="8"/>
  <c r="Y325" i="8"/>
  <c r="AF326" i="8" s="1"/>
  <c r="X313" i="8"/>
  <c r="Y313" i="8"/>
  <c r="AF314" i="8" s="1"/>
  <c r="X305" i="8"/>
  <c r="Y305" i="8"/>
  <c r="AF306" i="8" s="1"/>
  <c r="X297" i="8"/>
  <c r="Y297" i="8"/>
  <c r="AF298" i="8" s="1"/>
  <c r="X289" i="8"/>
  <c r="Y289" i="8"/>
  <c r="AF290" i="8" s="1"/>
  <c r="X281" i="8"/>
  <c r="Y281" i="8"/>
  <c r="AF282" i="8" s="1"/>
  <c r="X273" i="8"/>
  <c r="Y273" i="8"/>
  <c r="AF274" i="8" s="1"/>
  <c r="X265" i="8"/>
  <c r="Y265" i="8"/>
  <c r="AF266" i="8" s="1"/>
  <c r="X257" i="8"/>
  <c r="Y257" i="8"/>
  <c r="AF258" i="8" s="1"/>
  <c r="X245" i="8"/>
  <c r="Y245" i="8"/>
  <c r="AF246" i="8" s="1"/>
  <c r="X317" i="8"/>
  <c r="Y317" i="8"/>
  <c r="AF318" i="8" s="1"/>
  <c r="X125" i="8"/>
  <c r="Y125" i="8"/>
  <c r="AF126" i="8" s="1"/>
  <c r="X101" i="8"/>
  <c r="Y101" i="8"/>
  <c r="AF102" i="8" s="1"/>
  <c r="X23" i="8"/>
  <c r="Y23" i="8"/>
  <c r="AC23" i="8" s="1"/>
  <c r="X285" i="8"/>
  <c r="Y285" i="8"/>
  <c r="AF286" i="8" s="1"/>
  <c r="X725" i="8"/>
  <c r="Y725" i="8"/>
  <c r="AF726" i="8" s="1"/>
  <c r="X7" i="8"/>
  <c r="Y7" i="8" s="1"/>
  <c r="AF8" i="8" s="1"/>
  <c r="AF28" i="8" l="1"/>
  <c r="AC27" i="8"/>
  <c r="AF32" i="8"/>
  <c r="AC31" i="8"/>
  <c r="AF23" i="8"/>
  <c r="AC22" i="8"/>
  <c r="AF18" i="8"/>
  <c r="AC17" i="8"/>
  <c r="AF26" i="8"/>
  <c r="AC25" i="8"/>
  <c r="AF19" i="8"/>
  <c r="AC18" i="8"/>
  <c r="AF20" i="8"/>
  <c r="AC19" i="8"/>
  <c r="AF24" i="8"/>
  <c r="AC7" i="8"/>
  <c r="AC14" i="8"/>
  <c r="AF15" i="8"/>
  <c r="AF13" i="8"/>
  <c r="AF7" i="8"/>
  <c r="AC10" i="8"/>
  <c r="AF9" i="8"/>
  <c r="X3" i="8"/>
  <c r="Y3" i="8" s="1"/>
  <c r="F7" i="8"/>
  <c r="O16" i="8" l="1"/>
  <c r="P9" i="8"/>
  <c r="AF4" i="8"/>
  <c r="AC3" i="8"/>
  <c r="AD2" i="8" s="1"/>
  <c r="AH4" i="8"/>
  <c r="AH5" i="8"/>
  <c r="O9" i="8" l="1"/>
  <c r="AH6" i="8"/>
  <c r="AJ10" i="8"/>
  <c r="Q15" i="8" l="1"/>
  <c r="P15" i="8"/>
  <c r="AJ9" i="8"/>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<sst xmlns="http://schemas.openxmlformats.org/spreadsheetml/2006/main" count="385" uniqueCount="199">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</sst>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5" xfId="2" applyFill="1" applyBorder="1" applyAlignment="1">
      <alignment horizontal="center" wrapText="1"/>
    </xf>
    <xf numFmtId="0" fontId="6" fillId="8" borderId="8" xfId="2" applyFill="1" applyBorder="1" applyAlignment="1">
      <alignment horizontal="center"/>
    </xf>
    <xf numFmtId="0" fontId="6" fillId="8" borderId="13" xfId="2" applyFill="1" applyBorder="1" applyAlignment="1">
      <alignment horizontal="center"/>
    </xf>
    <xf numFmtId="0" fontId="6" fillId="8" borderId="14" xfId="2" applyFill="1" applyBorder="1" applyAlignment="1">
      <alignment horizontal="center"/>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77" t="s">
        <v>3</v>
      </c>
      <c r="K4" s="178"/>
      <c r="L4" s="9"/>
      <c r="M4" s="10"/>
      <c r="N4" s="5"/>
      <c r="O4" s="5"/>
      <c r="P4" s="131" t="s">
        <v>149</v>
      </c>
      <c r="Q4" s="130">
        <f>MIN(A:A)</f>
        <v>523</v>
      </c>
      <c r="R4" s="130"/>
      <c r="S4" s="130"/>
      <c r="T4" s="130" t="s">
        <v>32</v>
      </c>
    </row>
    <row r="5" spans="1:20">
      <c r="A5" s="4">
        <v>693</v>
      </c>
      <c r="B5" s="5"/>
      <c r="C5" s="6"/>
      <c r="D5" s="179" t="s">
        <v>4</v>
      </c>
      <c r="E5" s="173" t="s">
        <v>5</v>
      </c>
      <c r="F5" s="173" t="s">
        <v>6</v>
      </c>
      <c r="G5" s="180"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74"/>
      <c r="E6" s="174"/>
      <c r="F6" s="174"/>
      <c r="G6" s="181"/>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69" t="s">
        <v>11</v>
      </c>
      <c r="K7" s="169" t="s">
        <v>12</v>
      </c>
      <c r="L7" s="169" t="s">
        <v>13</v>
      </c>
      <c r="M7" s="171" t="s">
        <v>14</v>
      </c>
      <c r="N7" s="5"/>
      <c r="O7" s="5"/>
      <c r="P7" s="130"/>
      <c r="Q7" s="133"/>
      <c r="R7" s="133"/>
      <c r="S7" s="133" t="s">
        <v>147</v>
      </c>
      <c r="T7" s="130" t="s">
        <v>148</v>
      </c>
    </row>
    <row r="8" spans="1:20">
      <c r="A8" s="4">
        <v>721</v>
      </c>
      <c r="B8" s="5"/>
      <c r="C8" s="6"/>
      <c r="D8" s="7"/>
      <c r="E8" s="17"/>
      <c r="F8" s="17"/>
      <c r="G8" s="17"/>
      <c r="H8" s="7"/>
      <c r="I8" s="7"/>
      <c r="J8" s="170"/>
      <c r="K8" s="170"/>
      <c r="L8" s="170"/>
      <c r="M8" s="172"/>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3" t="s">
        <v>17</v>
      </c>
      <c r="K12" s="173" t="s">
        <v>18</v>
      </c>
      <c r="L12" s="175" t="s">
        <v>16</v>
      </c>
      <c r="M12" s="176"/>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74"/>
      <c r="K13" s="174"/>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68" t="s">
        <v>169</v>
      </c>
      <c r="G24" s="168"/>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J4:K4"/>
    <mergeCell ref="D5:D6"/>
    <mergeCell ref="E5:E6"/>
    <mergeCell ref="F5:F6"/>
    <mergeCell ref="G5:G6"/>
    <mergeCell ref="F24:G24"/>
    <mergeCell ref="L7:L8"/>
    <mergeCell ref="M7:M8"/>
    <mergeCell ref="J12:J13"/>
    <mergeCell ref="K12:K13"/>
    <mergeCell ref="L12:M12"/>
    <mergeCell ref="J7:J8"/>
    <mergeCell ref="K7:K8"/>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77" t="s">
        <v>3</v>
      </c>
      <c r="M4" s="178"/>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82" t="s">
        <v>4</v>
      </c>
      <c r="G5" s="184" t="s">
        <v>25</v>
      </c>
      <c r="H5" s="184" t="s">
        <v>26</v>
      </c>
      <c r="I5" s="184"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83"/>
      <c r="G6" s="183"/>
      <c r="H6" s="183"/>
      <c r="I6" s="183"/>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9" t="s">
        <v>29</v>
      </c>
      <c r="M7" s="191" t="s">
        <v>12</v>
      </c>
      <c r="N7" s="185" t="s">
        <v>13</v>
      </c>
      <c r="O7" s="187"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9"/>
      <c r="M8" s="191"/>
      <c r="N8" s="185"/>
      <c r="O8" s="187"/>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90"/>
      <c r="M9" s="192"/>
      <c r="N9" s="186"/>
      <c r="O9" s="188"/>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3" t="s">
        <v>30</v>
      </c>
      <c r="M13" s="173" t="s">
        <v>18</v>
      </c>
      <c r="N13" s="175" t="s">
        <v>16</v>
      </c>
      <c r="O13" s="176"/>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74"/>
      <c r="M14" s="174"/>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68" t="s">
        <v>169</v>
      </c>
      <c r="I24" s="168"/>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H24:I24"/>
    <mergeCell ref="N7:N9"/>
    <mergeCell ref="O7:O9"/>
    <mergeCell ref="L13:L14"/>
    <mergeCell ref="M13:M14"/>
    <mergeCell ref="N13:O13"/>
    <mergeCell ref="L7:L9"/>
    <mergeCell ref="M7:M9"/>
    <mergeCell ref="F5:F6"/>
    <mergeCell ref="G5:G6"/>
    <mergeCell ref="H5:H6"/>
    <mergeCell ref="I5:I6"/>
    <mergeCell ref="L4:M4"/>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77" t="s">
        <v>3</v>
      </c>
      <c r="P4" s="178"/>
      <c r="Q4" s="9"/>
      <c r="R4" s="10"/>
      <c r="S4" s="5"/>
      <c r="T4" s="5"/>
      <c r="U4" s="131" t="s">
        <v>149</v>
      </c>
      <c r="V4" s="130">
        <f>MIN(A:A)</f>
        <v>43</v>
      </c>
      <c r="W4" s="130"/>
      <c r="X4" s="130"/>
      <c r="Y4" s="130" t="s">
        <v>32</v>
      </c>
    </row>
    <row r="5" spans="1:25" ht="17">
      <c r="A5" s="45">
        <v>63</v>
      </c>
      <c r="B5" s="46">
        <v>32</v>
      </c>
      <c r="C5" s="5"/>
      <c r="D5" s="5"/>
      <c r="E5" s="5"/>
      <c r="F5" s="32"/>
      <c r="G5" s="6"/>
      <c r="H5" s="179" t="s">
        <v>4</v>
      </c>
      <c r="I5" s="173" t="s">
        <v>39</v>
      </c>
      <c r="J5" s="173" t="s">
        <v>40</v>
      </c>
      <c r="K5" s="173"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74"/>
      <c r="I6" s="174"/>
      <c r="J6" s="174"/>
      <c r="K6" s="174"/>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5" t="s">
        <v>184</v>
      </c>
      <c r="P7" s="191" t="s">
        <v>12</v>
      </c>
      <c r="Q7" s="185" t="s">
        <v>13</v>
      </c>
      <c r="R7" s="19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5"/>
      <c r="P8" s="191"/>
      <c r="Q8" s="185"/>
      <c r="R8" s="19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6"/>
      <c r="P9" s="192"/>
      <c r="Q9" s="186"/>
      <c r="R9" s="19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3" t="s">
        <v>44</v>
      </c>
      <c r="P13" s="173" t="s">
        <v>18</v>
      </c>
      <c r="Q13" s="175" t="s">
        <v>16</v>
      </c>
      <c r="R13" s="176"/>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74"/>
      <c r="P14" s="174"/>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Q7:Q9"/>
    <mergeCell ref="R7:R9"/>
    <mergeCell ref="O13:O14"/>
    <mergeCell ref="P13:P14"/>
    <mergeCell ref="Q13:R13"/>
    <mergeCell ref="O7:O9"/>
    <mergeCell ref="P7:P9"/>
    <mergeCell ref="H5:H6"/>
    <mergeCell ref="I5:I6"/>
    <mergeCell ref="J5:J6"/>
    <mergeCell ref="K5:K6"/>
    <mergeCell ref="O4:P4"/>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77" t="s">
        <v>3</v>
      </c>
      <c r="Q4" s="178"/>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79" t="s">
        <v>4</v>
      </c>
      <c r="K5" s="173" t="s">
        <v>39</v>
      </c>
      <c r="L5" s="173" t="s">
        <v>40</v>
      </c>
      <c r="M5" s="173" t="s">
        <v>52</v>
      </c>
      <c r="N5" s="169" t="s">
        <v>53</v>
      </c>
      <c r="O5" s="7"/>
      <c r="P5" s="48" t="s">
        <v>45</v>
      </c>
      <c r="Q5" s="201" t="s">
        <v>55</v>
      </c>
      <c r="R5" s="202"/>
      <c r="S5" s="202"/>
      <c r="T5" s="202"/>
      <c r="U5" s="203"/>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74"/>
      <c r="K6" s="174"/>
      <c r="L6" s="174"/>
      <c r="M6" s="174"/>
      <c r="N6" s="196"/>
      <c r="O6" s="7"/>
      <c r="P6" s="50" t="s">
        <v>46</v>
      </c>
      <c r="Q6" s="204" t="s">
        <v>57</v>
      </c>
      <c r="R6" s="205"/>
      <c r="S6" s="205"/>
      <c r="T6" s="205"/>
      <c r="U6" s="206"/>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197">
        <f>SUM(P61:P67)/SUM(J7:J13)</f>
        <v>5.064516129032258</v>
      </c>
      <c r="O7" s="7"/>
      <c r="P7" s="200" t="s">
        <v>58</v>
      </c>
      <c r="Q7" s="200" t="s">
        <v>59</v>
      </c>
      <c r="R7" s="200" t="s">
        <v>60</v>
      </c>
      <c r="S7" s="200" t="s">
        <v>61</v>
      </c>
      <c r="T7" s="200" t="s">
        <v>62</v>
      </c>
      <c r="U7" s="200"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197"/>
      <c r="O8" s="7"/>
      <c r="P8" s="190"/>
      <c r="Q8" s="190"/>
      <c r="R8" s="190"/>
      <c r="S8" s="190"/>
      <c r="T8" s="190"/>
      <c r="U8" s="190"/>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195"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195"/>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8" t="s">
        <v>73</v>
      </c>
      <c r="Q59" s="5"/>
      <c r="R59" s="198" t="s">
        <v>74</v>
      </c>
      <c r="S59" s="5"/>
      <c r="T59" s="198" t="s">
        <v>75</v>
      </c>
      <c r="U59" s="5"/>
      <c r="V59" s="5"/>
      <c r="W59" s="5"/>
    </row>
    <row r="60" spans="1:28">
      <c r="A60" s="4"/>
      <c r="B60" s="31"/>
      <c r="C60" s="31"/>
      <c r="D60" s="31"/>
      <c r="E60" s="31"/>
      <c r="F60" s="31"/>
      <c r="G60" s="31"/>
      <c r="H60" s="5"/>
      <c r="I60" s="5"/>
      <c r="J60" s="5"/>
      <c r="K60" s="5"/>
      <c r="L60" s="5"/>
      <c r="M60" s="5"/>
      <c r="N60" s="5"/>
      <c r="O60" s="5"/>
      <c r="P60" s="199"/>
      <c r="Q60" s="5"/>
      <c r="R60" s="199"/>
      <c r="S60" s="5"/>
      <c r="T60" s="199"/>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P59:P60"/>
    <mergeCell ref="R59:R60"/>
    <mergeCell ref="T59:T60"/>
    <mergeCell ref="T7:T8"/>
    <mergeCell ref="P4:Q4"/>
    <mergeCell ref="Q5:U5"/>
    <mergeCell ref="Q6:U6"/>
    <mergeCell ref="P7:P8"/>
    <mergeCell ref="Q7:Q8"/>
    <mergeCell ref="R7:R8"/>
    <mergeCell ref="S7:S8"/>
    <mergeCell ref="U7:U8"/>
    <mergeCell ref="N30:N31"/>
    <mergeCell ref="J5:J6"/>
    <mergeCell ref="K5:K6"/>
    <mergeCell ref="L5:L6"/>
    <mergeCell ref="M5:M6"/>
    <mergeCell ref="N5:N6"/>
    <mergeCell ref="N7:N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77" t="s">
        <v>3</v>
      </c>
      <c r="J4" s="178"/>
      <c r="K4" s="9"/>
      <c r="L4" s="10"/>
      <c r="M4" s="65"/>
      <c r="N4" s="65"/>
      <c r="O4" s="207" t="s">
        <v>77</v>
      </c>
      <c r="P4" s="208"/>
      <c r="Q4" s="5"/>
      <c r="R4" s="5"/>
      <c r="S4" s="5"/>
      <c r="T4" s="5"/>
      <c r="Y4" t="s">
        <v>32</v>
      </c>
    </row>
    <row r="5" spans="1:25">
      <c r="A5" s="5"/>
      <c r="B5" s="6"/>
      <c r="C5" s="179" t="s">
        <v>78</v>
      </c>
      <c r="D5" s="173" t="s">
        <v>4</v>
      </c>
      <c r="E5" s="209" t="s">
        <v>120</v>
      </c>
      <c r="F5" s="7"/>
      <c r="G5" s="7"/>
      <c r="H5" s="7"/>
      <c r="I5" s="11" t="s">
        <v>54</v>
      </c>
      <c r="J5" s="66" t="s">
        <v>80</v>
      </c>
      <c r="K5" s="11" t="s">
        <v>9</v>
      </c>
      <c r="L5" s="13">
        <v>0.33</v>
      </c>
      <c r="M5" s="65"/>
      <c r="N5" s="65"/>
      <c r="O5" s="67" t="s">
        <v>3</v>
      </c>
      <c r="P5" s="148"/>
      <c r="Q5" s="5"/>
      <c r="R5" s="5"/>
      <c r="S5" s="5"/>
      <c r="T5" s="5"/>
    </row>
    <row r="6" spans="1:25" ht="17" thickBot="1">
      <c r="A6" s="5"/>
      <c r="B6" s="6"/>
      <c r="C6" s="174"/>
      <c r="D6" s="174"/>
      <c r="E6" s="210"/>
      <c r="F6" s="7"/>
      <c r="G6" s="7"/>
      <c r="H6" s="7"/>
      <c r="I6" s="11" t="s">
        <v>56</v>
      </c>
      <c r="J6" s="66" t="s">
        <v>80</v>
      </c>
      <c r="K6" s="68" t="s">
        <v>10</v>
      </c>
      <c r="L6" s="15">
        <f>L5</f>
        <v>0.33</v>
      </c>
      <c r="M6" s="65"/>
      <c r="N6" s="65"/>
      <c r="O6" s="139"/>
      <c r="P6" s="149">
        <f>D7*L5</f>
        <v>33</v>
      </c>
      <c r="Q6" s="5"/>
      <c r="R6" s="5"/>
      <c r="S6" s="5"/>
      <c r="T6" s="5"/>
    </row>
    <row r="7" spans="1:25">
      <c r="A7" s="5"/>
      <c r="B7" s="6"/>
      <c r="C7" s="69">
        <v>35</v>
      </c>
      <c r="D7" s="69">
        <v>100</v>
      </c>
      <c r="E7" s="70">
        <f>C7/D7</f>
        <v>0.35</v>
      </c>
      <c r="F7" s="7"/>
      <c r="G7" s="7"/>
      <c r="H7" s="7"/>
      <c r="I7" s="211" t="s">
        <v>79</v>
      </c>
      <c r="J7" s="212"/>
      <c r="K7" s="169" t="s">
        <v>81</v>
      </c>
      <c r="L7" s="171" t="s">
        <v>14</v>
      </c>
      <c r="M7" s="65"/>
      <c r="N7" s="65"/>
      <c r="O7" s="139"/>
      <c r="P7" s="149">
        <f>D7*(1-L5)</f>
        <v>67</v>
      </c>
      <c r="Q7" s="5"/>
      <c r="R7" s="5"/>
      <c r="S7" s="5"/>
      <c r="T7" s="5"/>
    </row>
    <row r="8" spans="1:25">
      <c r="A8" s="5"/>
      <c r="B8" s="6"/>
      <c r="C8" s="7"/>
      <c r="D8" s="17"/>
      <c r="E8" s="17"/>
      <c r="F8" s="17"/>
      <c r="G8" s="7"/>
      <c r="H8" s="7"/>
      <c r="I8" s="188"/>
      <c r="J8" s="192"/>
      <c r="K8" s="186"/>
      <c r="L8" s="213"/>
      <c r="M8" s="65"/>
      <c r="N8" s="65"/>
      <c r="O8" s="67" t="s">
        <v>16</v>
      </c>
      <c r="P8" s="150"/>
      <c r="Q8" s="5"/>
      <c r="R8" s="5"/>
      <c r="S8" s="5"/>
      <c r="T8" s="5"/>
    </row>
    <row r="9" spans="1:25">
      <c r="A9" s="5"/>
      <c r="B9" s="6"/>
      <c r="C9" s="18" t="s">
        <v>15</v>
      </c>
      <c r="D9" s="54"/>
      <c r="E9" s="20"/>
      <c r="F9" s="7"/>
      <c r="G9" s="7"/>
      <c r="H9" s="7"/>
      <c r="I9" s="214">
        <f>E7</f>
        <v>0.35</v>
      </c>
      <c r="J9" s="215"/>
      <c r="K9" s="11">
        <f>(I9-L5)/SQRT(L5*(1-L5)/D7)</f>
        <v>0.42533941005911263</v>
      </c>
      <c r="L9" s="11">
        <f>IF(K6="&lt;",_xlfn.NORM.S.DIST(K9,TRUE),IF(K6="&gt;",1-_xlfn.NORM.S.DIST(K9,TRUE),2*MIN(_xlfn.NORM.S.DIST(K9,TRUE),1-_xlfn.NORM.S.DIST(K9,TRUE))))</f>
        <v>0.67058926817556319</v>
      </c>
      <c r="M9" s="65"/>
      <c r="N9" s="65"/>
      <c r="O9" s="139"/>
      <c r="P9" s="149">
        <f>D7*I9</f>
        <v>35</v>
      </c>
      <c r="Q9" s="5"/>
      <c r="R9" s="5"/>
      <c r="S9" s="5"/>
      <c r="T9" s="5"/>
    </row>
    <row r="10" spans="1:25">
      <c r="A10" s="5"/>
      <c r="B10" s="6"/>
      <c r="C10" s="7"/>
      <c r="D10" s="7"/>
      <c r="E10" s="7"/>
      <c r="F10" s="7"/>
      <c r="G10" s="7"/>
      <c r="H10" s="7"/>
      <c r="I10" s="7"/>
      <c r="J10" s="7"/>
      <c r="K10" s="7"/>
      <c r="L10" s="7"/>
      <c r="M10" s="65"/>
      <c r="N10" s="65"/>
      <c r="O10" s="139"/>
      <c r="P10" s="149">
        <f>D7*(1-I9)</f>
        <v>65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3" t="s">
        <v>82</v>
      </c>
      <c r="J12" s="173" t="s">
        <v>18</v>
      </c>
      <c r="K12" s="175" t="s">
        <v>16</v>
      </c>
      <c r="L12" s="176"/>
      <c r="M12" s="65"/>
      <c r="N12" s="65"/>
      <c r="O12" s="65"/>
      <c r="P12" s="65"/>
      <c r="Q12" s="5"/>
      <c r="R12" s="5"/>
      <c r="S12" s="5"/>
      <c r="T12" s="5"/>
    </row>
    <row r="13" spans="1:25">
      <c r="A13" s="5"/>
      <c r="B13" s="6"/>
      <c r="C13" s="7"/>
      <c r="D13" s="7"/>
      <c r="E13" s="7"/>
      <c r="F13" s="7"/>
      <c r="G13" s="7"/>
      <c r="H13" s="7"/>
      <c r="I13" s="216"/>
      <c r="J13" s="216"/>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-_xlfn.NORM.INV((1-I11)/2,0,1)*SQRT(I14*(1-I14)/D7)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I9:J9"/>
    <mergeCell ref="I12:I13"/>
    <mergeCell ref="J12:J13"/>
    <mergeCell ref="K12:L12"/>
    <mergeCell ref="I4:J4"/>
    <mergeCell ref="O4:P4"/>
    <mergeCell ref="C5:C6"/>
    <mergeCell ref="D5:D6"/>
    <mergeCell ref="E5:E6"/>
    <mergeCell ref="I7:J8"/>
    <mergeCell ref="K7:K8"/>
    <mergeCell ref="L7:L8"/>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77" t="s">
        <v>3</v>
      </c>
      <c r="J4" s="178"/>
      <c r="K4" s="9"/>
      <c r="L4" s="10"/>
      <c r="M4" s="65"/>
      <c r="N4" s="217" t="s">
        <v>77</v>
      </c>
      <c r="O4" s="218"/>
      <c r="P4" s="219"/>
      <c r="Q4" s="5"/>
      <c r="R4" s="5"/>
      <c r="W4" t="s">
        <v>32</v>
      </c>
    </row>
    <row r="5" spans="1:23" ht="17" customHeight="1">
      <c r="A5" s="32"/>
      <c r="B5" s="6"/>
      <c r="C5" s="169" t="s">
        <v>78</v>
      </c>
      <c r="D5" s="212" t="s">
        <v>4</v>
      </c>
      <c r="E5" s="169" t="s">
        <v>120</v>
      </c>
      <c r="F5" s="211"/>
      <c r="G5" s="7"/>
      <c r="H5" s="7"/>
      <c r="I5" s="11" t="s">
        <v>91</v>
      </c>
      <c r="J5" s="76" t="s">
        <v>93</v>
      </c>
      <c r="K5" s="11" t="s">
        <v>9</v>
      </c>
      <c r="L5" s="76" t="s">
        <v>95</v>
      </c>
      <c r="M5" s="65"/>
      <c r="N5" s="77" t="s">
        <v>83</v>
      </c>
      <c r="O5" s="78"/>
      <c r="P5" s="79"/>
      <c r="Q5" s="5"/>
      <c r="R5" s="5"/>
    </row>
    <row r="6" spans="1:23" ht="17" customHeight="1" thickBot="1">
      <c r="A6" s="32"/>
      <c r="B6" s="6"/>
      <c r="C6" s="170"/>
      <c r="D6" s="220"/>
      <c r="E6" s="170"/>
      <c r="F6" s="221"/>
      <c r="G6" s="7"/>
      <c r="H6" s="7"/>
      <c r="I6" s="80" t="s">
        <v>92</v>
      </c>
      <c r="J6" s="91" t="s">
        <v>94</v>
      </c>
      <c r="K6" s="81" t="s">
        <v>10</v>
      </c>
      <c r="L6" s="91" t="s">
        <v>96</v>
      </c>
      <c r="M6" s="65"/>
      <c r="N6" s="65"/>
      <c r="O6" s="152"/>
      <c r="P6" s="149">
        <f>D7*I10</f>
        <v>48</v>
      </c>
      <c r="Q6" s="140"/>
      <c r="R6" s="5"/>
    </row>
    <row r="7" spans="1:23" ht="17" customHeight="1" thickBot="1">
      <c r="A7" s="32"/>
      <c r="B7" s="6"/>
      <c r="C7" s="82">
        <v>48</v>
      </c>
      <c r="D7" s="82">
        <v>120</v>
      </c>
      <c r="E7" s="83">
        <f>C7/D7</f>
        <v>0.4</v>
      </c>
      <c r="F7" s="84" t="s">
        <v>83</v>
      </c>
      <c r="G7" s="7"/>
      <c r="H7" s="7"/>
      <c r="I7" s="189" t="s">
        <v>84</v>
      </c>
      <c r="J7" s="191" t="s">
        <v>85</v>
      </c>
      <c r="K7" s="185" t="s">
        <v>81</v>
      </c>
      <c r="L7" s="193" t="s">
        <v>14</v>
      </c>
      <c r="M7" s="65"/>
      <c r="N7" s="65"/>
      <c r="O7" s="139"/>
      <c r="P7" s="149">
        <f>D7*(1-I10)</f>
        <v>72</v>
      </c>
      <c r="Q7" s="140"/>
      <c r="R7" s="5"/>
    </row>
    <row r="8" spans="1:23" ht="17" customHeight="1" thickBot="1">
      <c r="A8" s="6"/>
      <c r="B8" s="6"/>
      <c r="C8" s="82">
        <v>40</v>
      </c>
      <c r="D8" s="82">
        <v>90</v>
      </c>
      <c r="E8" s="83">
        <f>C8/D8</f>
        <v>0.44444444444444442</v>
      </c>
      <c r="F8" s="84" t="s">
        <v>86</v>
      </c>
      <c r="G8" s="7"/>
      <c r="H8" s="7"/>
      <c r="I8" s="189"/>
      <c r="J8" s="191"/>
      <c r="K8" s="185"/>
      <c r="L8" s="193"/>
      <c r="M8" s="65"/>
      <c r="N8" s="77" t="s">
        <v>86</v>
      </c>
      <c r="O8" s="85"/>
      <c r="P8" s="86"/>
      <c r="Q8" s="140"/>
      <c r="R8" s="5"/>
    </row>
    <row r="9" spans="1:23" ht="17" customHeight="1">
      <c r="A9" s="6"/>
      <c r="B9" s="6"/>
      <c r="C9" s="7"/>
      <c r="D9" s="7"/>
      <c r="E9" s="7"/>
      <c r="F9" s="7"/>
      <c r="G9" s="7"/>
      <c r="H9" s="7"/>
      <c r="I9" s="190"/>
      <c r="J9" s="192"/>
      <c r="K9" s="186"/>
      <c r="L9" s="194"/>
      <c r="M9" s="65"/>
      <c r="N9" s="65"/>
      <c r="O9" s="139"/>
      <c r="P9" s="149">
        <f>D8*J10</f>
        <v>40</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D8*(1-J10)</f>
        <v>50</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3" t="s">
        <v>89</v>
      </c>
      <c r="J13" s="169" t="s">
        <v>87</v>
      </c>
      <c r="K13" s="175" t="s">
        <v>16</v>
      </c>
      <c r="L13" s="176"/>
      <c r="M13" s="65"/>
      <c r="N13" s="65"/>
      <c r="O13" s="65"/>
      <c r="P13" s="65"/>
      <c r="Q13" s="5"/>
      <c r="R13" s="5"/>
    </row>
    <row r="14" spans="1:23" ht="17" customHeight="1">
      <c r="A14" s="6"/>
      <c r="B14" s="6"/>
      <c r="C14" s="7"/>
      <c r="D14" s="7"/>
      <c r="E14" s="7"/>
      <c r="F14" s="7"/>
      <c r="G14" s="7"/>
      <c r="H14" s="7"/>
      <c r="I14" s="174"/>
      <c r="J14" s="170"/>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7:I9"/>
    <mergeCell ref="J7:J9"/>
    <mergeCell ref="K7:K9"/>
    <mergeCell ref="L7:L9"/>
    <mergeCell ref="I13:I14"/>
    <mergeCell ref="J13:J14"/>
    <mergeCell ref="K13:L13"/>
    <mergeCell ref="I4:J4"/>
    <mergeCell ref="N4:P4"/>
    <mergeCell ref="C5:C6"/>
    <mergeCell ref="D5:D6"/>
    <mergeCell ref="E5:E6"/>
    <mergeCell ref="F5:F6"/>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77" t="s">
        <v>3</v>
      </c>
      <c r="N4" s="178"/>
      <c r="O4" s="9"/>
      <c r="P4" s="9"/>
      <c r="Q4" s="65"/>
      <c r="R4" s="65"/>
      <c r="S4" s="222" t="s">
        <v>99</v>
      </c>
      <c r="T4" s="223"/>
      <c r="U4" s="223"/>
      <c r="V4" s="223"/>
      <c r="W4" s="93"/>
      <c r="X4" s="93"/>
      <c r="Y4" s="94"/>
    </row>
    <row r="5" spans="1:27" ht="22" thickBot="1">
      <c r="A5" s="32"/>
      <c r="B5" s="6"/>
      <c r="C5" s="224"/>
      <c r="D5" s="166"/>
      <c r="E5" s="166"/>
      <c r="F5" s="166"/>
      <c r="G5" s="166"/>
      <c r="H5" s="166"/>
      <c r="I5" s="166"/>
      <c r="J5" s="226" t="s">
        <v>68</v>
      </c>
      <c r="K5" s="7"/>
      <c r="L5" s="7"/>
      <c r="M5" s="238" t="s">
        <v>118</v>
      </c>
      <c r="N5" s="239"/>
      <c r="O5" s="239"/>
      <c r="P5" s="240"/>
      <c r="Q5" s="7"/>
      <c r="R5" s="65"/>
      <c r="S5" s="67" t="s">
        <v>106</v>
      </c>
      <c r="T5" s="95"/>
      <c r="U5" s="95"/>
      <c r="V5" s="95"/>
      <c r="W5" s="95"/>
      <c r="X5" s="95"/>
      <c r="Y5" s="79"/>
    </row>
    <row r="6" spans="1:27" ht="17" thickBot="1">
      <c r="A6" s="32"/>
      <c r="B6" s="6"/>
      <c r="C6" s="225"/>
      <c r="D6" s="167" t="s">
        <v>100</v>
      </c>
      <c r="E6" s="167" t="s">
        <v>101</v>
      </c>
      <c r="F6" s="167" t="s">
        <v>102</v>
      </c>
      <c r="G6" s="167" t="s">
        <v>103</v>
      </c>
      <c r="H6" s="167" t="s">
        <v>104</v>
      </c>
      <c r="I6" s="167" t="s">
        <v>105</v>
      </c>
      <c r="J6" s="227"/>
      <c r="K6" s="7"/>
      <c r="L6" s="7"/>
      <c r="M6" s="241" t="s">
        <v>119</v>
      </c>
      <c r="N6" s="242"/>
      <c r="O6" s="242"/>
      <c r="P6" s="243"/>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44" t="s">
        <v>108</v>
      </c>
      <c r="N7" s="245"/>
      <c r="O7" s="173" t="s">
        <v>60</v>
      </c>
      <c r="P7" s="173"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46"/>
      <c r="N8" s="247"/>
      <c r="O8" s="174"/>
      <c r="P8" s="216"/>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14">
        <f>SUM(T17:Y22)</f>
        <v>1.197478419260317</v>
      </c>
      <c r="N9" s="215"/>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22" t="s">
        <v>114</v>
      </c>
      <c r="T14" s="223"/>
      <c r="U14" s="223"/>
      <c r="V14" s="22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8"/>
      <c r="M25" s="228"/>
      <c r="N25" s="228"/>
      <c r="O25" s="228"/>
      <c r="P25" s="228"/>
      <c r="Q25" s="228"/>
      <c r="R25" s="65"/>
      <c r="S25" s="65"/>
      <c r="T25" s="65"/>
      <c r="U25" s="65"/>
      <c r="V25" s="65"/>
      <c r="W25" s="65"/>
      <c r="X25" s="65"/>
      <c r="Y25" s="65"/>
    </row>
    <row r="26" spans="1:25">
      <c r="A26" s="6"/>
      <c r="B26" s="6"/>
      <c r="C26" s="7"/>
      <c r="D26" s="7"/>
      <c r="E26" s="7"/>
      <c r="F26" s="7"/>
      <c r="G26" s="7"/>
      <c r="H26" s="7"/>
      <c r="I26" s="7"/>
      <c r="J26" s="7"/>
      <c r="K26" s="7"/>
      <c r="L26" s="228"/>
      <c r="M26" s="228"/>
      <c r="N26" s="228"/>
      <c r="O26" s="228"/>
      <c r="P26" s="228"/>
      <c r="Q26" s="228"/>
      <c r="R26" s="65"/>
      <c r="S26" s="65"/>
      <c r="T26" s="65"/>
      <c r="U26" s="65"/>
      <c r="V26" s="65"/>
      <c r="W26" s="65"/>
      <c r="X26" s="65"/>
      <c r="Y26" s="65"/>
    </row>
    <row r="27" spans="1:25">
      <c r="A27" s="6"/>
      <c r="B27" s="6"/>
      <c r="C27" s="7"/>
      <c r="D27" s="7"/>
      <c r="E27" s="7"/>
      <c r="F27" s="7"/>
      <c r="G27" s="7"/>
      <c r="H27" s="7"/>
      <c r="I27" s="7"/>
      <c r="J27" s="7"/>
      <c r="K27" s="7"/>
      <c r="L27" s="228"/>
      <c r="M27" s="228"/>
      <c r="N27" s="228"/>
      <c r="O27" s="228"/>
      <c r="P27" s="228"/>
      <c r="Q27" s="228"/>
      <c r="R27" s="65"/>
      <c r="S27" s="65"/>
      <c r="T27" s="65"/>
      <c r="U27" s="65"/>
      <c r="V27" s="65"/>
      <c r="W27" s="65"/>
      <c r="X27" s="65"/>
      <c r="Y27" s="65"/>
    </row>
    <row r="28" spans="1:25">
      <c r="A28" s="6"/>
      <c r="B28" s="6"/>
      <c r="C28" s="7"/>
      <c r="D28" s="7"/>
      <c r="E28" s="7"/>
      <c r="F28" s="7"/>
      <c r="G28" s="7"/>
      <c r="H28" s="7"/>
      <c r="I28" s="7"/>
      <c r="J28" s="7"/>
      <c r="K28" s="7"/>
      <c r="L28" s="228"/>
      <c r="M28" s="228"/>
      <c r="N28" s="228"/>
      <c r="O28" s="228"/>
      <c r="P28" s="228"/>
      <c r="Q28" s="228"/>
      <c r="R28" s="65"/>
      <c r="S28" s="65"/>
      <c r="T28" s="65"/>
      <c r="U28" s="65"/>
      <c r="V28" s="65"/>
      <c r="W28" s="65"/>
      <c r="X28" s="65"/>
      <c r="Y28" s="65"/>
    </row>
    <row r="29" spans="1:25">
      <c r="A29" s="6"/>
      <c r="B29" s="6"/>
      <c r="C29" s="7"/>
      <c r="D29" s="7"/>
      <c r="E29" s="7"/>
      <c r="F29" s="7"/>
      <c r="G29" s="7"/>
      <c r="H29" s="7"/>
      <c r="I29" s="7"/>
      <c r="J29" s="7"/>
      <c r="K29" s="7"/>
      <c r="L29" s="228"/>
      <c r="M29" s="228"/>
      <c r="N29" s="228"/>
      <c r="O29" s="228"/>
      <c r="P29" s="228"/>
      <c r="Q29" s="228"/>
      <c r="R29" s="65"/>
      <c r="S29" s="65"/>
      <c r="T29" s="65"/>
      <c r="U29" s="65"/>
      <c r="V29" s="65"/>
      <c r="W29" s="65"/>
      <c r="X29" s="65"/>
      <c r="Y29" s="65"/>
    </row>
    <row r="30" spans="1:25">
      <c r="A30" s="6"/>
      <c r="B30" s="6"/>
      <c r="C30" s="7"/>
      <c r="D30" s="7"/>
      <c r="E30" s="7"/>
      <c r="F30" s="7"/>
      <c r="G30" s="7"/>
      <c r="H30" s="7"/>
      <c r="I30" s="7"/>
      <c r="J30" s="7"/>
      <c r="K30" s="7"/>
      <c r="L30" s="228"/>
      <c r="M30" s="228"/>
      <c r="N30" s="228"/>
      <c r="O30" s="228"/>
      <c r="P30" s="228"/>
      <c r="Q30" s="228"/>
      <c r="R30" s="65"/>
      <c r="S30" s="65"/>
      <c r="T30" s="65"/>
      <c r="U30" s="65"/>
      <c r="V30" s="65"/>
      <c r="W30" s="65"/>
      <c r="X30" s="65"/>
      <c r="Y30" s="65"/>
    </row>
    <row r="31" spans="1:25">
      <c r="A31" s="6"/>
      <c r="B31" s="6"/>
      <c r="C31" s="7"/>
      <c r="D31" s="7"/>
      <c r="E31" s="7"/>
      <c r="F31" s="7"/>
      <c r="G31" s="7"/>
      <c r="H31" s="7"/>
      <c r="I31" s="7"/>
      <c r="J31" s="7"/>
      <c r="K31" s="7"/>
      <c r="L31" s="228"/>
      <c r="M31" s="228"/>
      <c r="N31" s="228"/>
      <c r="O31" s="228"/>
      <c r="P31" s="228"/>
      <c r="Q31" s="228"/>
      <c r="R31" s="65"/>
      <c r="S31" s="65"/>
      <c r="T31" s="65"/>
      <c r="U31" s="65"/>
      <c r="V31" s="65"/>
      <c r="W31" s="65"/>
      <c r="X31" s="65"/>
      <c r="Y31" s="65"/>
    </row>
    <row r="32" spans="1:25">
      <c r="A32" s="6"/>
      <c r="B32" s="6"/>
      <c r="C32" s="229" t="s">
        <v>117</v>
      </c>
      <c r="D32" s="230"/>
      <c r="E32" s="230"/>
      <c r="F32" s="231"/>
      <c r="G32" s="7"/>
      <c r="H32" s="7"/>
      <c r="I32" s="7"/>
      <c r="J32" s="7"/>
      <c r="K32" s="7"/>
      <c r="L32" s="7"/>
      <c r="M32" s="7"/>
      <c r="N32" s="7"/>
      <c r="O32" s="7"/>
      <c r="P32" s="7"/>
      <c r="Q32" s="7"/>
      <c r="R32" s="65"/>
      <c r="S32" s="65"/>
      <c r="T32" s="65"/>
      <c r="U32" s="65"/>
      <c r="V32" s="65"/>
      <c r="W32" s="65"/>
      <c r="X32" s="65"/>
      <c r="Y32" s="65"/>
    </row>
    <row r="33" spans="1:25">
      <c r="A33" s="6"/>
      <c r="B33" s="6"/>
      <c r="C33" s="232"/>
      <c r="D33" s="233"/>
      <c r="E33" s="233"/>
      <c r="F33" s="234"/>
      <c r="G33" s="7"/>
      <c r="H33" s="7"/>
      <c r="I33" s="7"/>
      <c r="J33" s="7"/>
      <c r="K33" s="7"/>
      <c r="L33" s="7"/>
      <c r="M33" s="7"/>
      <c r="N33" s="7"/>
      <c r="O33" s="7"/>
      <c r="P33" s="7"/>
      <c r="Q33" s="7"/>
      <c r="R33" s="65"/>
      <c r="S33" s="65"/>
      <c r="T33" s="65"/>
      <c r="U33" s="65"/>
      <c r="V33" s="65"/>
      <c r="W33" s="65"/>
      <c r="X33" s="65"/>
      <c r="Y33" s="65"/>
    </row>
    <row r="34" spans="1:25">
      <c r="A34" s="6"/>
      <c r="B34" s="6"/>
      <c r="C34" s="235"/>
      <c r="D34" s="236"/>
      <c r="E34" s="236"/>
      <c r="F34" s="237"/>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L25:Q31"/>
    <mergeCell ref="C32:F34"/>
    <mergeCell ref="M5:P5"/>
    <mergeCell ref="M6:P6"/>
    <mergeCell ref="M7:N8"/>
    <mergeCell ref="O7:O8"/>
    <mergeCell ref="P7:P8"/>
    <mergeCell ref="M9:N9"/>
    <mergeCell ref="M4:N4"/>
    <mergeCell ref="S4:V4"/>
    <mergeCell ref="C5:C6"/>
    <mergeCell ref="J5:J6"/>
    <mergeCell ref="S14:V1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77" t="s">
        <v>127</v>
      </c>
      <c r="O4" s="178"/>
      <c r="P4" s="178"/>
      <c r="Q4" s="112"/>
      <c r="R4" s="7"/>
      <c r="S4" s="256" t="s">
        <v>139</v>
      </c>
      <c r="T4" s="257"/>
      <c r="U4" s="257"/>
      <c r="V4" s="258"/>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69" t="s">
        <v>4</v>
      </c>
      <c r="G5" s="169" t="s">
        <v>128</v>
      </c>
      <c r="H5" s="169" t="s">
        <v>134</v>
      </c>
      <c r="I5" s="169" t="s">
        <v>135</v>
      </c>
      <c r="J5" s="252" t="s">
        <v>136</v>
      </c>
      <c r="K5" s="252"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0"/>
      <c r="G6" s="170"/>
      <c r="H6" s="170"/>
      <c r="I6" s="186"/>
      <c r="J6" s="170"/>
      <c r="K6" s="170"/>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SQRT((AD2/P9)/AD4)</f>
        <v>3.2987954138884175</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9" t="s">
        <v>129</v>
      </c>
      <c r="O7" s="169" t="s">
        <v>130</v>
      </c>
      <c r="P7" s="169" t="s">
        <v>60</v>
      </c>
      <c r="Q7" s="169"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0"/>
      <c r="O8" s="170"/>
      <c r="P8" s="170"/>
      <c r="Q8" s="170"/>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TDIST(ABS(O9),F7-2,2)</f>
        <v>1.0898285741756707E-3</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69" t="s">
        <v>129</v>
      </c>
      <c r="O13" s="169" t="s">
        <v>87</v>
      </c>
      <c r="P13" s="254" t="s">
        <v>16</v>
      </c>
      <c r="Q13" s="255"/>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0"/>
      <c r="O14" s="170"/>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48" t="s">
        <v>131</v>
      </c>
      <c r="K15" s="249"/>
      <c r="L15" s="7"/>
      <c r="M15" s="7"/>
      <c r="N15" s="11">
        <f>N9</f>
        <v>14.465557464360248</v>
      </c>
      <c r="O15" s="11">
        <f>AD6*ROUND(_xlfn.T.INV.2T(1-N12,P9),3)</f>
        <v>7.2606487059684071</v>
      </c>
      <c r="P15" s="71">
        <f>N15-O15</f>
        <v>7.2049087583918414</v>
      </c>
      <c r="Q15" s="11">
        <f>N15+O15</f>
        <v>21.726206170328656</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0" t="s">
        <v>132</v>
      </c>
      <c r="K16" s="173"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1"/>
      <c r="K17" s="174"/>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53" t="s">
        <v>165</v>
      </c>
      <c r="T20" s="253"/>
      <c r="U20" s="253"/>
      <c r="V20" s="253"/>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S20:V20"/>
    <mergeCell ref="N13:N14"/>
    <mergeCell ref="O13:O14"/>
    <mergeCell ref="P13:Q13"/>
    <mergeCell ref="S4:V4"/>
    <mergeCell ref="N7:N8"/>
    <mergeCell ref="O7:O8"/>
    <mergeCell ref="P7:P8"/>
    <mergeCell ref="Q7:Q8"/>
    <mergeCell ref="J16:J17"/>
    <mergeCell ref="K16:K17"/>
    <mergeCell ref="N4:P4"/>
    <mergeCell ref="K5:K6"/>
    <mergeCell ref="J5:J6"/>
    <mergeCell ref="F5:F6"/>
    <mergeCell ref="G5:G6"/>
    <mergeCell ref="H5:H6"/>
    <mergeCell ref="I5:I6"/>
    <mergeCell ref="J15:K15"/>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520004-9DD9-4803-9A6C-6B74106C224C}">
  <ds:schemaRefs>
    <ds:schemaRef ds:uri="http://schemas.microsoft.com/sharepoint/v3/contenttype/forms"/>
  </ds:schemaRefs>
</ds:datastoreItem>
</file>

<file path=customXml/itemProps2.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2021-11-30T20:21:56Z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