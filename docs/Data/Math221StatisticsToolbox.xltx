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Ex3.xml" ContentType="application/vnd.ms-office.chartex+xml"/>
  <Override PartName="/xl/charts/style5.xml" ContentType="application/vnd.ms-office.chartstyle+xml"/>
  <Override PartName="/xl/charts/colors5.xml" ContentType="application/vnd.ms-office.chartcolorstyle+xml"/>
  <Override PartName="/xl/charts/chart3.xml" ContentType="application/vnd.openxmlformats-officedocument.drawingml.chart+xml"/>
  <Override PartName="/xl/charts/style6.xml" ContentType="application/vnd.ms-office.chartstyle+xml"/>
  <Override PartName="/xl/charts/colors6.xml" ContentType="application/vnd.ms-office.chartcolorstyle+xml"/>
  <Override PartName="/xl/charts/chart4.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omments1.xml" ContentType="application/vnd.openxmlformats-officedocument.spreadsheetml.comments+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omments2.xml" ContentType="application/vnd.openxmlformats-officedocument.spreadsheetml.comments+xml"/>
  <Override PartName="/xl/charts/chart6.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7.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13.xml" ContentType="application/vnd.ms-office.chartstyle+xml"/>
  <Override PartName="/xl/charts/colors13.xml" ContentType="application/vnd.ms-office.chartcolorstyle+xml"/>
  <Override PartName="/xl/charts/chart10.xml" ContentType="application/vnd.openxmlformats-officedocument.drawingml.chart+xml"/>
  <Override PartName="/xl/charts/style14.xml" ContentType="application/vnd.ms-office.chartstyle+xml"/>
  <Override PartName="/xl/charts/colors14.xml" ContentType="application/vnd.ms-office.chartcolorstyle+xml"/>
  <Override PartName="/xl/charts/chart11.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workbookPr codeName="ThisWorkbook" defaultThemeVersion="166925"/>
  <mc:AlternateContent xmlns:mc="http://schemas.openxmlformats.org/markup-compatibility/2006">
    <mc:Choice Requires="x15">
      <x15ac:absPath xmlns:x15ac="http://schemas.microsoft.com/office/spreadsheetml/2010/11/ac" url="/Users/ghsaund/Documents/GitHub/BYUI_M221_Book_Sandbox/docs/Data/"/>
    </mc:Choice>
  </mc:AlternateContent>
  <xr:revisionPtr revIDLastSave="0" documentId="8_{62B9260E-012C-E449-AFF2-4EC078292DFE}" xr6:coauthVersionLast="47" xr6:coauthVersionMax="47" xr10:uidLastSave="{00000000-0000-0000-0000-000000000000}"/>
  <bookViews>
    <workbookView xWindow="16120" yWindow="5180" windowWidth="25120" windowHeight="16440" xr2:uid="{00000000-000D-0000-FFFF-FFFF00000000}"/>
  </bookViews>
  <sheets>
    <sheet name="One Sample t Test" sheetId="1" r:id="rId1"/>
    <sheet name="Paired Data t Test" sheetId="2" r:id="rId2"/>
    <sheet name="Independent Samples t Test" sheetId="3" r:id="rId3"/>
    <sheet name="ANOVA" sheetId="13" r:id="rId4"/>
    <sheet name="One Proportion" sheetId="14" r:id="rId5"/>
    <sheet name="Two Proportions" sheetId="15" r:id="rId6"/>
    <sheet name="Chi Square" sheetId="7" r:id="rId7"/>
    <sheet name="Linear Regression" sheetId="8" r:id="rId8"/>
  </sheets>
  <definedNames>
    <definedName name="_xlchart.v1.0" hidden="1">'One Sample t Test'!$A$2:$A$1001</definedName>
    <definedName name="_xlchart.v1.1" hidden="1">'Paired Data t Test'!$C$2:$C$1002</definedName>
    <definedName name="_xlchart.v1.10" hidden="1">ANOVA!$E$2:$E$1000</definedName>
    <definedName name="_xlchart.v1.11" hidden="1">ANOVA!$F$2:$F$1000</definedName>
    <definedName name="_xlchart.v1.12" hidden="1">ANOVA!$G$2:$G$1000</definedName>
    <definedName name="_xlchart.v1.13" hidden="1">ANOVA!$I$10</definedName>
    <definedName name="_xlchart.v1.14" hidden="1">ANOVA!$I$11</definedName>
    <definedName name="_xlchart.v1.15" hidden="1">ANOVA!$I$12</definedName>
    <definedName name="_xlchart.v1.16" hidden="1">ANOVA!$I$13</definedName>
    <definedName name="_xlchart.v1.17" hidden="1">ANOVA!$I$7</definedName>
    <definedName name="_xlchart.v1.18" hidden="1">ANOVA!$I$8</definedName>
    <definedName name="_xlchart.v1.19" hidden="1">ANOVA!$I$9</definedName>
    <definedName name="_xlchart.v1.2" hidden="1">'Independent Samples t Test'!$A$2:$A$1002</definedName>
    <definedName name="_xlchart.v1.3" hidden="1">'Independent Samples t Test'!$B$2:$B$1002</definedName>
    <definedName name="_xlchart.v1.4" hidden="1">'Independent Samples t Test'!$L$7</definedName>
    <definedName name="_xlchart.v1.5" hidden="1">'Independent Samples t Test'!$L$8</definedName>
    <definedName name="_xlchart.v1.6" hidden="1">ANOVA!$A$2:$A$1000</definedName>
    <definedName name="_xlchart.v1.7" hidden="1">ANOVA!$B$2:$B$1000</definedName>
    <definedName name="_xlchart.v1.8" hidden="1">ANOVA!$C$2:$C$1000</definedName>
    <definedName name="_xlchart.v1.9" hidden="1">ANOVA!$D$2:$D$1000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D6" i="8" l="1"/>
  <c r="O15" i="8" s="1"/>
  <c r="P10" i="14" l="1"/>
  <c r="P9" i="14"/>
  <c r="P7" i="14"/>
  <c r="P6" i="14"/>
  <c r="P10" i="15"/>
  <c r="P9" i="15"/>
  <c r="P7" i="15"/>
  <c r="P6" i="15"/>
  <c r="J14" i="14"/>
  <c r="J16" i="15"/>
  <c r="E8" i="15"/>
  <c r="J10" i="15" s="1"/>
  <c r="E7" i="15"/>
  <c r="I10" i="15" s="1"/>
  <c r="E7" i="14"/>
  <c r="I9" i="14" s="1"/>
  <c r="K9" i="14" s="1"/>
  <c r="Y6" i="7"/>
  <c r="X6" i="7"/>
  <c r="W6" i="7"/>
  <c r="V6" i="7"/>
  <c r="U6" i="7"/>
  <c r="T6" i="7"/>
  <c r="AE41" i="8"/>
  <c r="AE53" i="8"/>
  <c r="AE59" i="8"/>
  <c r="AE71" i="8"/>
  <c r="AE95" i="8"/>
  <c r="AE107" i="8"/>
  <c r="AE113" i="8"/>
  <c r="AE125" i="8"/>
  <c r="AE149" i="8"/>
  <c r="AE161" i="8"/>
  <c r="AE167" i="8"/>
  <c r="AE179" i="8"/>
  <c r="AE203" i="8"/>
  <c r="AE215" i="8"/>
  <c r="AE221" i="8"/>
  <c r="AE233" i="8"/>
  <c r="AE257" i="8"/>
  <c r="AE269" i="8"/>
  <c r="AE275" i="8"/>
  <c r="AE287" i="8"/>
  <c r="AE311" i="8"/>
  <c r="AE323" i="8"/>
  <c r="AE329" i="8"/>
  <c r="AE341" i="8"/>
  <c r="AE365" i="8"/>
  <c r="AE377" i="8"/>
  <c r="AE383" i="8"/>
  <c r="AE395" i="8"/>
  <c r="AE419" i="8"/>
  <c r="AE443" i="8"/>
  <c r="AE449" i="8"/>
  <c r="AE455" i="8"/>
  <c r="AE461" i="8"/>
  <c r="AE485" i="8"/>
  <c r="AE497" i="8"/>
  <c r="AB3" i="8"/>
  <c r="AB4" i="8"/>
  <c r="AB5" i="8"/>
  <c r="AB6" i="8"/>
  <c r="AB7" i="8"/>
  <c r="AB8" i="8"/>
  <c r="AB9" i="8"/>
  <c r="AB10" i="8"/>
  <c r="AB11" i="8"/>
  <c r="AB12" i="8"/>
  <c r="AB13" i="8"/>
  <c r="AB14" i="8"/>
  <c r="AB15" i="8"/>
  <c r="AB16" i="8"/>
  <c r="AB17" i="8"/>
  <c r="AB18" i="8"/>
  <c r="AB19" i="8"/>
  <c r="AB20" i="8"/>
  <c r="AB21" i="8"/>
  <c r="AB22" i="8"/>
  <c r="AB23" i="8"/>
  <c r="AB24" i="8"/>
  <c r="AB25" i="8"/>
  <c r="AB26" i="8"/>
  <c r="AB27" i="8"/>
  <c r="AB28" i="8"/>
  <c r="AB29" i="8"/>
  <c r="AB30" i="8"/>
  <c r="AB31" i="8"/>
  <c r="AB32" i="8"/>
  <c r="AE32" i="8" s="1"/>
  <c r="AB33" i="8"/>
  <c r="AE33" i="8" s="1"/>
  <c r="AB34" i="8"/>
  <c r="AE34" i="8" s="1"/>
  <c r="AB35" i="8"/>
  <c r="AE35" i="8" s="1"/>
  <c r="AB36" i="8"/>
  <c r="AE36" i="8" s="1"/>
  <c r="AB37" i="8"/>
  <c r="AE37" i="8" s="1"/>
  <c r="AB38" i="8"/>
  <c r="AE38" i="8" s="1"/>
  <c r="AB39" i="8"/>
  <c r="AE39" i="8" s="1"/>
  <c r="AB40" i="8"/>
  <c r="AE40" i="8" s="1"/>
  <c r="AB41" i="8"/>
  <c r="AB42" i="8"/>
  <c r="AE42" i="8" s="1"/>
  <c r="AB43" i="8"/>
  <c r="AE43" i="8" s="1"/>
  <c r="AB44" i="8"/>
  <c r="AE44" i="8" s="1"/>
  <c r="AB45" i="8"/>
  <c r="AE45" i="8" s="1"/>
  <c r="AB46" i="8"/>
  <c r="AE46" i="8" s="1"/>
  <c r="AB47" i="8"/>
  <c r="AE47" i="8" s="1"/>
  <c r="AB48" i="8"/>
  <c r="AE48" i="8" s="1"/>
  <c r="AB49" i="8"/>
  <c r="AE49" i="8" s="1"/>
  <c r="AB50" i="8"/>
  <c r="AE50" i="8" s="1"/>
  <c r="AB51" i="8"/>
  <c r="AE51" i="8" s="1"/>
  <c r="AB52" i="8"/>
  <c r="AE52" i="8" s="1"/>
  <c r="AB53" i="8"/>
  <c r="AB54" i="8"/>
  <c r="AE54" i="8" s="1"/>
  <c r="AB55" i="8"/>
  <c r="AE55" i="8" s="1"/>
  <c r="AB56" i="8"/>
  <c r="AE56" i="8" s="1"/>
  <c r="AB57" i="8"/>
  <c r="AE57" i="8" s="1"/>
  <c r="AB58" i="8"/>
  <c r="AE58" i="8" s="1"/>
  <c r="AB59" i="8"/>
  <c r="AB60" i="8"/>
  <c r="AE60" i="8" s="1"/>
  <c r="AB61" i="8"/>
  <c r="AE61" i="8" s="1"/>
  <c r="AB62" i="8"/>
  <c r="AE62" i="8" s="1"/>
  <c r="AB63" i="8"/>
  <c r="AE63" i="8" s="1"/>
  <c r="AB64" i="8"/>
  <c r="AE64" i="8" s="1"/>
  <c r="AB65" i="8"/>
  <c r="AE65" i="8" s="1"/>
  <c r="AB66" i="8"/>
  <c r="AE66" i="8" s="1"/>
  <c r="AB67" i="8"/>
  <c r="AE67" i="8" s="1"/>
  <c r="AB68" i="8"/>
  <c r="AE68" i="8" s="1"/>
  <c r="AB69" i="8"/>
  <c r="AE69" i="8" s="1"/>
  <c r="AB70" i="8"/>
  <c r="AE70" i="8" s="1"/>
  <c r="AB71" i="8"/>
  <c r="AB72" i="8"/>
  <c r="AE72" i="8" s="1"/>
  <c r="AB73" i="8"/>
  <c r="AE73" i="8" s="1"/>
  <c r="AB74" i="8"/>
  <c r="AE74" i="8" s="1"/>
  <c r="AB75" i="8"/>
  <c r="AE75" i="8" s="1"/>
  <c r="AB76" i="8"/>
  <c r="AE76" i="8" s="1"/>
  <c r="AB77" i="8"/>
  <c r="AE77" i="8" s="1"/>
  <c r="AB78" i="8"/>
  <c r="AE78" i="8" s="1"/>
  <c r="AB79" i="8"/>
  <c r="AE79" i="8" s="1"/>
  <c r="AB80" i="8"/>
  <c r="AE80" i="8" s="1"/>
  <c r="AB81" i="8"/>
  <c r="AE81" i="8" s="1"/>
  <c r="AB82" i="8"/>
  <c r="AE82" i="8" s="1"/>
  <c r="AB83" i="8"/>
  <c r="AE83" i="8" s="1"/>
  <c r="AB84" i="8"/>
  <c r="AE84" i="8" s="1"/>
  <c r="AB85" i="8"/>
  <c r="AE85" i="8" s="1"/>
  <c r="AB86" i="8"/>
  <c r="AE86" i="8" s="1"/>
  <c r="AB87" i="8"/>
  <c r="AE87" i="8" s="1"/>
  <c r="AB88" i="8"/>
  <c r="AE88" i="8" s="1"/>
  <c r="AB89" i="8"/>
  <c r="AE89" i="8" s="1"/>
  <c r="AB90" i="8"/>
  <c r="AE90" i="8" s="1"/>
  <c r="AB91" i="8"/>
  <c r="AE91" i="8" s="1"/>
  <c r="AB92" i="8"/>
  <c r="AE92" i="8" s="1"/>
  <c r="AB93" i="8"/>
  <c r="AE93" i="8" s="1"/>
  <c r="AB94" i="8"/>
  <c r="AE94" i="8" s="1"/>
  <c r="AB95" i="8"/>
  <c r="AB96" i="8"/>
  <c r="AE96" i="8" s="1"/>
  <c r="AB97" i="8"/>
  <c r="AE97" i="8" s="1"/>
  <c r="AB98" i="8"/>
  <c r="AE98" i="8" s="1"/>
  <c r="AB99" i="8"/>
  <c r="AE99" i="8" s="1"/>
  <c r="AB100" i="8"/>
  <c r="AE100" i="8" s="1"/>
  <c r="AB101" i="8"/>
  <c r="AE101" i="8" s="1"/>
  <c r="AB102" i="8"/>
  <c r="AE102" i="8" s="1"/>
  <c r="AB103" i="8"/>
  <c r="AE103" i="8" s="1"/>
  <c r="AB104" i="8"/>
  <c r="AE104" i="8" s="1"/>
  <c r="AB105" i="8"/>
  <c r="AE105" i="8" s="1"/>
  <c r="AB106" i="8"/>
  <c r="AE106" i="8" s="1"/>
  <c r="AB107" i="8"/>
  <c r="AB108" i="8"/>
  <c r="AE108" i="8" s="1"/>
  <c r="AB109" i="8"/>
  <c r="AE109" i="8" s="1"/>
  <c r="AB110" i="8"/>
  <c r="AE110" i="8" s="1"/>
  <c r="AB111" i="8"/>
  <c r="AE111" i="8" s="1"/>
  <c r="AB112" i="8"/>
  <c r="AE112" i="8" s="1"/>
  <c r="AB113" i="8"/>
  <c r="AB114" i="8"/>
  <c r="AE114" i="8" s="1"/>
  <c r="AB115" i="8"/>
  <c r="AE115" i="8" s="1"/>
  <c r="AB116" i="8"/>
  <c r="AE116" i="8" s="1"/>
  <c r="AB117" i="8"/>
  <c r="AE117" i="8" s="1"/>
  <c r="AB118" i="8"/>
  <c r="AE118" i="8" s="1"/>
  <c r="AB119" i="8"/>
  <c r="AE119" i="8" s="1"/>
  <c r="AB120" i="8"/>
  <c r="AE120" i="8" s="1"/>
  <c r="AB121" i="8"/>
  <c r="AE121" i="8" s="1"/>
  <c r="AB122" i="8"/>
  <c r="AE122" i="8" s="1"/>
  <c r="AB123" i="8"/>
  <c r="AE123" i="8" s="1"/>
  <c r="AB124" i="8"/>
  <c r="AE124" i="8" s="1"/>
  <c r="AB125" i="8"/>
  <c r="AB126" i="8"/>
  <c r="AE126" i="8" s="1"/>
  <c r="AB127" i="8"/>
  <c r="AE127" i="8" s="1"/>
  <c r="AB128" i="8"/>
  <c r="AE128" i="8" s="1"/>
  <c r="AB129" i="8"/>
  <c r="AE129" i="8" s="1"/>
  <c r="AB130" i="8"/>
  <c r="AE130" i="8" s="1"/>
  <c r="AB131" i="8"/>
  <c r="AE131" i="8" s="1"/>
  <c r="AB132" i="8"/>
  <c r="AE132" i="8" s="1"/>
  <c r="AB133" i="8"/>
  <c r="AE133" i="8" s="1"/>
  <c r="AB134" i="8"/>
  <c r="AE134" i="8" s="1"/>
  <c r="AB135" i="8"/>
  <c r="AE135" i="8" s="1"/>
  <c r="AB136" i="8"/>
  <c r="AE136" i="8" s="1"/>
  <c r="AB137" i="8"/>
  <c r="AE137" i="8" s="1"/>
  <c r="AB138" i="8"/>
  <c r="AE138" i="8" s="1"/>
  <c r="AB139" i="8"/>
  <c r="AE139" i="8" s="1"/>
  <c r="AB140" i="8"/>
  <c r="AE140" i="8" s="1"/>
  <c r="AB141" i="8"/>
  <c r="AE141" i="8" s="1"/>
  <c r="AB142" i="8"/>
  <c r="AE142" i="8" s="1"/>
  <c r="AB143" i="8"/>
  <c r="AE143" i="8" s="1"/>
  <c r="AB144" i="8"/>
  <c r="AE144" i="8" s="1"/>
  <c r="AB145" i="8"/>
  <c r="AE145" i="8" s="1"/>
  <c r="AB146" i="8"/>
  <c r="AE146" i="8" s="1"/>
  <c r="AB147" i="8"/>
  <c r="AE147" i="8" s="1"/>
  <c r="AB148" i="8"/>
  <c r="AE148" i="8" s="1"/>
  <c r="AB149" i="8"/>
  <c r="AB150" i="8"/>
  <c r="AE150" i="8" s="1"/>
  <c r="AB151" i="8"/>
  <c r="AE151" i="8" s="1"/>
  <c r="AB152" i="8"/>
  <c r="AE152" i="8" s="1"/>
  <c r="AB153" i="8"/>
  <c r="AE153" i="8" s="1"/>
  <c r="AB154" i="8"/>
  <c r="AE154" i="8" s="1"/>
  <c r="AB155" i="8"/>
  <c r="AE155" i="8" s="1"/>
  <c r="AB156" i="8"/>
  <c r="AE156" i="8" s="1"/>
  <c r="AB157" i="8"/>
  <c r="AE157" i="8" s="1"/>
  <c r="AB158" i="8"/>
  <c r="AE158" i="8" s="1"/>
  <c r="AB159" i="8"/>
  <c r="AE159" i="8" s="1"/>
  <c r="AB160" i="8"/>
  <c r="AE160" i="8" s="1"/>
  <c r="AB161" i="8"/>
  <c r="AB162" i="8"/>
  <c r="AE162" i="8" s="1"/>
  <c r="AB163" i="8"/>
  <c r="AE163" i="8" s="1"/>
  <c r="AB164" i="8"/>
  <c r="AE164" i="8" s="1"/>
  <c r="AB165" i="8"/>
  <c r="AE165" i="8" s="1"/>
  <c r="AB166" i="8"/>
  <c r="AE166" i="8" s="1"/>
  <c r="AB167" i="8"/>
  <c r="AB168" i="8"/>
  <c r="AE168" i="8" s="1"/>
  <c r="AB169" i="8"/>
  <c r="AE169" i="8" s="1"/>
  <c r="AB170" i="8"/>
  <c r="AE170" i="8" s="1"/>
  <c r="AB171" i="8"/>
  <c r="AE171" i="8" s="1"/>
  <c r="AB172" i="8"/>
  <c r="AE172" i="8" s="1"/>
  <c r="AB173" i="8"/>
  <c r="AE173" i="8" s="1"/>
  <c r="AB174" i="8"/>
  <c r="AE174" i="8" s="1"/>
  <c r="AB175" i="8"/>
  <c r="AE175" i="8" s="1"/>
  <c r="AB176" i="8"/>
  <c r="AE176" i="8" s="1"/>
  <c r="AB177" i="8"/>
  <c r="AE177" i="8" s="1"/>
  <c r="AB178" i="8"/>
  <c r="AE178" i="8" s="1"/>
  <c r="AB179" i="8"/>
  <c r="AB180" i="8"/>
  <c r="AE180" i="8" s="1"/>
  <c r="AB181" i="8"/>
  <c r="AE181" i="8" s="1"/>
  <c r="AB182" i="8"/>
  <c r="AE182" i="8" s="1"/>
  <c r="AB183" i="8"/>
  <c r="AE183" i="8" s="1"/>
  <c r="AB184" i="8"/>
  <c r="AE184" i="8" s="1"/>
  <c r="AB185" i="8"/>
  <c r="AE185" i="8" s="1"/>
  <c r="AB186" i="8"/>
  <c r="AE186" i="8" s="1"/>
  <c r="AB187" i="8"/>
  <c r="AE187" i="8" s="1"/>
  <c r="AB188" i="8"/>
  <c r="AE188" i="8" s="1"/>
  <c r="AB189" i="8"/>
  <c r="AE189" i="8" s="1"/>
  <c r="AB190" i="8"/>
  <c r="AE190" i="8" s="1"/>
  <c r="AB191" i="8"/>
  <c r="AE191" i="8" s="1"/>
  <c r="AB192" i="8"/>
  <c r="AE192" i="8" s="1"/>
  <c r="AB193" i="8"/>
  <c r="AE193" i="8" s="1"/>
  <c r="AB194" i="8"/>
  <c r="AE194" i="8" s="1"/>
  <c r="AB195" i="8"/>
  <c r="AE195" i="8" s="1"/>
  <c r="AB196" i="8"/>
  <c r="AE196" i="8" s="1"/>
  <c r="AB197" i="8"/>
  <c r="AE197" i="8" s="1"/>
  <c r="AB198" i="8"/>
  <c r="AE198" i="8" s="1"/>
  <c r="AB199" i="8"/>
  <c r="AE199" i="8" s="1"/>
  <c r="AB200" i="8"/>
  <c r="AE200" i="8" s="1"/>
  <c r="AB201" i="8"/>
  <c r="AE201" i="8" s="1"/>
  <c r="AB202" i="8"/>
  <c r="AE202" i="8" s="1"/>
  <c r="AB203" i="8"/>
  <c r="AB204" i="8"/>
  <c r="AE204" i="8" s="1"/>
  <c r="AB205" i="8"/>
  <c r="AE205" i="8" s="1"/>
  <c r="AB206" i="8"/>
  <c r="AE206" i="8" s="1"/>
  <c r="AB207" i="8"/>
  <c r="AE207" i="8" s="1"/>
  <c r="AB208" i="8"/>
  <c r="AE208" i="8" s="1"/>
  <c r="AB209" i="8"/>
  <c r="AE209" i="8" s="1"/>
  <c r="AB210" i="8"/>
  <c r="AE210" i="8" s="1"/>
  <c r="AB211" i="8"/>
  <c r="AE211" i="8" s="1"/>
  <c r="AB212" i="8"/>
  <c r="AE212" i="8" s="1"/>
  <c r="AB213" i="8"/>
  <c r="AE213" i="8" s="1"/>
  <c r="AB214" i="8"/>
  <c r="AE214" i="8" s="1"/>
  <c r="AB215" i="8"/>
  <c r="AB216" i="8"/>
  <c r="AE216" i="8" s="1"/>
  <c r="AB217" i="8"/>
  <c r="AE217" i="8" s="1"/>
  <c r="AB218" i="8"/>
  <c r="AE218" i="8" s="1"/>
  <c r="AB219" i="8"/>
  <c r="AE219" i="8" s="1"/>
  <c r="AB220" i="8"/>
  <c r="AE220" i="8" s="1"/>
  <c r="AB221" i="8"/>
  <c r="AB222" i="8"/>
  <c r="AE222" i="8" s="1"/>
  <c r="AB223" i="8"/>
  <c r="AE223" i="8" s="1"/>
  <c r="AB224" i="8"/>
  <c r="AE224" i="8" s="1"/>
  <c r="AB225" i="8"/>
  <c r="AE225" i="8" s="1"/>
  <c r="AB226" i="8"/>
  <c r="AE226" i="8" s="1"/>
  <c r="AB227" i="8"/>
  <c r="AE227" i="8" s="1"/>
  <c r="AB228" i="8"/>
  <c r="AE228" i="8" s="1"/>
  <c r="AB229" i="8"/>
  <c r="AE229" i="8" s="1"/>
  <c r="AB230" i="8"/>
  <c r="AE230" i="8" s="1"/>
  <c r="AB231" i="8"/>
  <c r="AE231" i="8" s="1"/>
  <c r="AB232" i="8"/>
  <c r="AE232" i="8" s="1"/>
  <c r="AB233" i="8"/>
  <c r="AB234" i="8"/>
  <c r="AE234" i="8" s="1"/>
  <c r="AB235" i="8"/>
  <c r="AE235" i="8" s="1"/>
  <c r="AB236" i="8"/>
  <c r="AE236" i="8" s="1"/>
  <c r="AB237" i="8"/>
  <c r="AE237" i="8" s="1"/>
  <c r="AB238" i="8"/>
  <c r="AE238" i="8" s="1"/>
  <c r="AB239" i="8"/>
  <c r="AE239" i="8" s="1"/>
  <c r="AB240" i="8"/>
  <c r="AE240" i="8" s="1"/>
  <c r="AB241" i="8"/>
  <c r="AE241" i="8" s="1"/>
  <c r="AB242" i="8"/>
  <c r="AE242" i="8" s="1"/>
  <c r="AB243" i="8"/>
  <c r="AE243" i="8" s="1"/>
  <c r="AB244" i="8"/>
  <c r="AE244" i="8" s="1"/>
  <c r="AB245" i="8"/>
  <c r="AE245" i="8" s="1"/>
  <c r="AB246" i="8"/>
  <c r="AE246" i="8" s="1"/>
  <c r="AB247" i="8"/>
  <c r="AE247" i="8" s="1"/>
  <c r="AB248" i="8"/>
  <c r="AE248" i="8" s="1"/>
  <c r="AB249" i="8"/>
  <c r="AE249" i="8" s="1"/>
  <c r="AB250" i="8"/>
  <c r="AE250" i="8" s="1"/>
  <c r="AB251" i="8"/>
  <c r="AE251" i="8" s="1"/>
  <c r="AB252" i="8"/>
  <c r="AE252" i="8" s="1"/>
  <c r="AB253" i="8"/>
  <c r="AE253" i="8" s="1"/>
  <c r="AB254" i="8"/>
  <c r="AE254" i="8" s="1"/>
  <c r="AB255" i="8"/>
  <c r="AE255" i="8" s="1"/>
  <c r="AB256" i="8"/>
  <c r="AE256" i="8" s="1"/>
  <c r="AB257" i="8"/>
  <c r="AB258" i="8"/>
  <c r="AE258" i="8" s="1"/>
  <c r="AB259" i="8"/>
  <c r="AE259" i="8" s="1"/>
  <c r="AB260" i="8"/>
  <c r="AE260" i="8" s="1"/>
  <c r="AB261" i="8"/>
  <c r="AE261" i="8" s="1"/>
  <c r="AB262" i="8"/>
  <c r="AE262" i="8" s="1"/>
  <c r="AB263" i="8"/>
  <c r="AE263" i="8" s="1"/>
  <c r="AB264" i="8"/>
  <c r="AE264" i="8" s="1"/>
  <c r="AB265" i="8"/>
  <c r="AE265" i="8" s="1"/>
  <c r="AB266" i="8"/>
  <c r="AE266" i="8" s="1"/>
  <c r="AB267" i="8"/>
  <c r="AE267" i="8" s="1"/>
  <c r="AB268" i="8"/>
  <c r="AE268" i="8" s="1"/>
  <c r="AB269" i="8"/>
  <c r="AB270" i="8"/>
  <c r="AE270" i="8" s="1"/>
  <c r="AB271" i="8"/>
  <c r="AE271" i="8" s="1"/>
  <c r="AB272" i="8"/>
  <c r="AE272" i="8" s="1"/>
  <c r="AB273" i="8"/>
  <c r="AE273" i="8" s="1"/>
  <c r="AB274" i="8"/>
  <c r="AE274" i="8" s="1"/>
  <c r="AB275" i="8"/>
  <c r="AB276" i="8"/>
  <c r="AE276" i="8" s="1"/>
  <c r="AB277" i="8"/>
  <c r="AE277" i="8" s="1"/>
  <c r="AB278" i="8"/>
  <c r="AE278" i="8" s="1"/>
  <c r="AB279" i="8"/>
  <c r="AE279" i="8" s="1"/>
  <c r="AB280" i="8"/>
  <c r="AE280" i="8" s="1"/>
  <c r="AB281" i="8"/>
  <c r="AE281" i="8" s="1"/>
  <c r="AB282" i="8"/>
  <c r="AE282" i="8" s="1"/>
  <c r="AB283" i="8"/>
  <c r="AE283" i="8" s="1"/>
  <c r="AB284" i="8"/>
  <c r="AE284" i="8" s="1"/>
  <c r="AB285" i="8"/>
  <c r="AE285" i="8" s="1"/>
  <c r="AB286" i="8"/>
  <c r="AE286" i="8" s="1"/>
  <c r="AB287" i="8"/>
  <c r="AB288" i="8"/>
  <c r="AE288" i="8" s="1"/>
  <c r="AB289" i="8"/>
  <c r="AE289" i="8" s="1"/>
  <c r="AB290" i="8"/>
  <c r="AE290" i="8" s="1"/>
  <c r="AB291" i="8"/>
  <c r="AE291" i="8" s="1"/>
  <c r="AB292" i="8"/>
  <c r="AE292" i="8" s="1"/>
  <c r="AB293" i="8"/>
  <c r="AE293" i="8" s="1"/>
  <c r="AB294" i="8"/>
  <c r="AE294" i="8" s="1"/>
  <c r="AB295" i="8"/>
  <c r="AE295" i="8" s="1"/>
  <c r="AB296" i="8"/>
  <c r="AE296" i="8" s="1"/>
  <c r="AB297" i="8"/>
  <c r="AE297" i="8" s="1"/>
  <c r="AB298" i="8"/>
  <c r="AE298" i="8" s="1"/>
  <c r="AB299" i="8"/>
  <c r="AE299" i="8" s="1"/>
  <c r="AB300" i="8"/>
  <c r="AE300" i="8" s="1"/>
  <c r="AB301" i="8"/>
  <c r="AE301" i="8" s="1"/>
  <c r="AB302" i="8"/>
  <c r="AE302" i="8" s="1"/>
  <c r="AB303" i="8"/>
  <c r="AE303" i="8" s="1"/>
  <c r="AB304" i="8"/>
  <c r="AE304" i="8" s="1"/>
  <c r="AB305" i="8"/>
  <c r="AE305" i="8" s="1"/>
  <c r="AB306" i="8"/>
  <c r="AE306" i="8" s="1"/>
  <c r="AB307" i="8"/>
  <c r="AE307" i="8" s="1"/>
  <c r="AB308" i="8"/>
  <c r="AE308" i="8" s="1"/>
  <c r="AB309" i="8"/>
  <c r="AE309" i="8" s="1"/>
  <c r="AB310" i="8"/>
  <c r="AE310" i="8" s="1"/>
  <c r="AB311" i="8"/>
  <c r="AB312" i="8"/>
  <c r="AE312" i="8" s="1"/>
  <c r="AB313" i="8"/>
  <c r="AE313" i="8" s="1"/>
  <c r="AB314" i="8"/>
  <c r="AE314" i="8" s="1"/>
  <c r="AB315" i="8"/>
  <c r="AE315" i="8" s="1"/>
  <c r="AB316" i="8"/>
  <c r="AE316" i="8" s="1"/>
  <c r="AB317" i="8"/>
  <c r="AE317" i="8" s="1"/>
  <c r="AB318" i="8"/>
  <c r="AE318" i="8" s="1"/>
  <c r="AB319" i="8"/>
  <c r="AE319" i="8" s="1"/>
  <c r="AB320" i="8"/>
  <c r="AE320" i="8" s="1"/>
  <c r="AB321" i="8"/>
  <c r="AE321" i="8" s="1"/>
  <c r="AB322" i="8"/>
  <c r="AE322" i="8" s="1"/>
  <c r="AB323" i="8"/>
  <c r="AB324" i="8"/>
  <c r="AE324" i="8" s="1"/>
  <c r="AB325" i="8"/>
  <c r="AE325" i="8" s="1"/>
  <c r="AB326" i="8"/>
  <c r="AE326" i="8" s="1"/>
  <c r="AB327" i="8"/>
  <c r="AE327" i="8" s="1"/>
  <c r="AB328" i="8"/>
  <c r="AE328" i="8" s="1"/>
  <c r="AB329" i="8"/>
  <c r="AB330" i="8"/>
  <c r="AE330" i="8" s="1"/>
  <c r="AB331" i="8"/>
  <c r="AE331" i="8" s="1"/>
  <c r="AB332" i="8"/>
  <c r="AE332" i="8" s="1"/>
  <c r="AB333" i="8"/>
  <c r="AE333" i="8" s="1"/>
  <c r="AB334" i="8"/>
  <c r="AE334" i="8" s="1"/>
  <c r="AB335" i="8"/>
  <c r="AE335" i="8" s="1"/>
  <c r="AB336" i="8"/>
  <c r="AE336" i="8" s="1"/>
  <c r="AB337" i="8"/>
  <c r="AE337" i="8" s="1"/>
  <c r="AB338" i="8"/>
  <c r="AE338" i="8" s="1"/>
  <c r="AB339" i="8"/>
  <c r="AE339" i="8" s="1"/>
  <c r="AB340" i="8"/>
  <c r="AE340" i="8" s="1"/>
  <c r="AB341" i="8"/>
  <c r="AB342" i="8"/>
  <c r="AE342" i="8" s="1"/>
  <c r="AB343" i="8"/>
  <c r="AE343" i="8" s="1"/>
  <c r="AB344" i="8"/>
  <c r="AE344" i="8" s="1"/>
  <c r="AB345" i="8"/>
  <c r="AE345" i="8" s="1"/>
  <c r="AB346" i="8"/>
  <c r="AE346" i="8" s="1"/>
  <c r="AB347" i="8"/>
  <c r="AE347" i="8" s="1"/>
  <c r="AB348" i="8"/>
  <c r="AE348" i="8" s="1"/>
  <c r="AB349" i="8"/>
  <c r="AE349" i="8" s="1"/>
  <c r="AB350" i="8"/>
  <c r="AE350" i="8" s="1"/>
  <c r="AB351" i="8"/>
  <c r="AE351" i="8" s="1"/>
  <c r="AB352" i="8"/>
  <c r="AE352" i="8" s="1"/>
  <c r="AB353" i="8"/>
  <c r="AE353" i="8" s="1"/>
  <c r="AB354" i="8"/>
  <c r="AE354" i="8" s="1"/>
  <c r="AB355" i="8"/>
  <c r="AE355" i="8" s="1"/>
  <c r="AB356" i="8"/>
  <c r="AE356" i="8" s="1"/>
  <c r="AB357" i="8"/>
  <c r="AE357" i="8" s="1"/>
  <c r="AB358" i="8"/>
  <c r="AE358" i="8" s="1"/>
  <c r="AB359" i="8"/>
  <c r="AE359" i="8" s="1"/>
  <c r="AB360" i="8"/>
  <c r="AE360" i="8" s="1"/>
  <c r="AB361" i="8"/>
  <c r="AE361" i="8" s="1"/>
  <c r="AB362" i="8"/>
  <c r="AE362" i="8" s="1"/>
  <c r="AB363" i="8"/>
  <c r="AE363" i="8" s="1"/>
  <c r="AB364" i="8"/>
  <c r="AE364" i="8" s="1"/>
  <c r="AB365" i="8"/>
  <c r="AB366" i="8"/>
  <c r="AE366" i="8" s="1"/>
  <c r="AB367" i="8"/>
  <c r="AE367" i="8" s="1"/>
  <c r="AB368" i="8"/>
  <c r="AE368" i="8" s="1"/>
  <c r="AB369" i="8"/>
  <c r="AE369" i="8" s="1"/>
  <c r="AB370" i="8"/>
  <c r="AE370" i="8" s="1"/>
  <c r="AB371" i="8"/>
  <c r="AE371" i="8" s="1"/>
  <c r="AB372" i="8"/>
  <c r="AE372" i="8" s="1"/>
  <c r="AB373" i="8"/>
  <c r="AE373" i="8" s="1"/>
  <c r="AB374" i="8"/>
  <c r="AE374" i="8" s="1"/>
  <c r="AB375" i="8"/>
  <c r="AE375" i="8" s="1"/>
  <c r="AB376" i="8"/>
  <c r="AE376" i="8" s="1"/>
  <c r="AB377" i="8"/>
  <c r="AB378" i="8"/>
  <c r="AE378" i="8" s="1"/>
  <c r="AB379" i="8"/>
  <c r="AE379" i="8" s="1"/>
  <c r="AB380" i="8"/>
  <c r="AE380" i="8" s="1"/>
  <c r="AB381" i="8"/>
  <c r="AE381" i="8" s="1"/>
  <c r="AB382" i="8"/>
  <c r="AE382" i="8" s="1"/>
  <c r="AB383" i="8"/>
  <c r="AB384" i="8"/>
  <c r="AE384" i="8" s="1"/>
  <c r="AB385" i="8"/>
  <c r="AE385" i="8" s="1"/>
  <c r="AB386" i="8"/>
  <c r="AE386" i="8" s="1"/>
  <c r="AB387" i="8"/>
  <c r="AE387" i="8" s="1"/>
  <c r="AB388" i="8"/>
  <c r="AE388" i="8" s="1"/>
  <c r="AB389" i="8"/>
  <c r="AE389" i="8" s="1"/>
  <c r="AB390" i="8"/>
  <c r="AE390" i="8" s="1"/>
  <c r="AB391" i="8"/>
  <c r="AE391" i="8" s="1"/>
  <c r="AB392" i="8"/>
  <c r="AE392" i="8" s="1"/>
  <c r="AB393" i="8"/>
  <c r="AE393" i="8" s="1"/>
  <c r="AB394" i="8"/>
  <c r="AE394" i="8" s="1"/>
  <c r="AB395" i="8"/>
  <c r="AB396" i="8"/>
  <c r="AE396" i="8" s="1"/>
  <c r="AB397" i="8"/>
  <c r="AE397" i="8" s="1"/>
  <c r="AB398" i="8"/>
  <c r="AE398" i="8" s="1"/>
  <c r="AB399" i="8"/>
  <c r="AE399" i="8" s="1"/>
  <c r="AB400" i="8"/>
  <c r="AE400" i="8" s="1"/>
  <c r="AB401" i="8"/>
  <c r="AE401" i="8" s="1"/>
  <c r="AB402" i="8"/>
  <c r="AE402" i="8" s="1"/>
  <c r="AB403" i="8"/>
  <c r="AE403" i="8" s="1"/>
  <c r="AB404" i="8"/>
  <c r="AE404" i="8" s="1"/>
  <c r="AB405" i="8"/>
  <c r="AE405" i="8" s="1"/>
  <c r="AB406" i="8"/>
  <c r="AE406" i="8" s="1"/>
  <c r="AB407" i="8"/>
  <c r="AE407" i="8" s="1"/>
  <c r="AB408" i="8"/>
  <c r="AE408" i="8" s="1"/>
  <c r="AB409" i="8"/>
  <c r="AE409" i="8" s="1"/>
  <c r="AB410" i="8"/>
  <c r="AE410" i="8" s="1"/>
  <c r="AB411" i="8"/>
  <c r="AE411" i="8" s="1"/>
  <c r="AB412" i="8"/>
  <c r="AE412" i="8" s="1"/>
  <c r="AB413" i="8"/>
  <c r="AE413" i="8" s="1"/>
  <c r="AB414" i="8"/>
  <c r="AE414" i="8" s="1"/>
  <c r="AB415" i="8"/>
  <c r="AE415" i="8" s="1"/>
  <c r="AB416" i="8"/>
  <c r="AE416" i="8" s="1"/>
  <c r="AB417" i="8"/>
  <c r="AE417" i="8" s="1"/>
  <c r="AB418" i="8"/>
  <c r="AE418" i="8" s="1"/>
  <c r="AB419" i="8"/>
  <c r="AB420" i="8"/>
  <c r="AE420" i="8" s="1"/>
  <c r="AB421" i="8"/>
  <c r="AE421" i="8" s="1"/>
  <c r="AB422" i="8"/>
  <c r="AE422" i="8" s="1"/>
  <c r="AB423" i="8"/>
  <c r="AE423" i="8" s="1"/>
  <c r="AB424" i="8"/>
  <c r="AE424" i="8" s="1"/>
  <c r="AB425" i="8"/>
  <c r="AE425" i="8" s="1"/>
  <c r="AB426" i="8"/>
  <c r="AE426" i="8" s="1"/>
  <c r="AB427" i="8"/>
  <c r="AE427" i="8" s="1"/>
  <c r="AB428" i="8"/>
  <c r="AE428" i="8" s="1"/>
  <c r="AB429" i="8"/>
  <c r="AE429" i="8" s="1"/>
  <c r="AB430" i="8"/>
  <c r="AE430" i="8" s="1"/>
  <c r="AB431" i="8"/>
  <c r="AE431" i="8" s="1"/>
  <c r="AB432" i="8"/>
  <c r="AE432" i="8" s="1"/>
  <c r="AB433" i="8"/>
  <c r="AE433" i="8" s="1"/>
  <c r="AB434" i="8"/>
  <c r="AE434" i="8" s="1"/>
  <c r="AB435" i="8"/>
  <c r="AE435" i="8" s="1"/>
  <c r="AB436" i="8"/>
  <c r="AE436" i="8" s="1"/>
  <c r="AB437" i="8"/>
  <c r="AE437" i="8" s="1"/>
  <c r="AB438" i="8"/>
  <c r="AE438" i="8" s="1"/>
  <c r="AB439" i="8"/>
  <c r="AE439" i="8" s="1"/>
  <c r="AB440" i="8"/>
  <c r="AE440" i="8" s="1"/>
  <c r="AB441" i="8"/>
  <c r="AE441" i="8" s="1"/>
  <c r="AB442" i="8"/>
  <c r="AE442" i="8" s="1"/>
  <c r="AB443" i="8"/>
  <c r="AB444" i="8"/>
  <c r="AE444" i="8" s="1"/>
  <c r="AB445" i="8"/>
  <c r="AE445" i="8" s="1"/>
  <c r="AB446" i="8"/>
  <c r="AE446" i="8" s="1"/>
  <c r="AB447" i="8"/>
  <c r="AE447" i="8" s="1"/>
  <c r="AB448" i="8"/>
  <c r="AE448" i="8" s="1"/>
  <c r="AB449" i="8"/>
  <c r="AB450" i="8"/>
  <c r="AE450" i="8" s="1"/>
  <c r="AB451" i="8"/>
  <c r="AE451" i="8" s="1"/>
  <c r="AB452" i="8"/>
  <c r="AE452" i="8" s="1"/>
  <c r="AB453" i="8"/>
  <c r="AE453" i="8" s="1"/>
  <c r="AB454" i="8"/>
  <c r="AE454" i="8" s="1"/>
  <c r="AB455" i="8"/>
  <c r="AB456" i="8"/>
  <c r="AE456" i="8" s="1"/>
  <c r="AB457" i="8"/>
  <c r="AE457" i="8" s="1"/>
  <c r="AB458" i="8"/>
  <c r="AE458" i="8" s="1"/>
  <c r="AB459" i="8"/>
  <c r="AE459" i="8" s="1"/>
  <c r="AB460" i="8"/>
  <c r="AE460" i="8" s="1"/>
  <c r="AB461" i="8"/>
  <c r="AB462" i="8"/>
  <c r="AE462" i="8" s="1"/>
  <c r="AB463" i="8"/>
  <c r="AE463" i="8" s="1"/>
  <c r="AB464" i="8"/>
  <c r="AE464" i="8" s="1"/>
  <c r="AB465" i="8"/>
  <c r="AE465" i="8" s="1"/>
  <c r="AB466" i="8"/>
  <c r="AE466" i="8" s="1"/>
  <c r="AB467" i="8"/>
  <c r="AE467" i="8" s="1"/>
  <c r="AB468" i="8"/>
  <c r="AE468" i="8" s="1"/>
  <c r="AB469" i="8"/>
  <c r="AE469" i="8" s="1"/>
  <c r="AB470" i="8"/>
  <c r="AE470" i="8" s="1"/>
  <c r="AB471" i="8"/>
  <c r="AE471" i="8" s="1"/>
  <c r="AB472" i="8"/>
  <c r="AE472" i="8" s="1"/>
  <c r="AB473" i="8"/>
  <c r="AE473" i="8" s="1"/>
  <c r="AB474" i="8"/>
  <c r="AE474" i="8" s="1"/>
  <c r="AB475" i="8"/>
  <c r="AE475" i="8" s="1"/>
  <c r="AB476" i="8"/>
  <c r="AE476" i="8" s="1"/>
  <c r="AB477" i="8"/>
  <c r="AE477" i="8" s="1"/>
  <c r="AB478" i="8"/>
  <c r="AE478" i="8" s="1"/>
  <c r="AB479" i="8"/>
  <c r="AE479" i="8" s="1"/>
  <c r="AB480" i="8"/>
  <c r="AE480" i="8" s="1"/>
  <c r="AB481" i="8"/>
  <c r="AE481" i="8" s="1"/>
  <c r="AB482" i="8"/>
  <c r="AE482" i="8" s="1"/>
  <c r="AB483" i="8"/>
  <c r="AE483" i="8" s="1"/>
  <c r="AB484" i="8"/>
  <c r="AE484" i="8" s="1"/>
  <c r="AB485" i="8"/>
  <c r="AB486" i="8"/>
  <c r="AE486" i="8" s="1"/>
  <c r="AB487" i="8"/>
  <c r="AE487" i="8" s="1"/>
  <c r="AB488" i="8"/>
  <c r="AE488" i="8" s="1"/>
  <c r="AB489" i="8"/>
  <c r="AE489" i="8" s="1"/>
  <c r="AB490" i="8"/>
  <c r="AE490" i="8" s="1"/>
  <c r="AB491" i="8"/>
  <c r="AE491" i="8" s="1"/>
  <c r="AB492" i="8"/>
  <c r="AE492" i="8" s="1"/>
  <c r="AB493" i="8"/>
  <c r="AE493" i="8" s="1"/>
  <c r="AB494" i="8"/>
  <c r="AE494" i="8" s="1"/>
  <c r="AB495" i="8"/>
  <c r="AE495" i="8" s="1"/>
  <c r="AB496" i="8"/>
  <c r="AE496" i="8" s="1"/>
  <c r="AB497" i="8"/>
  <c r="AB498" i="8"/>
  <c r="AE498" i="8" s="1"/>
  <c r="AB499" i="8"/>
  <c r="AE499" i="8" s="1"/>
  <c r="AB500" i="8"/>
  <c r="AE500" i="8" s="1"/>
  <c r="AB501" i="8"/>
  <c r="AE501" i="8" s="1"/>
  <c r="AB502" i="8"/>
  <c r="AE502" i="8" s="1"/>
  <c r="AB503" i="8"/>
  <c r="AE503" i="8" s="1"/>
  <c r="AB504" i="8"/>
  <c r="AE504" i="8" s="1"/>
  <c r="AB505" i="8"/>
  <c r="AE505" i="8" s="1"/>
  <c r="AB506" i="8"/>
  <c r="AE506" i="8" s="1"/>
  <c r="AB507" i="8"/>
  <c r="AE507" i="8" s="1"/>
  <c r="AB508" i="8"/>
  <c r="AE508" i="8" s="1"/>
  <c r="AB509" i="8"/>
  <c r="AE509" i="8" s="1"/>
  <c r="AB510" i="8"/>
  <c r="AE510" i="8" s="1"/>
  <c r="AB511" i="8"/>
  <c r="AE511" i="8" s="1"/>
  <c r="AB512" i="8"/>
  <c r="AE512" i="8" s="1"/>
  <c r="AB513" i="8"/>
  <c r="AE513" i="8" s="1"/>
  <c r="AB514" i="8"/>
  <c r="AE514" i="8" s="1"/>
  <c r="AB515" i="8"/>
  <c r="AE515" i="8" s="1"/>
  <c r="AB516" i="8"/>
  <c r="AE516" i="8" s="1"/>
  <c r="AB517" i="8"/>
  <c r="AE517" i="8" s="1"/>
  <c r="AB518" i="8"/>
  <c r="AE518" i="8" s="1"/>
  <c r="AB519" i="8"/>
  <c r="AE519" i="8" s="1"/>
  <c r="AB520" i="8"/>
  <c r="AE520" i="8" s="1"/>
  <c r="AB521" i="8"/>
  <c r="AE521" i="8" s="1"/>
  <c r="AB522" i="8"/>
  <c r="AE522" i="8" s="1"/>
  <c r="AB523" i="8"/>
  <c r="AE523" i="8" s="1"/>
  <c r="AB524" i="8"/>
  <c r="AE524" i="8" s="1"/>
  <c r="AB525" i="8"/>
  <c r="AE525" i="8" s="1"/>
  <c r="AB526" i="8"/>
  <c r="AE526" i="8" s="1"/>
  <c r="AB527" i="8"/>
  <c r="AE527" i="8" s="1"/>
  <c r="AB528" i="8"/>
  <c r="AE528" i="8" s="1"/>
  <c r="AB529" i="8"/>
  <c r="AE529" i="8" s="1"/>
  <c r="AB530" i="8"/>
  <c r="AE530" i="8" s="1"/>
  <c r="AB531" i="8"/>
  <c r="AE531" i="8" s="1"/>
  <c r="AB532" i="8"/>
  <c r="AE532" i="8" s="1"/>
  <c r="AB533" i="8"/>
  <c r="AE533" i="8" s="1"/>
  <c r="AB534" i="8"/>
  <c r="AE534" i="8" s="1"/>
  <c r="AB535" i="8"/>
  <c r="AE535" i="8" s="1"/>
  <c r="AB536" i="8"/>
  <c r="AE536" i="8" s="1"/>
  <c r="AB537" i="8"/>
  <c r="AE537" i="8" s="1"/>
  <c r="AB538" i="8"/>
  <c r="AE538" i="8" s="1"/>
  <c r="AB539" i="8"/>
  <c r="AE539" i="8" s="1"/>
  <c r="AB540" i="8"/>
  <c r="AE540" i="8" s="1"/>
  <c r="AB541" i="8"/>
  <c r="AE541" i="8" s="1"/>
  <c r="AB542" i="8"/>
  <c r="AE542" i="8" s="1"/>
  <c r="AB543" i="8"/>
  <c r="AE543" i="8" s="1"/>
  <c r="AB544" i="8"/>
  <c r="AE544" i="8" s="1"/>
  <c r="AB545" i="8"/>
  <c r="AE545" i="8" s="1"/>
  <c r="AB546" i="8"/>
  <c r="AE546" i="8" s="1"/>
  <c r="AB547" i="8"/>
  <c r="AE547" i="8" s="1"/>
  <c r="AB548" i="8"/>
  <c r="AE548" i="8" s="1"/>
  <c r="AB549" i="8"/>
  <c r="AE549" i="8" s="1"/>
  <c r="AB550" i="8"/>
  <c r="AE550" i="8" s="1"/>
  <c r="AB551" i="8"/>
  <c r="AE551" i="8" s="1"/>
  <c r="AB552" i="8"/>
  <c r="AE552" i="8" s="1"/>
  <c r="AB553" i="8"/>
  <c r="AE553" i="8" s="1"/>
  <c r="AB554" i="8"/>
  <c r="AE554" i="8" s="1"/>
  <c r="AB555" i="8"/>
  <c r="AE555" i="8" s="1"/>
  <c r="AB556" i="8"/>
  <c r="AE556" i="8" s="1"/>
  <c r="AB557" i="8"/>
  <c r="AE557" i="8" s="1"/>
  <c r="AB558" i="8"/>
  <c r="AE558" i="8" s="1"/>
  <c r="AB559" i="8"/>
  <c r="AE559" i="8" s="1"/>
  <c r="AB560" i="8"/>
  <c r="AE560" i="8" s="1"/>
  <c r="AB561" i="8"/>
  <c r="AE561" i="8" s="1"/>
  <c r="AB562" i="8"/>
  <c r="AE562" i="8" s="1"/>
  <c r="AB563" i="8"/>
  <c r="AE563" i="8" s="1"/>
  <c r="AB564" i="8"/>
  <c r="AE564" i="8" s="1"/>
  <c r="AB565" i="8"/>
  <c r="AE565" i="8" s="1"/>
  <c r="AB566" i="8"/>
  <c r="AE566" i="8" s="1"/>
  <c r="AB567" i="8"/>
  <c r="AE567" i="8" s="1"/>
  <c r="AB568" i="8"/>
  <c r="AE568" i="8" s="1"/>
  <c r="AB569" i="8"/>
  <c r="AE569" i="8" s="1"/>
  <c r="AB570" i="8"/>
  <c r="AE570" i="8" s="1"/>
  <c r="AB571" i="8"/>
  <c r="AE571" i="8" s="1"/>
  <c r="AB572" i="8"/>
  <c r="AE572" i="8" s="1"/>
  <c r="AB573" i="8"/>
  <c r="AE573" i="8" s="1"/>
  <c r="AB574" i="8"/>
  <c r="AE574" i="8" s="1"/>
  <c r="AB575" i="8"/>
  <c r="AE575" i="8" s="1"/>
  <c r="AB576" i="8"/>
  <c r="AE576" i="8" s="1"/>
  <c r="AB577" i="8"/>
  <c r="AE577" i="8" s="1"/>
  <c r="AB578" i="8"/>
  <c r="AE578" i="8" s="1"/>
  <c r="AB579" i="8"/>
  <c r="AE579" i="8" s="1"/>
  <c r="AB580" i="8"/>
  <c r="AE580" i="8" s="1"/>
  <c r="AB581" i="8"/>
  <c r="AE581" i="8" s="1"/>
  <c r="AB582" i="8"/>
  <c r="AE582" i="8" s="1"/>
  <c r="AB583" i="8"/>
  <c r="AE583" i="8" s="1"/>
  <c r="AB584" i="8"/>
  <c r="AE584" i="8" s="1"/>
  <c r="AB585" i="8"/>
  <c r="AE585" i="8" s="1"/>
  <c r="AB586" i="8"/>
  <c r="AE586" i="8" s="1"/>
  <c r="AB587" i="8"/>
  <c r="AE587" i="8" s="1"/>
  <c r="AB588" i="8"/>
  <c r="AE588" i="8" s="1"/>
  <c r="AB589" i="8"/>
  <c r="AE589" i="8" s="1"/>
  <c r="AB590" i="8"/>
  <c r="AE590" i="8" s="1"/>
  <c r="AB591" i="8"/>
  <c r="AE591" i="8" s="1"/>
  <c r="AB592" i="8"/>
  <c r="AE592" i="8" s="1"/>
  <c r="AB593" i="8"/>
  <c r="AE593" i="8" s="1"/>
  <c r="AB594" i="8"/>
  <c r="AE594" i="8" s="1"/>
  <c r="AB595" i="8"/>
  <c r="AE595" i="8" s="1"/>
  <c r="AB596" i="8"/>
  <c r="AE596" i="8" s="1"/>
  <c r="AB597" i="8"/>
  <c r="AE597" i="8" s="1"/>
  <c r="AB598" i="8"/>
  <c r="AE598" i="8" s="1"/>
  <c r="AB599" i="8"/>
  <c r="AE599" i="8" s="1"/>
  <c r="AB600" i="8"/>
  <c r="AE600" i="8" s="1"/>
  <c r="AB601" i="8"/>
  <c r="AE601" i="8" s="1"/>
  <c r="AB602" i="8"/>
  <c r="AE602" i="8" s="1"/>
  <c r="AB603" i="8"/>
  <c r="AE603" i="8" s="1"/>
  <c r="AB604" i="8"/>
  <c r="AE604" i="8" s="1"/>
  <c r="AB605" i="8"/>
  <c r="AE605" i="8" s="1"/>
  <c r="AB606" i="8"/>
  <c r="AE606" i="8" s="1"/>
  <c r="AB607" i="8"/>
  <c r="AE607" i="8" s="1"/>
  <c r="AB608" i="8"/>
  <c r="AE608" i="8" s="1"/>
  <c r="AB609" i="8"/>
  <c r="AE609" i="8" s="1"/>
  <c r="AB610" i="8"/>
  <c r="AE610" i="8" s="1"/>
  <c r="AB611" i="8"/>
  <c r="AE611" i="8" s="1"/>
  <c r="AB612" i="8"/>
  <c r="AE612" i="8" s="1"/>
  <c r="AB613" i="8"/>
  <c r="AE613" i="8" s="1"/>
  <c r="AB614" i="8"/>
  <c r="AE614" i="8" s="1"/>
  <c r="AB615" i="8"/>
  <c r="AE615" i="8" s="1"/>
  <c r="AB616" i="8"/>
  <c r="AE616" i="8" s="1"/>
  <c r="AB617" i="8"/>
  <c r="AE617" i="8" s="1"/>
  <c r="AB618" i="8"/>
  <c r="AE618" i="8" s="1"/>
  <c r="AB619" i="8"/>
  <c r="AE619" i="8" s="1"/>
  <c r="AB620" i="8"/>
  <c r="AE620" i="8" s="1"/>
  <c r="AB621" i="8"/>
  <c r="AE621" i="8" s="1"/>
  <c r="AB622" i="8"/>
  <c r="AE622" i="8" s="1"/>
  <c r="AB623" i="8"/>
  <c r="AE623" i="8" s="1"/>
  <c r="AB624" i="8"/>
  <c r="AE624" i="8" s="1"/>
  <c r="AB625" i="8"/>
  <c r="AE625" i="8" s="1"/>
  <c r="AB626" i="8"/>
  <c r="AE626" i="8" s="1"/>
  <c r="AB627" i="8"/>
  <c r="AE627" i="8" s="1"/>
  <c r="AB628" i="8"/>
  <c r="AE628" i="8" s="1"/>
  <c r="AB629" i="8"/>
  <c r="AE629" i="8" s="1"/>
  <c r="AB630" i="8"/>
  <c r="AE630" i="8" s="1"/>
  <c r="AB631" i="8"/>
  <c r="AE631" i="8" s="1"/>
  <c r="AB632" i="8"/>
  <c r="AE632" i="8" s="1"/>
  <c r="AB633" i="8"/>
  <c r="AE633" i="8" s="1"/>
  <c r="AB634" i="8"/>
  <c r="AE634" i="8" s="1"/>
  <c r="AB635" i="8"/>
  <c r="AE635" i="8" s="1"/>
  <c r="AB636" i="8"/>
  <c r="AE636" i="8" s="1"/>
  <c r="AB637" i="8"/>
  <c r="AE637" i="8" s="1"/>
  <c r="AB638" i="8"/>
  <c r="AE638" i="8" s="1"/>
  <c r="AB639" i="8"/>
  <c r="AE639" i="8" s="1"/>
  <c r="AB640" i="8"/>
  <c r="AE640" i="8" s="1"/>
  <c r="AB641" i="8"/>
  <c r="AE641" i="8" s="1"/>
  <c r="AB642" i="8"/>
  <c r="AE642" i="8" s="1"/>
  <c r="AB643" i="8"/>
  <c r="AE643" i="8" s="1"/>
  <c r="AB644" i="8"/>
  <c r="AE644" i="8" s="1"/>
  <c r="AB645" i="8"/>
  <c r="AE645" i="8" s="1"/>
  <c r="AB646" i="8"/>
  <c r="AE646" i="8" s="1"/>
  <c r="AB647" i="8"/>
  <c r="AE647" i="8" s="1"/>
  <c r="AB648" i="8"/>
  <c r="AE648" i="8" s="1"/>
  <c r="AB649" i="8"/>
  <c r="AE649" i="8" s="1"/>
  <c r="AB650" i="8"/>
  <c r="AE650" i="8" s="1"/>
  <c r="AB651" i="8"/>
  <c r="AE651" i="8" s="1"/>
  <c r="AB652" i="8"/>
  <c r="AE652" i="8" s="1"/>
  <c r="AB653" i="8"/>
  <c r="AE653" i="8" s="1"/>
  <c r="AB654" i="8"/>
  <c r="AE654" i="8" s="1"/>
  <c r="AB655" i="8"/>
  <c r="AE655" i="8" s="1"/>
  <c r="AB656" i="8"/>
  <c r="AE656" i="8" s="1"/>
  <c r="AB657" i="8"/>
  <c r="AE657" i="8" s="1"/>
  <c r="AB658" i="8"/>
  <c r="AE658" i="8" s="1"/>
  <c r="AB659" i="8"/>
  <c r="AE659" i="8" s="1"/>
  <c r="AB660" i="8"/>
  <c r="AE660" i="8" s="1"/>
  <c r="AB661" i="8"/>
  <c r="AE661" i="8" s="1"/>
  <c r="AB662" i="8"/>
  <c r="AE662" i="8" s="1"/>
  <c r="AB663" i="8"/>
  <c r="AE663" i="8" s="1"/>
  <c r="AB664" i="8"/>
  <c r="AE664" i="8" s="1"/>
  <c r="AB665" i="8"/>
  <c r="AE665" i="8" s="1"/>
  <c r="AB666" i="8"/>
  <c r="AE666" i="8" s="1"/>
  <c r="AB667" i="8"/>
  <c r="AE667" i="8" s="1"/>
  <c r="AB668" i="8"/>
  <c r="AE668" i="8" s="1"/>
  <c r="AB669" i="8"/>
  <c r="AE669" i="8" s="1"/>
  <c r="AB670" i="8"/>
  <c r="AE670" i="8" s="1"/>
  <c r="AB671" i="8"/>
  <c r="AE671" i="8" s="1"/>
  <c r="AB672" i="8"/>
  <c r="AE672" i="8" s="1"/>
  <c r="AB673" i="8"/>
  <c r="AE673" i="8" s="1"/>
  <c r="AB674" i="8"/>
  <c r="AE674" i="8" s="1"/>
  <c r="AB675" i="8"/>
  <c r="AE675" i="8" s="1"/>
  <c r="AB676" i="8"/>
  <c r="AE676" i="8" s="1"/>
  <c r="AB677" i="8"/>
  <c r="AE677" i="8" s="1"/>
  <c r="AB678" i="8"/>
  <c r="AE678" i="8" s="1"/>
  <c r="AB679" i="8"/>
  <c r="AE679" i="8" s="1"/>
  <c r="AB680" i="8"/>
  <c r="AE680" i="8" s="1"/>
  <c r="AB681" i="8"/>
  <c r="AE681" i="8" s="1"/>
  <c r="AB682" i="8"/>
  <c r="AE682" i="8" s="1"/>
  <c r="AB683" i="8"/>
  <c r="AE683" i="8" s="1"/>
  <c r="AB684" i="8"/>
  <c r="AE684" i="8" s="1"/>
  <c r="AB685" i="8"/>
  <c r="AE685" i="8" s="1"/>
  <c r="AB686" i="8"/>
  <c r="AE686" i="8" s="1"/>
  <c r="AB687" i="8"/>
  <c r="AE687" i="8" s="1"/>
  <c r="AB688" i="8"/>
  <c r="AE688" i="8" s="1"/>
  <c r="AB689" i="8"/>
  <c r="AE689" i="8" s="1"/>
  <c r="AB690" i="8"/>
  <c r="AE690" i="8" s="1"/>
  <c r="AB691" i="8"/>
  <c r="AE691" i="8" s="1"/>
  <c r="AB692" i="8"/>
  <c r="AE692" i="8" s="1"/>
  <c r="AB693" i="8"/>
  <c r="AE693" i="8" s="1"/>
  <c r="AB694" i="8"/>
  <c r="AE694" i="8" s="1"/>
  <c r="AB695" i="8"/>
  <c r="AE695" i="8" s="1"/>
  <c r="AB696" i="8"/>
  <c r="AE696" i="8" s="1"/>
  <c r="AB697" i="8"/>
  <c r="AE697" i="8" s="1"/>
  <c r="AB698" i="8"/>
  <c r="AE698" i="8" s="1"/>
  <c r="AB699" i="8"/>
  <c r="AE699" i="8" s="1"/>
  <c r="AB700" i="8"/>
  <c r="AE700" i="8" s="1"/>
  <c r="AB701" i="8"/>
  <c r="AE701" i="8" s="1"/>
  <c r="AB702" i="8"/>
  <c r="AE702" i="8" s="1"/>
  <c r="AB703" i="8"/>
  <c r="AE703" i="8" s="1"/>
  <c r="AB704" i="8"/>
  <c r="AE704" i="8" s="1"/>
  <c r="AB705" i="8"/>
  <c r="AE705" i="8" s="1"/>
  <c r="AB706" i="8"/>
  <c r="AE706" i="8" s="1"/>
  <c r="AB707" i="8"/>
  <c r="AE707" i="8" s="1"/>
  <c r="AB708" i="8"/>
  <c r="AE708" i="8" s="1"/>
  <c r="AB709" i="8"/>
  <c r="AE709" i="8" s="1"/>
  <c r="AB710" i="8"/>
  <c r="AE710" i="8" s="1"/>
  <c r="AB711" i="8"/>
  <c r="AE711" i="8" s="1"/>
  <c r="AB712" i="8"/>
  <c r="AE712" i="8" s="1"/>
  <c r="AB713" i="8"/>
  <c r="AE713" i="8" s="1"/>
  <c r="AB714" i="8"/>
  <c r="AE714" i="8" s="1"/>
  <c r="AB715" i="8"/>
  <c r="AE715" i="8" s="1"/>
  <c r="AB716" i="8"/>
  <c r="AE716" i="8" s="1"/>
  <c r="AB717" i="8"/>
  <c r="AE717" i="8" s="1"/>
  <c r="AB718" i="8"/>
  <c r="AE718" i="8" s="1"/>
  <c r="AB719" i="8"/>
  <c r="AE719" i="8" s="1"/>
  <c r="AB720" i="8"/>
  <c r="AE720" i="8" s="1"/>
  <c r="AB721" i="8"/>
  <c r="AE721" i="8" s="1"/>
  <c r="AB722" i="8"/>
  <c r="AE722" i="8" s="1"/>
  <c r="AB723" i="8"/>
  <c r="AE723" i="8" s="1"/>
  <c r="AB724" i="8"/>
  <c r="AE724" i="8" s="1"/>
  <c r="AB725" i="8"/>
  <c r="AE725" i="8" s="1"/>
  <c r="AB726" i="8"/>
  <c r="AE726" i="8" s="1"/>
  <c r="AB727" i="8"/>
  <c r="AE727" i="8" s="1"/>
  <c r="AB728" i="8"/>
  <c r="AE728" i="8" s="1"/>
  <c r="AB729" i="8"/>
  <c r="AE729" i="8" s="1"/>
  <c r="AB730" i="8"/>
  <c r="AE730" i="8" s="1"/>
  <c r="AB731" i="8"/>
  <c r="AE731" i="8" s="1"/>
  <c r="AB732" i="8"/>
  <c r="AE732" i="8" s="1"/>
  <c r="AB733" i="8"/>
  <c r="AE733" i="8" s="1"/>
  <c r="AB734" i="8"/>
  <c r="AE734" i="8" s="1"/>
  <c r="AB735" i="8"/>
  <c r="AE735" i="8" s="1"/>
  <c r="AB736" i="8"/>
  <c r="AE736" i="8" s="1"/>
  <c r="AB737" i="8"/>
  <c r="AE737" i="8" s="1"/>
  <c r="AB738" i="8"/>
  <c r="AE738" i="8" s="1"/>
  <c r="AB739" i="8"/>
  <c r="AE739" i="8" s="1"/>
  <c r="AB740" i="8"/>
  <c r="AE740" i="8" s="1"/>
  <c r="AB741" i="8"/>
  <c r="AE741" i="8" s="1"/>
  <c r="AB742" i="8"/>
  <c r="AE742" i="8" s="1"/>
  <c r="AB743" i="8"/>
  <c r="AE743" i="8" s="1"/>
  <c r="AB744" i="8"/>
  <c r="AE744" i="8" s="1"/>
  <c r="AB745" i="8"/>
  <c r="AE745" i="8" s="1"/>
  <c r="AB746" i="8"/>
  <c r="AE746" i="8" s="1"/>
  <c r="AB747" i="8"/>
  <c r="AE747" i="8" s="1"/>
  <c r="AB748" i="8"/>
  <c r="AE748" i="8" s="1"/>
  <c r="AB749" i="8"/>
  <c r="AE749" i="8" s="1"/>
  <c r="AB750" i="8"/>
  <c r="AE750" i="8" s="1"/>
  <c r="AB751" i="8"/>
  <c r="AE751" i="8" s="1"/>
  <c r="AB752" i="8"/>
  <c r="AE752" i="8" s="1"/>
  <c r="AB753" i="8"/>
  <c r="AE753" i="8" s="1"/>
  <c r="AB754" i="8"/>
  <c r="AE754" i="8" s="1"/>
  <c r="AB755" i="8"/>
  <c r="AE755" i="8" s="1"/>
  <c r="AB756" i="8"/>
  <c r="AE756" i="8" s="1"/>
  <c r="AB757" i="8"/>
  <c r="AE757" i="8" s="1"/>
  <c r="AB758" i="8"/>
  <c r="AE758" i="8" s="1"/>
  <c r="AB759" i="8"/>
  <c r="AE759" i="8" s="1"/>
  <c r="AB760" i="8"/>
  <c r="AE760" i="8" s="1"/>
  <c r="AB761" i="8"/>
  <c r="AE761" i="8" s="1"/>
  <c r="AB762" i="8"/>
  <c r="AE762" i="8" s="1"/>
  <c r="AB763" i="8"/>
  <c r="AE763" i="8" s="1"/>
  <c r="AB764" i="8"/>
  <c r="AE764" i="8" s="1"/>
  <c r="AB765" i="8"/>
  <c r="AE765" i="8" s="1"/>
  <c r="AB766" i="8"/>
  <c r="AE766" i="8" s="1"/>
  <c r="AB767" i="8"/>
  <c r="AE767" i="8" s="1"/>
  <c r="AB768" i="8"/>
  <c r="AE768" i="8" s="1"/>
  <c r="AB769" i="8"/>
  <c r="AE769" i="8" s="1"/>
  <c r="AB770" i="8"/>
  <c r="AE770" i="8" s="1"/>
  <c r="AB771" i="8"/>
  <c r="AE771" i="8" s="1"/>
  <c r="AB772" i="8"/>
  <c r="AE772" i="8" s="1"/>
  <c r="AB773" i="8"/>
  <c r="AE773" i="8" s="1"/>
  <c r="AB774" i="8"/>
  <c r="AE774" i="8" s="1"/>
  <c r="AB775" i="8"/>
  <c r="AE775" i="8" s="1"/>
  <c r="AB776" i="8"/>
  <c r="AE776" i="8" s="1"/>
  <c r="AB777" i="8"/>
  <c r="AE777" i="8" s="1"/>
  <c r="AB778" i="8"/>
  <c r="AE778" i="8" s="1"/>
  <c r="AB779" i="8"/>
  <c r="AE779" i="8" s="1"/>
  <c r="AB780" i="8"/>
  <c r="AE780" i="8" s="1"/>
  <c r="AB781" i="8"/>
  <c r="AE781" i="8" s="1"/>
  <c r="AB782" i="8"/>
  <c r="AE782" i="8" s="1"/>
  <c r="AB783" i="8"/>
  <c r="AE783" i="8" s="1"/>
  <c r="AB784" i="8"/>
  <c r="AE784" i="8" s="1"/>
  <c r="AB785" i="8"/>
  <c r="AE785" i="8" s="1"/>
  <c r="AB786" i="8"/>
  <c r="AE786" i="8" s="1"/>
  <c r="AB787" i="8"/>
  <c r="AE787" i="8" s="1"/>
  <c r="AB788" i="8"/>
  <c r="AE788" i="8" s="1"/>
  <c r="AB789" i="8"/>
  <c r="AE789" i="8" s="1"/>
  <c r="AB790" i="8"/>
  <c r="AE790" i="8" s="1"/>
  <c r="AB791" i="8"/>
  <c r="AE791" i="8" s="1"/>
  <c r="AB792" i="8"/>
  <c r="AE792" i="8" s="1"/>
  <c r="AB793" i="8"/>
  <c r="AE793" i="8" s="1"/>
  <c r="AB794" i="8"/>
  <c r="AE794" i="8" s="1"/>
  <c r="AB795" i="8"/>
  <c r="AE795" i="8" s="1"/>
  <c r="AB796" i="8"/>
  <c r="AE796" i="8" s="1"/>
  <c r="AB797" i="8"/>
  <c r="AE797" i="8" s="1"/>
  <c r="AB798" i="8"/>
  <c r="AE798" i="8" s="1"/>
  <c r="AB799" i="8"/>
  <c r="AE799" i="8" s="1"/>
  <c r="AB800" i="8"/>
  <c r="AE800" i="8" s="1"/>
  <c r="AB801" i="8"/>
  <c r="AE801" i="8" s="1"/>
  <c r="AB802" i="8"/>
  <c r="AE802" i="8" s="1"/>
  <c r="AB803" i="8"/>
  <c r="AE803" i="8" s="1"/>
  <c r="AB804" i="8"/>
  <c r="AE804" i="8" s="1"/>
  <c r="AB805" i="8"/>
  <c r="AE805" i="8" s="1"/>
  <c r="AB806" i="8"/>
  <c r="AE806" i="8" s="1"/>
  <c r="AB807" i="8"/>
  <c r="AE807" i="8" s="1"/>
  <c r="AB808" i="8"/>
  <c r="AE808" i="8" s="1"/>
  <c r="AB809" i="8"/>
  <c r="AE809" i="8" s="1"/>
  <c r="AB810" i="8"/>
  <c r="AE810" i="8" s="1"/>
  <c r="AB811" i="8"/>
  <c r="AE811" i="8" s="1"/>
  <c r="AB812" i="8"/>
  <c r="AE812" i="8" s="1"/>
  <c r="AB813" i="8"/>
  <c r="AE813" i="8" s="1"/>
  <c r="AB814" i="8"/>
  <c r="AE814" i="8" s="1"/>
  <c r="AB815" i="8"/>
  <c r="AE815" i="8" s="1"/>
  <c r="AB816" i="8"/>
  <c r="AE816" i="8" s="1"/>
  <c r="AB817" i="8"/>
  <c r="AE817" i="8" s="1"/>
  <c r="AB818" i="8"/>
  <c r="AE818" i="8" s="1"/>
  <c r="AB819" i="8"/>
  <c r="AE819" i="8" s="1"/>
  <c r="AB820" i="8"/>
  <c r="AE820" i="8" s="1"/>
  <c r="AB821" i="8"/>
  <c r="AE821" i="8" s="1"/>
  <c r="AB822" i="8"/>
  <c r="AE822" i="8" s="1"/>
  <c r="AB823" i="8"/>
  <c r="AE823" i="8" s="1"/>
  <c r="AB824" i="8"/>
  <c r="AE824" i="8" s="1"/>
  <c r="AB825" i="8"/>
  <c r="AE825" i="8" s="1"/>
  <c r="AB826" i="8"/>
  <c r="AE826" i="8" s="1"/>
  <c r="AB827" i="8"/>
  <c r="AE827" i="8" s="1"/>
  <c r="AB828" i="8"/>
  <c r="AE828" i="8" s="1"/>
  <c r="AB829" i="8"/>
  <c r="AE829" i="8" s="1"/>
  <c r="AB830" i="8"/>
  <c r="AE830" i="8" s="1"/>
  <c r="AB831" i="8"/>
  <c r="AE831" i="8" s="1"/>
  <c r="AB832" i="8"/>
  <c r="AE832" i="8" s="1"/>
  <c r="AB833" i="8"/>
  <c r="AE833" i="8" s="1"/>
  <c r="AB834" i="8"/>
  <c r="AE834" i="8" s="1"/>
  <c r="AB835" i="8"/>
  <c r="AE835" i="8" s="1"/>
  <c r="AB836" i="8"/>
  <c r="AE836" i="8" s="1"/>
  <c r="AB837" i="8"/>
  <c r="AE837" i="8" s="1"/>
  <c r="AB838" i="8"/>
  <c r="AE838" i="8" s="1"/>
  <c r="AB839" i="8"/>
  <c r="AE839" i="8" s="1"/>
  <c r="AB840" i="8"/>
  <c r="AE840" i="8" s="1"/>
  <c r="AB841" i="8"/>
  <c r="AE841" i="8" s="1"/>
  <c r="AB842" i="8"/>
  <c r="AE842" i="8" s="1"/>
  <c r="AB843" i="8"/>
  <c r="AE843" i="8" s="1"/>
  <c r="AB844" i="8"/>
  <c r="AE844" i="8" s="1"/>
  <c r="AB845" i="8"/>
  <c r="AE845" i="8" s="1"/>
  <c r="AB846" i="8"/>
  <c r="AE846" i="8" s="1"/>
  <c r="AB847" i="8"/>
  <c r="AE847" i="8" s="1"/>
  <c r="AB848" i="8"/>
  <c r="AE848" i="8" s="1"/>
  <c r="AB849" i="8"/>
  <c r="AE849" i="8" s="1"/>
  <c r="AB850" i="8"/>
  <c r="AE850" i="8" s="1"/>
  <c r="AB851" i="8"/>
  <c r="AE851" i="8" s="1"/>
  <c r="AB852" i="8"/>
  <c r="AE852" i="8" s="1"/>
  <c r="AB853" i="8"/>
  <c r="AE853" i="8" s="1"/>
  <c r="AB854" i="8"/>
  <c r="AE854" i="8" s="1"/>
  <c r="AB855" i="8"/>
  <c r="AE855" i="8" s="1"/>
  <c r="AB856" i="8"/>
  <c r="AE856" i="8" s="1"/>
  <c r="AB857" i="8"/>
  <c r="AE857" i="8" s="1"/>
  <c r="AB858" i="8"/>
  <c r="AE858" i="8" s="1"/>
  <c r="AB859" i="8"/>
  <c r="AE859" i="8" s="1"/>
  <c r="AB860" i="8"/>
  <c r="AE860" i="8" s="1"/>
  <c r="AB861" i="8"/>
  <c r="AE861" i="8" s="1"/>
  <c r="AB862" i="8"/>
  <c r="AE862" i="8" s="1"/>
  <c r="AB863" i="8"/>
  <c r="AE863" i="8" s="1"/>
  <c r="AB864" i="8"/>
  <c r="AE864" i="8" s="1"/>
  <c r="AB865" i="8"/>
  <c r="AE865" i="8" s="1"/>
  <c r="AB866" i="8"/>
  <c r="AE866" i="8" s="1"/>
  <c r="AB867" i="8"/>
  <c r="AE867" i="8" s="1"/>
  <c r="AB868" i="8"/>
  <c r="AE868" i="8" s="1"/>
  <c r="AB869" i="8"/>
  <c r="AE869" i="8" s="1"/>
  <c r="AB870" i="8"/>
  <c r="AE870" i="8" s="1"/>
  <c r="AB871" i="8"/>
  <c r="AE871" i="8" s="1"/>
  <c r="AB872" i="8"/>
  <c r="AE872" i="8" s="1"/>
  <c r="AB873" i="8"/>
  <c r="AE873" i="8" s="1"/>
  <c r="AB874" i="8"/>
  <c r="AE874" i="8" s="1"/>
  <c r="AB875" i="8"/>
  <c r="AE875" i="8" s="1"/>
  <c r="AB876" i="8"/>
  <c r="AE876" i="8" s="1"/>
  <c r="AB877" i="8"/>
  <c r="AE877" i="8" s="1"/>
  <c r="AB878" i="8"/>
  <c r="AE878" i="8" s="1"/>
  <c r="AB879" i="8"/>
  <c r="AE879" i="8" s="1"/>
  <c r="AB880" i="8"/>
  <c r="AE880" i="8" s="1"/>
  <c r="AB881" i="8"/>
  <c r="AE881" i="8" s="1"/>
  <c r="AB882" i="8"/>
  <c r="AE882" i="8" s="1"/>
  <c r="AB883" i="8"/>
  <c r="AE883" i="8" s="1"/>
  <c r="AB884" i="8"/>
  <c r="AE884" i="8" s="1"/>
  <c r="AB885" i="8"/>
  <c r="AE885" i="8" s="1"/>
  <c r="AB886" i="8"/>
  <c r="AE886" i="8" s="1"/>
  <c r="AB887" i="8"/>
  <c r="AE887" i="8" s="1"/>
  <c r="AB888" i="8"/>
  <c r="AE888" i="8" s="1"/>
  <c r="AB889" i="8"/>
  <c r="AE889" i="8" s="1"/>
  <c r="AB890" i="8"/>
  <c r="AE890" i="8" s="1"/>
  <c r="AB891" i="8"/>
  <c r="AE891" i="8" s="1"/>
  <c r="AB892" i="8"/>
  <c r="AE892" i="8" s="1"/>
  <c r="AB893" i="8"/>
  <c r="AE893" i="8" s="1"/>
  <c r="AB894" i="8"/>
  <c r="AE894" i="8" s="1"/>
  <c r="AB895" i="8"/>
  <c r="AE895" i="8" s="1"/>
  <c r="AB896" i="8"/>
  <c r="AE896" i="8" s="1"/>
  <c r="AB897" i="8"/>
  <c r="AE897" i="8" s="1"/>
  <c r="AB898" i="8"/>
  <c r="AE898" i="8" s="1"/>
  <c r="AB899" i="8"/>
  <c r="AE899" i="8" s="1"/>
  <c r="AB900" i="8"/>
  <c r="AE900" i="8" s="1"/>
  <c r="AB901" i="8"/>
  <c r="AE901" i="8" s="1"/>
  <c r="AB902" i="8"/>
  <c r="AE902" i="8" s="1"/>
  <c r="AB903" i="8"/>
  <c r="AE903" i="8" s="1"/>
  <c r="AB904" i="8"/>
  <c r="AE904" i="8" s="1"/>
  <c r="AB905" i="8"/>
  <c r="AE905" i="8" s="1"/>
  <c r="AB906" i="8"/>
  <c r="AE906" i="8" s="1"/>
  <c r="AB907" i="8"/>
  <c r="AE907" i="8" s="1"/>
  <c r="AB908" i="8"/>
  <c r="AE908" i="8" s="1"/>
  <c r="AB909" i="8"/>
  <c r="AE909" i="8" s="1"/>
  <c r="AB910" i="8"/>
  <c r="AE910" i="8" s="1"/>
  <c r="AB911" i="8"/>
  <c r="AE911" i="8" s="1"/>
  <c r="AB912" i="8"/>
  <c r="AE912" i="8" s="1"/>
  <c r="AB913" i="8"/>
  <c r="AE913" i="8" s="1"/>
  <c r="AB914" i="8"/>
  <c r="AE914" i="8" s="1"/>
  <c r="AB915" i="8"/>
  <c r="AE915" i="8" s="1"/>
  <c r="AB916" i="8"/>
  <c r="AE916" i="8" s="1"/>
  <c r="AB917" i="8"/>
  <c r="AE917" i="8" s="1"/>
  <c r="AB918" i="8"/>
  <c r="AE918" i="8" s="1"/>
  <c r="AB919" i="8"/>
  <c r="AE919" i="8" s="1"/>
  <c r="AB920" i="8"/>
  <c r="AE920" i="8" s="1"/>
  <c r="AB921" i="8"/>
  <c r="AE921" i="8" s="1"/>
  <c r="AB922" i="8"/>
  <c r="AE922" i="8" s="1"/>
  <c r="AB923" i="8"/>
  <c r="AE923" i="8" s="1"/>
  <c r="AB924" i="8"/>
  <c r="AE924" i="8" s="1"/>
  <c r="AB925" i="8"/>
  <c r="AE925" i="8" s="1"/>
  <c r="AB926" i="8"/>
  <c r="AE926" i="8" s="1"/>
  <c r="AB927" i="8"/>
  <c r="AE927" i="8" s="1"/>
  <c r="AB928" i="8"/>
  <c r="AE928" i="8" s="1"/>
  <c r="AB929" i="8"/>
  <c r="AE929" i="8" s="1"/>
  <c r="AB930" i="8"/>
  <c r="AE930" i="8" s="1"/>
  <c r="AB931" i="8"/>
  <c r="AE931" i="8" s="1"/>
  <c r="AB932" i="8"/>
  <c r="AE932" i="8" s="1"/>
  <c r="AB933" i="8"/>
  <c r="AE933" i="8" s="1"/>
  <c r="AB934" i="8"/>
  <c r="AE934" i="8" s="1"/>
  <c r="AB935" i="8"/>
  <c r="AE935" i="8" s="1"/>
  <c r="AB936" i="8"/>
  <c r="AE936" i="8" s="1"/>
  <c r="AB937" i="8"/>
  <c r="AE937" i="8" s="1"/>
  <c r="AB938" i="8"/>
  <c r="AE938" i="8" s="1"/>
  <c r="AB939" i="8"/>
  <c r="AE939" i="8" s="1"/>
  <c r="AB940" i="8"/>
  <c r="AE940" i="8" s="1"/>
  <c r="AB941" i="8"/>
  <c r="AE941" i="8" s="1"/>
  <c r="AB942" i="8"/>
  <c r="AE942" i="8" s="1"/>
  <c r="AB943" i="8"/>
  <c r="AE943" i="8" s="1"/>
  <c r="AB944" i="8"/>
  <c r="AE944" i="8" s="1"/>
  <c r="AB945" i="8"/>
  <c r="AE945" i="8" s="1"/>
  <c r="AB946" i="8"/>
  <c r="AE946" i="8" s="1"/>
  <c r="AB947" i="8"/>
  <c r="AE947" i="8" s="1"/>
  <c r="AB948" i="8"/>
  <c r="AE948" i="8" s="1"/>
  <c r="AB949" i="8"/>
  <c r="AE949" i="8" s="1"/>
  <c r="AB950" i="8"/>
  <c r="AE950" i="8" s="1"/>
  <c r="AB951" i="8"/>
  <c r="AE951" i="8" s="1"/>
  <c r="AB952" i="8"/>
  <c r="AE952" i="8" s="1"/>
  <c r="AB953" i="8"/>
  <c r="AE953" i="8" s="1"/>
  <c r="AB954" i="8"/>
  <c r="AE954" i="8" s="1"/>
  <c r="AB955" i="8"/>
  <c r="AE955" i="8" s="1"/>
  <c r="AB956" i="8"/>
  <c r="AE956" i="8" s="1"/>
  <c r="AB957" i="8"/>
  <c r="AE957" i="8" s="1"/>
  <c r="AB958" i="8"/>
  <c r="AE958" i="8" s="1"/>
  <c r="AB959" i="8"/>
  <c r="AE959" i="8" s="1"/>
  <c r="AB960" i="8"/>
  <c r="AE960" i="8" s="1"/>
  <c r="AB961" i="8"/>
  <c r="AE961" i="8" s="1"/>
  <c r="AB962" i="8"/>
  <c r="AE962" i="8" s="1"/>
  <c r="AB963" i="8"/>
  <c r="AE963" i="8" s="1"/>
  <c r="AB964" i="8"/>
  <c r="AE964" i="8" s="1"/>
  <c r="AB965" i="8"/>
  <c r="AE965" i="8" s="1"/>
  <c r="AB966" i="8"/>
  <c r="AE966" i="8" s="1"/>
  <c r="AB967" i="8"/>
  <c r="AE967" i="8" s="1"/>
  <c r="AB968" i="8"/>
  <c r="AE968" i="8" s="1"/>
  <c r="AB969" i="8"/>
  <c r="AE969" i="8" s="1"/>
  <c r="AB970" i="8"/>
  <c r="AE970" i="8" s="1"/>
  <c r="AB971" i="8"/>
  <c r="AE971" i="8" s="1"/>
  <c r="AB972" i="8"/>
  <c r="AE972" i="8" s="1"/>
  <c r="AB973" i="8"/>
  <c r="AE973" i="8" s="1"/>
  <c r="AB974" i="8"/>
  <c r="AE974" i="8" s="1"/>
  <c r="AB975" i="8"/>
  <c r="AE975" i="8" s="1"/>
  <c r="AB976" i="8"/>
  <c r="AE976" i="8" s="1"/>
  <c r="AB977" i="8"/>
  <c r="AE977" i="8" s="1"/>
  <c r="AB978" i="8"/>
  <c r="AE978" i="8" s="1"/>
  <c r="AB979" i="8"/>
  <c r="AE979" i="8" s="1"/>
  <c r="AB980" i="8"/>
  <c r="AE980" i="8" s="1"/>
  <c r="AB981" i="8"/>
  <c r="AE981" i="8" s="1"/>
  <c r="AB982" i="8"/>
  <c r="AE982" i="8" s="1"/>
  <c r="AB983" i="8"/>
  <c r="AE983" i="8" s="1"/>
  <c r="AB984" i="8"/>
  <c r="AE984" i="8" s="1"/>
  <c r="AB985" i="8"/>
  <c r="AE985" i="8" s="1"/>
  <c r="AB986" i="8"/>
  <c r="AE986" i="8" s="1"/>
  <c r="AB987" i="8"/>
  <c r="AE987" i="8" s="1"/>
  <c r="AB988" i="8"/>
  <c r="AE988" i="8" s="1"/>
  <c r="AB989" i="8"/>
  <c r="AE989" i="8" s="1"/>
  <c r="AB990" i="8"/>
  <c r="AE990" i="8" s="1"/>
  <c r="AB991" i="8"/>
  <c r="AE991" i="8" s="1"/>
  <c r="AB992" i="8"/>
  <c r="AE992" i="8" s="1"/>
  <c r="AB993" i="8"/>
  <c r="AE993" i="8" s="1"/>
  <c r="AB994" i="8"/>
  <c r="AE994" i="8" s="1"/>
  <c r="AB995" i="8"/>
  <c r="AE995" i="8" s="1"/>
  <c r="AB996" i="8"/>
  <c r="AE996" i="8" s="1"/>
  <c r="AB997" i="8"/>
  <c r="AE997" i="8" s="1"/>
  <c r="AB998" i="8"/>
  <c r="AE998" i="8" s="1"/>
  <c r="AB999" i="8"/>
  <c r="AE999" i="8" s="1"/>
  <c r="AB1000" i="8"/>
  <c r="AE1000" i="8" s="1"/>
  <c r="AB1001" i="8"/>
  <c r="AE1001" i="8" s="1"/>
  <c r="AB2" i="8"/>
  <c r="AA2" i="8"/>
  <c r="AE11" i="8" s="1"/>
  <c r="AE29" i="8" l="1"/>
  <c r="AE23" i="8"/>
  <c r="AE2" i="8"/>
  <c r="AE30" i="8"/>
  <c r="AE24" i="8"/>
  <c r="AE18" i="8"/>
  <c r="AE17" i="8"/>
  <c r="AE28" i="8"/>
  <c r="AE22" i="8"/>
  <c r="AE16" i="8"/>
  <c r="AE27" i="8"/>
  <c r="AE21" i="8"/>
  <c r="AE15" i="8"/>
  <c r="AE3" i="8"/>
  <c r="AE26" i="8"/>
  <c r="AE20" i="8"/>
  <c r="AE31" i="8"/>
  <c r="AE25" i="8"/>
  <c r="AE19" i="8"/>
  <c r="AE9" i="8"/>
  <c r="AE14" i="8"/>
  <c r="AE8" i="8"/>
  <c r="AE7" i="8"/>
  <c r="AE6" i="8"/>
  <c r="AE4" i="8"/>
  <c r="AE5" i="8"/>
  <c r="AE10" i="8"/>
  <c r="K10" i="15"/>
  <c r="J15" i="15"/>
  <c r="I15" i="15"/>
  <c r="AE12" i="8"/>
  <c r="AE13" i="8"/>
  <c r="I7" i="8"/>
  <c r="AD3" i="13"/>
  <c r="AD4" i="13"/>
  <c r="AD5" i="13"/>
  <c r="AD6" i="13"/>
  <c r="AD7" i="13"/>
  <c r="AD8" i="13"/>
  <c r="AD2" i="13"/>
  <c r="Y3" i="13" s="1"/>
  <c r="AD4" i="8" l="1"/>
  <c r="L15" i="15"/>
  <c r="K15" i="15"/>
  <c r="Y71" i="3" l="1"/>
  <c r="Y68" i="3"/>
  <c r="Y65" i="3"/>
  <c r="C3" i="2" l="1"/>
  <c r="X3" i="2" s="1"/>
  <c r="C4" i="2"/>
  <c r="X4" i="2" s="1"/>
  <c r="C5" i="2"/>
  <c r="X5" i="2" s="1"/>
  <c r="C6" i="2"/>
  <c r="X6" i="2" s="1"/>
  <c r="C7" i="2"/>
  <c r="X7" i="2" s="1"/>
  <c r="C8" i="2"/>
  <c r="X8" i="2" s="1"/>
  <c r="C9" i="2"/>
  <c r="X9" i="2" s="1"/>
  <c r="C10" i="2"/>
  <c r="X10" i="2" s="1"/>
  <c r="C11" i="2"/>
  <c r="X11" i="2" s="1"/>
  <c r="C12" i="2"/>
  <c r="X12" i="2" s="1"/>
  <c r="C13" i="2"/>
  <c r="X13" i="2" s="1"/>
  <c r="C14" i="2"/>
  <c r="X14" i="2" s="1"/>
  <c r="C15" i="2"/>
  <c r="X15" i="2" s="1"/>
  <c r="C16" i="2"/>
  <c r="X16" i="2" s="1"/>
  <c r="C17" i="2"/>
  <c r="X17" i="2" s="1"/>
  <c r="C18" i="2"/>
  <c r="X18" i="2" s="1"/>
  <c r="C19" i="2"/>
  <c r="X19" i="2" s="1"/>
  <c r="C20" i="2"/>
  <c r="X20" i="2" s="1"/>
  <c r="C21" i="2"/>
  <c r="X21" i="2" s="1"/>
  <c r="C22" i="2"/>
  <c r="X22" i="2" s="1"/>
  <c r="C23" i="2"/>
  <c r="X23" i="2" s="1"/>
  <c r="C24" i="2"/>
  <c r="X24" i="2" s="1"/>
  <c r="C25" i="2"/>
  <c r="X25" i="2" s="1"/>
  <c r="C26" i="2"/>
  <c r="X26" i="2" s="1"/>
  <c r="C27" i="2"/>
  <c r="X27" i="2" s="1"/>
  <c r="C28" i="2"/>
  <c r="X28" i="2" s="1"/>
  <c r="C29" i="2"/>
  <c r="X29" i="2" s="1"/>
  <c r="C30" i="2"/>
  <c r="X30" i="2" s="1"/>
  <c r="C31" i="2"/>
  <c r="X31" i="2" s="1"/>
  <c r="C32" i="2"/>
  <c r="X32" i="2" s="1"/>
  <c r="C33" i="2"/>
  <c r="X33" i="2" s="1"/>
  <c r="C34" i="2"/>
  <c r="X34" i="2" s="1"/>
  <c r="C35" i="2"/>
  <c r="X35" i="2" s="1"/>
  <c r="C36" i="2"/>
  <c r="X36" i="2" s="1"/>
  <c r="C37" i="2"/>
  <c r="X37" i="2" s="1"/>
  <c r="C38" i="2"/>
  <c r="X38" i="2" s="1"/>
  <c r="C39" i="2"/>
  <c r="X39" i="2" s="1"/>
  <c r="C40" i="2"/>
  <c r="X40" i="2" s="1"/>
  <c r="C41" i="2"/>
  <c r="X41" i="2" s="1"/>
  <c r="C42" i="2"/>
  <c r="X42" i="2" s="1"/>
  <c r="C43" i="2"/>
  <c r="X43" i="2" s="1"/>
  <c r="C44" i="2"/>
  <c r="X44" i="2" s="1"/>
  <c r="C45" i="2"/>
  <c r="X45" i="2" s="1"/>
  <c r="C46" i="2"/>
  <c r="X46" i="2" s="1"/>
  <c r="C47" i="2"/>
  <c r="X47" i="2" s="1"/>
  <c r="C48" i="2"/>
  <c r="X48" i="2" s="1"/>
  <c r="C49" i="2"/>
  <c r="X49" i="2" s="1"/>
  <c r="C50" i="2"/>
  <c r="X50" i="2" s="1"/>
  <c r="C51" i="2"/>
  <c r="X51" i="2" s="1"/>
  <c r="C52" i="2"/>
  <c r="X52" i="2" s="1"/>
  <c r="C53" i="2"/>
  <c r="X53" i="2" s="1"/>
  <c r="C54" i="2"/>
  <c r="X54" i="2" s="1"/>
  <c r="C55" i="2"/>
  <c r="X55" i="2" s="1"/>
  <c r="C56" i="2"/>
  <c r="X56" i="2" s="1"/>
  <c r="C57" i="2"/>
  <c r="X57" i="2" s="1"/>
  <c r="C58" i="2"/>
  <c r="X58" i="2" s="1"/>
  <c r="C59" i="2"/>
  <c r="X59" i="2" s="1"/>
  <c r="C60" i="2"/>
  <c r="X60" i="2" s="1"/>
  <c r="C61" i="2"/>
  <c r="X61" i="2" s="1"/>
  <c r="C62" i="2"/>
  <c r="X62" i="2" s="1"/>
  <c r="C63" i="2"/>
  <c r="X63" i="2" s="1"/>
  <c r="C64" i="2"/>
  <c r="X64" i="2" s="1"/>
  <c r="C65" i="2"/>
  <c r="X65" i="2" s="1"/>
  <c r="C66" i="2"/>
  <c r="X66" i="2" s="1"/>
  <c r="C67" i="2"/>
  <c r="X67" i="2" s="1"/>
  <c r="C68" i="2"/>
  <c r="X68" i="2" s="1"/>
  <c r="C69" i="2"/>
  <c r="X69" i="2" s="1"/>
  <c r="C70" i="2"/>
  <c r="X70" i="2" s="1"/>
  <c r="C71" i="2"/>
  <c r="X71" i="2" s="1"/>
  <c r="C72" i="2"/>
  <c r="X72" i="2" s="1"/>
  <c r="C73" i="2"/>
  <c r="X73" i="2" s="1"/>
  <c r="C74" i="2"/>
  <c r="X74" i="2" s="1"/>
  <c r="C75" i="2"/>
  <c r="X75" i="2" s="1"/>
  <c r="C76" i="2"/>
  <c r="X76" i="2" s="1"/>
  <c r="C77" i="2"/>
  <c r="X77" i="2" s="1"/>
  <c r="C78" i="2"/>
  <c r="X78" i="2" s="1"/>
  <c r="C79" i="2"/>
  <c r="X79" i="2" s="1"/>
  <c r="C80" i="2"/>
  <c r="X80" i="2" s="1"/>
  <c r="C81" i="2"/>
  <c r="X81" i="2" s="1"/>
  <c r="C82" i="2"/>
  <c r="X82" i="2" s="1"/>
  <c r="C83" i="2"/>
  <c r="X83" i="2" s="1"/>
  <c r="C84" i="2"/>
  <c r="X84" i="2" s="1"/>
  <c r="C85" i="2"/>
  <c r="X85" i="2" s="1"/>
  <c r="C86" i="2"/>
  <c r="X86" i="2" s="1"/>
  <c r="C87" i="2"/>
  <c r="X87" i="2" s="1"/>
  <c r="C88" i="2"/>
  <c r="X88" i="2" s="1"/>
  <c r="C89" i="2"/>
  <c r="X89" i="2" s="1"/>
  <c r="C90" i="2"/>
  <c r="X90" i="2" s="1"/>
  <c r="C91" i="2"/>
  <c r="X91" i="2" s="1"/>
  <c r="C92" i="2"/>
  <c r="X92" i="2" s="1"/>
  <c r="C93" i="2"/>
  <c r="X93" i="2" s="1"/>
  <c r="C94" i="2"/>
  <c r="X94" i="2" s="1"/>
  <c r="C95" i="2"/>
  <c r="X95" i="2" s="1"/>
  <c r="C96" i="2"/>
  <c r="X96" i="2" s="1"/>
  <c r="C97" i="2"/>
  <c r="X97" i="2" s="1"/>
  <c r="C98" i="2"/>
  <c r="X98" i="2" s="1"/>
  <c r="C99" i="2"/>
  <c r="X99" i="2" s="1"/>
  <c r="C100" i="2"/>
  <c r="X100" i="2" s="1"/>
  <c r="C101" i="2"/>
  <c r="X101" i="2" s="1"/>
  <c r="C102" i="2"/>
  <c r="X102" i="2" s="1"/>
  <c r="C103" i="2"/>
  <c r="X103" i="2" s="1"/>
  <c r="C104" i="2"/>
  <c r="X104" i="2" s="1"/>
  <c r="C105" i="2"/>
  <c r="X105" i="2" s="1"/>
  <c r="C106" i="2"/>
  <c r="X106" i="2" s="1"/>
  <c r="C107" i="2"/>
  <c r="X107" i="2" s="1"/>
  <c r="C108" i="2"/>
  <c r="X108" i="2" s="1"/>
  <c r="C109" i="2"/>
  <c r="X109" i="2" s="1"/>
  <c r="C110" i="2"/>
  <c r="X110" i="2" s="1"/>
  <c r="C111" i="2"/>
  <c r="X111" i="2" s="1"/>
  <c r="C112" i="2"/>
  <c r="X112" i="2" s="1"/>
  <c r="C113" i="2"/>
  <c r="X113" i="2" s="1"/>
  <c r="C114" i="2"/>
  <c r="X114" i="2" s="1"/>
  <c r="C115" i="2"/>
  <c r="X115" i="2" s="1"/>
  <c r="C116" i="2"/>
  <c r="X116" i="2" s="1"/>
  <c r="C117" i="2"/>
  <c r="X117" i="2" s="1"/>
  <c r="C118" i="2"/>
  <c r="X118" i="2" s="1"/>
  <c r="C119" i="2"/>
  <c r="X119" i="2" s="1"/>
  <c r="C120" i="2"/>
  <c r="X120" i="2" s="1"/>
  <c r="C121" i="2"/>
  <c r="X121" i="2" s="1"/>
  <c r="C122" i="2"/>
  <c r="X122" i="2" s="1"/>
  <c r="C123" i="2"/>
  <c r="X123" i="2" s="1"/>
  <c r="C124" i="2"/>
  <c r="X124" i="2" s="1"/>
  <c r="C125" i="2"/>
  <c r="X125" i="2" s="1"/>
  <c r="C126" i="2"/>
  <c r="X126" i="2" s="1"/>
  <c r="C127" i="2"/>
  <c r="X127" i="2" s="1"/>
  <c r="C128" i="2"/>
  <c r="X128" i="2" s="1"/>
  <c r="C129" i="2"/>
  <c r="X129" i="2" s="1"/>
  <c r="C130" i="2"/>
  <c r="X130" i="2" s="1"/>
  <c r="C131" i="2"/>
  <c r="X131" i="2" s="1"/>
  <c r="C132" i="2"/>
  <c r="X132" i="2" s="1"/>
  <c r="C133" i="2"/>
  <c r="X133" i="2" s="1"/>
  <c r="C134" i="2"/>
  <c r="X134" i="2" s="1"/>
  <c r="C135" i="2"/>
  <c r="X135" i="2" s="1"/>
  <c r="C136" i="2"/>
  <c r="X136" i="2" s="1"/>
  <c r="C137" i="2"/>
  <c r="X137" i="2" s="1"/>
  <c r="C138" i="2"/>
  <c r="X138" i="2" s="1"/>
  <c r="C139" i="2"/>
  <c r="X139" i="2" s="1"/>
  <c r="C140" i="2"/>
  <c r="X140" i="2" s="1"/>
  <c r="C141" i="2"/>
  <c r="X141" i="2" s="1"/>
  <c r="C142" i="2"/>
  <c r="X142" i="2" s="1"/>
  <c r="C143" i="2"/>
  <c r="X143" i="2" s="1"/>
  <c r="C144" i="2"/>
  <c r="X144" i="2" s="1"/>
  <c r="C145" i="2"/>
  <c r="X145" i="2" s="1"/>
  <c r="C146" i="2"/>
  <c r="X146" i="2" s="1"/>
  <c r="C147" i="2"/>
  <c r="X147" i="2" s="1"/>
  <c r="C148" i="2"/>
  <c r="X148" i="2" s="1"/>
  <c r="C149" i="2"/>
  <c r="X149" i="2" s="1"/>
  <c r="C150" i="2"/>
  <c r="X150" i="2" s="1"/>
  <c r="C151" i="2"/>
  <c r="X151" i="2" s="1"/>
  <c r="C152" i="2"/>
  <c r="X152" i="2" s="1"/>
  <c r="C153" i="2"/>
  <c r="X153" i="2" s="1"/>
  <c r="C154" i="2"/>
  <c r="X154" i="2" s="1"/>
  <c r="C155" i="2"/>
  <c r="X155" i="2" s="1"/>
  <c r="C156" i="2"/>
  <c r="X156" i="2" s="1"/>
  <c r="C157" i="2"/>
  <c r="X157" i="2" s="1"/>
  <c r="C158" i="2"/>
  <c r="X158" i="2" s="1"/>
  <c r="C159" i="2"/>
  <c r="X159" i="2" s="1"/>
  <c r="C160" i="2"/>
  <c r="X160" i="2" s="1"/>
  <c r="C161" i="2"/>
  <c r="X161" i="2" s="1"/>
  <c r="C162" i="2"/>
  <c r="X162" i="2" s="1"/>
  <c r="C163" i="2"/>
  <c r="X163" i="2" s="1"/>
  <c r="C164" i="2"/>
  <c r="X164" i="2" s="1"/>
  <c r="C165" i="2"/>
  <c r="X165" i="2" s="1"/>
  <c r="C166" i="2"/>
  <c r="X166" i="2" s="1"/>
  <c r="C167" i="2"/>
  <c r="X167" i="2" s="1"/>
  <c r="C168" i="2"/>
  <c r="X168" i="2" s="1"/>
  <c r="C169" i="2"/>
  <c r="X169" i="2" s="1"/>
  <c r="C170" i="2"/>
  <c r="X170" i="2" s="1"/>
  <c r="C171" i="2"/>
  <c r="X171" i="2" s="1"/>
  <c r="C172" i="2"/>
  <c r="X172" i="2" s="1"/>
  <c r="C173" i="2"/>
  <c r="X173" i="2" s="1"/>
  <c r="C174" i="2"/>
  <c r="X174" i="2" s="1"/>
  <c r="C175" i="2"/>
  <c r="X175" i="2" s="1"/>
  <c r="C176" i="2"/>
  <c r="X176" i="2" s="1"/>
  <c r="C177" i="2"/>
  <c r="X177" i="2" s="1"/>
  <c r="C178" i="2"/>
  <c r="X178" i="2" s="1"/>
  <c r="C179" i="2"/>
  <c r="X179" i="2" s="1"/>
  <c r="C180" i="2"/>
  <c r="X180" i="2" s="1"/>
  <c r="C181" i="2"/>
  <c r="X181" i="2" s="1"/>
  <c r="C182" i="2"/>
  <c r="X182" i="2" s="1"/>
  <c r="C183" i="2"/>
  <c r="X183" i="2" s="1"/>
  <c r="C184" i="2"/>
  <c r="X184" i="2" s="1"/>
  <c r="C185" i="2"/>
  <c r="X185" i="2" s="1"/>
  <c r="C186" i="2"/>
  <c r="X186" i="2" s="1"/>
  <c r="C187" i="2"/>
  <c r="X187" i="2" s="1"/>
  <c r="C188" i="2"/>
  <c r="X188" i="2" s="1"/>
  <c r="C189" i="2"/>
  <c r="X189" i="2" s="1"/>
  <c r="C190" i="2"/>
  <c r="X190" i="2" s="1"/>
  <c r="C191" i="2"/>
  <c r="X191" i="2" s="1"/>
  <c r="C192" i="2"/>
  <c r="X192" i="2" s="1"/>
  <c r="C193" i="2"/>
  <c r="X193" i="2" s="1"/>
  <c r="C194" i="2"/>
  <c r="X194" i="2" s="1"/>
  <c r="C195" i="2"/>
  <c r="X195" i="2" s="1"/>
  <c r="C196" i="2"/>
  <c r="X196" i="2" s="1"/>
  <c r="C197" i="2"/>
  <c r="X197" i="2" s="1"/>
  <c r="C198" i="2"/>
  <c r="X198" i="2" s="1"/>
  <c r="C199" i="2"/>
  <c r="X199" i="2" s="1"/>
  <c r="C200" i="2"/>
  <c r="X200" i="2" s="1"/>
  <c r="C201" i="2"/>
  <c r="X201" i="2" s="1"/>
  <c r="C202" i="2"/>
  <c r="X202" i="2" s="1"/>
  <c r="C203" i="2"/>
  <c r="X203" i="2" s="1"/>
  <c r="C204" i="2"/>
  <c r="X204" i="2" s="1"/>
  <c r="C205" i="2"/>
  <c r="X205" i="2" s="1"/>
  <c r="C206" i="2"/>
  <c r="X206" i="2" s="1"/>
  <c r="C207" i="2"/>
  <c r="X207" i="2" s="1"/>
  <c r="C208" i="2"/>
  <c r="X208" i="2" s="1"/>
  <c r="C209" i="2"/>
  <c r="X209" i="2" s="1"/>
  <c r="C210" i="2"/>
  <c r="X210" i="2" s="1"/>
  <c r="C211" i="2"/>
  <c r="X211" i="2" s="1"/>
  <c r="C212" i="2"/>
  <c r="X212" i="2" s="1"/>
  <c r="C213" i="2"/>
  <c r="X213" i="2" s="1"/>
  <c r="C214" i="2"/>
  <c r="X214" i="2" s="1"/>
  <c r="C215" i="2"/>
  <c r="X215" i="2" s="1"/>
  <c r="C216" i="2"/>
  <c r="X216" i="2" s="1"/>
  <c r="C217" i="2"/>
  <c r="X217" i="2" s="1"/>
  <c r="C218" i="2"/>
  <c r="X218" i="2" s="1"/>
  <c r="C219" i="2"/>
  <c r="X219" i="2" s="1"/>
  <c r="C220" i="2"/>
  <c r="X220" i="2" s="1"/>
  <c r="C221" i="2"/>
  <c r="X221" i="2" s="1"/>
  <c r="C222" i="2"/>
  <c r="X222" i="2" s="1"/>
  <c r="C223" i="2"/>
  <c r="X223" i="2" s="1"/>
  <c r="C224" i="2"/>
  <c r="X224" i="2" s="1"/>
  <c r="C225" i="2"/>
  <c r="X225" i="2" s="1"/>
  <c r="C226" i="2"/>
  <c r="X226" i="2" s="1"/>
  <c r="C227" i="2"/>
  <c r="X227" i="2" s="1"/>
  <c r="C228" i="2"/>
  <c r="X228" i="2" s="1"/>
  <c r="C229" i="2"/>
  <c r="X229" i="2" s="1"/>
  <c r="C230" i="2"/>
  <c r="X230" i="2" s="1"/>
  <c r="C231" i="2"/>
  <c r="X231" i="2" s="1"/>
  <c r="C232" i="2"/>
  <c r="X232" i="2" s="1"/>
  <c r="C233" i="2"/>
  <c r="X233" i="2" s="1"/>
  <c r="C234" i="2"/>
  <c r="X234" i="2" s="1"/>
  <c r="C235" i="2"/>
  <c r="X235" i="2" s="1"/>
  <c r="C236" i="2"/>
  <c r="X236" i="2" s="1"/>
  <c r="C237" i="2"/>
  <c r="X237" i="2" s="1"/>
  <c r="C238" i="2"/>
  <c r="X238" i="2" s="1"/>
  <c r="C239" i="2"/>
  <c r="X239" i="2" s="1"/>
  <c r="C240" i="2"/>
  <c r="X240" i="2" s="1"/>
  <c r="C241" i="2"/>
  <c r="X241" i="2" s="1"/>
  <c r="C242" i="2"/>
  <c r="X242" i="2" s="1"/>
  <c r="C243" i="2"/>
  <c r="X243" i="2" s="1"/>
  <c r="C244" i="2"/>
  <c r="X244" i="2" s="1"/>
  <c r="C245" i="2"/>
  <c r="X245" i="2" s="1"/>
  <c r="C246" i="2"/>
  <c r="X246" i="2" s="1"/>
  <c r="C247" i="2"/>
  <c r="X247" i="2" s="1"/>
  <c r="C248" i="2"/>
  <c r="X248" i="2" s="1"/>
  <c r="C249" i="2"/>
  <c r="X249" i="2" s="1"/>
  <c r="C250" i="2"/>
  <c r="X250" i="2" s="1"/>
  <c r="C251" i="2"/>
  <c r="X251" i="2" s="1"/>
  <c r="C252" i="2"/>
  <c r="X252" i="2" s="1"/>
  <c r="C253" i="2"/>
  <c r="X253" i="2" s="1"/>
  <c r="C254" i="2"/>
  <c r="X254" i="2" s="1"/>
  <c r="C255" i="2"/>
  <c r="X255" i="2" s="1"/>
  <c r="C256" i="2"/>
  <c r="X256" i="2" s="1"/>
  <c r="C257" i="2"/>
  <c r="X257" i="2" s="1"/>
  <c r="C258" i="2"/>
  <c r="X258" i="2" s="1"/>
  <c r="C259" i="2"/>
  <c r="X259" i="2" s="1"/>
  <c r="C260" i="2"/>
  <c r="X260" i="2" s="1"/>
  <c r="C261" i="2"/>
  <c r="X261" i="2" s="1"/>
  <c r="C262" i="2"/>
  <c r="X262" i="2" s="1"/>
  <c r="C263" i="2"/>
  <c r="X263" i="2" s="1"/>
  <c r="C264" i="2"/>
  <c r="X264" i="2" s="1"/>
  <c r="C265" i="2"/>
  <c r="X265" i="2" s="1"/>
  <c r="C266" i="2"/>
  <c r="X266" i="2" s="1"/>
  <c r="C267" i="2"/>
  <c r="X267" i="2" s="1"/>
  <c r="C268" i="2"/>
  <c r="X268" i="2" s="1"/>
  <c r="C269" i="2"/>
  <c r="X269" i="2" s="1"/>
  <c r="C270" i="2"/>
  <c r="X270" i="2" s="1"/>
  <c r="C271" i="2"/>
  <c r="X271" i="2" s="1"/>
  <c r="C272" i="2"/>
  <c r="X272" i="2" s="1"/>
  <c r="C273" i="2"/>
  <c r="X273" i="2" s="1"/>
  <c r="C274" i="2"/>
  <c r="X274" i="2" s="1"/>
  <c r="C275" i="2"/>
  <c r="X275" i="2" s="1"/>
  <c r="C276" i="2"/>
  <c r="X276" i="2" s="1"/>
  <c r="C277" i="2"/>
  <c r="X277" i="2" s="1"/>
  <c r="C278" i="2"/>
  <c r="X278" i="2" s="1"/>
  <c r="C279" i="2"/>
  <c r="X279" i="2" s="1"/>
  <c r="C280" i="2"/>
  <c r="X280" i="2" s="1"/>
  <c r="C281" i="2"/>
  <c r="X281" i="2" s="1"/>
  <c r="C282" i="2"/>
  <c r="X282" i="2" s="1"/>
  <c r="C283" i="2"/>
  <c r="X283" i="2" s="1"/>
  <c r="C284" i="2"/>
  <c r="X284" i="2" s="1"/>
  <c r="C285" i="2"/>
  <c r="X285" i="2" s="1"/>
  <c r="C286" i="2"/>
  <c r="X286" i="2" s="1"/>
  <c r="C287" i="2"/>
  <c r="X287" i="2" s="1"/>
  <c r="C288" i="2"/>
  <c r="X288" i="2" s="1"/>
  <c r="C289" i="2"/>
  <c r="X289" i="2" s="1"/>
  <c r="C290" i="2"/>
  <c r="X290" i="2" s="1"/>
  <c r="C291" i="2"/>
  <c r="X291" i="2" s="1"/>
  <c r="C292" i="2"/>
  <c r="X292" i="2" s="1"/>
  <c r="C293" i="2"/>
  <c r="X293" i="2" s="1"/>
  <c r="C294" i="2"/>
  <c r="X294" i="2" s="1"/>
  <c r="C295" i="2"/>
  <c r="X295" i="2" s="1"/>
  <c r="C296" i="2"/>
  <c r="X296" i="2" s="1"/>
  <c r="C297" i="2"/>
  <c r="X297" i="2" s="1"/>
  <c r="C298" i="2"/>
  <c r="X298" i="2" s="1"/>
  <c r="C299" i="2"/>
  <c r="X299" i="2" s="1"/>
  <c r="C300" i="2"/>
  <c r="X300" i="2" s="1"/>
  <c r="C301" i="2"/>
  <c r="X301" i="2" s="1"/>
  <c r="C302" i="2"/>
  <c r="X302" i="2" s="1"/>
  <c r="C303" i="2"/>
  <c r="X303" i="2" s="1"/>
  <c r="C304" i="2"/>
  <c r="X304" i="2" s="1"/>
  <c r="C305" i="2"/>
  <c r="X305" i="2" s="1"/>
  <c r="C306" i="2"/>
  <c r="X306" i="2" s="1"/>
  <c r="C307" i="2"/>
  <c r="X307" i="2" s="1"/>
  <c r="C308" i="2"/>
  <c r="X308" i="2" s="1"/>
  <c r="C309" i="2"/>
  <c r="X309" i="2" s="1"/>
  <c r="C310" i="2"/>
  <c r="X310" i="2" s="1"/>
  <c r="C311" i="2"/>
  <c r="X311" i="2" s="1"/>
  <c r="C312" i="2"/>
  <c r="X312" i="2" s="1"/>
  <c r="C313" i="2"/>
  <c r="X313" i="2" s="1"/>
  <c r="C314" i="2"/>
  <c r="X314" i="2" s="1"/>
  <c r="C315" i="2"/>
  <c r="X315" i="2" s="1"/>
  <c r="C316" i="2"/>
  <c r="X316" i="2" s="1"/>
  <c r="C317" i="2"/>
  <c r="X317" i="2" s="1"/>
  <c r="C318" i="2"/>
  <c r="X318" i="2" s="1"/>
  <c r="C319" i="2"/>
  <c r="X319" i="2" s="1"/>
  <c r="C320" i="2"/>
  <c r="X320" i="2" s="1"/>
  <c r="C321" i="2"/>
  <c r="X321" i="2" s="1"/>
  <c r="C322" i="2"/>
  <c r="X322" i="2" s="1"/>
  <c r="C323" i="2"/>
  <c r="X323" i="2" s="1"/>
  <c r="C324" i="2"/>
  <c r="X324" i="2" s="1"/>
  <c r="C325" i="2"/>
  <c r="X325" i="2" s="1"/>
  <c r="C326" i="2"/>
  <c r="X326" i="2" s="1"/>
  <c r="C327" i="2"/>
  <c r="X327" i="2" s="1"/>
  <c r="C328" i="2"/>
  <c r="X328" i="2" s="1"/>
  <c r="C329" i="2"/>
  <c r="X329" i="2" s="1"/>
  <c r="C330" i="2"/>
  <c r="X330" i="2" s="1"/>
  <c r="C331" i="2"/>
  <c r="X331" i="2" s="1"/>
  <c r="C332" i="2"/>
  <c r="X332" i="2" s="1"/>
  <c r="C333" i="2"/>
  <c r="X333" i="2" s="1"/>
  <c r="C334" i="2"/>
  <c r="X334" i="2" s="1"/>
  <c r="C335" i="2"/>
  <c r="X335" i="2" s="1"/>
  <c r="C336" i="2"/>
  <c r="X336" i="2" s="1"/>
  <c r="C337" i="2"/>
  <c r="X337" i="2" s="1"/>
  <c r="C338" i="2"/>
  <c r="X338" i="2" s="1"/>
  <c r="C339" i="2"/>
  <c r="X339" i="2" s="1"/>
  <c r="C340" i="2"/>
  <c r="X340" i="2" s="1"/>
  <c r="C341" i="2"/>
  <c r="X341" i="2" s="1"/>
  <c r="C342" i="2"/>
  <c r="X342" i="2" s="1"/>
  <c r="C343" i="2"/>
  <c r="X343" i="2" s="1"/>
  <c r="C344" i="2"/>
  <c r="X344" i="2" s="1"/>
  <c r="C345" i="2"/>
  <c r="X345" i="2" s="1"/>
  <c r="C346" i="2"/>
  <c r="X346" i="2" s="1"/>
  <c r="C347" i="2"/>
  <c r="X347" i="2" s="1"/>
  <c r="C348" i="2"/>
  <c r="X348" i="2" s="1"/>
  <c r="C349" i="2"/>
  <c r="X349" i="2" s="1"/>
  <c r="C350" i="2"/>
  <c r="X350" i="2" s="1"/>
  <c r="C351" i="2"/>
  <c r="X351" i="2" s="1"/>
  <c r="C352" i="2"/>
  <c r="X352" i="2" s="1"/>
  <c r="C353" i="2"/>
  <c r="X353" i="2" s="1"/>
  <c r="C354" i="2"/>
  <c r="X354" i="2" s="1"/>
  <c r="C355" i="2"/>
  <c r="X355" i="2" s="1"/>
  <c r="C356" i="2"/>
  <c r="X356" i="2" s="1"/>
  <c r="C357" i="2"/>
  <c r="X357" i="2" s="1"/>
  <c r="C358" i="2"/>
  <c r="X358" i="2" s="1"/>
  <c r="C359" i="2"/>
  <c r="X359" i="2" s="1"/>
  <c r="C360" i="2"/>
  <c r="X360" i="2" s="1"/>
  <c r="C361" i="2"/>
  <c r="X361" i="2" s="1"/>
  <c r="C362" i="2"/>
  <c r="X362" i="2" s="1"/>
  <c r="C363" i="2"/>
  <c r="X363" i="2" s="1"/>
  <c r="C364" i="2"/>
  <c r="X364" i="2" s="1"/>
  <c r="C365" i="2"/>
  <c r="X365" i="2" s="1"/>
  <c r="C366" i="2"/>
  <c r="X366" i="2" s="1"/>
  <c r="C367" i="2"/>
  <c r="X367" i="2" s="1"/>
  <c r="C368" i="2"/>
  <c r="X368" i="2" s="1"/>
  <c r="C369" i="2"/>
  <c r="X369" i="2" s="1"/>
  <c r="C370" i="2"/>
  <c r="X370" i="2" s="1"/>
  <c r="C371" i="2"/>
  <c r="X371" i="2" s="1"/>
  <c r="C372" i="2"/>
  <c r="X372" i="2" s="1"/>
  <c r="C373" i="2"/>
  <c r="X373" i="2" s="1"/>
  <c r="C374" i="2"/>
  <c r="X374" i="2" s="1"/>
  <c r="C375" i="2"/>
  <c r="X375" i="2" s="1"/>
  <c r="C376" i="2"/>
  <c r="X376" i="2" s="1"/>
  <c r="C377" i="2"/>
  <c r="X377" i="2" s="1"/>
  <c r="C378" i="2"/>
  <c r="X378" i="2" s="1"/>
  <c r="C379" i="2"/>
  <c r="X379" i="2" s="1"/>
  <c r="C380" i="2"/>
  <c r="X380" i="2" s="1"/>
  <c r="C381" i="2"/>
  <c r="X381" i="2" s="1"/>
  <c r="C382" i="2"/>
  <c r="X382" i="2" s="1"/>
  <c r="C383" i="2"/>
  <c r="X383" i="2" s="1"/>
  <c r="C384" i="2"/>
  <c r="X384" i="2" s="1"/>
  <c r="C385" i="2"/>
  <c r="X385" i="2" s="1"/>
  <c r="C386" i="2"/>
  <c r="X386" i="2" s="1"/>
  <c r="C387" i="2"/>
  <c r="X387" i="2" s="1"/>
  <c r="C388" i="2"/>
  <c r="X388" i="2" s="1"/>
  <c r="C389" i="2"/>
  <c r="X389" i="2" s="1"/>
  <c r="C390" i="2"/>
  <c r="X390" i="2" s="1"/>
  <c r="C391" i="2"/>
  <c r="X391" i="2" s="1"/>
  <c r="C392" i="2"/>
  <c r="X392" i="2" s="1"/>
  <c r="C393" i="2"/>
  <c r="X393" i="2" s="1"/>
  <c r="C394" i="2"/>
  <c r="X394" i="2" s="1"/>
  <c r="C395" i="2"/>
  <c r="X395" i="2" s="1"/>
  <c r="C396" i="2"/>
  <c r="X396" i="2" s="1"/>
  <c r="C397" i="2"/>
  <c r="X397" i="2" s="1"/>
  <c r="C398" i="2"/>
  <c r="X398" i="2" s="1"/>
  <c r="C399" i="2"/>
  <c r="X399" i="2" s="1"/>
  <c r="C400" i="2"/>
  <c r="X400" i="2" s="1"/>
  <c r="C401" i="2"/>
  <c r="X401" i="2" s="1"/>
  <c r="C402" i="2"/>
  <c r="X402" i="2" s="1"/>
  <c r="C403" i="2"/>
  <c r="X403" i="2" s="1"/>
  <c r="C404" i="2"/>
  <c r="X404" i="2" s="1"/>
  <c r="C405" i="2"/>
  <c r="X405" i="2" s="1"/>
  <c r="C406" i="2"/>
  <c r="X406" i="2" s="1"/>
  <c r="C407" i="2"/>
  <c r="X407" i="2" s="1"/>
  <c r="C408" i="2"/>
  <c r="X408" i="2" s="1"/>
  <c r="C409" i="2"/>
  <c r="X409" i="2" s="1"/>
  <c r="C410" i="2"/>
  <c r="X410" i="2" s="1"/>
  <c r="C411" i="2"/>
  <c r="X411" i="2" s="1"/>
  <c r="C412" i="2"/>
  <c r="X412" i="2" s="1"/>
  <c r="C413" i="2"/>
  <c r="X413" i="2" s="1"/>
  <c r="C414" i="2"/>
  <c r="X414" i="2" s="1"/>
  <c r="C415" i="2"/>
  <c r="X415" i="2" s="1"/>
  <c r="C416" i="2"/>
  <c r="X416" i="2" s="1"/>
  <c r="C417" i="2"/>
  <c r="X417" i="2" s="1"/>
  <c r="C418" i="2"/>
  <c r="X418" i="2" s="1"/>
  <c r="C419" i="2"/>
  <c r="X419" i="2" s="1"/>
  <c r="C420" i="2"/>
  <c r="X420" i="2" s="1"/>
  <c r="C421" i="2"/>
  <c r="X421" i="2" s="1"/>
  <c r="C422" i="2"/>
  <c r="X422" i="2" s="1"/>
  <c r="C423" i="2"/>
  <c r="X423" i="2" s="1"/>
  <c r="C424" i="2"/>
  <c r="X424" i="2" s="1"/>
  <c r="C425" i="2"/>
  <c r="X425" i="2" s="1"/>
  <c r="C426" i="2"/>
  <c r="X426" i="2" s="1"/>
  <c r="C427" i="2"/>
  <c r="X427" i="2" s="1"/>
  <c r="C428" i="2"/>
  <c r="X428" i="2" s="1"/>
  <c r="C429" i="2"/>
  <c r="X429" i="2" s="1"/>
  <c r="C430" i="2"/>
  <c r="X430" i="2" s="1"/>
  <c r="C431" i="2"/>
  <c r="X431" i="2" s="1"/>
  <c r="C432" i="2"/>
  <c r="X432" i="2" s="1"/>
  <c r="C433" i="2"/>
  <c r="X433" i="2" s="1"/>
  <c r="C434" i="2"/>
  <c r="X434" i="2" s="1"/>
  <c r="C435" i="2"/>
  <c r="X435" i="2" s="1"/>
  <c r="C436" i="2"/>
  <c r="X436" i="2" s="1"/>
  <c r="C437" i="2"/>
  <c r="X437" i="2" s="1"/>
  <c r="C438" i="2"/>
  <c r="X438" i="2" s="1"/>
  <c r="C439" i="2"/>
  <c r="X439" i="2" s="1"/>
  <c r="C440" i="2"/>
  <c r="X440" i="2" s="1"/>
  <c r="C441" i="2"/>
  <c r="X441" i="2" s="1"/>
  <c r="C442" i="2"/>
  <c r="X442" i="2" s="1"/>
  <c r="C443" i="2"/>
  <c r="X443" i="2" s="1"/>
  <c r="C444" i="2"/>
  <c r="X444" i="2" s="1"/>
  <c r="C445" i="2"/>
  <c r="X445" i="2" s="1"/>
  <c r="C446" i="2"/>
  <c r="X446" i="2" s="1"/>
  <c r="C447" i="2"/>
  <c r="X447" i="2" s="1"/>
  <c r="C448" i="2"/>
  <c r="X448" i="2" s="1"/>
  <c r="C449" i="2"/>
  <c r="X449" i="2" s="1"/>
  <c r="C450" i="2"/>
  <c r="X450" i="2" s="1"/>
  <c r="C451" i="2"/>
  <c r="X451" i="2" s="1"/>
  <c r="C452" i="2"/>
  <c r="X452" i="2" s="1"/>
  <c r="C453" i="2"/>
  <c r="X453" i="2" s="1"/>
  <c r="C454" i="2"/>
  <c r="X454" i="2" s="1"/>
  <c r="C455" i="2"/>
  <c r="X455" i="2" s="1"/>
  <c r="C456" i="2"/>
  <c r="X456" i="2" s="1"/>
  <c r="C457" i="2"/>
  <c r="X457" i="2" s="1"/>
  <c r="C458" i="2"/>
  <c r="X458" i="2" s="1"/>
  <c r="C459" i="2"/>
  <c r="X459" i="2" s="1"/>
  <c r="C460" i="2"/>
  <c r="X460" i="2" s="1"/>
  <c r="C461" i="2"/>
  <c r="X461" i="2" s="1"/>
  <c r="C462" i="2"/>
  <c r="X462" i="2" s="1"/>
  <c r="C463" i="2"/>
  <c r="X463" i="2" s="1"/>
  <c r="C464" i="2"/>
  <c r="X464" i="2" s="1"/>
  <c r="C465" i="2"/>
  <c r="X465" i="2" s="1"/>
  <c r="C466" i="2"/>
  <c r="X466" i="2" s="1"/>
  <c r="C467" i="2"/>
  <c r="X467" i="2" s="1"/>
  <c r="C468" i="2"/>
  <c r="X468" i="2" s="1"/>
  <c r="C469" i="2"/>
  <c r="X469" i="2" s="1"/>
  <c r="C470" i="2"/>
  <c r="X470" i="2" s="1"/>
  <c r="C471" i="2"/>
  <c r="X471" i="2" s="1"/>
  <c r="C472" i="2"/>
  <c r="X472" i="2" s="1"/>
  <c r="C473" i="2"/>
  <c r="X473" i="2" s="1"/>
  <c r="C474" i="2"/>
  <c r="X474" i="2" s="1"/>
  <c r="C475" i="2"/>
  <c r="X475" i="2" s="1"/>
  <c r="C476" i="2"/>
  <c r="X476" i="2" s="1"/>
  <c r="C477" i="2"/>
  <c r="X477" i="2" s="1"/>
  <c r="C478" i="2"/>
  <c r="X478" i="2" s="1"/>
  <c r="C479" i="2"/>
  <c r="X479" i="2" s="1"/>
  <c r="C480" i="2"/>
  <c r="X480" i="2" s="1"/>
  <c r="C481" i="2"/>
  <c r="X481" i="2" s="1"/>
  <c r="C482" i="2"/>
  <c r="X482" i="2" s="1"/>
  <c r="C483" i="2"/>
  <c r="X483" i="2" s="1"/>
  <c r="C484" i="2"/>
  <c r="X484" i="2" s="1"/>
  <c r="C485" i="2"/>
  <c r="X485" i="2" s="1"/>
  <c r="C486" i="2"/>
  <c r="X486" i="2" s="1"/>
  <c r="C487" i="2"/>
  <c r="X487" i="2" s="1"/>
  <c r="C488" i="2"/>
  <c r="X488" i="2" s="1"/>
  <c r="C489" i="2"/>
  <c r="X489" i="2" s="1"/>
  <c r="C490" i="2"/>
  <c r="X490" i="2" s="1"/>
  <c r="C491" i="2"/>
  <c r="X491" i="2" s="1"/>
  <c r="C492" i="2"/>
  <c r="X492" i="2" s="1"/>
  <c r="C493" i="2"/>
  <c r="X493" i="2" s="1"/>
  <c r="C494" i="2"/>
  <c r="X494" i="2" s="1"/>
  <c r="C495" i="2"/>
  <c r="X495" i="2" s="1"/>
  <c r="C496" i="2"/>
  <c r="X496" i="2" s="1"/>
  <c r="C497" i="2"/>
  <c r="X497" i="2" s="1"/>
  <c r="C498" i="2"/>
  <c r="X498" i="2" s="1"/>
  <c r="C499" i="2"/>
  <c r="X499" i="2" s="1"/>
  <c r="C500" i="2"/>
  <c r="X500" i="2" s="1"/>
  <c r="C501" i="2"/>
  <c r="X501" i="2" s="1"/>
  <c r="C502" i="2"/>
  <c r="X502" i="2" s="1"/>
  <c r="C503" i="2"/>
  <c r="X503" i="2" s="1"/>
  <c r="C504" i="2"/>
  <c r="X504" i="2" s="1"/>
  <c r="C505" i="2"/>
  <c r="X505" i="2" s="1"/>
  <c r="C506" i="2"/>
  <c r="X506" i="2" s="1"/>
  <c r="C507" i="2"/>
  <c r="X507" i="2" s="1"/>
  <c r="C508" i="2"/>
  <c r="X508" i="2" s="1"/>
  <c r="C509" i="2"/>
  <c r="X509" i="2" s="1"/>
  <c r="C510" i="2"/>
  <c r="X510" i="2" s="1"/>
  <c r="C511" i="2"/>
  <c r="X511" i="2" s="1"/>
  <c r="C512" i="2"/>
  <c r="X512" i="2" s="1"/>
  <c r="C513" i="2"/>
  <c r="X513" i="2" s="1"/>
  <c r="C514" i="2"/>
  <c r="X514" i="2" s="1"/>
  <c r="C515" i="2"/>
  <c r="X515" i="2" s="1"/>
  <c r="C516" i="2"/>
  <c r="X516" i="2" s="1"/>
  <c r="C517" i="2"/>
  <c r="X517" i="2" s="1"/>
  <c r="C518" i="2"/>
  <c r="X518" i="2" s="1"/>
  <c r="C519" i="2"/>
  <c r="X519" i="2" s="1"/>
  <c r="C520" i="2"/>
  <c r="X520" i="2" s="1"/>
  <c r="C521" i="2"/>
  <c r="X521" i="2" s="1"/>
  <c r="C522" i="2"/>
  <c r="X522" i="2" s="1"/>
  <c r="C523" i="2"/>
  <c r="X523" i="2" s="1"/>
  <c r="C524" i="2"/>
  <c r="X524" i="2" s="1"/>
  <c r="C525" i="2"/>
  <c r="X525" i="2" s="1"/>
  <c r="C526" i="2"/>
  <c r="X526" i="2" s="1"/>
  <c r="C527" i="2"/>
  <c r="X527" i="2" s="1"/>
  <c r="C528" i="2"/>
  <c r="X528" i="2" s="1"/>
  <c r="C529" i="2"/>
  <c r="X529" i="2" s="1"/>
  <c r="C530" i="2"/>
  <c r="X530" i="2" s="1"/>
  <c r="C531" i="2"/>
  <c r="X531" i="2" s="1"/>
  <c r="C532" i="2"/>
  <c r="X532" i="2" s="1"/>
  <c r="C533" i="2"/>
  <c r="X533" i="2" s="1"/>
  <c r="C534" i="2"/>
  <c r="X534" i="2" s="1"/>
  <c r="C535" i="2"/>
  <c r="X535" i="2" s="1"/>
  <c r="C536" i="2"/>
  <c r="X536" i="2" s="1"/>
  <c r="C537" i="2"/>
  <c r="X537" i="2" s="1"/>
  <c r="C538" i="2"/>
  <c r="X538" i="2" s="1"/>
  <c r="C539" i="2"/>
  <c r="X539" i="2" s="1"/>
  <c r="C540" i="2"/>
  <c r="X540" i="2" s="1"/>
  <c r="C541" i="2"/>
  <c r="X541" i="2" s="1"/>
  <c r="C542" i="2"/>
  <c r="X542" i="2" s="1"/>
  <c r="C543" i="2"/>
  <c r="X543" i="2" s="1"/>
  <c r="C544" i="2"/>
  <c r="X544" i="2" s="1"/>
  <c r="C545" i="2"/>
  <c r="X545" i="2" s="1"/>
  <c r="C546" i="2"/>
  <c r="X546" i="2" s="1"/>
  <c r="C547" i="2"/>
  <c r="X547" i="2" s="1"/>
  <c r="C548" i="2"/>
  <c r="X548" i="2" s="1"/>
  <c r="C549" i="2"/>
  <c r="X549" i="2" s="1"/>
  <c r="C550" i="2"/>
  <c r="X550" i="2" s="1"/>
  <c r="C551" i="2"/>
  <c r="X551" i="2" s="1"/>
  <c r="C552" i="2"/>
  <c r="X552" i="2" s="1"/>
  <c r="C553" i="2"/>
  <c r="X553" i="2" s="1"/>
  <c r="C554" i="2"/>
  <c r="X554" i="2" s="1"/>
  <c r="C555" i="2"/>
  <c r="X555" i="2" s="1"/>
  <c r="C556" i="2"/>
  <c r="X556" i="2" s="1"/>
  <c r="C557" i="2"/>
  <c r="X557" i="2" s="1"/>
  <c r="C558" i="2"/>
  <c r="X558" i="2" s="1"/>
  <c r="C559" i="2"/>
  <c r="X559" i="2" s="1"/>
  <c r="C560" i="2"/>
  <c r="X560" i="2" s="1"/>
  <c r="C561" i="2"/>
  <c r="X561" i="2" s="1"/>
  <c r="C562" i="2"/>
  <c r="X562" i="2" s="1"/>
  <c r="C563" i="2"/>
  <c r="X563" i="2" s="1"/>
  <c r="C564" i="2"/>
  <c r="X564" i="2" s="1"/>
  <c r="C565" i="2"/>
  <c r="X565" i="2" s="1"/>
  <c r="C566" i="2"/>
  <c r="X566" i="2" s="1"/>
  <c r="C567" i="2"/>
  <c r="X567" i="2" s="1"/>
  <c r="C568" i="2"/>
  <c r="X568" i="2" s="1"/>
  <c r="C569" i="2"/>
  <c r="X569" i="2" s="1"/>
  <c r="C570" i="2"/>
  <c r="X570" i="2" s="1"/>
  <c r="C571" i="2"/>
  <c r="X571" i="2" s="1"/>
  <c r="C572" i="2"/>
  <c r="X572" i="2" s="1"/>
  <c r="C573" i="2"/>
  <c r="X573" i="2" s="1"/>
  <c r="C574" i="2"/>
  <c r="X574" i="2" s="1"/>
  <c r="C575" i="2"/>
  <c r="X575" i="2" s="1"/>
  <c r="C576" i="2"/>
  <c r="X576" i="2" s="1"/>
  <c r="C577" i="2"/>
  <c r="X577" i="2" s="1"/>
  <c r="C578" i="2"/>
  <c r="X578" i="2" s="1"/>
  <c r="C579" i="2"/>
  <c r="X579" i="2" s="1"/>
  <c r="C580" i="2"/>
  <c r="X580" i="2" s="1"/>
  <c r="C581" i="2"/>
  <c r="X581" i="2" s="1"/>
  <c r="C582" i="2"/>
  <c r="X582" i="2" s="1"/>
  <c r="C583" i="2"/>
  <c r="X583" i="2" s="1"/>
  <c r="C584" i="2"/>
  <c r="X584" i="2" s="1"/>
  <c r="C585" i="2"/>
  <c r="X585" i="2" s="1"/>
  <c r="C586" i="2"/>
  <c r="X586" i="2" s="1"/>
  <c r="C587" i="2"/>
  <c r="X587" i="2" s="1"/>
  <c r="C588" i="2"/>
  <c r="X588" i="2" s="1"/>
  <c r="C589" i="2"/>
  <c r="X589" i="2" s="1"/>
  <c r="C590" i="2"/>
  <c r="X590" i="2" s="1"/>
  <c r="C591" i="2"/>
  <c r="X591" i="2" s="1"/>
  <c r="C592" i="2"/>
  <c r="X592" i="2" s="1"/>
  <c r="C593" i="2"/>
  <c r="X593" i="2" s="1"/>
  <c r="C594" i="2"/>
  <c r="X594" i="2" s="1"/>
  <c r="C595" i="2"/>
  <c r="X595" i="2" s="1"/>
  <c r="C596" i="2"/>
  <c r="X596" i="2" s="1"/>
  <c r="C597" i="2"/>
  <c r="X597" i="2" s="1"/>
  <c r="C598" i="2"/>
  <c r="X598" i="2" s="1"/>
  <c r="C599" i="2"/>
  <c r="X599" i="2" s="1"/>
  <c r="C600" i="2"/>
  <c r="X600" i="2" s="1"/>
  <c r="C601" i="2"/>
  <c r="X601" i="2" s="1"/>
  <c r="C602" i="2"/>
  <c r="X602" i="2" s="1"/>
  <c r="C603" i="2"/>
  <c r="X603" i="2" s="1"/>
  <c r="C604" i="2"/>
  <c r="X604" i="2" s="1"/>
  <c r="C605" i="2"/>
  <c r="X605" i="2" s="1"/>
  <c r="C606" i="2"/>
  <c r="X606" i="2" s="1"/>
  <c r="C607" i="2"/>
  <c r="X607" i="2" s="1"/>
  <c r="C608" i="2"/>
  <c r="X608" i="2" s="1"/>
  <c r="C609" i="2"/>
  <c r="X609" i="2" s="1"/>
  <c r="C610" i="2"/>
  <c r="X610" i="2" s="1"/>
  <c r="C611" i="2"/>
  <c r="X611" i="2" s="1"/>
  <c r="C612" i="2"/>
  <c r="X612" i="2" s="1"/>
  <c r="C613" i="2"/>
  <c r="X613" i="2" s="1"/>
  <c r="C614" i="2"/>
  <c r="X614" i="2" s="1"/>
  <c r="C615" i="2"/>
  <c r="X615" i="2" s="1"/>
  <c r="C616" i="2"/>
  <c r="X616" i="2" s="1"/>
  <c r="C617" i="2"/>
  <c r="X617" i="2" s="1"/>
  <c r="C618" i="2"/>
  <c r="X618" i="2" s="1"/>
  <c r="C619" i="2"/>
  <c r="X619" i="2" s="1"/>
  <c r="C620" i="2"/>
  <c r="X620" i="2" s="1"/>
  <c r="C621" i="2"/>
  <c r="X621" i="2" s="1"/>
  <c r="C622" i="2"/>
  <c r="X622" i="2" s="1"/>
  <c r="C623" i="2"/>
  <c r="X623" i="2" s="1"/>
  <c r="C624" i="2"/>
  <c r="X624" i="2" s="1"/>
  <c r="C625" i="2"/>
  <c r="X625" i="2" s="1"/>
  <c r="C626" i="2"/>
  <c r="X626" i="2" s="1"/>
  <c r="C627" i="2"/>
  <c r="X627" i="2" s="1"/>
  <c r="C628" i="2"/>
  <c r="X628" i="2" s="1"/>
  <c r="C629" i="2"/>
  <c r="X629" i="2" s="1"/>
  <c r="C630" i="2"/>
  <c r="X630" i="2" s="1"/>
  <c r="C631" i="2"/>
  <c r="X631" i="2" s="1"/>
  <c r="C632" i="2"/>
  <c r="X632" i="2" s="1"/>
  <c r="C633" i="2"/>
  <c r="X633" i="2" s="1"/>
  <c r="C634" i="2"/>
  <c r="X634" i="2" s="1"/>
  <c r="C635" i="2"/>
  <c r="X635" i="2" s="1"/>
  <c r="C636" i="2"/>
  <c r="X636" i="2" s="1"/>
  <c r="C637" i="2"/>
  <c r="X637" i="2" s="1"/>
  <c r="C638" i="2"/>
  <c r="X638" i="2" s="1"/>
  <c r="C639" i="2"/>
  <c r="X639" i="2" s="1"/>
  <c r="C640" i="2"/>
  <c r="X640" i="2" s="1"/>
  <c r="C641" i="2"/>
  <c r="X641" i="2" s="1"/>
  <c r="C642" i="2"/>
  <c r="X642" i="2" s="1"/>
  <c r="C643" i="2"/>
  <c r="X643" i="2" s="1"/>
  <c r="C644" i="2"/>
  <c r="X644" i="2" s="1"/>
  <c r="C645" i="2"/>
  <c r="X645" i="2" s="1"/>
  <c r="C646" i="2"/>
  <c r="X646" i="2" s="1"/>
  <c r="C647" i="2"/>
  <c r="X647" i="2" s="1"/>
  <c r="C648" i="2"/>
  <c r="X648" i="2" s="1"/>
  <c r="C649" i="2"/>
  <c r="X649" i="2" s="1"/>
  <c r="C650" i="2"/>
  <c r="X650" i="2" s="1"/>
  <c r="C651" i="2"/>
  <c r="X651" i="2" s="1"/>
  <c r="C652" i="2"/>
  <c r="X652" i="2" s="1"/>
  <c r="C653" i="2"/>
  <c r="X653" i="2" s="1"/>
  <c r="C654" i="2"/>
  <c r="X654" i="2" s="1"/>
  <c r="C655" i="2"/>
  <c r="X655" i="2" s="1"/>
  <c r="C656" i="2"/>
  <c r="X656" i="2" s="1"/>
  <c r="C657" i="2"/>
  <c r="X657" i="2" s="1"/>
  <c r="C658" i="2"/>
  <c r="X658" i="2" s="1"/>
  <c r="C659" i="2"/>
  <c r="X659" i="2" s="1"/>
  <c r="C660" i="2"/>
  <c r="X660" i="2" s="1"/>
  <c r="C661" i="2"/>
  <c r="X661" i="2" s="1"/>
  <c r="C662" i="2"/>
  <c r="X662" i="2" s="1"/>
  <c r="C663" i="2"/>
  <c r="X663" i="2" s="1"/>
  <c r="C664" i="2"/>
  <c r="X664" i="2" s="1"/>
  <c r="C665" i="2"/>
  <c r="X665" i="2" s="1"/>
  <c r="C666" i="2"/>
  <c r="X666" i="2" s="1"/>
  <c r="C667" i="2"/>
  <c r="X667" i="2" s="1"/>
  <c r="C668" i="2"/>
  <c r="X668" i="2" s="1"/>
  <c r="C669" i="2"/>
  <c r="X669" i="2" s="1"/>
  <c r="C670" i="2"/>
  <c r="X670" i="2" s="1"/>
  <c r="C671" i="2"/>
  <c r="X671" i="2" s="1"/>
  <c r="C672" i="2"/>
  <c r="X672" i="2" s="1"/>
  <c r="C673" i="2"/>
  <c r="X673" i="2" s="1"/>
  <c r="C674" i="2"/>
  <c r="X674" i="2" s="1"/>
  <c r="C675" i="2"/>
  <c r="X675" i="2" s="1"/>
  <c r="C676" i="2"/>
  <c r="X676" i="2" s="1"/>
  <c r="C677" i="2"/>
  <c r="X677" i="2" s="1"/>
  <c r="C678" i="2"/>
  <c r="X678" i="2" s="1"/>
  <c r="C679" i="2"/>
  <c r="X679" i="2" s="1"/>
  <c r="C680" i="2"/>
  <c r="X680" i="2" s="1"/>
  <c r="C681" i="2"/>
  <c r="X681" i="2" s="1"/>
  <c r="C682" i="2"/>
  <c r="X682" i="2" s="1"/>
  <c r="C683" i="2"/>
  <c r="X683" i="2" s="1"/>
  <c r="C684" i="2"/>
  <c r="X684" i="2" s="1"/>
  <c r="C685" i="2"/>
  <c r="X685" i="2" s="1"/>
  <c r="C686" i="2"/>
  <c r="X686" i="2" s="1"/>
  <c r="C687" i="2"/>
  <c r="X687" i="2" s="1"/>
  <c r="C688" i="2"/>
  <c r="X688" i="2" s="1"/>
  <c r="C689" i="2"/>
  <c r="X689" i="2" s="1"/>
  <c r="C690" i="2"/>
  <c r="X690" i="2" s="1"/>
  <c r="C691" i="2"/>
  <c r="X691" i="2" s="1"/>
  <c r="C692" i="2"/>
  <c r="X692" i="2" s="1"/>
  <c r="C693" i="2"/>
  <c r="X693" i="2" s="1"/>
  <c r="C694" i="2"/>
  <c r="X694" i="2" s="1"/>
  <c r="C695" i="2"/>
  <c r="X695" i="2" s="1"/>
  <c r="C696" i="2"/>
  <c r="X696" i="2" s="1"/>
  <c r="C697" i="2"/>
  <c r="X697" i="2" s="1"/>
  <c r="C698" i="2"/>
  <c r="X698" i="2" s="1"/>
  <c r="C699" i="2"/>
  <c r="X699" i="2" s="1"/>
  <c r="C700" i="2"/>
  <c r="X700" i="2" s="1"/>
  <c r="C701" i="2"/>
  <c r="X701" i="2" s="1"/>
  <c r="C702" i="2"/>
  <c r="X702" i="2" s="1"/>
  <c r="C703" i="2"/>
  <c r="X703" i="2" s="1"/>
  <c r="C704" i="2"/>
  <c r="X704" i="2" s="1"/>
  <c r="C705" i="2"/>
  <c r="X705" i="2" s="1"/>
  <c r="C706" i="2"/>
  <c r="X706" i="2" s="1"/>
  <c r="C707" i="2"/>
  <c r="X707" i="2" s="1"/>
  <c r="C708" i="2"/>
  <c r="X708" i="2" s="1"/>
  <c r="C709" i="2"/>
  <c r="X709" i="2" s="1"/>
  <c r="C710" i="2"/>
  <c r="X710" i="2" s="1"/>
  <c r="C711" i="2"/>
  <c r="X711" i="2" s="1"/>
  <c r="C712" i="2"/>
  <c r="X712" i="2" s="1"/>
  <c r="C713" i="2"/>
  <c r="X713" i="2" s="1"/>
  <c r="C714" i="2"/>
  <c r="X714" i="2" s="1"/>
  <c r="C715" i="2"/>
  <c r="X715" i="2" s="1"/>
  <c r="C716" i="2"/>
  <c r="X716" i="2" s="1"/>
  <c r="C717" i="2"/>
  <c r="X717" i="2" s="1"/>
  <c r="C718" i="2"/>
  <c r="X718" i="2" s="1"/>
  <c r="C719" i="2"/>
  <c r="X719" i="2" s="1"/>
  <c r="C720" i="2"/>
  <c r="X720" i="2" s="1"/>
  <c r="C721" i="2"/>
  <c r="X721" i="2" s="1"/>
  <c r="C722" i="2"/>
  <c r="X722" i="2" s="1"/>
  <c r="C723" i="2"/>
  <c r="X723" i="2" s="1"/>
  <c r="C724" i="2"/>
  <c r="X724" i="2" s="1"/>
  <c r="C725" i="2"/>
  <c r="X725" i="2" s="1"/>
  <c r="C726" i="2"/>
  <c r="X726" i="2" s="1"/>
  <c r="C727" i="2"/>
  <c r="X727" i="2" s="1"/>
  <c r="C728" i="2"/>
  <c r="X728" i="2" s="1"/>
  <c r="C729" i="2"/>
  <c r="X729" i="2" s="1"/>
  <c r="C730" i="2"/>
  <c r="X730" i="2" s="1"/>
  <c r="C731" i="2"/>
  <c r="X731" i="2" s="1"/>
  <c r="C732" i="2"/>
  <c r="X732" i="2" s="1"/>
  <c r="C733" i="2"/>
  <c r="X733" i="2" s="1"/>
  <c r="C734" i="2"/>
  <c r="X734" i="2" s="1"/>
  <c r="C735" i="2"/>
  <c r="X735" i="2" s="1"/>
  <c r="C736" i="2"/>
  <c r="X736" i="2" s="1"/>
  <c r="C737" i="2"/>
  <c r="X737" i="2" s="1"/>
  <c r="C738" i="2"/>
  <c r="X738" i="2" s="1"/>
  <c r="C739" i="2"/>
  <c r="X739" i="2" s="1"/>
  <c r="C740" i="2"/>
  <c r="X740" i="2" s="1"/>
  <c r="C741" i="2"/>
  <c r="X741" i="2" s="1"/>
  <c r="C742" i="2"/>
  <c r="X742" i="2" s="1"/>
  <c r="C743" i="2"/>
  <c r="X743" i="2" s="1"/>
  <c r="C744" i="2"/>
  <c r="X744" i="2" s="1"/>
  <c r="C745" i="2"/>
  <c r="X745" i="2" s="1"/>
  <c r="C746" i="2"/>
  <c r="X746" i="2" s="1"/>
  <c r="C747" i="2"/>
  <c r="X747" i="2" s="1"/>
  <c r="C748" i="2"/>
  <c r="X748" i="2" s="1"/>
  <c r="C749" i="2"/>
  <c r="X749" i="2" s="1"/>
  <c r="C750" i="2"/>
  <c r="X750" i="2" s="1"/>
  <c r="C751" i="2"/>
  <c r="X751" i="2" s="1"/>
  <c r="C752" i="2"/>
  <c r="X752" i="2" s="1"/>
  <c r="C753" i="2"/>
  <c r="X753" i="2" s="1"/>
  <c r="C754" i="2"/>
  <c r="X754" i="2" s="1"/>
  <c r="C755" i="2"/>
  <c r="X755" i="2" s="1"/>
  <c r="C756" i="2"/>
  <c r="X756" i="2" s="1"/>
  <c r="C757" i="2"/>
  <c r="X757" i="2" s="1"/>
  <c r="C758" i="2"/>
  <c r="X758" i="2" s="1"/>
  <c r="C759" i="2"/>
  <c r="X759" i="2" s="1"/>
  <c r="C760" i="2"/>
  <c r="X760" i="2" s="1"/>
  <c r="C761" i="2"/>
  <c r="X761" i="2" s="1"/>
  <c r="C762" i="2"/>
  <c r="X762" i="2" s="1"/>
  <c r="C763" i="2"/>
  <c r="X763" i="2" s="1"/>
  <c r="C764" i="2"/>
  <c r="X764" i="2" s="1"/>
  <c r="C765" i="2"/>
  <c r="X765" i="2" s="1"/>
  <c r="C766" i="2"/>
  <c r="X766" i="2" s="1"/>
  <c r="C767" i="2"/>
  <c r="X767" i="2" s="1"/>
  <c r="C768" i="2"/>
  <c r="X768" i="2" s="1"/>
  <c r="C769" i="2"/>
  <c r="X769" i="2" s="1"/>
  <c r="C770" i="2"/>
  <c r="X770" i="2" s="1"/>
  <c r="C771" i="2"/>
  <c r="X771" i="2" s="1"/>
  <c r="C772" i="2"/>
  <c r="X772" i="2" s="1"/>
  <c r="C773" i="2"/>
  <c r="X773" i="2" s="1"/>
  <c r="C774" i="2"/>
  <c r="X774" i="2" s="1"/>
  <c r="C775" i="2"/>
  <c r="X775" i="2" s="1"/>
  <c r="C776" i="2"/>
  <c r="X776" i="2" s="1"/>
  <c r="C777" i="2"/>
  <c r="X777" i="2" s="1"/>
  <c r="C778" i="2"/>
  <c r="X778" i="2" s="1"/>
  <c r="C779" i="2"/>
  <c r="X779" i="2" s="1"/>
  <c r="C780" i="2"/>
  <c r="X780" i="2" s="1"/>
  <c r="C781" i="2"/>
  <c r="X781" i="2" s="1"/>
  <c r="C782" i="2"/>
  <c r="X782" i="2" s="1"/>
  <c r="C783" i="2"/>
  <c r="X783" i="2" s="1"/>
  <c r="C784" i="2"/>
  <c r="X784" i="2" s="1"/>
  <c r="C785" i="2"/>
  <c r="X785" i="2" s="1"/>
  <c r="C786" i="2"/>
  <c r="X786" i="2" s="1"/>
  <c r="C787" i="2"/>
  <c r="X787" i="2" s="1"/>
  <c r="C788" i="2"/>
  <c r="X788" i="2" s="1"/>
  <c r="C789" i="2"/>
  <c r="X789" i="2" s="1"/>
  <c r="C790" i="2"/>
  <c r="X790" i="2" s="1"/>
  <c r="C791" i="2"/>
  <c r="X791" i="2" s="1"/>
  <c r="C792" i="2"/>
  <c r="X792" i="2" s="1"/>
  <c r="C793" i="2"/>
  <c r="X793" i="2" s="1"/>
  <c r="C794" i="2"/>
  <c r="X794" i="2" s="1"/>
  <c r="C795" i="2"/>
  <c r="X795" i="2" s="1"/>
  <c r="C796" i="2"/>
  <c r="X796" i="2" s="1"/>
  <c r="C797" i="2"/>
  <c r="X797" i="2" s="1"/>
  <c r="C798" i="2"/>
  <c r="X798" i="2" s="1"/>
  <c r="C799" i="2"/>
  <c r="X799" i="2" s="1"/>
  <c r="C800" i="2"/>
  <c r="X800" i="2" s="1"/>
  <c r="C801" i="2"/>
  <c r="X801" i="2" s="1"/>
  <c r="C802" i="2"/>
  <c r="X802" i="2" s="1"/>
  <c r="C803" i="2"/>
  <c r="X803" i="2" s="1"/>
  <c r="C804" i="2"/>
  <c r="X804" i="2" s="1"/>
  <c r="C805" i="2"/>
  <c r="X805" i="2" s="1"/>
  <c r="C806" i="2"/>
  <c r="X806" i="2" s="1"/>
  <c r="C807" i="2"/>
  <c r="X807" i="2" s="1"/>
  <c r="C808" i="2"/>
  <c r="X808" i="2" s="1"/>
  <c r="C809" i="2"/>
  <c r="X809" i="2" s="1"/>
  <c r="C810" i="2"/>
  <c r="X810" i="2" s="1"/>
  <c r="C811" i="2"/>
  <c r="X811" i="2" s="1"/>
  <c r="C812" i="2"/>
  <c r="X812" i="2" s="1"/>
  <c r="C813" i="2"/>
  <c r="X813" i="2" s="1"/>
  <c r="C814" i="2"/>
  <c r="X814" i="2" s="1"/>
  <c r="C815" i="2"/>
  <c r="X815" i="2" s="1"/>
  <c r="C816" i="2"/>
  <c r="X816" i="2" s="1"/>
  <c r="C817" i="2"/>
  <c r="X817" i="2" s="1"/>
  <c r="C818" i="2"/>
  <c r="X818" i="2" s="1"/>
  <c r="C819" i="2"/>
  <c r="X819" i="2" s="1"/>
  <c r="C820" i="2"/>
  <c r="X820" i="2" s="1"/>
  <c r="C821" i="2"/>
  <c r="X821" i="2" s="1"/>
  <c r="C822" i="2"/>
  <c r="X822" i="2" s="1"/>
  <c r="C823" i="2"/>
  <c r="X823" i="2" s="1"/>
  <c r="C824" i="2"/>
  <c r="X824" i="2" s="1"/>
  <c r="C825" i="2"/>
  <c r="X825" i="2" s="1"/>
  <c r="C826" i="2"/>
  <c r="X826" i="2" s="1"/>
  <c r="C827" i="2"/>
  <c r="X827" i="2" s="1"/>
  <c r="C828" i="2"/>
  <c r="X828" i="2" s="1"/>
  <c r="C829" i="2"/>
  <c r="X829" i="2" s="1"/>
  <c r="C830" i="2"/>
  <c r="X830" i="2" s="1"/>
  <c r="C831" i="2"/>
  <c r="X831" i="2" s="1"/>
  <c r="C832" i="2"/>
  <c r="X832" i="2" s="1"/>
  <c r="C833" i="2"/>
  <c r="X833" i="2" s="1"/>
  <c r="C834" i="2"/>
  <c r="X834" i="2" s="1"/>
  <c r="C835" i="2"/>
  <c r="X835" i="2" s="1"/>
  <c r="C836" i="2"/>
  <c r="X836" i="2" s="1"/>
  <c r="C837" i="2"/>
  <c r="X837" i="2" s="1"/>
  <c r="C838" i="2"/>
  <c r="X838" i="2" s="1"/>
  <c r="C839" i="2"/>
  <c r="X839" i="2" s="1"/>
  <c r="C840" i="2"/>
  <c r="X840" i="2" s="1"/>
  <c r="C841" i="2"/>
  <c r="X841" i="2" s="1"/>
  <c r="C842" i="2"/>
  <c r="X842" i="2" s="1"/>
  <c r="C843" i="2"/>
  <c r="X843" i="2" s="1"/>
  <c r="C844" i="2"/>
  <c r="X844" i="2" s="1"/>
  <c r="C845" i="2"/>
  <c r="X845" i="2" s="1"/>
  <c r="C846" i="2"/>
  <c r="X846" i="2" s="1"/>
  <c r="C847" i="2"/>
  <c r="X847" i="2" s="1"/>
  <c r="C848" i="2"/>
  <c r="X848" i="2" s="1"/>
  <c r="C849" i="2"/>
  <c r="X849" i="2" s="1"/>
  <c r="C850" i="2"/>
  <c r="X850" i="2" s="1"/>
  <c r="C851" i="2"/>
  <c r="X851" i="2" s="1"/>
  <c r="C852" i="2"/>
  <c r="X852" i="2" s="1"/>
  <c r="C853" i="2"/>
  <c r="X853" i="2" s="1"/>
  <c r="C854" i="2"/>
  <c r="X854" i="2" s="1"/>
  <c r="C855" i="2"/>
  <c r="X855" i="2" s="1"/>
  <c r="C856" i="2"/>
  <c r="X856" i="2" s="1"/>
  <c r="C857" i="2"/>
  <c r="X857" i="2" s="1"/>
  <c r="C858" i="2"/>
  <c r="X858" i="2" s="1"/>
  <c r="C859" i="2"/>
  <c r="X859" i="2" s="1"/>
  <c r="C860" i="2"/>
  <c r="X860" i="2" s="1"/>
  <c r="C861" i="2"/>
  <c r="X861" i="2" s="1"/>
  <c r="C862" i="2"/>
  <c r="X862" i="2" s="1"/>
  <c r="C863" i="2"/>
  <c r="X863" i="2" s="1"/>
  <c r="C864" i="2"/>
  <c r="X864" i="2" s="1"/>
  <c r="C865" i="2"/>
  <c r="X865" i="2" s="1"/>
  <c r="C866" i="2"/>
  <c r="X866" i="2" s="1"/>
  <c r="C867" i="2"/>
  <c r="X867" i="2" s="1"/>
  <c r="C868" i="2"/>
  <c r="X868" i="2" s="1"/>
  <c r="C869" i="2"/>
  <c r="X869" i="2" s="1"/>
  <c r="C870" i="2"/>
  <c r="X870" i="2" s="1"/>
  <c r="C871" i="2"/>
  <c r="X871" i="2" s="1"/>
  <c r="C872" i="2"/>
  <c r="X872" i="2" s="1"/>
  <c r="C873" i="2"/>
  <c r="X873" i="2" s="1"/>
  <c r="C874" i="2"/>
  <c r="X874" i="2" s="1"/>
  <c r="C875" i="2"/>
  <c r="X875" i="2" s="1"/>
  <c r="C876" i="2"/>
  <c r="X876" i="2" s="1"/>
  <c r="C877" i="2"/>
  <c r="X877" i="2" s="1"/>
  <c r="C878" i="2"/>
  <c r="X878" i="2" s="1"/>
  <c r="C879" i="2"/>
  <c r="X879" i="2" s="1"/>
  <c r="C880" i="2"/>
  <c r="X880" i="2" s="1"/>
  <c r="C881" i="2"/>
  <c r="X881" i="2" s="1"/>
  <c r="C882" i="2"/>
  <c r="X882" i="2" s="1"/>
  <c r="C883" i="2"/>
  <c r="X883" i="2" s="1"/>
  <c r="C884" i="2"/>
  <c r="X884" i="2" s="1"/>
  <c r="C885" i="2"/>
  <c r="X885" i="2" s="1"/>
  <c r="C886" i="2"/>
  <c r="X886" i="2" s="1"/>
  <c r="C887" i="2"/>
  <c r="X887" i="2" s="1"/>
  <c r="C888" i="2"/>
  <c r="X888" i="2" s="1"/>
  <c r="C889" i="2"/>
  <c r="X889" i="2" s="1"/>
  <c r="C890" i="2"/>
  <c r="X890" i="2" s="1"/>
  <c r="C891" i="2"/>
  <c r="X891" i="2" s="1"/>
  <c r="C892" i="2"/>
  <c r="X892" i="2" s="1"/>
  <c r="C893" i="2"/>
  <c r="X893" i="2" s="1"/>
  <c r="C894" i="2"/>
  <c r="X894" i="2" s="1"/>
  <c r="C895" i="2"/>
  <c r="X895" i="2" s="1"/>
  <c r="C896" i="2"/>
  <c r="X896" i="2" s="1"/>
  <c r="C897" i="2"/>
  <c r="X897" i="2" s="1"/>
  <c r="C898" i="2"/>
  <c r="X898" i="2" s="1"/>
  <c r="C899" i="2"/>
  <c r="X899" i="2" s="1"/>
  <c r="C900" i="2"/>
  <c r="X900" i="2" s="1"/>
  <c r="C901" i="2"/>
  <c r="X901" i="2" s="1"/>
  <c r="C902" i="2"/>
  <c r="X902" i="2" s="1"/>
  <c r="C903" i="2"/>
  <c r="X903" i="2" s="1"/>
  <c r="C904" i="2"/>
  <c r="X904" i="2" s="1"/>
  <c r="C905" i="2"/>
  <c r="X905" i="2" s="1"/>
  <c r="C906" i="2"/>
  <c r="X906" i="2" s="1"/>
  <c r="C907" i="2"/>
  <c r="X907" i="2" s="1"/>
  <c r="C908" i="2"/>
  <c r="X908" i="2" s="1"/>
  <c r="C909" i="2"/>
  <c r="X909" i="2" s="1"/>
  <c r="C910" i="2"/>
  <c r="X910" i="2" s="1"/>
  <c r="C911" i="2"/>
  <c r="X911" i="2" s="1"/>
  <c r="C912" i="2"/>
  <c r="X912" i="2" s="1"/>
  <c r="C913" i="2"/>
  <c r="X913" i="2" s="1"/>
  <c r="C914" i="2"/>
  <c r="X914" i="2" s="1"/>
  <c r="C915" i="2"/>
  <c r="X915" i="2" s="1"/>
  <c r="C916" i="2"/>
  <c r="X916" i="2" s="1"/>
  <c r="C917" i="2"/>
  <c r="X917" i="2" s="1"/>
  <c r="C918" i="2"/>
  <c r="X918" i="2" s="1"/>
  <c r="C919" i="2"/>
  <c r="X919" i="2" s="1"/>
  <c r="C920" i="2"/>
  <c r="X920" i="2" s="1"/>
  <c r="C921" i="2"/>
  <c r="X921" i="2" s="1"/>
  <c r="C922" i="2"/>
  <c r="X922" i="2" s="1"/>
  <c r="C923" i="2"/>
  <c r="X923" i="2" s="1"/>
  <c r="C924" i="2"/>
  <c r="X924" i="2" s="1"/>
  <c r="C925" i="2"/>
  <c r="X925" i="2" s="1"/>
  <c r="C926" i="2"/>
  <c r="X926" i="2" s="1"/>
  <c r="C927" i="2"/>
  <c r="X927" i="2" s="1"/>
  <c r="C928" i="2"/>
  <c r="X928" i="2" s="1"/>
  <c r="C929" i="2"/>
  <c r="X929" i="2" s="1"/>
  <c r="C930" i="2"/>
  <c r="X930" i="2" s="1"/>
  <c r="C931" i="2"/>
  <c r="X931" i="2" s="1"/>
  <c r="C932" i="2"/>
  <c r="X932" i="2" s="1"/>
  <c r="C933" i="2"/>
  <c r="X933" i="2" s="1"/>
  <c r="C934" i="2"/>
  <c r="X934" i="2" s="1"/>
  <c r="C935" i="2"/>
  <c r="X935" i="2" s="1"/>
  <c r="C936" i="2"/>
  <c r="X936" i="2" s="1"/>
  <c r="C937" i="2"/>
  <c r="X937" i="2" s="1"/>
  <c r="C938" i="2"/>
  <c r="X938" i="2" s="1"/>
  <c r="C939" i="2"/>
  <c r="X939" i="2" s="1"/>
  <c r="C940" i="2"/>
  <c r="X940" i="2" s="1"/>
  <c r="C941" i="2"/>
  <c r="X941" i="2" s="1"/>
  <c r="C942" i="2"/>
  <c r="X942" i="2" s="1"/>
  <c r="C943" i="2"/>
  <c r="X943" i="2" s="1"/>
  <c r="C944" i="2"/>
  <c r="X944" i="2" s="1"/>
  <c r="C945" i="2"/>
  <c r="X945" i="2" s="1"/>
  <c r="C946" i="2"/>
  <c r="X946" i="2" s="1"/>
  <c r="C947" i="2"/>
  <c r="X947" i="2" s="1"/>
  <c r="C948" i="2"/>
  <c r="X948" i="2" s="1"/>
  <c r="C949" i="2"/>
  <c r="X949" i="2" s="1"/>
  <c r="C950" i="2"/>
  <c r="X950" i="2" s="1"/>
  <c r="C951" i="2"/>
  <c r="X951" i="2" s="1"/>
  <c r="C952" i="2"/>
  <c r="X952" i="2" s="1"/>
  <c r="C953" i="2"/>
  <c r="X953" i="2" s="1"/>
  <c r="C954" i="2"/>
  <c r="X954" i="2" s="1"/>
  <c r="C955" i="2"/>
  <c r="X955" i="2" s="1"/>
  <c r="C956" i="2"/>
  <c r="X956" i="2" s="1"/>
  <c r="C957" i="2"/>
  <c r="X957" i="2" s="1"/>
  <c r="C958" i="2"/>
  <c r="X958" i="2" s="1"/>
  <c r="C959" i="2"/>
  <c r="X959" i="2" s="1"/>
  <c r="C960" i="2"/>
  <c r="X960" i="2" s="1"/>
  <c r="C961" i="2"/>
  <c r="X961" i="2" s="1"/>
  <c r="C962" i="2"/>
  <c r="X962" i="2" s="1"/>
  <c r="C963" i="2"/>
  <c r="X963" i="2" s="1"/>
  <c r="C964" i="2"/>
  <c r="X964" i="2" s="1"/>
  <c r="C965" i="2"/>
  <c r="X965" i="2" s="1"/>
  <c r="C966" i="2"/>
  <c r="X966" i="2" s="1"/>
  <c r="C967" i="2"/>
  <c r="X967" i="2" s="1"/>
  <c r="C968" i="2"/>
  <c r="X968" i="2" s="1"/>
  <c r="C969" i="2"/>
  <c r="X969" i="2" s="1"/>
  <c r="C970" i="2"/>
  <c r="X970" i="2" s="1"/>
  <c r="C971" i="2"/>
  <c r="X971" i="2" s="1"/>
  <c r="C972" i="2"/>
  <c r="X972" i="2" s="1"/>
  <c r="C973" i="2"/>
  <c r="X973" i="2" s="1"/>
  <c r="C974" i="2"/>
  <c r="X974" i="2" s="1"/>
  <c r="C975" i="2"/>
  <c r="X975" i="2" s="1"/>
  <c r="C976" i="2"/>
  <c r="X976" i="2" s="1"/>
  <c r="C977" i="2"/>
  <c r="X977" i="2" s="1"/>
  <c r="C978" i="2"/>
  <c r="X978" i="2" s="1"/>
  <c r="C979" i="2"/>
  <c r="X979" i="2" s="1"/>
  <c r="C980" i="2"/>
  <c r="X980" i="2" s="1"/>
  <c r="C981" i="2"/>
  <c r="X981" i="2" s="1"/>
  <c r="C982" i="2"/>
  <c r="X982" i="2" s="1"/>
  <c r="C983" i="2"/>
  <c r="X983" i="2" s="1"/>
  <c r="C984" i="2"/>
  <c r="X984" i="2" s="1"/>
  <c r="C985" i="2"/>
  <c r="X985" i="2" s="1"/>
  <c r="C986" i="2"/>
  <c r="X986" i="2" s="1"/>
  <c r="C987" i="2"/>
  <c r="X987" i="2" s="1"/>
  <c r="C988" i="2"/>
  <c r="X988" i="2" s="1"/>
  <c r="C989" i="2"/>
  <c r="X989" i="2" s="1"/>
  <c r="C990" i="2"/>
  <c r="X990" i="2" s="1"/>
  <c r="C991" i="2"/>
  <c r="X991" i="2" s="1"/>
  <c r="C992" i="2"/>
  <c r="X992" i="2" s="1"/>
  <c r="C993" i="2"/>
  <c r="X993" i="2" s="1"/>
  <c r="C994" i="2"/>
  <c r="X994" i="2" s="1"/>
  <c r="C995" i="2"/>
  <c r="X995" i="2" s="1"/>
  <c r="C996" i="2"/>
  <c r="X996" i="2" s="1"/>
  <c r="C997" i="2"/>
  <c r="X997" i="2" s="1"/>
  <c r="C998" i="2"/>
  <c r="X998" i="2" s="1"/>
  <c r="C999" i="2"/>
  <c r="X999" i="2" s="1"/>
  <c r="C1000" i="2"/>
  <c r="X1000" i="2" s="1"/>
  <c r="C1001" i="2"/>
  <c r="X1001" i="2" s="1"/>
  <c r="C2" i="2"/>
  <c r="J10" i="13"/>
  <c r="L10" i="13" l="1"/>
  <c r="K10" i="13"/>
  <c r="X2" i="2"/>
  <c r="G7" i="2"/>
  <c r="AH7" i="8"/>
  <c r="AK18" i="8" s="1"/>
  <c r="Y7" i="13"/>
  <c r="AB18" i="13" s="1"/>
  <c r="V58" i="3"/>
  <c r="X63" i="3" s="1"/>
  <c r="T11" i="1"/>
  <c r="V59" i="3"/>
  <c r="W51" i="3"/>
  <c r="W48" i="3"/>
  <c r="W45" i="3"/>
  <c r="W42" i="3"/>
  <c r="W39" i="3"/>
  <c r="W36" i="3"/>
  <c r="W33" i="3"/>
  <c r="W30" i="3"/>
  <c r="Y14" i="3"/>
  <c r="Y11" i="3"/>
  <c r="V5" i="3"/>
  <c r="V4" i="3"/>
  <c r="X9" i="3" s="1"/>
  <c r="V23" i="2"/>
  <c r="V20" i="2"/>
  <c r="V17" i="2"/>
  <c r="V14" i="2"/>
  <c r="V11" i="2"/>
  <c r="Q4" i="1"/>
  <c r="Q6" i="1" s="1"/>
  <c r="Q12" i="1"/>
  <c r="T14" i="1" s="1"/>
  <c r="Q5" i="1"/>
  <c r="K18" i="8"/>
  <c r="Y4" i="13"/>
  <c r="Y5" i="13"/>
  <c r="AK12" i="8" l="1"/>
  <c r="AK15" i="8"/>
  <c r="AK21" i="8"/>
  <c r="AB24" i="13"/>
  <c r="AB12" i="13"/>
  <c r="V60" i="3"/>
  <c r="X64" i="3" s="1"/>
  <c r="W63" i="3" s="1"/>
  <c r="H7" i="2"/>
  <c r="S5" i="2"/>
  <c r="S4" i="2"/>
  <c r="U9" i="2" s="1"/>
  <c r="U8" i="2" s="1"/>
  <c r="S9" i="1"/>
  <c r="S10" i="1" s="1"/>
  <c r="S12" i="1" s="1"/>
  <c r="AB15" i="13"/>
  <c r="Y6" i="13"/>
  <c r="AB21" i="13"/>
  <c r="AA10" i="13"/>
  <c r="X62" i="3"/>
  <c r="V6" i="3"/>
  <c r="X10" i="3" s="1"/>
  <c r="W9" i="3" s="1"/>
  <c r="X8" i="3"/>
  <c r="Q15" i="1"/>
  <c r="T17" i="1" s="1"/>
  <c r="X65" i="3" l="1"/>
  <c r="X66" i="3"/>
  <c r="X67" i="3" s="1"/>
  <c r="W66" i="3" s="1"/>
  <c r="Y67" i="3" s="1"/>
  <c r="S6" i="2"/>
  <c r="S11" i="1"/>
  <c r="S13" i="1"/>
  <c r="S14" i="1" s="1"/>
  <c r="U10" i="2"/>
  <c r="T9" i="2" s="1"/>
  <c r="AA11" i="13"/>
  <c r="AA9" i="13"/>
  <c r="Y63" i="3"/>
  <c r="Y64" i="3" s="1"/>
  <c r="Y9" i="3"/>
  <c r="Y10" i="3" s="1"/>
  <c r="X11" i="3"/>
  <c r="X12" i="3" s="1"/>
  <c r="X13" i="3" s="1"/>
  <c r="W12" i="3" s="1"/>
  <c r="S8" i="1"/>
  <c r="Q18" i="1"/>
  <c r="T20" i="1" s="1"/>
  <c r="AC1001" i="8"/>
  <c r="AC1000" i="8"/>
  <c r="AC999" i="8"/>
  <c r="AC998" i="8"/>
  <c r="AC997" i="8"/>
  <c r="AC996" i="8"/>
  <c r="AC995" i="8"/>
  <c r="AC994" i="8"/>
  <c r="AC993" i="8"/>
  <c r="AC992" i="8"/>
  <c r="AC991" i="8"/>
  <c r="AC990" i="8"/>
  <c r="AC989" i="8"/>
  <c r="AC988" i="8"/>
  <c r="AC987" i="8"/>
  <c r="AC986" i="8"/>
  <c r="AC985" i="8"/>
  <c r="AC984" i="8"/>
  <c r="AC983" i="8"/>
  <c r="AC982" i="8"/>
  <c r="AC981" i="8"/>
  <c r="AC980" i="8"/>
  <c r="AC979" i="8"/>
  <c r="AC978" i="8"/>
  <c r="AC977" i="8"/>
  <c r="AC976" i="8"/>
  <c r="AC975" i="8"/>
  <c r="AC974" i="8"/>
  <c r="AC973" i="8"/>
  <c r="AC972" i="8"/>
  <c r="AC971" i="8"/>
  <c r="AC970" i="8"/>
  <c r="AC969" i="8"/>
  <c r="AC968" i="8"/>
  <c r="AC967" i="8"/>
  <c r="AC966" i="8"/>
  <c r="AC965" i="8"/>
  <c r="AC964" i="8"/>
  <c r="AC963" i="8"/>
  <c r="AC962" i="8"/>
  <c r="AC961" i="8"/>
  <c r="AC960" i="8"/>
  <c r="AC959" i="8"/>
  <c r="AC958" i="8"/>
  <c r="AC957" i="8"/>
  <c r="AC956" i="8"/>
  <c r="AC955" i="8"/>
  <c r="AC954" i="8"/>
  <c r="AC953" i="8"/>
  <c r="AC952" i="8"/>
  <c r="AC951" i="8"/>
  <c r="AC950" i="8"/>
  <c r="AC949" i="8"/>
  <c r="AC948" i="8"/>
  <c r="AC947" i="8"/>
  <c r="AC946" i="8"/>
  <c r="AC945" i="8"/>
  <c r="AC944" i="8"/>
  <c r="AC943" i="8"/>
  <c r="AC942" i="8"/>
  <c r="AC941" i="8"/>
  <c r="AC940" i="8"/>
  <c r="AC939" i="8"/>
  <c r="AC938" i="8"/>
  <c r="AC937" i="8"/>
  <c r="AC936" i="8"/>
  <c r="AC935" i="8"/>
  <c r="AC934" i="8"/>
  <c r="AC933" i="8"/>
  <c r="AC932" i="8"/>
  <c r="AC931" i="8"/>
  <c r="AC930" i="8"/>
  <c r="AC929" i="8"/>
  <c r="AC928" i="8"/>
  <c r="AC927" i="8"/>
  <c r="AC926" i="8"/>
  <c r="AC925" i="8"/>
  <c r="AC924" i="8"/>
  <c r="AC923" i="8"/>
  <c r="AC922" i="8"/>
  <c r="AC921" i="8"/>
  <c r="AC920" i="8"/>
  <c r="AC919" i="8"/>
  <c r="AC918" i="8"/>
  <c r="AC917" i="8"/>
  <c r="AC916" i="8"/>
  <c r="AC915" i="8"/>
  <c r="AC914" i="8"/>
  <c r="AC913" i="8"/>
  <c r="AC912" i="8"/>
  <c r="AC911" i="8"/>
  <c r="AC910" i="8"/>
  <c r="AC909" i="8"/>
  <c r="AC908" i="8"/>
  <c r="AC907" i="8"/>
  <c r="AC906" i="8"/>
  <c r="AC905" i="8"/>
  <c r="AC904" i="8"/>
  <c r="AC903" i="8"/>
  <c r="AC902" i="8"/>
  <c r="AC901" i="8"/>
  <c r="AC900" i="8"/>
  <c r="AC899" i="8"/>
  <c r="AC898" i="8"/>
  <c r="AC897" i="8"/>
  <c r="AC896" i="8"/>
  <c r="AC895" i="8"/>
  <c r="AC894" i="8"/>
  <c r="AC893" i="8"/>
  <c r="AC892" i="8"/>
  <c r="AC891" i="8"/>
  <c r="AC890" i="8"/>
  <c r="AC889" i="8"/>
  <c r="AC888" i="8"/>
  <c r="AC887" i="8"/>
  <c r="AC886" i="8"/>
  <c r="AC885" i="8"/>
  <c r="AC884" i="8"/>
  <c r="AC883" i="8"/>
  <c r="AC882" i="8"/>
  <c r="AC881" i="8"/>
  <c r="AC880" i="8"/>
  <c r="AC879" i="8"/>
  <c r="AC878" i="8"/>
  <c r="AC877" i="8"/>
  <c r="AC876" i="8"/>
  <c r="AC875" i="8"/>
  <c r="AC874" i="8"/>
  <c r="AC873" i="8"/>
  <c r="AC872" i="8"/>
  <c r="AC871" i="8"/>
  <c r="AC870" i="8"/>
  <c r="AC869" i="8"/>
  <c r="AC868" i="8"/>
  <c r="AC867" i="8"/>
  <c r="AC866" i="8"/>
  <c r="AC865" i="8"/>
  <c r="AC864" i="8"/>
  <c r="AC863" i="8"/>
  <c r="AC862" i="8"/>
  <c r="AC861" i="8"/>
  <c r="AC860" i="8"/>
  <c r="AC859" i="8"/>
  <c r="AC858" i="8"/>
  <c r="AC857" i="8"/>
  <c r="AC856" i="8"/>
  <c r="AC855" i="8"/>
  <c r="AC854" i="8"/>
  <c r="AC853" i="8"/>
  <c r="AC852" i="8"/>
  <c r="AC851" i="8"/>
  <c r="AC850" i="8"/>
  <c r="AC849" i="8"/>
  <c r="AC848" i="8"/>
  <c r="AC847" i="8"/>
  <c r="AC846" i="8"/>
  <c r="AC845" i="8"/>
  <c r="AC844" i="8"/>
  <c r="AC843" i="8"/>
  <c r="AC842" i="8"/>
  <c r="AC841" i="8"/>
  <c r="AC840" i="8"/>
  <c r="AC839" i="8"/>
  <c r="AC838" i="8"/>
  <c r="AC837" i="8"/>
  <c r="AC836" i="8"/>
  <c r="AC835" i="8"/>
  <c r="AC834" i="8"/>
  <c r="AC833" i="8"/>
  <c r="AC832" i="8"/>
  <c r="AC831" i="8"/>
  <c r="AC830" i="8"/>
  <c r="AC829" i="8"/>
  <c r="AC828" i="8"/>
  <c r="AC827" i="8"/>
  <c r="AC826" i="8"/>
  <c r="AC825" i="8"/>
  <c r="AC824" i="8"/>
  <c r="AC823" i="8"/>
  <c r="AC822" i="8"/>
  <c r="AC821" i="8"/>
  <c r="AC820" i="8"/>
  <c r="AC819" i="8"/>
  <c r="AC818" i="8"/>
  <c r="AC817" i="8"/>
  <c r="AC816" i="8"/>
  <c r="AC815" i="8"/>
  <c r="AC814" i="8"/>
  <c r="AC813" i="8"/>
  <c r="AC812" i="8"/>
  <c r="AC811" i="8"/>
  <c r="AC810" i="8"/>
  <c r="AC809" i="8"/>
  <c r="AC808" i="8"/>
  <c r="AC807" i="8"/>
  <c r="AC806" i="8"/>
  <c r="AC805" i="8"/>
  <c r="AC804" i="8"/>
  <c r="AC803" i="8"/>
  <c r="AC802" i="8"/>
  <c r="AC801" i="8"/>
  <c r="AC800" i="8"/>
  <c r="AC799" i="8"/>
  <c r="AC798" i="8"/>
  <c r="AC797" i="8"/>
  <c r="AC796" i="8"/>
  <c r="AC795" i="8"/>
  <c r="AC794" i="8"/>
  <c r="AC793" i="8"/>
  <c r="AC792" i="8"/>
  <c r="AC791" i="8"/>
  <c r="AC790" i="8"/>
  <c r="AC789" i="8"/>
  <c r="AC788" i="8"/>
  <c r="AC787" i="8"/>
  <c r="AC786" i="8"/>
  <c r="AC785" i="8"/>
  <c r="AC784" i="8"/>
  <c r="AC783" i="8"/>
  <c r="AC782" i="8"/>
  <c r="AC781" i="8"/>
  <c r="AC780" i="8"/>
  <c r="AC779" i="8"/>
  <c r="AC778" i="8"/>
  <c r="AC777" i="8"/>
  <c r="AC776" i="8"/>
  <c r="AC775" i="8"/>
  <c r="AC774" i="8"/>
  <c r="AC773" i="8"/>
  <c r="AC772" i="8"/>
  <c r="AC771" i="8"/>
  <c r="AC770" i="8"/>
  <c r="AC769" i="8"/>
  <c r="AC768" i="8"/>
  <c r="AC767" i="8"/>
  <c r="AC766" i="8"/>
  <c r="AC765" i="8"/>
  <c r="AC764" i="8"/>
  <c r="AC763" i="8"/>
  <c r="AC762" i="8"/>
  <c r="AC761" i="8"/>
  <c r="AC760" i="8"/>
  <c r="AC759" i="8"/>
  <c r="AC758" i="8"/>
  <c r="AC757" i="8"/>
  <c r="AC756" i="8"/>
  <c r="AC755" i="8"/>
  <c r="AC754" i="8"/>
  <c r="AC753" i="8"/>
  <c r="AC752" i="8"/>
  <c r="AC751" i="8"/>
  <c r="AC750" i="8"/>
  <c r="AC749" i="8"/>
  <c r="AC748" i="8"/>
  <c r="AC747" i="8"/>
  <c r="AC746" i="8"/>
  <c r="AC745" i="8"/>
  <c r="AC744" i="8"/>
  <c r="AC743" i="8"/>
  <c r="AC742" i="8"/>
  <c r="AC741" i="8"/>
  <c r="AC740" i="8"/>
  <c r="AC739" i="8"/>
  <c r="AC738" i="8"/>
  <c r="AC737" i="8"/>
  <c r="AC736" i="8"/>
  <c r="AC735" i="8"/>
  <c r="AC734" i="8"/>
  <c r="AC733" i="8"/>
  <c r="AC732" i="8"/>
  <c r="AC731" i="8"/>
  <c r="AC730" i="8"/>
  <c r="AC729" i="8"/>
  <c r="AC728" i="8"/>
  <c r="AC727" i="8"/>
  <c r="AC726" i="8"/>
  <c r="AC725" i="8"/>
  <c r="AC724" i="8"/>
  <c r="AC723" i="8"/>
  <c r="AC722" i="8"/>
  <c r="AC721" i="8"/>
  <c r="AC720" i="8"/>
  <c r="AC719" i="8"/>
  <c r="AC718" i="8"/>
  <c r="AC717" i="8"/>
  <c r="AC716" i="8"/>
  <c r="AC715" i="8"/>
  <c r="AC714" i="8"/>
  <c r="AC713" i="8"/>
  <c r="AC712" i="8"/>
  <c r="AC711" i="8"/>
  <c r="AC710" i="8"/>
  <c r="AC709" i="8"/>
  <c r="AC708" i="8"/>
  <c r="AC707" i="8"/>
  <c r="AC706" i="8"/>
  <c r="AC705" i="8"/>
  <c r="AC704" i="8"/>
  <c r="AC703" i="8"/>
  <c r="AC702" i="8"/>
  <c r="AC701" i="8"/>
  <c r="AC700" i="8"/>
  <c r="AC699" i="8"/>
  <c r="AC698" i="8"/>
  <c r="AC697" i="8"/>
  <c r="AC696" i="8"/>
  <c r="AC695" i="8"/>
  <c r="AC694" i="8"/>
  <c r="AC693" i="8"/>
  <c r="AC692" i="8"/>
  <c r="AC691" i="8"/>
  <c r="AC690" i="8"/>
  <c r="AC689" i="8"/>
  <c r="AC688" i="8"/>
  <c r="AC687" i="8"/>
  <c r="AC686" i="8"/>
  <c r="AC685" i="8"/>
  <c r="AC684" i="8"/>
  <c r="AC683" i="8"/>
  <c r="AC682" i="8"/>
  <c r="AC681" i="8"/>
  <c r="AC680" i="8"/>
  <c r="AC679" i="8"/>
  <c r="AC678" i="8"/>
  <c r="AC677" i="8"/>
  <c r="AC676" i="8"/>
  <c r="AC675" i="8"/>
  <c r="AC674" i="8"/>
  <c r="AC673" i="8"/>
  <c r="AC672" i="8"/>
  <c r="AC671" i="8"/>
  <c r="AC670" i="8"/>
  <c r="AC669" i="8"/>
  <c r="AC668" i="8"/>
  <c r="AC667" i="8"/>
  <c r="AC666" i="8"/>
  <c r="AC665" i="8"/>
  <c r="AC664" i="8"/>
  <c r="AC663" i="8"/>
  <c r="AC662" i="8"/>
  <c r="AC661" i="8"/>
  <c r="AC660" i="8"/>
  <c r="AC659" i="8"/>
  <c r="AC658" i="8"/>
  <c r="AC657" i="8"/>
  <c r="AC656" i="8"/>
  <c r="AC655" i="8"/>
  <c r="AC654" i="8"/>
  <c r="AC653" i="8"/>
  <c r="AC652" i="8"/>
  <c r="AC651" i="8"/>
  <c r="AC650" i="8"/>
  <c r="AC649" i="8"/>
  <c r="AC648" i="8"/>
  <c r="AC647" i="8"/>
  <c r="AC646" i="8"/>
  <c r="AC645" i="8"/>
  <c r="AC644" i="8"/>
  <c r="AC643" i="8"/>
  <c r="AC642" i="8"/>
  <c r="AC641" i="8"/>
  <c r="AC640" i="8"/>
  <c r="AC639" i="8"/>
  <c r="AC638" i="8"/>
  <c r="AC637" i="8"/>
  <c r="AC636" i="8"/>
  <c r="AC635" i="8"/>
  <c r="AC634" i="8"/>
  <c r="AC633" i="8"/>
  <c r="AC632" i="8"/>
  <c r="AC631" i="8"/>
  <c r="AC630" i="8"/>
  <c r="AC629" i="8"/>
  <c r="AC628" i="8"/>
  <c r="AC627" i="8"/>
  <c r="AC626" i="8"/>
  <c r="AC625" i="8"/>
  <c r="AC624" i="8"/>
  <c r="AC623" i="8"/>
  <c r="AC622" i="8"/>
  <c r="AC621" i="8"/>
  <c r="AC620" i="8"/>
  <c r="AC619" i="8"/>
  <c r="AC618" i="8"/>
  <c r="AC617" i="8"/>
  <c r="AC616" i="8"/>
  <c r="AC615" i="8"/>
  <c r="AC614" i="8"/>
  <c r="AC613" i="8"/>
  <c r="AC612" i="8"/>
  <c r="AC611" i="8"/>
  <c r="AC610" i="8"/>
  <c r="AC609" i="8"/>
  <c r="AC608" i="8"/>
  <c r="AC607" i="8"/>
  <c r="AC606" i="8"/>
  <c r="AC605" i="8"/>
  <c r="AC604" i="8"/>
  <c r="AC603" i="8"/>
  <c r="AC602" i="8"/>
  <c r="AC601" i="8"/>
  <c r="AC600" i="8"/>
  <c r="AC599" i="8"/>
  <c r="AC598" i="8"/>
  <c r="AC597" i="8"/>
  <c r="AC596" i="8"/>
  <c r="AC595" i="8"/>
  <c r="AC594" i="8"/>
  <c r="AC593" i="8"/>
  <c r="AC592" i="8"/>
  <c r="AC591" i="8"/>
  <c r="AC590" i="8"/>
  <c r="AC589" i="8"/>
  <c r="AC588" i="8"/>
  <c r="AC587" i="8"/>
  <c r="AC586" i="8"/>
  <c r="AC585" i="8"/>
  <c r="AC584" i="8"/>
  <c r="AC583" i="8"/>
  <c r="AC582" i="8"/>
  <c r="AC581" i="8"/>
  <c r="AC580" i="8"/>
  <c r="AC579" i="8"/>
  <c r="AC578" i="8"/>
  <c r="AC577" i="8"/>
  <c r="AC576" i="8"/>
  <c r="AC575" i="8"/>
  <c r="AC574" i="8"/>
  <c r="AC573" i="8"/>
  <c r="AC572" i="8"/>
  <c r="AC571" i="8"/>
  <c r="AC570" i="8"/>
  <c r="AC569" i="8"/>
  <c r="AC568" i="8"/>
  <c r="AC567" i="8"/>
  <c r="AC566" i="8"/>
  <c r="AC565" i="8"/>
  <c r="AC564" i="8"/>
  <c r="AC563" i="8"/>
  <c r="AC562" i="8"/>
  <c r="AC561" i="8"/>
  <c r="AC560" i="8"/>
  <c r="AC559" i="8"/>
  <c r="AC558" i="8"/>
  <c r="AC557" i="8"/>
  <c r="AC556" i="8"/>
  <c r="AC555" i="8"/>
  <c r="AC554" i="8"/>
  <c r="AC553" i="8"/>
  <c r="AC552" i="8"/>
  <c r="AC551" i="8"/>
  <c r="AC550" i="8"/>
  <c r="AC549" i="8"/>
  <c r="AC548" i="8"/>
  <c r="AC547" i="8"/>
  <c r="AC546" i="8"/>
  <c r="AC545" i="8"/>
  <c r="AC544" i="8"/>
  <c r="AC543" i="8"/>
  <c r="AC542" i="8"/>
  <c r="AC541" i="8"/>
  <c r="AC540" i="8"/>
  <c r="AC539" i="8"/>
  <c r="AC538" i="8"/>
  <c r="AC537" i="8"/>
  <c r="AC536" i="8"/>
  <c r="AC535" i="8"/>
  <c r="AC534" i="8"/>
  <c r="AC533" i="8"/>
  <c r="AC532" i="8"/>
  <c r="AC531" i="8"/>
  <c r="AC530" i="8"/>
  <c r="AC529" i="8"/>
  <c r="AC528" i="8"/>
  <c r="AC527" i="8"/>
  <c r="AC526" i="8"/>
  <c r="AC525" i="8"/>
  <c r="AC524" i="8"/>
  <c r="AC523" i="8"/>
  <c r="AC522" i="8"/>
  <c r="AC521" i="8"/>
  <c r="AC520" i="8"/>
  <c r="AC519" i="8"/>
  <c r="AC518" i="8"/>
  <c r="AC517" i="8"/>
  <c r="AC516" i="8"/>
  <c r="AC515" i="8"/>
  <c r="AC514" i="8"/>
  <c r="AC513" i="8"/>
  <c r="AC512" i="8"/>
  <c r="AC511" i="8"/>
  <c r="AC510" i="8"/>
  <c r="AC509" i="8"/>
  <c r="AC508" i="8"/>
  <c r="AC507" i="8"/>
  <c r="AC506" i="8"/>
  <c r="AC505" i="8"/>
  <c r="AC504" i="8"/>
  <c r="AC503" i="8"/>
  <c r="AC502" i="8"/>
  <c r="AC501" i="8"/>
  <c r="AC500" i="8"/>
  <c r="AC499" i="8"/>
  <c r="AC498" i="8"/>
  <c r="AC497" i="8"/>
  <c r="AC496" i="8"/>
  <c r="AC495" i="8"/>
  <c r="AC494" i="8"/>
  <c r="AC493" i="8"/>
  <c r="AC492" i="8"/>
  <c r="AC491" i="8"/>
  <c r="AC490" i="8"/>
  <c r="AC489" i="8"/>
  <c r="AC488" i="8"/>
  <c r="AC487" i="8"/>
  <c r="AC486" i="8"/>
  <c r="AC485" i="8"/>
  <c r="AC484" i="8"/>
  <c r="AC483" i="8"/>
  <c r="AC482" i="8"/>
  <c r="AC481" i="8"/>
  <c r="AC480" i="8"/>
  <c r="AC479" i="8"/>
  <c r="AC478" i="8"/>
  <c r="AC477" i="8"/>
  <c r="AC476" i="8"/>
  <c r="AC475" i="8"/>
  <c r="AC474" i="8"/>
  <c r="AC473" i="8"/>
  <c r="AC472" i="8"/>
  <c r="AC471" i="8"/>
  <c r="AC470" i="8"/>
  <c r="AC469" i="8"/>
  <c r="AC468" i="8"/>
  <c r="AC467" i="8"/>
  <c r="AC466" i="8"/>
  <c r="AC465" i="8"/>
  <c r="AC464" i="8"/>
  <c r="AC463" i="8"/>
  <c r="AC462" i="8"/>
  <c r="AC461" i="8"/>
  <c r="AC460" i="8"/>
  <c r="AC459" i="8"/>
  <c r="AC458" i="8"/>
  <c r="AC457" i="8"/>
  <c r="AC456" i="8"/>
  <c r="AC455" i="8"/>
  <c r="AC454" i="8"/>
  <c r="AC453" i="8"/>
  <c r="AC452" i="8"/>
  <c r="AC451" i="8"/>
  <c r="AC450" i="8"/>
  <c r="AC449" i="8"/>
  <c r="AC448" i="8"/>
  <c r="AC447" i="8"/>
  <c r="AC446" i="8"/>
  <c r="AC445" i="8"/>
  <c r="AC444" i="8"/>
  <c r="AC443" i="8"/>
  <c r="AC442" i="8"/>
  <c r="AC441" i="8"/>
  <c r="AC440" i="8"/>
  <c r="AC439" i="8"/>
  <c r="AC438" i="8"/>
  <c r="AC437" i="8"/>
  <c r="AC436" i="8"/>
  <c r="AC435" i="8"/>
  <c r="AC434" i="8"/>
  <c r="AC433" i="8"/>
  <c r="AC432" i="8"/>
  <c r="AC431" i="8"/>
  <c r="AC430" i="8"/>
  <c r="AC429" i="8"/>
  <c r="AC428" i="8"/>
  <c r="AC427" i="8"/>
  <c r="AC426" i="8"/>
  <c r="AC425" i="8"/>
  <c r="AC424" i="8"/>
  <c r="AC423" i="8"/>
  <c r="AC422" i="8"/>
  <c r="AC421" i="8"/>
  <c r="AC420" i="8"/>
  <c r="AC419" i="8"/>
  <c r="AC418" i="8"/>
  <c r="AC417" i="8"/>
  <c r="AC416" i="8"/>
  <c r="AC415" i="8"/>
  <c r="AC414" i="8"/>
  <c r="AC413" i="8"/>
  <c r="AC412" i="8"/>
  <c r="AC411" i="8"/>
  <c r="AC410" i="8"/>
  <c r="AC409" i="8"/>
  <c r="AC408" i="8"/>
  <c r="AC407" i="8"/>
  <c r="AC406" i="8"/>
  <c r="AC405" i="8"/>
  <c r="AC404" i="8"/>
  <c r="AC403" i="8"/>
  <c r="AC402" i="8"/>
  <c r="AC401" i="8"/>
  <c r="AC400" i="8"/>
  <c r="AC399" i="8"/>
  <c r="AC398" i="8"/>
  <c r="AC397" i="8"/>
  <c r="AC396" i="8"/>
  <c r="AC395" i="8"/>
  <c r="AC394" i="8"/>
  <c r="AC393" i="8"/>
  <c r="AC392" i="8"/>
  <c r="AC391" i="8"/>
  <c r="AC390" i="8"/>
  <c r="AC389" i="8"/>
  <c r="AC388" i="8"/>
  <c r="AC387" i="8"/>
  <c r="AC386" i="8"/>
  <c r="AC385" i="8"/>
  <c r="AC384" i="8"/>
  <c r="AC383" i="8"/>
  <c r="AC382" i="8"/>
  <c r="AC381" i="8"/>
  <c r="AC380" i="8"/>
  <c r="AC379" i="8"/>
  <c r="AC378" i="8"/>
  <c r="AC377" i="8"/>
  <c r="AC376" i="8"/>
  <c r="AC375" i="8"/>
  <c r="AC374" i="8"/>
  <c r="AC373" i="8"/>
  <c r="AC372" i="8"/>
  <c r="AC371" i="8"/>
  <c r="AC370" i="8"/>
  <c r="AC369" i="8"/>
  <c r="AC368" i="8"/>
  <c r="AC367" i="8"/>
  <c r="AC366" i="8"/>
  <c r="AC365" i="8"/>
  <c r="AC364" i="8"/>
  <c r="AC363" i="8"/>
  <c r="AC362" i="8"/>
  <c r="AC361" i="8"/>
  <c r="AC360" i="8"/>
  <c r="AC359" i="8"/>
  <c r="AC358" i="8"/>
  <c r="AC357" i="8"/>
  <c r="AC356" i="8"/>
  <c r="AC355" i="8"/>
  <c r="AC354" i="8"/>
  <c r="AC353" i="8"/>
  <c r="AC352" i="8"/>
  <c r="AC351" i="8"/>
  <c r="AC350" i="8"/>
  <c r="AC349" i="8"/>
  <c r="AC348" i="8"/>
  <c r="AC347" i="8"/>
  <c r="AC346" i="8"/>
  <c r="AC345" i="8"/>
  <c r="AC344" i="8"/>
  <c r="AC343" i="8"/>
  <c r="AC342" i="8"/>
  <c r="AC341" i="8"/>
  <c r="AC340" i="8"/>
  <c r="AC339" i="8"/>
  <c r="AC338" i="8"/>
  <c r="AC337" i="8"/>
  <c r="AC336" i="8"/>
  <c r="AC335" i="8"/>
  <c r="AC334" i="8"/>
  <c r="AC333" i="8"/>
  <c r="AC332" i="8"/>
  <c r="AC331" i="8"/>
  <c r="AC330" i="8"/>
  <c r="AC329" i="8"/>
  <c r="AC328" i="8"/>
  <c r="AC327" i="8"/>
  <c r="AC326" i="8"/>
  <c r="AC325" i="8"/>
  <c r="AC324" i="8"/>
  <c r="AC323" i="8"/>
  <c r="AC322" i="8"/>
  <c r="AC321" i="8"/>
  <c r="AC320" i="8"/>
  <c r="AC319" i="8"/>
  <c r="AC318" i="8"/>
  <c r="AC317" i="8"/>
  <c r="AC316" i="8"/>
  <c r="AC315" i="8"/>
  <c r="AC314" i="8"/>
  <c r="AC313" i="8"/>
  <c r="AC312" i="8"/>
  <c r="AC311" i="8"/>
  <c r="AC310" i="8"/>
  <c r="AC309" i="8"/>
  <c r="AC308" i="8"/>
  <c r="AC307" i="8"/>
  <c r="AC306" i="8"/>
  <c r="AC305" i="8"/>
  <c r="AC304" i="8"/>
  <c r="AC303" i="8"/>
  <c r="AC302" i="8"/>
  <c r="AC301" i="8"/>
  <c r="AC300" i="8"/>
  <c r="AC299" i="8"/>
  <c r="AC298" i="8"/>
  <c r="AC297" i="8"/>
  <c r="AC296" i="8"/>
  <c r="AC295" i="8"/>
  <c r="AC294" i="8"/>
  <c r="AC293" i="8"/>
  <c r="AC292" i="8"/>
  <c r="AC291" i="8"/>
  <c r="AC290" i="8"/>
  <c r="AC289" i="8"/>
  <c r="AC288" i="8"/>
  <c r="AC287" i="8"/>
  <c r="AC286" i="8"/>
  <c r="AC285" i="8"/>
  <c r="AC284" i="8"/>
  <c r="AC283" i="8"/>
  <c r="AC282" i="8"/>
  <c r="AC281" i="8"/>
  <c r="AC280" i="8"/>
  <c r="AC279" i="8"/>
  <c r="AC278" i="8"/>
  <c r="AC277" i="8"/>
  <c r="AC276" i="8"/>
  <c r="AC275" i="8"/>
  <c r="AC274" i="8"/>
  <c r="AC273" i="8"/>
  <c r="AC272" i="8"/>
  <c r="AC271" i="8"/>
  <c r="AC270" i="8"/>
  <c r="AC269" i="8"/>
  <c r="AC268" i="8"/>
  <c r="AC267" i="8"/>
  <c r="AC266" i="8"/>
  <c r="AC265" i="8"/>
  <c r="AC264" i="8"/>
  <c r="AC263" i="8"/>
  <c r="AC262" i="8"/>
  <c r="AC261" i="8"/>
  <c r="AC260" i="8"/>
  <c r="AC259" i="8"/>
  <c r="AC258" i="8"/>
  <c r="AC257" i="8"/>
  <c r="AC256" i="8"/>
  <c r="AC255" i="8"/>
  <c r="AC254" i="8"/>
  <c r="AC253" i="8"/>
  <c r="AC252" i="8"/>
  <c r="AC251" i="8"/>
  <c r="AC250" i="8"/>
  <c r="AC249" i="8"/>
  <c r="AC248" i="8"/>
  <c r="AC247" i="8"/>
  <c r="AC246" i="8"/>
  <c r="AC245" i="8"/>
  <c r="AC244" i="8"/>
  <c r="AC243" i="8"/>
  <c r="AC242" i="8"/>
  <c r="AC241" i="8"/>
  <c r="AC240" i="8"/>
  <c r="AC239" i="8"/>
  <c r="AC238" i="8"/>
  <c r="AC237" i="8"/>
  <c r="AC236" i="8"/>
  <c r="AC235" i="8"/>
  <c r="AC234" i="8"/>
  <c r="AC233" i="8"/>
  <c r="AC232" i="8"/>
  <c r="AC231" i="8"/>
  <c r="AC230" i="8"/>
  <c r="AC229" i="8"/>
  <c r="AC228" i="8"/>
  <c r="AC227" i="8"/>
  <c r="AC226" i="8"/>
  <c r="AC225" i="8"/>
  <c r="AC224" i="8"/>
  <c r="AC223" i="8"/>
  <c r="AC222" i="8"/>
  <c r="AC221" i="8"/>
  <c r="AC220" i="8"/>
  <c r="AC219" i="8"/>
  <c r="AC218" i="8"/>
  <c r="AC217" i="8"/>
  <c r="AC216" i="8"/>
  <c r="AC215" i="8"/>
  <c r="AC214" i="8"/>
  <c r="AC213" i="8"/>
  <c r="AC212" i="8"/>
  <c r="AC211" i="8"/>
  <c r="AC210" i="8"/>
  <c r="AC209" i="8"/>
  <c r="AC208" i="8"/>
  <c r="AC207" i="8"/>
  <c r="AC206" i="8"/>
  <c r="AC205" i="8"/>
  <c r="AC204" i="8"/>
  <c r="AC203" i="8"/>
  <c r="AC202" i="8"/>
  <c r="AC201" i="8"/>
  <c r="AC200" i="8"/>
  <c r="AC199" i="8"/>
  <c r="AC198" i="8"/>
  <c r="AC197" i="8"/>
  <c r="AC196" i="8"/>
  <c r="AC195" i="8"/>
  <c r="AC194" i="8"/>
  <c r="AC193" i="8"/>
  <c r="AC192" i="8"/>
  <c r="AC191" i="8"/>
  <c r="AC190" i="8"/>
  <c r="AC189" i="8"/>
  <c r="AC188" i="8"/>
  <c r="AC187" i="8"/>
  <c r="AC186" i="8"/>
  <c r="AC185" i="8"/>
  <c r="AC184" i="8"/>
  <c r="AC183" i="8"/>
  <c r="AC182" i="8"/>
  <c r="AC181" i="8"/>
  <c r="AC180" i="8"/>
  <c r="AC179" i="8"/>
  <c r="AC178" i="8"/>
  <c r="AC177" i="8"/>
  <c r="AC176" i="8"/>
  <c r="AC175" i="8"/>
  <c r="AC174" i="8"/>
  <c r="AC173" i="8"/>
  <c r="AC172" i="8"/>
  <c r="AC171" i="8"/>
  <c r="AC170" i="8"/>
  <c r="AC169" i="8"/>
  <c r="AC168" i="8"/>
  <c r="AC167" i="8"/>
  <c r="AC166" i="8"/>
  <c r="AC165" i="8"/>
  <c r="AC164" i="8"/>
  <c r="AC163" i="8"/>
  <c r="AC162" i="8"/>
  <c r="AC161" i="8"/>
  <c r="AC160" i="8"/>
  <c r="AC159" i="8"/>
  <c r="AC158" i="8"/>
  <c r="AC157" i="8"/>
  <c r="AC156" i="8"/>
  <c r="AC155" i="8"/>
  <c r="AC154" i="8"/>
  <c r="AC153" i="8"/>
  <c r="AC152" i="8"/>
  <c r="AC151" i="8"/>
  <c r="AC150" i="8"/>
  <c r="AC149" i="8"/>
  <c r="AC148" i="8"/>
  <c r="AC147" i="8"/>
  <c r="AC146" i="8"/>
  <c r="AC145" i="8"/>
  <c r="AC144" i="8"/>
  <c r="AC143" i="8"/>
  <c r="AC142" i="8"/>
  <c r="AC141" i="8"/>
  <c r="AC140" i="8"/>
  <c r="AC139" i="8"/>
  <c r="AC138" i="8"/>
  <c r="AC137" i="8"/>
  <c r="AC136" i="8"/>
  <c r="AC135" i="8"/>
  <c r="AC134" i="8"/>
  <c r="AC133" i="8"/>
  <c r="AC132" i="8"/>
  <c r="AC131" i="8"/>
  <c r="AC130" i="8"/>
  <c r="AC129" i="8"/>
  <c r="AC128" i="8"/>
  <c r="AC127" i="8"/>
  <c r="AC126" i="8"/>
  <c r="AC125" i="8"/>
  <c r="AC124" i="8"/>
  <c r="AC123" i="8"/>
  <c r="AC122" i="8"/>
  <c r="AC121" i="8"/>
  <c r="AC120" i="8"/>
  <c r="AC119" i="8"/>
  <c r="AC118" i="8"/>
  <c r="AC117" i="8"/>
  <c r="AC116" i="8"/>
  <c r="AC115" i="8"/>
  <c r="AC114" i="8"/>
  <c r="AC113" i="8"/>
  <c r="AC112" i="8"/>
  <c r="AC111" i="8"/>
  <c r="AC110" i="8"/>
  <c r="AC109" i="8"/>
  <c r="AC108" i="8"/>
  <c r="AC107" i="8"/>
  <c r="AC106" i="8"/>
  <c r="AC105" i="8"/>
  <c r="AC104" i="8"/>
  <c r="AC103" i="8"/>
  <c r="AC102" i="8"/>
  <c r="AC101" i="8"/>
  <c r="AC100" i="8"/>
  <c r="AC99" i="8"/>
  <c r="AC98" i="8"/>
  <c r="AC97" i="8"/>
  <c r="AC96" i="8"/>
  <c r="AC95" i="8"/>
  <c r="AC94" i="8"/>
  <c r="AC93" i="8"/>
  <c r="AC92" i="8"/>
  <c r="AC91" i="8"/>
  <c r="AC90" i="8"/>
  <c r="AC89" i="8"/>
  <c r="AC88" i="8"/>
  <c r="AC87" i="8"/>
  <c r="AC86" i="8"/>
  <c r="AC85" i="8"/>
  <c r="AC84" i="8"/>
  <c r="AC83" i="8"/>
  <c r="AC82" i="8"/>
  <c r="AC81" i="8"/>
  <c r="AC80" i="8"/>
  <c r="AC79" i="8"/>
  <c r="AC78" i="8"/>
  <c r="AC77" i="8"/>
  <c r="AC76" i="8"/>
  <c r="AC75" i="8"/>
  <c r="AC74" i="8"/>
  <c r="AC73" i="8"/>
  <c r="AC72" i="8"/>
  <c r="AC71" i="8"/>
  <c r="AC70" i="8"/>
  <c r="AC69" i="8"/>
  <c r="AC68" i="8"/>
  <c r="AC67" i="8"/>
  <c r="AC66" i="8"/>
  <c r="AC65" i="8"/>
  <c r="AC64" i="8"/>
  <c r="AC63" i="8"/>
  <c r="AC62" i="8"/>
  <c r="AC61" i="8"/>
  <c r="AC60" i="8"/>
  <c r="AC59" i="8"/>
  <c r="AC58" i="8"/>
  <c r="AC57" i="8"/>
  <c r="AC56" i="8"/>
  <c r="AC55" i="8"/>
  <c r="AC54" i="8"/>
  <c r="AC53" i="8"/>
  <c r="AC52" i="8"/>
  <c r="AC51" i="8"/>
  <c r="AC50" i="8"/>
  <c r="AC49" i="8"/>
  <c r="AC48" i="8"/>
  <c r="AC47" i="8"/>
  <c r="AC46" i="8"/>
  <c r="AC45" i="8"/>
  <c r="AC44" i="8"/>
  <c r="AC43" i="8"/>
  <c r="AC42" i="8"/>
  <c r="AC41" i="8"/>
  <c r="AC40" i="8"/>
  <c r="AC39" i="8"/>
  <c r="AC38" i="8"/>
  <c r="AC37" i="8"/>
  <c r="AC36" i="8"/>
  <c r="AC35" i="8"/>
  <c r="AC34" i="8"/>
  <c r="AC33" i="8"/>
  <c r="AC32" i="8"/>
  <c r="K7" i="8"/>
  <c r="J7" i="8"/>
  <c r="N9" i="8"/>
  <c r="H7" i="8"/>
  <c r="G7" i="8"/>
  <c r="I13" i="7"/>
  <c r="H13" i="7"/>
  <c r="G13" i="7"/>
  <c r="F13" i="7"/>
  <c r="E13" i="7"/>
  <c r="D13" i="7"/>
  <c r="Y12" i="7"/>
  <c r="Y22" i="7" s="1"/>
  <c r="X12" i="7"/>
  <c r="X22" i="7" s="1"/>
  <c r="W12" i="7"/>
  <c r="W22" i="7" s="1"/>
  <c r="V12" i="7"/>
  <c r="V22" i="7" s="1"/>
  <c r="U12" i="7"/>
  <c r="U22" i="7" s="1"/>
  <c r="T12" i="7"/>
  <c r="T22" i="7" s="1"/>
  <c r="S12" i="7"/>
  <c r="S22" i="7" s="1"/>
  <c r="J12" i="7"/>
  <c r="Y11" i="7"/>
  <c r="Y21" i="7" s="1"/>
  <c r="X11" i="7"/>
  <c r="X21" i="7" s="1"/>
  <c r="W11" i="7"/>
  <c r="W21" i="7" s="1"/>
  <c r="V11" i="7"/>
  <c r="V21" i="7" s="1"/>
  <c r="U11" i="7"/>
  <c r="U21" i="7" s="1"/>
  <c r="T11" i="7"/>
  <c r="T21" i="7" s="1"/>
  <c r="S11" i="7"/>
  <c r="S21" i="7" s="1"/>
  <c r="J11" i="7"/>
  <c r="Y10" i="7"/>
  <c r="Y20" i="7" s="1"/>
  <c r="X10" i="7"/>
  <c r="X20" i="7" s="1"/>
  <c r="W10" i="7"/>
  <c r="W20" i="7" s="1"/>
  <c r="V10" i="7"/>
  <c r="V20" i="7" s="1"/>
  <c r="U10" i="7"/>
  <c r="U20" i="7" s="1"/>
  <c r="T10" i="7"/>
  <c r="T20" i="7" s="1"/>
  <c r="S10" i="7"/>
  <c r="S20" i="7" s="1"/>
  <c r="J10" i="7"/>
  <c r="Y9" i="7"/>
  <c r="Y19" i="7" s="1"/>
  <c r="X9" i="7"/>
  <c r="X19" i="7" s="1"/>
  <c r="W9" i="7"/>
  <c r="W19" i="7" s="1"/>
  <c r="V9" i="7"/>
  <c r="V19" i="7" s="1"/>
  <c r="U9" i="7"/>
  <c r="U19" i="7" s="1"/>
  <c r="T9" i="7"/>
  <c r="T19" i="7" s="1"/>
  <c r="S9" i="7"/>
  <c r="S19" i="7" s="1"/>
  <c r="J9" i="7"/>
  <c r="Y8" i="7"/>
  <c r="Y18" i="7" s="1"/>
  <c r="X8" i="7"/>
  <c r="X18" i="7" s="1"/>
  <c r="W8" i="7"/>
  <c r="W18" i="7" s="1"/>
  <c r="S8" i="7"/>
  <c r="S18" i="7" s="1"/>
  <c r="J8" i="7"/>
  <c r="Y7" i="7"/>
  <c r="Y17" i="7" s="1"/>
  <c r="X7" i="7"/>
  <c r="X17" i="7" s="1"/>
  <c r="W7" i="7"/>
  <c r="W17" i="7" s="1"/>
  <c r="S7" i="7"/>
  <c r="S17" i="7" s="1"/>
  <c r="J7" i="7"/>
  <c r="Y16" i="7"/>
  <c r="X16" i="7"/>
  <c r="W16" i="7"/>
  <c r="V16" i="7"/>
  <c r="U16" i="7"/>
  <c r="T16" i="7"/>
  <c r="E12" i="15"/>
  <c r="E11" i="15"/>
  <c r="J15" i="14"/>
  <c r="L6" i="14"/>
  <c r="J13" i="13"/>
  <c r="J12" i="13"/>
  <c r="R66" i="13" s="1"/>
  <c r="J11" i="13"/>
  <c r="M10" i="13"/>
  <c r="J9" i="13"/>
  <c r="J8" i="13"/>
  <c r="J7" i="13"/>
  <c r="R9" i="13" l="1"/>
  <c r="R11" i="13"/>
  <c r="J13" i="7"/>
  <c r="T7" i="7" s="1"/>
  <c r="T17" i="7" s="1"/>
  <c r="X69" i="3"/>
  <c r="X70" i="3" s="1"/>
  <c r="W69" i="3" s="1"/>
  <c r="Y70" i="3" s="1"/>
  <c r="Y69" i="3" s="1"/>
  <c r="X68" i="3"/>
  <c r="R12" i="1"/>
  <c r="S15" i="1"/>
  <c r="S16" i="1" s="1"/>
  <c r="S18" i="1" s="1"/>
  <c r="S19" i="1" s="1"/>
  <c r="S17" i="1"/>
  <c r="R15" i="1"/>
  <c r="AA12" i="13"/>
  <c r="AA13" i="13"/>
  <c r="AA14" i="13" s="1"/>
  <c r="AA15" i="13" s="1"/>
  <c r="L12" i="13"/>
  <c r="M12" i="13" s="1"/>
  <c r="T66" i="13"/>
  <c r="K13" i="13"/>
  <c r="P67" i="13" s="1"/>
  <c r="K12" i="13"/>
  <c r="L13" i="13"/>
  <c r="M13" i="13" s="1"/>
  <c r="T67" i="13" s="1"/>
  <c r="U11" i="2"/>
  <c r="U12" i="2"/>
  <c r="U13" i="2" s="1"/>
  <c r="T12" i="2" s="1"/>
  <c r="V9" i="2"/>
  <c r="V10" i="2" s="1"/>
  <c r="X14" i="3"/>
  <c r="X15" i="3" s="1"/>
  <c r="X16" i="3" s="1"/>
  <c r="R9" i="1"/>
  <c r="Q21" i="1"/>
  <c r="T23" i="1" s="1"/>
  <c r="N15" i="8"/>
  <c r="O9" i="7"/>
  <c r="L10" i="15"/>
  <c r="I14" i="14"/>
  <c r="L14" i="14" s="1"/>
  <c r="L9" i="14"/>
  <c r="K7" i="13"/>
  <c r="L7" i="13"/>
  <c r="M7" i="13" s="1"/>
  <c r="T61" i="13" s="1"/>
  <c r="K8" i="13"/>
  <c r="P62" i="13" s="1"/>
  <c r="K9" i="13"/>
  <c r="K11" i="13"/>
  <c r="P65" i="13" s="1"/>
  <c r="L8" i="13"/>
  <c r="M8" i="13" s="1"/>
  <c r="T62" i="13" s="1"/>
  <c r="L9" i="13"/>
  <c r="M9" i="13" s="1"/>
  <c r="T63" i="13" s="1"/>
  <c r="P64" i="13"/>
  <c r="L11" i="13"/>
  <c r="M11" i="13" s="1"/>
  <c r="T65" i="13" s="1"/>
  <c r="T64" i="13"/>
  <c r="P66" i="13"/>
  <c r="J8" i="3"/>
  <c r="I8" i="3"/>
  <c r="H8" i="3"/>
  <c r="J7" i="3"/>
  <c r="I7" i="3"/>
  <c r="H7" i="3"/>
  <c r="O6" i="2"/>
  <c r="Z10" i="13"/>
  <c r="V7" i="7" l="1"/>
  <c r="V17" i="7" s="1"/>
  <c r="T8" i="7"/>
  <c r="T18" i="7" s="1"/>
  <c r="U7" i="7"/>
  <c r="U17" i="7" s="1"/>
  <c r="V8" i="7"/>
  <c r="V18" i="7" s="1"/>
  <c r="U8" i="7"/>
  <c r="U18" i="7" s="1"/>
  <c r="M9" i="7" s="1"/>
  <c r="P9" i="7" s="1"/>
  <c r="K14" i="14"/>
  <c r="P63" i="13"/>
  <c r="T13" i="1"/>
  <c r="T12" i="1" s="1"/>
  <c r="T16" i="1"/>
  <c r="T15" i="1" s="1"/>
  <c r="X71" i="3"/>
  <c r="X72" i="3"/>
  <c r="X73" i="3" s="1"/>
  <c r="W72" i="3" s="1"/>
  <c r="S20" i="1"/>
  <c r="R18" i="1"/>
  <c r="T19" i="1" s="1"/>
  <c r="T18" i="1" s="1"/>
  <c r="S21" i="1"/>
  <c r="S22" i="1" s="1"/>
  <c r="AB10" i="13"/>
  <c r="AB11" i="13" s="1"/>
  <c r="AA16" i="13"/>
  <c r="AA17" i="13" s="1"/>
  <c r="AA19" i="13" s="1"/>
  <c r="AA20" i="13" s="1"/>
  <c r="V13" i="2"/>
  <c r="V12" i="2" s="1"/>
  <c r="U15" i="2"/>
  <c r="U16" i="2" s="1"/>
  <c r="T15" i="2" s="1"/>
  <c r="U14" i="2"/>
  <c r="K8" i="3"/>
  <c r="O15" i="3"/>
  <c r="K7" i="3"/>
  <c r="X17" i="3"/>
  <c r="X18" i="3" s="1"/>
  <c r="X19" i="3" s="1"/>
  <c r="W15" i="3"/>
  <c r="T9" i="1"/>
  <c r="T10" i="1" s="1"/>
  <c r="Q24" i="1"/>
  <c r="T26" i="1" s="1"/>
  <c r="Q10" i="13"/>
  <c r="P61" i="13"/>
  <c r="R10" i="13"/>
  <c r="O10" i="3"/>
  <c r="P10" i="3" s="1"/>
  <c r="L10" i="2"/>
  <c r="L15" i="2"/>
  <c r="F7" i="2"/>
  <c r="N10" i="2" s="1"/>
  <c r="F7" i="1"/>
  <c r="E7" i="1"/>
  <c r="J14" i="1" s="1"/>
  <c r="D7" i="1"/>
  <c r="L9" i="1" s="1"/>
  <c r="K15" i="1" s="1"/>
  <c r="M6" i="1"/>
  <c r="Z13" i="13"/>
  <c r="Z19" i="13"/>
  <c r="G7" i="1" l="1"/>
  <c r="X74" i="3"/>
  <c r="X75" i="3"/>
  <c r="X76" i="3" s="1"/>
  <c r="Q10" i="3"/>
  <c r="P16" i="3" s="1"/>
  <c r="S23" i="1"/>
  <c r="R21" i="1"/>
  <c r="T22" i="1" s="1"/>
  <c r="T21" i="1" s="1"/>
  <c r="S24" i="1"/>
  <c r="S25" i="1" s="1"/>
  <c r="R65" i="13"/>
  <c r="N7" i="13"/>
  <c r="AB14" i="13"/>
  <c r="AB13" i="13" s="1"/>
  <c r="AA18" i="13"/>
  <c r="AA21" i="13"/>
  <c r="AA22" i="13"/>
  <c r="AA23" i="13" s="1"/>
  <c r="AA24" i="13" s="1"/>
  <c r="AA25" i="13" s="1"/>
  <c r="AA26" i="13" s="1"/>
  <c r="AA27" i="13" s="1"/>
  <c r="AA28" i="13" s="1"/>
  <c r="AA29" i="13" s="1"/>
  <c r="AA30" i="13" s="1"/>
  <c r="AA31" i="13" s="1"/>
  <c r="AA32" i="13" s="1"/>
  <c r="AA33" i="13" s="1"/>
  <c r="AA34" i="13" s="1"/>
  <c r="AA35" i="13" s="1"/>
  <c r="AA36" i="13" s="1"/>
  <c r="AA37" i="13" s="1"/>
  <c r="AA38" i="13" s="1"/>
  <c r="AA39" i="13" s="1"/>
  <c r="AA40" i="13" s="1"/>
  <c r="AA41" i="13" s="1"/>
  <c r="AA42" i="13" s="1"/>
  <c r="AA43" i="13" s="1"/>
  <c r="AA44" i="13" s="1"/>
  <c r="AA45" i="13" s="1"/>
  <c r="AA46" i="13" s="1"/>
  <c r="AA47" i="13" s="1"/>
  <c r="AA48" i="13" s="1"/>
  <c r="AA49" i="13" s="1"/>
  <c r="AA50" i="13" s="1"/>
  <c r="AA51" i="13" s="1"/>
  <c r="AA52" i="13" s="1"/>
  <c r="AA53" i="13" s="1"/>
  <c r="AA54" i="13" s="1"/>
  <c r="U18" i="2"/>
  <c r="U19" i="2" s="1"/>
  <c r="T18" i="2" s="1"/>
  <c r="V16" i="2"/>
  <c r="V15" i="2" s="1"/>
  <c r="U17" i="2"/>
  <c r="R10" i="3"/>
  <c r="X20" i="3"/>
  <c r="X21" i="3" s="1"/>
  <c r="X22" i="3" s="1"/>
  <c r="W18" i="3"/>
  <c r="Q27" i="1"/>
  <c r="T29" i="1" s="1"/>
  <c r="S10" i="13"/>
  <c r="I7" i="2"/>
  <c r="M10" i="2" s="1"/>
  <c r="O10" i="2" s="1"/>
  <c r="M16" i="2"/>
  <c r="K14" i="1"/>
  <c r="M14" i="1" s="1"/>
  <c r="K9" i="1"/>
  <c r="M9" i="1" s="1"/>
  <c r="J9" i="1"/>
  <c r="Z16" i="13"/>
  <c r="R62" i="13" l="1"/>
  <c r="R67" i="13"/>
  <c r="R64" i="13"/>
  <c r="R63" i="13"/>
  <c r="R61" i="13"/>
  <c r="X77" i="3"/>
  <c r="X78" i="3" s="1"/>
  <c r="X79" i="3" s="1"/>
  <c r="W78" i="3" s="1"/>
  <c r="P15" i="3"/>
  <c r="Q15" i="3" s="1"/>
  <c r="W75" i="3"/>
  <c r="S26" i="1"/>
  <c r="R24" i="1"/>
  <c r="T25" i="1" s="1"/>
  <c r="T24" i="1" s="1"/>
  <c r="S27" i="1"/>
  <c r="S28" i="1" s="1"/>
  <c r="AB17" i="13"/>
  <c r="AB16" i="13" s="1"/>
  <c r="AB20" i="13"/>
  <c r="AB19" i="13" s="1"/>
  <c r="U21" i="2"/>
  <c r="U22" i="2" s="1"/>
  <c r="T21" i="2" s="1"/>
  <c r="V19" i="2"/>
  <c r="V18" i="2" s="1"/>
  <c r="U20" i="2"/>
  <c r="X23" i="3"/>
  <c r="X24" i="3" s="1"/>
  <c r="X25" i="3" s="1"/>
  <c r="W21" i="3"/>
  <c r="Q30" i="1"/>
  <c r="M15" i="2"/>
  <c r="O15" i="2" s="1"/>
  <c r="L14" i="1"/>
  <c r="Z25" i="13"/>
  <c r="Z22" i="13"/>
  <c r="Q9" i="13" l="1"/>
  <c r="S9" i="13" s="1"/>
  <c r="T9" i="13" s="1"/>
  <c r="U9" i="13" s="1"/>
  <c r="X80" i="3"/>
  <c r="X81" i="3"/>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R15" i="3"/>
  <c r="S29" i="1"/>
  <c r="S30" i="1" s="1"/>
  <c r="S31" i="1" s="1"/>
  <c r="S32" i="1" s="1"/>
  <c r="R27" i="1"/>
  <c r="T28" i="1" s="1"/>
  <c r="T27" i="1" s="1"/>
  <c r="AB23" i="13"/>
  <c r="AB22" i="13" s="1"/>
  <c r="V22" i="2"/>
  <c r="V21" i="2" s="1"/>
  <c r="U23" i="2"/>
  <c r="U24" i="2"/>
  <c r="U25" i="2" s="1"/>
  <c r="T24" i="2" s="1"/>
  <c r="X26" i="3"/>
  <c r="X27" i="3" s="1"/>
  <c r="X28" i="3" s="1"/>
  <c r="W24" i="3"/>
  <c r="Q33" i="1"/>
  <c r="N15" i="2"/>
  <c r="Z28" i="13"/>
  <c r="Q11" i="13" l="1"/>
  <c r="R30" i="1"/>
  <c r="W81" i="3"/>
  <c r="S33" i="1"/>
  <c r="S34" i="1" s="1"/>
  <c r="S35" i="1" s="1"/>
  <c r="AB25" i="13"/>
  <c r="AB26" i="13" s="1"/>
  <c r="AB27" i="13" s="1"/>
  <c r="AB28" i="13" s="1"/>
  <c r="AB29" i="13" s="1"/>
  <c r="AB30" i="13" s="1"/>
  <c r="AB31" i="13" s="1"/>
  <c r="AB32" i="13" s="1"/>
  <c r="AB33" i="13" s="1"/>
  <c r="AB34" i="13" s="1"/>
  <c r="AB35" i="13" s="1"/>
  <c r="AB36" i="13" s="1"/>
  <c r="AB37" i="13" s="1"/>
  <c r="AB38" i="13" s="1"/>
  <c r="AB39" i="13" s="1"/>
  <c r="AB40" i="13" s="1"/>
  <c r="AB41" i="13" s="1"/>
  <c r="AB42" i="13" s="1"/>
  <c r="AB43" i="13" s="1"/>
  <c r="AB44" i="13" s="1"/>
  <c r="AB45" i="13" s="1"/>
  <c r="AB46" i="13" s="1"/>
  <c r="AB47" i="13" s="1"/>
  <c r="AB48" i="13" s="1"/>
  <c r="AB49" i="13" s="1"/>
  <c r="AB50" i="13" s="1"/>
  <c r="AB51" i="13" s="1"/>
  <c r="AB52" i="13" s="1"/>
  <c r="AB53" i="13" s="1"/>
  <c r="AB54" i="13" s="1"/>
  <c r="U26" i="2"/>
  <c r="U27" i="2" s="1"/>
  <c r="U28" i="2" s="1"/>
  <c r="T27" i="2" s="1"/>
  <c r="X29" i="3"/>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W27" i="3"/>
  <c r="Q36" i="1"/>
  <c r="R36" i="1" s="1"/>
  <c r="Z31" i="13"/>
  <c r="R33" i="1" l="1"/>
  <c r="S36" i="1"/>
  <c r="S37" i="1" s="1"/>
  <c r="S38" i="1" s="1"/>
  <c r="U29" i="2"/>
  <c r="U30" i="2" s="1"/>
  <c r="U31" i="2" s="1"/>
  <c r="Q39" i="1"/>
  <c r="R39" i="1" s="1"/>
  <c r="Z34" i="13"/>
  <c r="S39" i="1" l="1"/>
  <c r="S40" i="1" s="1"/>
  <c r="S41" i="1" s="1"/>
  <c r="U32" i="2"/>
  <c r="U33" i="2" s="1"/>
  <c r="U34" i="2" s="1"/>
  <c r="T30" i="2"/>
  <c r="W84" i="3"/>
  <c r="Q42" i="1"/>
  <c r="R42" i="1" s="1"/>
  <c r="Z37" i="13"/>
  <c r="S42" i="1" l="1"/>
  <c r="S43" i="1" s="1"/>
  <c r="S44" i="1" s="1"/>
  <c r="U35" i="2"/>
  <c r="U36" i="2" s="1"/>
  <c r="U37" i="2" s="1"/>
  <c r="T33" i="2"/>
  <c r="W87" i="3"/>
  <c r="Q45" i="1"/>
  <c r="R45" i="1" s="1"/>
  <c r="Z40" i="13"/>
  <c r="S45" i="1" l="1"/>
  <c r="S46" i="1" s="1"/>
  <c r="S47" i="1" s="1"/>
  <c r="U38" i="2"/>
  <c r="U39" i="2" s="1"/>
  <c r="U40" i="2" s="1"/>
  <c r="T36" i="2"/>
  <c r="W90" i="3"/>
  <c r="Q48" i="1"/>
  <c r="R48" i="1" s="1"/>
  <c r="Z43" i="13"/>
  <c r="S48" i="1" l="1"/>
  <c r="S49" i="1" s="1"/>
  <c r="S50" i="1" s="1"/>
  <c r="U41" i="2"/>
  <c r="U42" i="2" s="1"/>
  <c r="U43" i="2" s="1"/>
  <c r="T39" i="2"/>
  <c r="W93" i="3"/>
  <c r="Q51" i="1"/>
  <c r="R51" i="1" s="1"/>
  <c r="Z46" i="13"/>
  <c r="S51" i="1" l="1"/>
  <c r="S52" i="1" s="1"/>
  <c r="S53" i="1" s="1"/>
  <c r="U44" i="2"/>
  <c r="U45" i="2" s="1"/>
  <c r="U46" i="2" s="1"/>
  <c r="T42" i="2"/>
  <c r="W96" i="3"/>
  <c r="Z49" i="13"/>
  <c r="U47" i="2" l="1"/>
  <c r="U48" i="2" s="1"/>
  <c r="U49" i="2" s="1"/>
  <c r="T45" i="2"/>
  <c r="W99" i="3"/>
  <c r="Z52" i="13"/>
  <c r="U50" i="2" l="1"/>
  <c r="U51" i="2" s="1"/>
  <c r="U52" i="2" s="1"/>
  <c r="T48" i="2"/>
  <c r="W102" i="3"/>
  <c r="U53" i="2" l="1"/>
  <c r="T51" i="2"/>
  <c r="W105" i="3"/>
  <c r="V25" i="2" l="1"/>
  <c r="V24" i="2" s="1"/>
  <c r="V26" i="2"/>
  <c r="V28" i="2"/>
  <c r="V27" i="2" s="1"/>
  <c r="V29" i="2"/>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Y16" i="3"/>
  <c r="Y15" i="3" s="1"/>
  <c r="Y17" i="3"/>
  <c r="Y13" i="3"/>
  <c r="Y12" i="3" s="1"/>
  <c r="Y66" i="3" l="1"/>
  <c r="T35" i="1" l="1"/>
  <c r="T36" i="1" s="1"/>
  <c r="T37" i="1" s="1"/>
  <c r="T38" i="1" s="1"/>
  <c r="T39" i="1" s="1"/>
  <c r="T40" i="1" s="1"/>
  <c r="T41" i="1" s="1"/>
  <c r="T42" i="1" s="1"/>
  <c r="T43" i="1" s="1"/>
  <c r="T44" i="1" s="1"/>
  <c r="T45" i="1" s="1"/>
  <c r="T46" i="1" s="1"/>
  <c r="T47" i="1" s="1"/>
  <c r="T48" i="1" s="1"/>
  <c r="T49" i="1" s="1"/>
  <c r="T50" i="1" s="1"/>
  <c r="T51" i="1" s="1"/>
  <c r="T52" i="1" s="1"/>
  <c r="T53" i="1" s="1"/>
  <c r="T34" i="1"/>
  <c r="T33" i="1" s="1"/>
  <c r="T31" i="1"/>
  <c r="T30" i="1" s="1"/>
  <c r="T32" i="1"/>
  <c r="Y19" i="3"/>
  <c r="Y18" i="3" s="1"/>
  <c r="Y20" i="3"/>
  <c r="Y73" i="3"/>
  <c r="Y72" i="3" s="1"/>
  <c r="Y74" i="3"/>
  <c r="Y76" i="3"/>
  <c r="Y75" i="3" s="1"/>
  <c r="Y77" i="3"/>
  <c r="Y79" i="3"/>
  <c r="Y78" i="3" s="1"/>
  <c r="Y80" i="3"/>
  <c r="Y82" i="3"/>
  <c r="Y81" i="3" s="1"/>
  <c r="Y83" i="3"/>
  <c r="Y84" i="3"/>
  <c r="Y85" i="3" s="1"/>
  <c r="Y86" i="3" s="1"/>
  <c r="Y87" i="3" s="1"/>
  <c r="Y88" i="3" s="1"/>
  <c r="Y89" i="3" s="1"/>
  <c r="Y90" i="3" s="1"/>
  <c r="Y91" i="3" s="1"/>
  <c r="Y92" i="3" s="1"/>
  <c r="Y93" i="3" s="1"/>
  <c r="Y94" i="3" s="1"/>
  <c r="Y95" i="3" s="1"/>
  <c r="Y96" i="3" s="1"/>
  <c r="Y97" i="3" s="1"/>
  <c r="Y98" i="3" s="1"/>
  <c r="Y99" i="3" s="1"/>
  <c r="Y100" i="3" s="1"/>
  <c r="Y101" i="3" s="1"/>
  <c r="Y102" i="3" s="1"/>
  <c r="Y103" i="3" s="1"/>
  <c r="Y104" i="3" s="1"/>
  <c r="Y105" i="3" s="1"/>
  <c r="Y106" i="3" s="1"/>
  <c r="Y107" i="3" s="1"/>
  <c r="Y22" i="3"/>
  <c r="Y21" i="3" s="1"/>
  <c r="Y23" i="3"/>
  <c r="Y25" i="3"/>
  <c r="Y24" i="3" s="1"/>
  <c r="Y26" i="3"/>
  <c r="Y28" i="3"/>
  <c r="Y27" i="3" s="1"/>
  <c r="Y29" i="3"/>
  <c r="Y30" i="3" s="1"/>
  <c r="Y31" i="3" s="1"/>
  <c r="Y32" i="3" s="1"/>
  <c r="Y33" i="3" s="1"/>
  <c r="Y34" i="3" s="1"/>
  <c r="Y35" i="3" s="1"/>
  <c r="Y36" i="3" s="1"/>
  <c r="Y37" i="3" s="1"/>
  <c r="Y38" i="3" s="1"/>
  <c r="Y39" i="3" s="1"/>
  <c r="Y40" i="3" s="1"/>
  <c r="Y41" i="3" s="1"/>
  <c r="Y42" i="3" s="1"/>
  <c r="Y43" i="3" s="1"/>
  <c r="Y44" i="3" s="1"/>
  <c r="Y45" i="3" s="1"/>
  <c r="Y46" i="3" s="1"/>
  <c r="Y47" i="3" s="1"/>
  <c r="Y48" i="3" s="1"/>
  <c r="Y49" i="3" s="1"/>
  <c r="Y50" i="3" s="1"/>
  <c r="Y51" i="3" s="1"/>
  <c r="Y52" i="3" s="1"/>
  <c r="Y53" i="3" s="1"/>
  <c r="AK24" i="8"/>
  <c r="AK25" i="8" s="1"/>
  <c r="AK26" i="8" s="1"/>
  <c r="AK27" i="8" s="1"/>
  <c r="AK28" i="8" s="1"/>
  <c r="AK29" i="8" s="1"/>
  <c r="AK30" i="8" s="1"/>
  <c r="AK31" i="8" s="1"/>
  <c r="AK32" i="8" s="1"/>
  <c r="AK33" i="8" s="1"/>
  <c r="AK34" i="8" s="1"/>
  <c r="AK35" i="8" s="1"/>
  <c r="AK36" i="8" s="1"/>
  <c r="AK37" i="8" s="1"/>
  <c r="AK38" i="8" s="1"/>
  <c r="AK39" i="8" s="1"/>
  <c r="AK40" i="8" s="1"/>
  <c r="AK41" i="8" s="1"/>
  <c r="AK42" i="8" s="1"/>
  <c r="AK43" i="8" s="1"/>
  <c r="AK44" i="8" s="1"/>
  <c r="AK45" i="8" s="1"/>
  <c r="AK46" i="8" s="1"/>
  <c r="AK47" i="8" s="1"/>
  <c r="AK48" i="8" s="1"/>
  <c r="AK49" i="8" s="1"/>
  <c r="AK50" i="8" s="1"/>
  <c r="AK51" i="8" s="1"/>
  <c r="AK52" i="8" s="1"/>
  <c r="AK53" i="8" s="1"/>
  <c r="AK54" i="8" s="1"/>
  <c r="X2" i="8" l="1"/>
  <c r="Y2" i="8" s="1"/>
  <c r="AC2" i="8" s="1"/>
  <c r="AF3" i="8" l="1"/>
  <c r="Y926" i="8"/>
  <c r="AF927" i="8" s="1"/>
  <c r="X926" i="8"/>
  <c r="Y746" i="8"/>
  <c r="AF747" i="8" s="1"/>
  <c r="X746" i="8"/>
  <c r="AF977" i="8"/>
  <c r="Y976" i="8"/>
  <c r="X976" i="8"/>
  <c r="Y734" i="8"/>
  <c r="AF735" i="8" s="1"/>
  <c r="X734" i="8"/>
  <c r="Y702" i="8"/>
  <c r="AF703" i="8" s="1"/>
  <c r="X702" i="8"/>
  <c r="Y992" i="8"/>
  <c r="AF993" i="8" s="1"/>
  <c r="X992" i="8"/>
  <c r="Y948" i="8"/>
  <c r="AF949" i="8" s="1"/>
  <c r="X948" i="8"/>
  <c r="Y900" i="8"/>
  <c r="AF901" i="8" s="1"/>
  <c r="X900" i="8"/>
  <c r="Y868" i="8"/>
  <c r="AF869" i="8" s="1"/>
  <c r="X868" i="8"/>
  <c r="Y836" i="8"/>
  <c r="AF837" i="8" s="1"/>
  <c r="X836" i="8"/>
  <c r="Y796" i="8"/>
  <c r="AF797" i="8" s="1"/>
  <c r="X796" i="8"/>
  <c r="Y988" i="8"/>
  <c r="AF989" i="8" s="1"/>
  <c r="X988" i="8"/>
  <c r="Y802" i="8"/>
  <c r="AF803" i="8" s="1"/>
  <c r="X802" i="8"/>
  <c r="Y786" i="8"/>
  <c r="AF787" i="8" s="1"/>
  <c r="X786" i="8"/>
  <c r="Y726" i="8"/>
  <c r="AF727" i="8" s="1"/>
  <c r="X726" i="8"/>
  <c r="Y36" i="8"/>
  <c r="AF37" i="8" s="1"/>
  <c r="X36" i="8"/>
  <c r="Y682" i="8"/>
  <c r="AF683" i="8" s="1"/>
  <c r="X682" i="8"/>
  <c r="Y982" i="8"/>
  <c r="AF983" i="8" s="1"/>
  <c r="X982" i="8"/>
  <c r="Y938" i="8"/>
  <c r="AF939" i="8" s="1"/>
  <c r="X938" i="8"/>
  <c r="X24" i="8"/>
  <c r="Y24" i="8" s="1"/>
  <c r="X902" i="8"/>
  <c r="Y902" i="8"/>
  <c r="AF903" i="8" s="1"/>
  <c r="Y654" i="8"/>
  <c r="AF655" i="8" s="1"/>
  <c r="X654" i="8"/>
  <c r="X618" i="8"/>
  <c r="Y618" i="8"/>
  <c r="AF619" i="8" s="1"/>
  <c r="Y972" i="8"/>
  <c r="AF973" i="8" s="1"/>
  <c r="X972" i="8"/>
  <c r="Y760" i="8"/>
  <c r="AF761" i="8" s="1"/>
  <c r="X760" i="8"/>
  <c r="Y908" i="8"/>
  <c r="AF909" i="8" s="1"/>
  <c r="X908" i="8"/>
  <c r="Y890" i="8"/>
  <c r="AF891" i="8" s="1"/>
  <c r="X890" i="8"/>
  <c r="Y946" i="8"/>
  <c r="AF947" i="8" s="1"/>
  <c r="X946" i="8"/>
  <c r="X56" i="8"/>
  <c r="Y56" i="8"/>
  <c r="AF57" i="8" s="1"/>
  <c r="X748" i="8"/>
  <c r="Y748" i="8"/>
  <c r="AF749" i="8"/>
  <c r="Y674" i="8"/>
  <c r="AF675" i="8" s="1"/>
  <c r="X674" i="8"/>
  <c r="X854" i="8"/>
  <c r="Y854" i="8"/>
  <c r="AF855" i="8" s="1"/>
  <c r="Y86" i="8"/>
  <c r="AF87" i="8" s="1"/>
  <c r="X86" i="8"/>
  <c r="Y924" i="8"/>
  <c r="AF925" i="8" s="1"/>
  <c r="X924" i="8"/>
  <c r="Y958" i="8"/>
  <c r="AF959" i="8" s="1"/>
  <c r="X958" i="8"/>
  <c r="Y838" i="8"/>
  <c r="AF839" i="8" s="1"/>
  <c r="X838" i="8"/>
  <c r="Y622" i="8"/>
  <c r="AF623" i="8" s="1"/>
  <c r="X622" i="8"/>
  <c r="Y844" i="8"/>
  <c r="AF845" i="8" s="1"/>
  <c r="X844" i="8"/>
  <c r="Y986" i="8"/>
  <c r="AF987" i="8" s="1"/>
  <c r="X986" i="8"/>
  <c r="Y782" i="8"/>
  <c r="AF783" i="8" s="1"/>
  <c r="X782" i="8"/>
  <c r="Y962" i="8"/>
  <c r="AF963" i="8" s="1"/>
  <c r="X962" i="8"/>
  <c r="Y930" i="8"/>
  <c r="AF931" i="8" s="1"/>
  <c r="X930" i="8"/>
  <c r="Y764" i="8"/>
  <c r="AF765" i="8" s="1"/>
  <c r="X764" i="8"/>
  <c r="Y960" i="8"/>
  <c r="AF961" i="8" s="1"/>
  <c r="X960" i="8"/>
  <c r="Y886" i="8"/>
  <c r="AF887" i="8" s="1"/>
  <c r="X886" i="8"/>
  <c r="Y952" i="8"/>
  <c r="AF953" i="8" s="1"/>
  <c r="X952" i="8"/>
  <c r="Y658" i="8"/>
  <c r="AF659" i="8" s="1"/>
  <c r="X658" i="8"/>
  <c r="Y918" i="8"/>
  <c r="AF919" i="8" s="1"/>
  <c r="X918" i="8"/>
  <c r="X932" i="8"/>
  <c r="Y932" i="8"/>
  <c r="AF933" i="8" s="1"/>
  <c r="Y884" i="8"/>
  <c r="AF885" i="8" s="1"/>
  <c r="X884" i="8"/>
  <c r="Y852" i="8"/>
  <c r="AF853" i="8" s="1"/>
  <c r="X852" i="8"/>
  <c r="X820" i="8"/>
  <c r="Y820" i="8"/>
  <c r="AF821" i="8" s="1"/>
  <c r="Y780" i="8"/>
  <c r="AF781" i="8" s="1"/>
  <c r="X780" i="8"/>
  <c r="Y810" i="8"/>
  <c r="AF811" i="8" s="1"/>
  <c r="X810" i="8"/>
  <c r="X794" i="8"/>
  <c r="Y794" i="8"/>
  <c r="AF795" i="8" s="1"/>
  <c r="Y758" i="8"/>
  <c r="AF759" i="8" s="1"/>
  <c r="X758" i="8"/>
  <c r="Y742" i="8"/>
  <c r="AF743" i="8" s="1"/>
  <c r="X742" i="8"/>
  <c r="Y710" i="8"/>
  <c r="AF711" i="8" s="1"/>
  <c r="X710" i="8"/>
  <c r="X995" i="8"/>
  <c r="Y995" i="8"/>
  <c r="AF996" i="8" s="1"/>
  <c r="X990" i="8"/>
  <c r="Y990" i="8"/>
  <c r="AF991" i="8" s="1"/>
  <c r="X970" i="8"/>
  <c r="Y970" i="8"/>
  <c r="AF971" i="8" s="1"/>
  <c r="Y740" i="8"/>
  <c r="AF741" i="8" s="1"/>
  <c r="X740" i="8"/>
  <c r="X834" i="8"/>
  <c r="Y834" i="8"/>
  <c r="AF835" i="8" s="1"/>
  <c r="X114" i="8"/>
  <c r="Y114" i="8"/>
  <c r="AF115" i="8" s="1"/>
  <c r="Y778" i="8"/>
  <c r="AF779" i="8" s="1"/>
  <c r="X778" i="8"/>
  <c r="Y650" i="8"/>
  <c r="AF651" i="8" s="1"/>
  <c r="X650" i="8"/>
  <c r="X20" i="8"/>
  <c r="Y20" i="8" s="1"/>
  <c r="X954" i="8"/>
  <c r="Y954" i="8"/>
  <c r="AF955" i="8" s="1"/>
  <c r="X352" i="8"/>
  <c r="Y352" i="8"/>
  <c r="AF353" i="8" s="1"/>
  <c r="X756" i="8"/>
  <c r="Y756" i="8"/>
  <c r="AF757" i="8" s="1"/>
  <c r="X832" i="8"/>
  <c r="Y832" i="8"/>
  <c r="AF833" i="8" s="1"/>
  <c r="X870" i="8"/>
  <c r="Y870" i="8"/>
  <c r="AF871" i="8" s="1"/>
  <c r="X818" i="8"/>
  <c r="Y818" i="8"/>
  <c r="AF819" i="8" s="1"/>
  <c r="X638" i="8"/>
  <c r="Y638" i="8"/>
  <c r="AF639" i="8" s="1"/>
  <c r="X138" i="8"/>
  <c r="Y138" i="8"/>
  <c r="AF139" i="8" s="1"/>
  <c r="Y78" i="8"/>
  <c r="AF79" i="8" s="1"/>
  <c r="X78" i="8"/>
  <c r="Y916" i="8"/>
  <c r="AF917" i="8" s="1"/>
  <c r="X916" i="8"/>
  <c r="Y950" i="8"/>
  <c r="AF951" i="8" s="1"/>
  <c r="X950" i="8"/>
  <c r="Y830" i="8"/>
  <c r="AF831" i="8" s="1"/>
  <c r="X830" i="8"/>
  <c r="Y142" i="8"/>
  <c r="AF143" i="8" s="1"/>
  <c r="X142" i="8"/>
  <c r="Y806" i="8"/>
  <c r="AF807" i="8" s="1"/>
  <c r="X806" i="8"/>
  <c r="Y40" i="8"/>
  <c r="AF41" i="8" s="1"/>
  <c r="X40" i="8"/>
  <c r="Y90" i="8"/>
  <c r="AF91" i="8" s="1"/>
  <c r="X90" i="8"/>
  <c r="Y106" i="8"/>
  <c r="AF107" i="8" s="1"/>
  <c r="X106" i="8"/>
  <c r="Y70" i="8"/>
  <c r="AF71" i="8" s="1"/>
  <c r="X70" i="8"/>
  <c r="Y984" i="8"/>
  <c r="AF985" i="8" s="1"/>
  <c r="X984" i="8"/>
  <c r="Y788" i="8"/>
  <c r="AF789" i="8" s="1"/>
  <c r="X788" i="8"/>
  <c r="Y774" i="8"/>
  <c r="AF775" i="8" s="1"/>
  <c r="X774" i="8"/>
  <c r="Y942" i="8"/>
  <c r="AF943" i="8" s="1"/>
  <c r="X942" i="8"/>
  <c r="Y752" i="8"/>
  <c r="AF753" i="8" s="1"/>
  <c r="X752" i="8"/>
  <c r="Y822" i="8"/>
  <c r="AF823" i="8" s="1"/>
  <c r="X822" i="8"/>
  <c r="Y642" i="8"/>
  <c r="AF643" i="8" s="1"/>
  <c r="X642" i="8"/>
  <c r="Y134" i="8"/>
  <c r="AF135" i="8" s="1"/>
  <c r="X134" i="8"/>
  <c r="Y964" i="8"/>
  <c r="AF965" i="8" s="1"/>
  <c r="X964" i="8"/>
  <c r="Y876" i="8"/>
  <c r="AF877" i="8" s="1"/>
  <c r="X876" i="8"/>
  <c r="Y812" i="8"/>
  <c r="AF813" i="8" s="1"/>
  <c r="X812" i="8"/>
  <c r="Y790" i="8"/>
  <c r="AF791" i="8" s="1"/>
  <c r="X790" i="8"/>
  <c r="Y714" i="8"/>
  <c r="AF715" i="8" s="1"/>
  <c r="X714" i="8"/>
  <c r="Y678" i="8"/>
  <c r="AF679" i="8" s="1"/>
  <c r="X678" i="8"/>
  <c r="Y694" i="8"/>
  <c r="AF695" i="8" s="1"/>
  <c r="X694" i="8"/>
  <c r="Y896" i="8"/>
  <c r="AF897" i="8" s="1"/>
  <c r="X896" i="8"/>
  <c r="Y906" i="8"/>
  <c r="AF907" i="8" s="1"/>
  <c r="X906" i="8"/>
  <c r="Y874" i="8"/>
  <c r="AF875" i="8" s="1"/>
  <c r="X874" i="8"/>
  <c r="Y768" i="8"/>
  <c r="AF769" i="8" s="1"/>
  <c r="X768" i="8"/>
  <c r="Y583" i="8"/>
  <c r="AF584" i="8" s="1"/>
  <c r="X583" i="8"/>
  <c r="X290" i="8"/>
  <c r="Y290" i="8"/>
  <c r="AF291" i="8" s="1"/>
  <c r="X910" i="8"/>
  <c r="Y910" i="8"/>
  <c r="AF911" i="8" s="1"/>
  <c r="X894" i="8"/>
  <c r="Y894" i="8"/>
  <c r="AF895" i="8" s="1"/>
  <c r="X878" i="8"/>
  <c r="Y878" i="8"/>
  <c r="AF879" i="8" s="1"/>
  <c r="X862" i="8"/>
  <c r="Y862" i="8"/>
  <c r="AF863" i="8" s="1"/>
  <c r="X842" i="8"/>
  <c r="Y842" i="8"/>
  <c r="AF843" i="8" s="1"/>
  <c r="X826" i="8"/>
  <c r="Y826" i="8"/>
  <c r="AF827" i="8" s="1"/>
  <c r="X662" i="8"/>
  <c r="Y662" i="8"/>
  <c r="AF663" i="8" s="1"/>
  <c r="X646" i="8"/>
  <c r="Y646" i="8"/>
  <c r="AF647" i="8" s="1"/>
  <c r="X630" i="8"/>
  <c r="Y630" i="8"/>
  <c r="AF631" i="8" s="1"/>
  <c r="X146" i="8"/>
  <c r="Y146" i="8"/>
  <c r="AF147" i="8" s="1"/>
  <c r="X130" i="8"/>
  <c r="Y130" i="8"/>
  <c r="AF131" i="8" s="1"/>
  <c r="Y98" i="8"/>
  <c r="AF99" i="8" s="1"/>
  <c r="X98" i="8"/>
  <c r="Y706" i="8"/>
  <c r="AF707" i="8" s="1"/>
  <c r="X706" i="8"/>
  <c r="Y940" i="8"/>
  <c r="AF941" i="8" s="1"/>
  <c r="X940" i="8"/>
  <c r="Y766" i="8"/>
  <c r="AF767" i="8" s="1"/>
  <c r="X766" i="8"/>
  <c r="Y966" i="8"/>
  <c r="AF967" i="8" s="1"/>
  <c r="X966" i="8"/>
  <c r="Y934" i="8"/>
  <c r="AF935" i="8" s="1"/>
  <c r="X934" i="8"/>
  <c r="Y744" i="8"/>
  <c r="AF745" i="8" s="1"/>
  <c r="X744" i="8"/>
  <c r="Y666" i="8"/>
  <c r="AF667" i="8" s="1"/>
  <c r="X666" i="8"/>
  <c r="Y634" i="8"/>
  <c r="AF635" i="8" s="1"/>
  <c r="X634" i="8"/>
  <c r="Y126" i="8"/>
  <c r="AF127" i="8" s="1"/>
  <c r="X126" i="8"/>
  <c r="Y956" i="8"/>
  <c r="AF957" i="8" s="1"/>
  <c r="X956" i="8"/>
  <c r="Y860" i="8"/>
  <c r="AF861" i="8" s="1"/>
  <c r="X860" i="8"/>
  <c r="Y804" i="8"/>
  <c r="AF805" i="8" s="1"/>
  <c r="X804" i="8"/>
  <c r="Y762" i="8"/>
  <c r="AF763" i="8" s="1"/>
  <c r="X762" i="8"/>
  <c r="Y698" i="8"/>
  <c r="AF699" i="8" s="1"/>
  <c r="X698" i="8"/>
  <c r="Y994" i="8"/>
  <c r="AF995" i="8" s="1"/>
  <c r="X994" i="8"/>
  <c r="Y66" i="8"/>
  <c r="AF67" i="8" s="1"/>
  <c r="X66" i="8"/>
  <c r="Y750" i="8"/>
  <c r="AF751" i="8" s="1"/>
  <c r="X750" i="8"/>
  <c r="Y898" i="8"/>
  <c r="AF899" i="8" s="1"/>
  <c r="X898" i="8"/>
  <c r="Y866" i="8"/>
  <c r="AF867" i="8" s="1"/>
  <c r="X866" i="8"/>
  <c r="Y846" i="8"/>
  <c r="AF847" i="8" s="1"/>
  <c r="X846" i="8"/>
  <c r="Y627" i="8"/>
  <c r="AF628" i="8" s="1"/>
  <c r="X627" i="8"/>
  <c r="Y124" i="8"/>
  <c r="AF125" i="8" s="1"/>
  <c r="X124" i="8"/>
  <c r="Y998" i="8"/>
  <c r="AF999" i="8" s="1"/>
  <c r="X998" i="8"/>
  <c r="Y892" i="8"/>
  <c r="AF893" i="8" s="1"/>
  <c r="X892" i="8"/>
  <c r="Y828" i="8"/>
  <c r="AF829" i="8" s="1"/>
  <c r="X828" i="8"/>
  <c r="Y798" i="8"/>
  <c r="AF799" i="8" s="1"/>
  <c r="X798" i="8"/>
  <c r="Y730" i="8"/>
  <c r="AF731" i="8" s="1"/>
  <c r="X730" i="8"/>
  <c r="Y686" i="8"/>
  <c r="AF687" i="8" s="1"/>
  <c r="X686" i="8"/>
  <c r="Y978" i="8"/>
  <c r="AF979" i="8" s="1"/>
  <c r="X978" i="8"/>
  <c r="Y772" i="8"/>
  <c r="AF773" i="8" s="1"/>
  <c r="X772" i="8"/>
  <c r="Y914" i="8"/>
  <c r="AF915" i="8" s="1"/>
  <c r="X914" i="8"/>
  <c r="Y882" i="8"/>
  <c r="AF883" i="8" s="1"/>
  <c r="X882" i="8"/>
  <c r="Y974" i="8"/>
  <c r="AF975" i="8" s="1"/>
  <c r="X974" i="8"/>
  <c r="Y52" i="8"/>
  <c r="AF53" i="8" s="1"/>
  <c r="X52" i="8"/>
  <c r="Y308" i="8"/>
  <c r="AF309" i="8" s="1"/>
  <c r="X308" i="8"/>
  <c r="X9" i="8"/>
  <c r="Y9" i="8" s="1"/>
  <c r="Y922" i="8"/>
  <c r="AF923" i="8" s="1"/>
  <c r="X922" i="8"/>
  <c r="Y122" i="8"/>
  <c r="AF123" i="8" s="1"/>
  <c r="X122" i="8"/>
  <c r="Y74" i="8"/>
  <c r="AF75" i="8" s="1"/>
  <c r="X74" i="8"/>
  <c r="Y770" i="8"/>
  <c r="AF771" i="8" s="1"/>
  <c r="X770" i="8"/>
  <c r="Y944" i="8"/>
  <c r="AF945" i="8" s="1"/>
  <c r="X944" i="8"/>
  <c r="Y880" i="8"/>
  <c r="AF881" i="8" s="1"/>
  <c r="X880" i="8"/>
  <c r="Y816" i="8"/>
  <c r="AF817" i="8" s="1"/>
  <c r="X816" i="8"/>
  <c r="Y1000" i="8"/>
  <c r="AF1001" i="8" s="1"/>
  <c r="X1000" i="8"/>
  <c r="Y286" i="8"/>
  <c r="AF287" i="8" s="1"/>
  <c r="X286" i="8"/>
  <c r="Y278" i="8"/>
  <c r="AF279" i="8" s="1"/>
  <c r="X278" i="8"/>
  <c r="Y270" i="8"/>
  <c r="AF271" i="8" s="1"/>
  <c r="X270" i="8"/>
  <c r="Y262" i="8"/>
  <c r="AF263" i="8" s="1"/>
  <c r="X262" i="8"/>
  <c r="Y254" i="8"/>
  <c r="AF255" i="8" s="1"/>
  <c r="X254" i="8"/>
  <c r="Y246" i="8"/>
  <c r="AF247" i="8" s="1"/>
  <c r="X246" i="8"/>
  <c r="Y238" i="8"/>
  <c r="AF239" i="8" s="1"/>
  <c r="X238" i="8"/>
  <c r="Y230" i="8"/>
  <c r="AF231" i="8" s="1"/>
  <c r="X230" i="8"/>
  <c r="Y222" i="8"/>
  <c r="AF223" i="8" s="1"/>
  <c r="X222" i="8"/>
  <c r="Y214" i="8"/>
  <c r="AF215" i="8" s="1"/>
  <c r="X214" i="8"/>
  <c r="Y206" i="8"/>
  <c r="AF207" i="8" s="1"/>
  <c r="X206" i="8"/>
  <c r="Y198" i="8"/>
  <c r="AF199" i="8" s="1"/>
  <c r="X198" i="8"/>
  <c r="Y182" i="8"/>
  <c r="AF183" i="8" s="1"/>
  <c r="X182" i="8"/>
  <c r="Y174" i="8"/>
  <c r="AF175" i="8" s="1"/>
  <c r="X174" i="8"/>
  <c r="Y166" i="8"/>
  <c r="AF167" i="8" s="1"/>
  <c r="X166" i="8"/>
  <c r="Y158" i="8"/>
  <c r="AF159" i="8" s="1"/>
  <c r="X158" i="8"/>
  <c r="Y150" i="8"/>
  <c r="AF151" i="8" s="1"/>
  <c r="X150" i="8"/>
  <c r="Y696" i="8"/>
  <c r="AF697" i="8" s="1"/>
  <c r="X696" i="8"/>
  <c r="Y567" i="8"/>
  <c r="AF568" i="8" s="1"/>
  <c r="X567" i="8"/>
  <c r="Y240" i="8"/>
  <c r="AF241" i="8" s="1"/>
  <c r="X240" i="8"/>
  <c r="Y108" i="8"/>
  <c r="AF109" i="8" s="1"/>
  <c r="X108" i="8"/>
  <c r="X13" i="8"/>
  <c r="Y13" i="8" s="1"/>
  <c r="X190" i="8"/>
  <c r="Y190" i="8"/>
  <c r="AF191" i="8" s="1"/>
  <c r="X610" i="8"/>
  <c r="Y610" i="8"/>
  <c r="AF611" i="8" s="1"/>
  <c r="X602" i="8"/>
  <c r="Y602" i="8"/>
  <c r="AF603" i="8" s="1"/>
  <c r="X594" i="8"/>
  <c r="Y594" i="8"/>
  <c r="AF595" i="8" s="1"/>
  <c r="X586" i="8"/>
  <c r="Y586" i="8"/>
  <c r="AF587" i="8" s="1"/>
  <c r="X578" i="8"/>
  <c r="Y578" i="8"/>
  <c r="AF579" i="8" s="1"/>
  <c r="X570" i="8"/>
  <c r="Y570" i="8"/>
  <c r="AF571" i="8" s="1"/>
  <c r="X562" i="8"/>
  <c r="Y562" i="8"/>
  <c r="AF563" i="8" s="1"/>
  <c r="X546" i="8"/>
  <c r="Y546" i="8"/>
  <c r="AF547" i="8" s="1"/>
  <c r="X920" i="8"/>
  <c r="Y920" i="8"/>
  <c r="AF921" i="8" s="1"/>
  <c r="X888" i="8"/>
  <c r="Y888" i="8"/>
  <c r="AF889" i="8" s="1"/>
  <c r="X856" i="8"/>
  <c r="Y856" i="8"/>
  <c r="AF857" i="8" s="1"/>
  <c r="X824" i="8"/>
  <c r="Y824" i="8"/>
  <c r="AF825" i="8" s="1"/>
  <c r="X792" i="8"/>
  <c r="Y792" i="8"/>
  <c r="AF793" i="8" s="1"/>
  <c r="X718" i="8"/>
  <c r="Y718" i="8"/>
  <c r="AF719" i="8" s="1"/>
  <c r="X690" i="8"/>
  <c r="Y690" i="8"/>
  <c r="AF691" i="8" s="1"/>
  <c r="X538" i="8"/>
  <c r="Y538" i="8"/>
  <c r="AF539" i="8" s="1"/>
  <c r="X530" i="8"/>
  <c r="Y530" i="8"/>
  <c r="AF531" i="8" s="1"/>
  <c r="X522" i="8"/>
  <c r="Y522" i="8"/>
  <c r="AF523" i="8" s="1"/>
  <c r="X514" i="8"/>
  <c r="Y514" i="8"/>
  <c r="AF515" i="8" s="1"/>
  <c r="X506" i="8"/>
  <c r="Y506" i="8"/>
  <c r="AF507" i="8" s="1"/>
  <c r="X498" i="8"/>
  <c r="Y498" i="8"/>
  <c r="AF499" i="8" s="1"/>
  <c r="X482" i="8"/>
  <c r="Y482" i="8"/>
  <c r="AF483" i="8" s="1"/>
  <c r="X474" i="8"/>
  <c r="Y474" i="8"/>
  <c r="AF475" i="8" s="1"/>
  <c r="X466" i="8"/>
  <c r="Y466" i="8"/>
  <c r="AF467" i="8" s="1"/>
  <c r="X458" i="8"/>
  <c r="Y458" i="8"/>
  <c r="AF459" i="8" s="1"/>
  <c r="X450" i="8"/>
  <c r="Y450" i="8"/>
  <c r="AF451" i="8" s="1"/>
  <c r="X442" i="8"/>
  <c r="Y442" i="8"/>
  <c r="AF443" i="8" s="1"/>
  <c r="X430" i="8"/>
  <c r="Y430" i="8"/>
  <c r="AF431" i="8" s="1"/>
  <c r="X422" i="8"/>
  <c r="Y422" i="8"/>
  <c r="AF423" i="8" s="1"/>
  <c r="X414" i="8"/>
  <c r="Y414" i="8"/>
  <c r="AF415" i="8" s="1"/>
  <c r="X398" i="8"/>
  <c r="Y398" i="8"/>
  <c r="AF399" i="8" s="1"/>
  <c r="X390" i="8"/>
  <c r="Y390" i="8"/>
  <c r="AF391" i="8" s="1"/>
  <c r="X382" i="8"/>
  <c r="Y382" i="8"/>
  <c r="AF383" i="8" s="1"/>
  <c r="X374" i="8"/>
  <c r="Y374" i="8"/>
  <c r="AF375" i="8" s="1"/>
  <c r="X366" i="8"/>
  <c r="Y366" i="8"/>
  <c r="AF367" i="8" s="1"/>
  <c r="X358" i="8"/>
  <c r="Y358" i="8"/>
  <c r="AF359" i="8" s="1"/>
  <c r="X350" i="8"/>
  <c r="Y350" i="8"/>
  <c r="AF351" i="8" s="1"/>
  <c r="X342" i="8"/>
  <c r="Y342" i="8"/>
  <c r="AF343" i="8" s="1"/>
  <c r="X334" i="8"/>
  <c r="Y334" i="8"/>
  <c r="AF335" i="8" s="1"/>
  <c r="X326" i="8"/>
  <c r="Y326" i="8"/>
  <c r="AF327" i="8" s="1"/>
  <c r="X318" i="8"/>
  <c r="Y318" i="8"/>
  <c r="AF319" i="8" s="1"/>
  <c r="X310" i="8"/>
  <c r="Y310" i="8"/>
  <c r="AF311" i="8" s="1"/>
  <c r="X302" i="8"/>
  <c r="Y302" i="8"/>
  <c r="AF303" i="8" s="1"/>
  <c r="X294" i="8"/>
  <c r="Y294" i="8"/>
  <c r="AF295" i="8" s="1"/>
  <c r="X736" i="8"/>
  <c r="Y736" i="8"/>
  <c r="AF737" i="8" s="1"/>
  <c r="X704" i="8"/>
  <c r="Y704" i="8"/>
  <c r="AF705" i="8" s="1"/>
  <c r="X688" i="8"/>
  <c r="Y688" i="8"/>
  <c r="AF689" i="8" s="1"/>
  <c r="X672" i="8"/>
  <c r="Y672" i="8"/>
  <c r="AF673" i="8" s="1"/>
  <c r="X664" i="8"/>
  <c r="Y664" i="8"/>
  <c r="AF665" i="8" s="1"/>
  <c r="X656" i="8"/>
  <c r="Y656" i="8"/>
  <c r="AF657" i="8" s="1"/>
  <c r="X648" i="8"/>
  <c r="Y648" i="8"/>
  <c r="AF649" i="8" s="1"/>
  <c r="X632" i="8"/>
  <c r="Y632" i="8"/>
  <c r="AF633" i="8" s="1"/>
  <c r="X624" i="8"/>
  <c r="Y624" i="8"/>
  <c r="AF625" i="8" s="1"/>
  <c r="X616" i="8"/>
  <c r="Y616" i="8"/>
  <c r="AF617" i="8" s="1"/>
  <c r="X604" i="8"/>
  <c r="Y604" i="8"/>
  <c r="AF605" i="8" s="1"/>
  <c r="X596" i="8"/>
  <c r="Y596" i="8"/>
  <c r="AF597" i="8" s="1"/>
  <c r="X588" i="8"/>
  <c r="Y588" i="8"/>
  <c r="AF589" i="8" s="1"/>
  <c r="X580" i="8"/>
  <c r="Y580" i="8"/>
  <c r="AF581" i="8" s="1"/>
  <c r="X572" i="8"/>
  <c r="Y572" i="8"/>
  <c r="AF573" i="8" s="1"/>
  <c r="X564" i="8"/>
  <c r="Y564" i="8"/>
  <c r="AF565" i="8" s="1"/>
  <c r="X552" i="8"/>
  <c r="Y552" i="8"/>
  <c r="AF553" i="8" s="1"/>
  <c r="X544" i="8"/>
  <c r="Y544" i="8"/>
  <c r="AF545" i="8" s="1"/>
  <c r="X536" i="8"/>
  <c r="Y536" i="8"/>
  <c r="AF537" i="8" s="1"/>
  <c r="X520" i="8"/>
  <c r="Y520" i="8"/>
  <c r="AF521" i="8" s="1"/>
  <c r="X512" i="8"/>
  <c r="Y512" i="8"/>
  <c r="AF513" i="8" s="1"/>
  <c r="X504" i="8"/>
  <c r="Y504" i="8"/>
  <c r="AF505" i="8" s="1"/>
  <c r="X496" i="8"/>
  <c r="Y496" i="8"/>
  <c r="AF497" i="8" s="1"/>
  <c r="X488" i="8"/>
  <c r="Y488" i="8"/>
  <c r="AF489" i="8" s="1"/>
  <c r="X480" i="8"/>
  <c r="Y480" i="8"/>
  <c r="AF481" i="8" s="1"/>
  <c r="X472" i="8"/>
  <c r="Y472" i="8"/>
  <c r="AF473" i="8" s="1"/>
  <c r="X460" i="8"/>
  <c r="Y460" i="8"/>
  <c r="AF461" i="8" s="1"/>
  <c r="X452" i="8"/>
  <c r="Y452" i="8"/>
  <c r="AF453" i="8" s="1"/>
  <c r="X444" i="8"/>
  <c r="Y444" i="8"/>
  <c r="AF445" i="8" s="1"/>
  <c r="X436" i="8"/>
  <c r="Y436" i="8"/>
  <c r="AF437" i="8" s="1"/>
  <c r="X428" i="8"/>
  <c r="Y428" i="8"/>
  <c r="AF429" i="8" s="1"/>
  <c r="X420" i="8"/>
  <c r="Y420" i="8"/>
  <c r="AF421" i="8" s="1"/>
  <c r="X412" i="8"/>
  <c r="Y412" i="8"/>
  <c r="AF413" i="8" s="1"/>
  <c r="X404" i="8"/>
  <c r="Y404" i="8"/>
  <c r="AF405" i="8" s="1"/>
  <c r="X384" i="8"/>
  <c r="Y384" i="8"/>
  <c r="AF385" i="8" s="1"/>
  <c r="X376" i="8"/>
  <c r="Y376" i="8"/>
  <c r="AF377" i="8" s="1"/>
  <c r="X368" i="8"/>
  <c r="Y368" i="8"/>
  <c r="AF369" i="8" s="1"/>
  <c r="X360" i="8"/>
  <c r="Y360" i="8"/>
  <c r="AF361" i="8" s="1"/>
  <c r="X751" i="8"/>
  <c r="Y751" i="8"/>
  <c r="AF752" i="8" s="1"/>
  <c r="X719" i="8"/>
  <c r="Y719" i="8"/>
  <c r="AF720" i="8" s="1"/>
  <c r="X957" i="8"/>
  <c r="Y957" i="8"/>
  <c r="AF958" i="8" s="1"/>
  <c r="X949" i="8"/>
  <c r="Y949" i="8"/>
  <c r="AF950" i="8" s="1"/>
  <c r="X941" i="8"/>
  <c r="Y941" i="8"/>
  <c r="AF942" i="8" s="1"/>
  <c r="X929" i="8"/>
  <c r="Y929" i="8"/>
  <c r="AF930" i="8" s="1"/>
  <c r="X921" i="8"/>
  <c r="Y921" i="8"/>
  <c r="AF922" i="8" s="1"/>
  <c r="X913" i="8"/>
  <c r="Y913" i="8"/>
  <c r="AF914" i="8" s="1"/>
  <c r="X905" i="8"/>
  <c r="Y905" i="8"/>
  <c r="AF906" i="8" s="1"/>
  <c r="X723" i="8"/>
  <c r="Y723" i="8"/>
  <c r="AF724" i="8" s="1"/>
  <c r="X691" i="8"/>
  <c r="Y691" i="8"/>
  <c r="AF692" i="8" s="1"/>
  <c r="X659" i="8"/>
  <c r="Y659" i="8"/>
  <c r="AF660" i="8" s="1"/>
  <c r="X619" i="8"/>
  <c r="Y619" i="8"/>
  <c r="AF620" i="8" s="1"/>
  <c r="X611" i="8"/>
  <c r="Y611" i="8"/>
  <c r="AF612" i="8" s="1"/>
  <c r="X603" i="8"/>
  <c r="Y603" i="8"/>
  <c r="AF604" i="8" s="1"/>
  <c r="X595" i="8"/>
  <c r="Y595" i="8"/>
  <c r="AF596" i="8" s="1"/>
  <c r="X587" i="8"/>
  <c r="Y587" i="8"/>
  <c r="AF588" i="8" s="1"/>
  <c r="X579" i="8"/>
  <c r="Y579" i="8"/>
  <c r="AF580" i="8" s="1"/>
  <c r="X571" i="8"/>
  <c r="Y571" i="8"/>
  <c r="AF572" i="8" s="1"/>
  <c r="X563" i="8"/>
  <c r="Y563" i="8"/>
  <c r="AF564" i="8" s="1"/>
  <c r="X555" i="8"/>
  <c r="Y555" i="8"/>
  <c r="AF556" i="8" s="1"/>
  <c r="X543" i="8"/>
  <c r="Y543" i="8"/>
  <c r="AF544" i="8" s="1"/>
  <c r="X535" i="8"/>
  <c r="Y535" i="8"/>
  <c r="AF536" i="8" s="1"/>
  <c r="X527" i="8"/>
  <c r="Y527" i="8"/>
  <c r="AF528" i="8" s="1"/>
  <c r="X519" i="8"/>
  <c r="Y519" i="8"/>
  <c r="AF520" i="8" s="1"/>
  <c r="X511" i="8"/>
  <c r="Y511" i="8"/>
  <c r="AF512" i="8" s="1"/>
  <c r="X268" i="8"/>
  <c r="Y268" i="8"/>
  <c r="AF269" i="8" s="1"/>
  <c r="X260" i="8"/>
  <c r="Y260" i="8"/>
  <c r="AF261" i="8" s="1"/>
  <c r="X252" i="8"/>
  <c r="Y252" i="8"/>
  <c r="AF253" i="8" s="1"/>
  <c r="X244" i="8"/>
  <c r="Y244" i="8"/>
  <c r="AF245" i="8" s="1"/>
  <c r="X236" i="8"/>
  <c r="Y236" i="8"/>
  <c r="AF237" i="8" s="1"/>
  <c r="X228" i="8"/>
  <c r="Y228" i="8"/>
  <c r="AF229" i="8" s="1"/>
  <c r="X220" i="8"/>
  <c r="Y220" i="8"/>
  <c r="AF221" i="8" s="1"/>
  <c r="X208" i="8"/>
  <c r="Y208" i="8"/>
  <c r="AF209" i="8" s="1"/>
  <c r="X200" i="8"/>
  <c r="Y200" i="8"/>
  <c r="AF201" i="8" s="1"/>
  <c r="X192" i="8"/>
  <c r="Y192" i="8"/>
  <c r="AF193" i="8" s="1"/>
  <c r="X184" i="8"/>
  <c r="Y184" i="8"/>
  <c r="AF185" i="8" s="1"/>
  <c r="X176" i="8"/>
  <c r="Y176" i="8"/>
  <c r="AF177" i="8" s="1"/>
  <c r="X168" i="8"/>
  <c r="Y168" i="8"/>
  <c r="AF169" i="8" s="1"/>
  <c r="X160" i="8"/>
  <c r="Y160" i="8"/>
  <c r="AF161" i="8" s="1"/>
  <c r="X152" i="8"/>
  <c r="Y152" i="8"/>
  <c r="AF153" i="8" s="1"/>
  <c r="X626" i="8"/>
  <c r="Y626" i="8"/>
  <c r="AF627" i="8" s="1"/>
  <c r="X614" i="8"/>
  <c r="Y614" i="8"/>
  <c r="AF615" i="8" s="1"/>
  <c r="X606" i="8"/>
  <c r="Y606" i="8"/>
  <c r="AF607" i="8" s="1"/>
  <c r="X598" i="8"/>
  <c r="Y598" i="8"/>
  <c r="AF599" i="8" s="1"/>
  <c r="X438" i="8"/>
  <c r="Y438" i="8"/>
  <c r="AF439" i="8" s="1"/>
  <c r="X612" i="8"/>
  <c r="Y612" i="8"/>
  <c r="AF613" i="8" s="1"/>
  <c r="X560" i="8"/>
  <c r="Y560" i="8"/>
  <c r="AF561" i="8" s="1"/>
  <c r="X400" i="8"/>
  <c r="Y400" i="8"/>
  <c r="AF401" i="8" s="1"/>
  <c r="X547" i="8"/>
  <c r="Y547" i="8"/>
  <c r="AF548" i="8" s="1"/>
  <c r="X212" i="8"/>
  <c r="Y212" i="8"/>
  <c r="AF213" i="8" s="1"/>
  <c r="X590" i="8"/>
  <c r="Y590" i="8"/>
  <c r="AF591" i="8" s="1"/>
  <c r="X582" i="8"/>
  <c r="Y582" i="8"/>
  <c r="AF583" i="8" s="1"/>
  <c r="X574" i="8"/>
  <c r="Y574" i="8"/>
  <c r="AF575" i="8" s="1"/>
  <c r="X566" i="8"/>
  <c r="Y566" i="8"/>
  <c r="AF567" i="8" s="1"/>
  <c r="X558" i="8"/>
  <c r="Y558" i="8"/>
  <c r="AF559" i="8" s="1"/>
  <c r="X554" i="8"/>
  <c r="Y554" i="8"/>
  <c r="AF555" i="8" s="1"/>
  <c r="X754" i="8"/>
  <c r="Y754" i="8"/>
  <c r="AF755" i="8" s="1"/>
  <c r="X542" i="8"/>
  <c r="Y542" i="8"/>
  <c r="AF543" i="8" s="1"/>
  <c r="X534" i="8"/>
  <c r="Y534" i="8"/>
  <c r="AF535" i="8" s="1"/>
  <c r="X526" i="8"/>
  <c r="Y526" i="8"/>
  <c r="AF527" i="8" s="1"/>
  <c r="X518" i="8"/>
  <c r="Y518" i="8"/>
  <c r="AF519" i="8" s="1"/>
  <c r="X510" i="8"/>
  <c r="Y510" i="8"/>
  <c r="AF511" i="8" s="1"/>
  <c r="X502" i="8"/>
  <c r="Y502" i="8"/>
  <c r="AF503" i="8" s="1"/>
  <c r="X494" i="8"/>
  <c r="Y494" i="8"/>
  <c r="AF495" i="8" s="1"/>
  <c r="X490" i="8"/>
  <c r="Y490" i="8"/>
  <c r="AF491" i="8" s="1"/>
  <c r="X434" i="8"/>
  <c r="Y434" i="8"/>
  <c r="AF435" i="8" s="1"/>
  <c r="X426" i="8"/>
  <c r="Y426" i="8"/>
  <c r="AF427" i="8" s="1"/>
  <c r="X418" i="8"/>
  <c r="Y418" i="8"/>
  <c r="AF419" i="8" s="1"/>
  <c r="X410" i="8"/>
  <c r="Y410" i="8"/>
  <c r="AF411" i="8" s="1"/>
  <c r="X406" i="8"/>
  <c r="Y406" i="8"/>
  <c r="AF407" i="8" s="1"/>
  <c r="Y284" i="8"/>
  <c r="AF285" i="8" s="1"/>
  <c r="X284" i="8"/>
  <c r="Y551" i="8"/>
  <c r="AF552" i="8" s="1"/>
  <c r="X551" i="8"/>
  <c r="Y180" i="8"/>
  <c r="AF181" i="8" s="1"/>
  <c r="X180" i="8"/>
  <c r="Y92" i="8"/>
  <c r="AF93" i="8" s="1"/>
  <c r="X92" i="8"/>
  <c r="X858" i="8"/>
  <c r="Y858" i="8"/>
  <c r="AF859" i="8" s="1"/>
  <c r="X850" i="8"/>
  <c r="Y850" i="8"/>
  <c r="AF851" i="8" s="1"/>
  <c r="X118" i="8"/>
  <c r="Y118" i="8"/>
  <c r="AF119" i="8" s="1"/>
  <c r="X110" i="8"/>
  <c r="Y110" i="8"/>
  <c r="AF111" i="8" s="1"/>
  <c r="X102" i="8"/>
  <c r="Y102" i="8"/>
  <c r="AF103" i="8" s="1"/>
  <c r="X94" i="8"/>
  <c r="Y94" i="8"/>
  <c r="AF95" i="8" s="1"/>
  <c r="X82" i="8"/>
  <c r="Y82" i="8"/>
  <c r="AF83" i="8" s="1"/>
  <c r="X814" i="8"/>
  <c r="Y814" i="8"/>
  <c r="AF815" i="8" s="1"/>
  <c r="Y599" i="8"/>
  <c r="AF600" i="8" s="1"/>
  <c r="X599" i="8"/>
  <c r="Y592" i="8"/>
  <c r="AF593" i="8" s="1"/>
  <c r="X592" i="8"/>
  <c r="Y144" i="8"/>
  <c r="AF145" i="8" s="1"/>
  <c r="X144" i="8"/>
  <c r="Y324" i="8"/>
  <c r="AF325" i="8" s="1"/>
  <c r="X324" i="8"/>
  <c r="Y999" i="8"/>
  <c r="AF1000" i="8" s="1"/>
  <c r="X999" i="8"/>
  <c r="Y767" i="8"/>
  <c r="AF768" i="8" s="1"/>
  <c r="X767" i="8"/>
  <c r="X392" i="8"/>
  <c r="Y392" i="8"/>
  <c r="AF393" i="8" s="1"/>
  <c r="X607" i="8"/>
  <c r="Y607" i="8"/>
  <c r="AF608" i="8" s="1"/>
  <c r="X591" i="8"/>
  <c r="Y591" i="8"/>
  <c r="AF592" i="8" s="1"/>
  <c r="X575" i="8"/>
  <c r="Y575" i="8"/>
  <c r="AF576" i="8" s="1"/>
  <c r="X559" i="8"/>
  <c r="Y559" i="8"/>
  <c r="AF560" i="8" s="1"/>
  <c r="X499" i="8"/>
  <c r="Y499" i="8"/>
  <c r="AF500" i="8" s="1"/>
  <c r="X416" i="8"/>
  <c r="Y416" i="8"/>
  <c r="AF417" i="8" s="1"/>
  <c r="X256" i="8"/>
  <c r="Y256" i="8"/>
  <c r="AF257" i="8" s="1"/>
  <c r="X224" i="8"/>
  <c r="Y224" i="8"/>
  <c r="AF225" i="8" s="1"/>
  <c r="X172" i="8"/>
  <c r="Y172" i="8"/>
  <c r="AF173" i="8" s="1"/>
  <c r="X136" i="8"/>
  <c r="Y136" i="8"/>
  <c r="AF137" i="8" s="1"/>
  <c r="X116" i="8"/>
  <c r="Y116" i="8"/>
  <c r="AF117" i="8" s="1"/>
  <c r="X100" i="8"/>
  <c r="Y100" i="8"/>
  <c r="AF101" i="8" s="1"/>
  <c r="X336" i="8"/>
  <c r="Y336" i="8"/>
  <c r="AF337" i="8" s="1"/>
  <c r="X316" i="8"/>
  <c r="Y316" i="8"/>
  <c r="AF317" i="8" s="1"/>
  <c r="X680" i="8"/>
  <c r="Y680" i="8"/>
  <c r="AF681" i="8" s="1"/>
  <c r="X996" i="8"/>
  <c r="Y996" i="8"/>
  <c r="AF997" i="8" s="1"/>
  <c r="X660" i="8"/>
  <c r="Y660" i="8"/>
  <c r="AF661" i="8" s="1"/>
  <c r="X652" i="8"/>
  <c r="Y652" i="8"/>
  <c r="AF653" i="8" s="1"/>
  <c r="X644" i="8"/>
  <c r="Y644" i="8"/>
  <c r="AF645" i="8" s="1"/>
  <c r="X640" i="8"/>
  <c r="Y640" i="8"/>
  <c r="AF641" i="8" s="1"/>
  <c r="X608" i="8"/>
  <c r="Y608" i="8"/>
  <c r="AF609" i="8" s="1"/>
  <c r="X600" i="8"/>
  <c r="Y600" i="8"/>
  <c r="AF601" i="8" s="1"/>
  <c r="X556" i="8"/>
  <c r="Y556" i="8"/>
  <c r="AF557" i="8" s="1"/>
  <c r="X548" i="8"/>
  <c r="Y548" i="8"/>
  <c r="AF549" i="8" s="1"/>
  <c r="X540" i="8"/>
  <c r="Y540" i="8"/>
  <c r="AF541" i="8" s="1"/>
  <c r="X532" i="8"/>
  <c r="Y532" i="8"/>
  <c r="AF533" i="8" s="1"/>
  <c r="X528" i="8"/>
  <c r="Y528" i="8"/>
  <c r="AF529" i="8" s="1"/>
  <c r="X456" i="8"/>
  <c r="Y456" i="8"/>
  <c r="AF457" i="8" s="1"/>
  <c r="X448" i="8"/>
  <c r="Y448" i="8"/>
  <c r="AF449" i="8" s="1"/>
  <c r="X440" i="8"/>
  <c r="Y440" i="8"/>
  <c r="AF441" i="8" s="1"/>
  <c r="X432" i="8"/>
  <c r="Y432" i="8"/>
  <c r="AF433" i="8" s="1"/>
  <c r="X424" i="8"/>
  <c r="Y424" i="8"/>
  <c r="AF425" i="8" s="1"/>
  <c r="X396" i="8"/>
  <c r="Y396" i="8"/>
  <c r="AF397" i="8" s="1"/>
  <c r="X388" i="8"/>
  <c r="Y388" i="8"/>
  <c r="AF389" i="8" s="1"/>
  <c r="X380" i="8"/>
  <c r="Y380" i="8"/>
  <c r="AF381" i="8" s="1"/>
  <c r="X372" i="8"/>
  <c r="Y372" i="8"/>
  <c r="AF373" i="8" s="1"/>
  <c r="X364" i="8"/>
  <c r="Y364" i="8"/>
  <c r="AF365" i="8" s="1"/>
  <c r="X356" i="8"/>
  <c r="Y356" i="8"/>
  <c r="AF357" i="8" s="1"/>
  <c r="X735" i="8"/>
  <c r="Y735" i="8"/>
  <c r="AF736" i="8" s="1"/>
  <c r="X961" i="8"/>
  <c r="Y961" i="8"/>
  <c r="AF962" i="8" s="1"/>
  <c r="X933" i="8"/>
  <c r="Y933" i="8"/>
  <c r="AF934" i="8" s="1"/>
  <c r="X925" i="8"/>
  <c r="Y925" i="8"/>
  <c r="AF926" i="8" s="1"/>
  <c r="X917" i="8"/>
  <c r="Y917" i="8"/>
  <c r="AF918" i="8" s="1"/>
  <c r="X909" i="8"/>
  <c r="Y909" i="8"/>
  <c r="AF910" i="8" s="1"/>
  <c r="X739" i="8"/>
  <c r="Y739" i="8"/>
  <c r="AF740" i="8" s="1"/>
  <c r="X707" i="8"/>
  <c r="Y707" i="8"/>
  <c r="AF708" i="8" s="1"/>
  <c r="X675" i="8"/>
  <c r="Y675" i="8"/>
  <c r="AF676" i="8" s="1"/>
  <c r="X643" i="8"/>
  <c r="Y643" i="8"/>
  <c r="AF644" i="8" s="1"/>
  <c r="X539" i="8"/>
  <c r="Y539" i="8"/>
  <c r="AF540" i="8" s="1"/>
  <c r="X531" i="8"/>
  <c r="Y531" i="8"/>
  <c r="AF532" i="8" s="1"/>
  <c r="X523" i="8"/>
  <c r="Y523" i="8"/>
  <c r="AF524" i="8" s="1"/>
  <c r="X515" i="8"/>
  <c r="Y515" i="8"/>
  <c r="AF516" i="8" s="1"/>
  <c r="X507" i="8"/>
  <c r="Y507" i="8"/>
  <c r="AF508" i="8" s="1"/>
  <c r="X204" i="8"/>
  <c r="Y204" i="8"/>
  <c r="AF205" i="8" s="1"/>
  <c r="X196" i="8"/>
  <c r="Y196" i="8"/>
  <c r="AF197" i="8" s="1"/>
  <c r="X968" i="8"/>
  <c r="Y968" i="8"/>
  <c r="AF969" i="8" s="1"/>
  <c r="X738" i="8"/>
  <c r="Y738" i="8"/>
  <c r="AF739" i="8" s="1"/>
  <c r="X912" i="8"/>
  <c r="Y912" i="8"/>
  <c r="AF913" i="8" s="1"/>
  <c r="X848" i="8"/>
  <c r="Y848" i="8"/>
  <c r="AF849" i="8" s="1"/>
  <c r="X784" i="8"/>
  <c r="Y784" i="8"/>
  <c r="AF785" i="8" s="1"/>
  <c r="X722" i="8"/>
  <c r="Y722" i="8"/>
  <c r="AF723" i="8" s="1"/>
  <c r="X282" i="8"/>
  <c r="Y282" i="8"/>
  <c r="AF283" i="8" s="1"/>
  <c r="X274" i="8"/>
  <c r="Y274" i="8"/>
  <c r="AF275" i="8" s="1"/>
  <c r="X266" i="8"/>
  <c r="Y266" i="8"/>
  <c r="AF267" i="8"/>
  <c r="X258" i="8"/>
  <c r="Y258" i="8"/>
  <c r="AF259" i="8" s="1"/>
  <c r="X250" i="8"/>
  <c r="Y250" i="8"/>
  <c r="AF251" i="8" s="1"/>
  <c r="X242" i="8"/>
  <c r="Y242" i="8"/>
  <c r="AF243" i="8" s="1"/>
  <c r="X234" i="8"/>
  <c r="Y234" i="8"/>
  <c r="AF235" i="8" s="1"/>
  <c r="X226" i="8"/>
  <c r="Y226" i="8"/>
  <c r="AF227" i="8" s="1"/>
  <c r="X218" i="8"/>
  <c r="Y218" i="8"/>
  <c r="AF219" i="8" s="1"/>
  <c r="X210" i="8"/>
  <c r="Y210" i="8"/>
  <c r="AF211" i="8" s="1"/>
  <c r="X202" i="8"/>
  <c r="Y202" i="8"/>
  <c r="AF203" i="8" s="1"/>
  <c r="X194" i="8"/>
  <c r="Y194" i="8"/>
  <c r="AF195" i="8" s="1"/>
  <c r="X186" i="8"/>
  <c r="Y186" i="8"/>
  <c r="AF187" i="8" s="1"/>
  <c r="X178" i="8"/>
  <c r="Y178" i="8"/>
  <c r="AF179" i="8" s="1"/>
  <c r="X170" i="8"/>
  <c r="Y170" i="8"/>
  <c r="AF171" i="8" s="1"/>
  <c r="X162" i="8"/>
  <c r="Y162" i="8"/>
  <c r="AF163" i="8" s="1"/>
  <c r="X154" i="8"/>
  <c r="Y154" i="8"/>
  <c r="AF155" i="8" s="1"/>
  <c r="X550" i="8"/>
  <c r="Y550" i="8"/>
  <c r="AF551" i="8" s="1"/>
  <c r="X670" i="8"/>
  <c r="Y670" i="8"/>
  <c r="AF671" i="8" s="1"/>
  <c r="X936" i="8"/>
  <c r="Y936" i="8"/>
  <c r="AF937" i="8" s="1"/>
  <c r="X904" i="8"/>
  <c r="Y904" i="8"/>
  <c r="AF905" i="8" s="1"/>
  <c r="X872" i="8"/>
  <c r="Y872" i="8"/>
  <c r="AF873" i="8" s="1"/>
  <c r="X840" i="8"/>
  <c r="Y840" i="8"/>
  <c r="AF841" i="8" s="1"/>
  <c r="X808" i="8"/>
  <c r="Y808" i="8"/>
  <c r="AF809" i="8" s="1"/>
  <c r="X776" i="8"/>
  <c r="Y776" i="8"/>
  <c r="AF777" i="8" s="1"/>
  <c r="X980" i="8"/>
  <c r="Y980" i="8"/>
  <c r="AF981" i="8" s="1"/>
  <c r="X953" i="8"/>
  <c r="Y953" i="8"/>
  <c r="AF954" i="8" s="1"/>
  <c r="X11" i="8"/>
  <c r="Y11" i="8" s="1"/>
  <c r="X486" i="8"/>
  <c r="Y486" i="8"/>
  <c r="AF487" i="8" s="1"/>
  <c r="X478" i="8"/>
  <c r="Y478" i="8"/>
  <c r="AF479" i="8" s="1"/>
  <c r="X470" i="8"/>
  <c r="Y470" i="8"/>
  <c r="AF471" i="8" s="1"/>
  <c r="X462" i="8"/>
  <c r="Y462" i="8"/>
  <c r="AF463" i="8" s="1"/>
  <c r="X454" i="8"/>
  <c r="Y454" i="8"/>
  <c r="AF455" i="8" s="1"/>
  <c r="X446" i="8"/>
  <c r="Y446" i="8"/>
  <c r="AF447" i="8" s="1"/>
  <c r="X402" i="8"/>
  <c r="Y402" i="8"/>
  <c r="AF403" i="8" s="1"/>
  <c r="X394" i="8"/>
  <c r="Y394" i="8"/>
  <c r="AF395" i="8" s="1"/>
  <c r="X386" i="8"/>
  <c r="Y386" i="8"/>
  <c r="AF387" i="8" s="1"/>
  <c r="X378" i="8"/>
  <c r="Y378" i="8"/>
  <c r="AF379" i="8" s="1"/>
  <c r="X370" i="8"/>
  <c r="Y370" i="8"/>
  <c r="AF371" i="8" s="1"/>
  <c r="X362" i="8"/>
  <c r="Y362" i="8"/>
  <c r="AF363" i="8" s="1"/>
  <c r="X354" i="8"/>
  <c r="Y354" i="8"/>
  <c r="AF355" i="8" s="1"/>
  <c r="X346" i="8"/>
  <c r="Y346" i="8"/>
  <c r="AF347" i="8" s="1"/>
  <c r="X338" i="8"/>
  <c r="Y338" i="8"/>
  <c r="AF339" i="8" s="1"/>
  <c r="X330" i="8"/>
  <c r="Y330" i="8"/>
  <c r="AF331" i="8" s="1"/>
  <c r="X322" i="8"/>
  <c r="Y322" i="8"/>
  <c r="AF323" i="8" s="1"/>
  <c r="X314" i="8"/>
  <c r="Y314" i="8"/>
  <c r="AF315" i="8" s="1"/>
  <c r="X306" i="8"/>
  <c r="Y306" i="8"/>
  <c r="AF307" i="8" s="1"/>
  <c r="X298" i="8"/>
  <c r="Y298" i="8"/>
  <c r="AF299" i="8" s="1"/>
  <c r="X720" i="8"/>
  <c r="Y720" i="8"/>
  <c r="AF721" i="8" s="1"/>
  <c r="X728" i="8"/>
  <c r="Y728" i="8"/>
  <c r="AF729" i="8" s="1"/>
  <c r="X712" i="8"/>
  <c r="Y712" i="8"/>
  <c r="AF713" i="8" s="1"/>
  <c r="X636" i="8"/>
  <c r="Y636" i="8"/>
  <c r="AF637" i="8" s="1"/>
  <c r="X628" i="8"/>
  <c r="Y628" i="8"/>
  <c r="AF629" i="8" s="1"/>
  <c r="X620" i="8"/>
  <c r="Y620" i="8"/>
  <c r="AF621" i="8" s="1"/>
  <c r="X584" i="8"/>
  <c r="Y584" i="8"/>
  <c r="AF585" i="8" s="1"/>
  <c r="X576" i="8"/>
  <c r="Y576" i="8"/>
  <c r="AF577" i="8" s="1"/>
  <c r="X568" i="8"/>
  <c r="Y568" i="8"/>
  <c r="AF569" i="8" s="1"/>
  <c r="X524" i="8"/>
  <c r="Y524" i="8"/>
  <c r="AF525" i="8" s="1"/>
  <c r="X516" i="8"/>
  <c r="Y516" i="8"/>
  <c r="AF517" i="8" s="1"/>
  <c r="X508" i="8"/>
  <c r="Y508" i="8"/>
  <c r="AF509" i="8" s="1"/>
  <c r="X500" i="8"/>
  <c r="Y500" i="8"/>
  <c r="AF501" i="8" s="1"/>
  <c r="X492" i="8"/>
  <c r="Y492" i="8"/>
  <c r="AF493" i="8" s="1"/>
  <c r="X484" i="8"/>
  <c r="Y484" i="8"/>
  <c r="AF485" i="8" s="1"/>
  <c r="X476" i="8"/>
  <c r="Y476" i="8"/>
  <c r="AF477" i="8" s="1"/>
  <c r="X468" i="8"/>
  <c r="Y468" i="8"/>
  <c r="AF469" i="8" s="1"/>
  <c r="X464" i="8"/>
  <c r="Y464" i="8"/>
  <c r="AF465" i="8" s="1"/>
  <c r="X408" i="8"/>
  <c r="Y408" i="8"/>
  <c r="AF409" i="8" s="1"/>
  <c r="X945" i="8"/>
  <c r="Y945" i="8"/>
  <c r="AF946" i="8" s="1"/>
  <c r="X937" i="8"/>
  <c r="Y937" i="8"/>
  <c r="AF938" i="8" s="1"/>
  <c r="X623" i="8"/>
  <c r="Y623" i="8"/>
  <c r="AF624" i="8" s="1"/>
  <c r="X615" i="8"/>
  <c r="Y615" i="8"/>
  <c r="AF616" i="8" s="1"/>
  <c r="Y68" i="8"/>
  <c r="AF69" i="8" s="1"/>
  <c r="X68" i="8"/>
  <c r="Y459" i="8"/>
  <c r="AF460" i="8" s="1"/>
  <c r="X459" i="8"/>
  <c r="Y423" i="8"/>
  <c r="AF424" i="8" s="1"/>
  <c r="X423" i="8"/>
  <c r="X300" i="8"/>
  <c r="Y300" i="8"/>
  <c r="AF301" i="8" s="1"/>
  <c r="X292" i="8"/>
  <c r="Y292" i="8"/>
  <c r="AF293" i="8" s="1"/>
  <c r="X328" i="8"/>
  <c r="Y328" i="8"/>
  <c r="AF329" i="8" s="1"/>
  <c r="X276" i="8"/>
  <c r="Y276" i="8"/>
  <c r="AF277" i="8" s="1"/>
  <c r="X383" i="8"/>
  <c r="Y383" i="8"/>
  <c r="AF384" i="8" s="1"/>
  <c r="X987" i="8"/>
  <c r="Y987" i="8"/>
  <c r="AF988" i="8" s="1"/>
  <c r="X979" i="8"/>
  <c r="Y979" i="8"/>
  <c r="AF980" i="8" s="1"/>
  <c r="X971" i="8"/>
  <c r="Y971" i="8"/>
  <c r="AF972" i="8" s="1"/>
  <c r="X959" i="8"/>
  <c r="Y959" i="8"/>
  <c r="AF960" i="8" s="1"/>
  <c r="X947" i="8"/>
  <c r="Y947" i="8"/>
  <c r="AF948" i="8" s="1"/>
  <c r="X939" i="8"/>
  <c r="Y939" i="8"/>
  <c r="AF940" i="8" s="1"/>
  <c r="X931" i="8"/>
  <c r="Y931" i="8"/>
  <c r="AF932" i="8" s="1"/>
  <c r="X923" i="8"/>
  <c r="Y923" i="8"/>
  <c r="AF924" i="8" s="1"/>
  <c r="X915" i="8"/>
  <c r="Y915" i="8"/>
  <c r="AF916" i="8" s="1"/>
  <c r="X907" i="8"/>
  <c r="Y907" i="8"/>
  <c r="AF908" i="8" s="1"/>
  <c r="X899" i="8"/>
  <c r="Y899" i="8"/>
  <c r="AF900" i="8" s="1"/>
  <c r="X883" i="8"/>
  <c r="Y883" i="8"/>
  <c r="AF884" i="8" s="1"/>
  <c r="X875" i="8"/>
  <c r="Y875" i="8"/>
  <c r="AF876" i="8" s="1"/>
  <c r="X272" i="8"/>
  <c r="Y272" i="8"/>
  <c r="AF273" i="8" s="1"/>
  <c r="X80" i="8"/>
  <c r="Y80" i="8"/>
  <c r="AF81" i="8" s="1"/>
  <c r="X687" i="8"/>
  <c r="Y687" i="8"/>
  <c r="AF688" i="8" s="1"/>
  <c r="X655" i="8"/>
  <c r="Y655" i="8"/>
  <c r="AF656" i="8" s="1"/>
  <c r="X967" i="8"/>
  <c r="Y967" i="8"/>
  <c r="AF968" i="8" s="1"/>
  <c r="X981" i="8"/>
  <c r="Y981" i="8"/>
  <c r="AF982" i="8" s="1"/>
  <c r="X973" i="8"/>
  <c r="Y973" i="8"/>
  <c r="AF974" i="8" s="1"/>
  <c r="X965" i="8"/>
  <c r="Y965" i="8"/>
  <c r="AF966" i="8" s="1"/>
  <c r="X72" i="8"/>
  <c r="Y72" i="8"/>
  <c r="AF73" i="8" s="1"/>
  <c r="X64" i="8"/>
  <c r="Y64" i="8"/>
  <c r="AF65" i="8" s="1"/>
  <c r="X48" i="8"/>
  <c r="Y48" i="8"/>
  <c r="AF49" i="8" s="1"/>
  <c r="X32" i="8"/>
  <c r="Y32" i="8"/>
  <c r="AF33" i="8" s="1"/>
  <c r="X16" i="8"/>
  <c r="Y16" i="8" s="1"/>
  <c r="X991" i="8"/>
  <c r="Y991" i="8"/>
  <c r="AF992" i="8" s="1"/>
  <c r="X407" i="8"/>
  <c r="Y407" i="8"/>
  <c r="AF408" i="8" s="1"/>
  <c r="X871" i="8"/>
  <c r="Y871" i="8"/>
  <c r="AF872" i="8" s="1"/>
  <c r="X863" i="8"/>
  <c r="Y863" i="8"/>
  <c r="AF864" i="8" s="1"/>
  <c r="X855" i="8"/>
  <c r="Y855" i="8"/>
  <c r="AF856" i="8" s="1"/>
  <c r="X847" i="8"/>
  <c r="Y847" i="8"/>
  <c r="AF848" i="8" s="1"/>
  <c r="X839" i="8"/>
  <c r="Y839" i="8"/>
  <c r="AF840" i="8" s="1"/>
  <c r="X831" i="8"/>
  <c r="Y831" i="8"/>
  <c r="AF832" i="8" s="1"/>
  <c r="X823" i="8"/>
  <c r="Y823" i="8"/>
  <c r="AF824" i="8" s="1"/>
  <c r="X815" i="8"/>
  <c r="Y815" i="8"/>
  <c r="AF816" i="8" s="1"/>
  <c r="X807" i="8"/>
  <c r="Y807" i="8"/>
  <c r="AF808" i="8" s="1"/>
  <c r="X799" i="8"/>
  <c r="Y799" i="8"/>
  <c r="AF800" i="8" s="1"/>
  <c r="X791" i="8"/>
  <c r="Y791" i="8"/>
  <c r="AF792" i="8" s="1"/>
  <c r="X779" i="8"/>
  <c r="Y779" i="8"/>
  <c r="AF780" i="8" s="1"/>
  <c r="X771" i="8"/>
  <c r="Y771" i="8"/>
  <c r="AF772" i="8" s="1"/>
  <c r="X763" i="8"/>
  <c r="Y763" i="8"/>
  <c r="AF764" i="8" s="1"/>
  <c r="X755" i="8"/>
  <c r="Y755" i="8"/>
  <c r="AF756" i="8" s="1"/>
  <c r="X864" i="8"/>
  <c r="Y864" i="8"/>
  <c r="AF865" i="8" s="1"/>
  <c r="X724" i="8"/>
  <c r="Y724" i="8"/>
  <c r="AF725" i="8" s="1"/>
  <c r="X692" i="8"/>
  <c r="Y692" i="8"/>
  <c r="AF693" i="8" s="1"/>
  <c r="X732" i="8"/>
  <c r="Y732" i="8"/>
  <c r="AF733" i="8" s="1"/>
  <c r="X700" i="8"/>
  <c r="Y700" i="8"/>
  <c r="AF701" i="8" s="1"/>
  <c r="X668" i="8"/>
  <c r="Y668" i="8"/>
  <c r="AF669" i="8" s="1"/>
  <c r="X731" i="8"/>
  <c r="Y731" i="8"/>
  <c r="AF732" i="8" s="1"/>
  <c r="X699" i="8"/>
  <c r="Y699" i="8"/>
  <c r="AF700" i="8" s="1"/>
  <c r="X667" i="8"/>
  <c r="Y667" i="8"/>
  <c r="AF668" i="8" s="1"/>
  <c r="X635" i="8"/>
  <c r="Y635" i="8"/>
  <c r="AF636" i="8" s="1"/>
  <c r="X897" i="8"/>
  <c r="Y897" i="8"/>
  <c r="AF898" i="8" s="1"/>
  <c r="X889" i="8"/>
  <c r="Y889" i="8"/>
  <c r="AF890" i="8" s="1"/>
  <c r="X881" i="8"/>
  <c r="Y881" i="8"/>
  <c r="AF882" i="8" s="1"/>
  <c r="X873" i="8"/>
  <c r="Y873" i="8"/>
  <c r="AF874" i="8" s="1"/>
  <c r="X865" i="8"/>
  <c r="Y865" i="8"/>
  <c r="AF866" i="8" s="1"/>
  <c r="X857" i="8"/>
  <c r="Y857" i="8"/>
  <c r="AF858" i="8" s="1"/>
  <c r="X849" i="8"/>
  <c r="Y849" i="8"/>
  <c r="AF850" i="8" s="1"/>
  <c r="X641" i="8"/>
  <c r="Y641" i="8"/>
  <c r="AF642" i="8" s="1"/>
  <c r="X633" i="8"/>
  <c r="Y633" i="8"/>
  <c r="AF634" i="8" s="1"/>
  <c r="X625" i="8"/>
  <c r="Y625" i="8"/>
  <c r="AF626" i="8" s="1"/>
  <c r="X617" i="8"/>
  <c r="Y617" i="8"/>
  <c r="AF618" i="8" s="1"/>
  <c r="X609" i="8"/>
  <c r="Y609" i="8"/>
  <c r="AF610" i="8" s="1"/>
  <c r="X601" i="8"/>
  <c r="Y601" i="8"/>
  <c r="AF602" i="8" s="1"/>
  <c r="X593" i="8"/>
  <c r="Y593" i="8"/>
  <c r="AF594" i="8" s="1"/>
  <c r="X585" i="8"/>
  <c r="Y585" i="8"/>
  <c r="AF586" i="8" s="1"/>
  <c r="X577" i="8"/>
  <c r="Y577" i="8"/>
  <c r="AF578" i="8" s="1"/>
  <c r="X569" i="8"/>
  <c r="Y569" i="8"/>
  <c r="AF570" i="8" s="1"/>
  <c r="X561" i="8"/>
  <c r="Y561" i="8"/>
  <c r="AF562" i="8" s="1"/>
  <c r="X553" i="8"/>
  <c r="Y553" i="8"/>
  <c r="AF554" i="8" s="1"/>
  <c r="X545" i="8"/>
  <c r="Y545" i="8"/>
  <c r="AF546" i="8" s="1"/>
  <c r="X537" i="8"/>
  <c r="Y537" i="8"/>
  <c r="AF538" i="8" s="1"/>
  <c r="X529" i="8"/>
  <c r="Y529" i="8"/>
  <c r="AF530" i="8" s="1"/>
  <c r="X521" i="8"/>
  <c r="Y521" i="8"/>
  <c r="AF522" i="8" s="1"/>
  <c r="X513" i="8"/>
  <c r="Y513" i="8"/>
  <c r="AF514" i="8" s="1"/>
  <c r="X501" i="8"/>
  <c r="Y501" i="8"/>
  <c r="AF502" i="8" s="1"/>
  <c r="X493" i="8"/>
  <c r="Y493" i="8"/>
  <c r="AF494" i="8" s="1"/>
  <c r="X485" i="8"/>
  <c r="Y485" i="8"/>
  <c r="AF486" i="8" s="1"/>
  <c r="Y969" i="8"/>
  <c r="AF970" i="8" s="1"/>
  <c r="X969" i="8"/>
  <c r="Y44" i="8"/>
  <c r="AF45" i="8" s="1"/>
  <c r="X44" i="8"/>
  <c r="Y399" i="8"/>
  <c r="AF400" i="8" s="1"/>
  <c r="X399" i="8"/>
  <c r="X993" i="8"/>
  <c r="Y993" i="8"/>
  <c r="AF994" i="8" s="1"/>
  <c r="X84" i="8"/>
  <c r="Y84" i="8"/>
  <c r="AF85" i="8" s="1"/>
  <c r="X989" i="8"/>
  <c r="Y989" i="8"/>
  <c r="AF990" i="8" s="1"/>
  <c r="X783" i="8"/>
  <c r="Y783" i="8"/>
  <c r="AF784" i="8" s="1"/>
  <c r="X447" i="8"/>
  <c r="Y447" i="8"/>
  <c r="AF448" i="8" s="1"/>
  <c r="X299" i="8"/>
  <c r="Y299" i="8"/>
  <c r="AF300" i="8" s="1"/>
  <c r="X167" i="8"/>
  <c r="Y167" i="8"/>
  <c r="AF168" i="8" s="1"/>
  <c r="X148" i="8"/>
  <c r="Y148" i="8"/>
  <c r="AF149" i="8" s="1"/>
  <c r="X375" i="8"/>
  <c r="Y375" i="8"/>
  <c r="AF376" i="8" s="1"/>
  <c r="X88" i="8"/>
  <c r="Y88" i="8"/>
  <c r="AF89" i="8" s="1"/>
  <c r="X671" i="8"/>
  <c r="Y671" i="8"/>
  <c r="AF672" i="8" s="1"/>
  <c r="X639" i="8"/>
  <c r="Y639" i="8"/>
  <c r="AF640" i="8"/>
  <c r="X997" i="8"/>
  <c r="Y997" i="8"/>
  <c r="AF998" i="8" s="1"/>
  <c r="X495" i="8"/>
  <c r="Y495" i="8"/>
  <c r="AF496" i="8" s="1"/>
  <c r="X867" i="8"/>
  <c r="Y867" i="8"/>
  <c r="AF868" i="8" s="1"/>
  <c r="X859" i="8"/>
  <c r="Y859" i="8"/>
  <c r="AF860" i="8" s="1"/>
  <c r="Y76" i="8"/>
  <c r="AF77" i="8" s="1"/>
  <c r="X76" i="8"/>
  <c r="X28" i="8"/>
  <c r="Y28" i="8" s="1"/>
  <c r="Y775" i="8"/>
  <c r="AF776" i="8" s="1"/>
  <c r="X775" i="8"/>
  <c r="Y477" i="8"/>
  <c r="AF478" i="8" s="1"/>
  <c r="X477" i="8"/>
  <c r="Y469" i="8"/>
  <c r="AF470" i="8" s="1"/>
  <c r="X469" i="8"/>
  <c r="Y461" i="8"/>
  <c r="AF462" i="8" s="1"/>
  <c r="X461" i="8"/>
  <c r="Y453" i="8"/>
  <c r="AF454" i="8" s="1"/>
  <c r="X453" i="8"/>
  <c r="Y437" i="8"/>
  <c r="AF438" i="8" s="1"/>
  <c r="X437" i="8"/>
  <c r="Y429" i="8"/>
  <c r="AF430" i="8" s="1"/>
  <c r="X429" i="8"/>
  <c r="Y491" i="8"/>
  <c r="AF492" i="8" s="1"/>
  <c r="X491" i="8"/>
  <c r="Y483" i="8"/>
  <c r="AF484" i="8" s="1"/>
  <c r="X483" i="8"/>
  <c r="Y475" i="8"/>
  <c r="AF476" i="8" s="1"/>
  <c r="X475" i="8"/>
  <c r="Y467" i="8"/>
  <c r="AF468" i="8" s="1"/>
  <c r="X467" i="8"/>
  <c r="Y455" i="8"/>
  <c r="AF456" i="8" s="1"/>
  <c r="X455" i="8"/>
  <c r="Y443" i="8"/>
  <c r="AF444" i="8" s="1"/>
  <c r="X443" i="8"/>
  <c r="Y435" i="8"/>
  <c r="AF436" i="8" s="1"/>
  <c r="X435" i="8"/>
  <c r="Y427" i="8"/>
  <c r="AF428" i="8" s="1"/>
  <c r="X427" i="8"/>
  <c r="Y62" i="8"/>
  <c r="AF63" i="8" s="1"/>
  <c r="X62" i="8"/>
  <c r="Y54" i="8"/>
  <c r="AF55" i="8" s="1"/>
  <c r="X54" i="8"/>
  <c r="Y46" i="8"/>
  <c r="AF47" i="8" s="1"/>
  <c r="X46" i="8"/>
  <c r="Y38" i="8"/>
  <c r="AF39" i="8" s="1"/>
  <c r="X38" i="8"/>
  <c r="Y743" i="8"/>
  <c r="AF744" i="8" s="1"/>
  <c r="X743" i="8"/>
  <c r="Y26" i="8"/>
  <c r="X26" i="8"/>
  <c r="Y51" i="8"/>
  <c r="AF52" i="8" s="1"/>
  <c r="X51" i="8"/>
  <c r="Y415" i="8"/>
  <c r="AF416" i="8" s="1"/>
  <c r="X415" i="8"/>
  <c r="Y395" i="8"/>
  <c r="AF396" i="8" s="1"/>
  <c r="X395" i="8"/>
  <c r="Y379" i="8"/>
  <c r="AF380" i="8" s="1"/>
  <c r="X379" i="8"/>
  <c r="Y367" i="8"/>
  <c r="AF368" i="8" s="1"/>
  <c r="X367" i="8"/>
  <c r="Y355" i="8"/>
  <c r="AF356" i="8" s="1"/>
  <c r="X355" i="8"/>
  <c r="Y347" i="8"/>
  <c r="AF348" i="8" s="1"/>
  <c r="X347" i="8"/>
  <c r="Y339" i="8"/>
  <c r="AF340" i="8" s="1"/>
  <c r="X339" i="8"/>
  <c r="Y331" i="8"/>
  <c r="AF332" i="8" s="1"/>
  <c r="X331" i="8"/>
  <c r="Y323" i="8"/>
  <c r="AF324" i="8" s="1"/>
  <c r="X323" i="8"/>
  <c r="Y315" i="8"/>
  <c r="AF316" i="8" s="1"/>
  <c r="X315" i="8"/>
  <c r="Y307" i="8"/>
  <c r="AF308" i="8" s="1"/>
  <c r="X307" i="8"/>
  <c r="Y295" i="8"/>
  <c r="AF296" i="8" s="1"/>
  <c r="X295" i="8"/>
  <c r="Y287" i="8"/>
  <c r="AF288" i="8" s="1"/>
  <c r="X287" i="8"/>
  <c r="Y275" i="8"/>
  <c r="AF276" i="8" s="1"/>
  <c r="X275" i="8"/>
  <c r="Y259" i="8"/>
  <c r="AF260" i="8" s="1"/>
  <c r="X259" i="8"/>
  <c r="Y251" i="8"/>
  <c r="AF252" i="8" s="1"/>
  <c r="X251" i="8"/>
  <c r="Y243" i="8"/>
  <c r="AF244" i="8" s="1"/>
  <c r="X243" i="8"/>
  <c r="Y235" i="8"/>
  <c r="AF236" i="8" s="1"/>
  <c r="X235" i="8"/>
  <c r="Y223" i="8"/>
  <c r="AF224" i="8" s="1"/>
  <c r="X223" i="8"/>
  <c r="Y215" i="8"/>
  <c r="AF216" i="8" s="1"/>
  <c r="X215" i="8"/>
  <c r="Y207" i="8"/>
  <c r="AF208" i="8" s="1"/>
  <c r="X207" i="8"/>
  <c r="Y199" i="8"/>
  <c r="AF200" i="8" s="1"/>
  <c r="X199" i="8"/>
  <c r="Y191" i="8"/>
  <c r="AF192" i="8" s="1"/>
  <c r="X191" i="8"/>
  <c r="Y183" i="8"/>
  <c r="AF184" i="8" s="1"/>
  <c r="X183" i="8"/>
  <c r="Y175" i="8"/>
  <c r="AF176" i="8" s="1"/>
  <c r="X175" i="8"/>
  <c r="Y163" i="8"/>
  <c r="AF164" i="8" s="1"/>
  <c r="X163" i="8"/>
  <c r="Y155" i="8"/>
  <c r="AF156" i="8" s="1"/>
  <c r="X155" i="8"/>
  <c r="AF148" i="8"/>
  <c r="Y147" i="8"/>
  <c r="X147" i="8"/>
  <c r="Y131" i="8"/>
  <c r="AF132" i="8" s="1"/>
  <c r="X131" i="8"/>
  <c r="Y264" i="8"/>
  <c r="AF265" i="8" s="1"/>
  <c r="X264" i="8"/>
  <c r="Y248" i="8"/>
  <c r="AF249" i="8" s="1"/>
  <c r="X248" i="8"/>
  <c r="Y232" i="8"/>
  <c r="AF233" i="8" s="1"/>
  <c r="X232" i="8"/>
  <c r="Y216" i="8"/>
  <c r="AF217" i="8" s="1"/>
  <c r="X216" i="8"/>
  <c r="Y188" i="8"/>
  <c r="AF189" i="8" s="1"/>
  <c r="X188" i="8"/>
  <c r="Y128" i="8"/>
  <c r="AF129" i="8" s="1"/>
  <c r="X128" i="8"/>
  <c r="Y120" i="8"/>
  <c r="AF121" i="8" s="1"/>
  <c r="X120" i="8"/>
  <c r="Y112" i="8"/>
  <c r="AF113" i="8" s="1"/>
  <c r="X112" i="8"/>
  <c r="Y104" i="8"/>
  <c r="AF105" i="8" s="1"/>
  <c r="X104" i="8"/>
  <c r="Y96" i="8"/>
  <c r="AF97" i="8" s="1"/>
  <c r="X96" i="8"/>
  <c r="Y348" i="8"/>
  <c r="AF349" i="8" s="1"/>
  <c r="X348" i="8"/>
  <c r="Y320" i="8"/>
  <c r="AF321" i="8" s="1"/>
  <c r="X320" i="8"/>
  <c r="Y312" i="8"/>
  <c r="AF313" i="8" s="1"/>
  <c r="X312" i="8"/>
  <c r="Y304" i="8"/>
  <c r="AF305" i="8" s="1"/>
  <c r="X304" i="8"/>
  <c r="Y296" i="8"/>
  <c r="AF297" i="8" s="1"/>
  <c r="X296" i="8"/>
  <c r="Y288" i="8"/>
  <c r="AF289" i="8" s="1"/>
  <c r="X288" i="8"/>
  <c r="Y280" i="8"/>
  <c r="AF281" i="8" s="1"/>
  <c r="X280" i="8"/>
  <c r="Y391" i="8"/>
  <c r="AF392" i="8" s="1"/>
  <c r="X391" i="8"/>
  <c r="Y951" i="8"/>
  <c r="AF952" i="8" s="1"/>
  <c r="X951" i="8"/>
  <c r="Y943" i="8"/>
  <c r="AF944" i="8" s="1"/>
  <c r="X943" i="8"/>
  <c r="Y935" i="8"/>
  <c r="AF936" i="8" s="1"/>
  <c r="X935" i="8"/>
  <c r="Y927" i="8"/>
  <c r="AF928" i="8" s="1"/>
  <c r="X927" i="8"/>
  <c r="AF920" i="8"/>
  <c r="Y919" i="8"/>
  <c r="X919" i="8"/>
  <c r="Y911" i="8"/>
  <c r="AF912" i="8" s="1"/>
  <c r="X911" i="8"/>
  <c r="Y903" i="8"/>
  <c r="AF904" i="8" s="1"/>
  <c r="X903" i="8"/>
  <c r="Y895" i="8"/>
  <c r="AF896" i="8" s="1"/>
  <c r="X895" i="8"/>
  <c r="Y985" i="8"/>
  <c r="AF986" i="8" s="1"/>
  <c r="X985" i="8"/>
  <c r="Y977" i="8"/>
  <c r="AF978" i="8" s="1"/>
  <c r="X977" i="8"/>
  <c r="Y573" i="8"/>
  <c r="AF574" i="8" s="1"/>
  <c r="X573" i="8"/>
  <c r="Y679" i="8"/>
  <c r="AF680" i="8" s="1"/>
  <c r="X679" i="8"/>
  <c r="Y335" i="8"/>
  <c r="AF336" i="8" s="1"/>
  <c r="X335" i="8"/>
  <c r="Y203" i="8"/>
  <c r="AF204" i="8" s="1"/>
  <c r="X203" i="8"/>
  <c r="X4" i="8"/>
  <c r="Y4" i="8" s="1"/>
  <c r="X1001" i="8"/>
  <c r="Y1001" i="8"/>
  <c r="X5" i="8"/>
  <c r="Y5" i="8" s="1"/>
  <c r="AC5" i="8" s="1"/>
  <c r="X217" i="8"/>
  <c r="Y217" i="8"/>
  <c r="AF218" i="8" s="1"/>
  <c r="X209" i="8"/>
  <c r="Y209" i="8"/>
  <c r="AF210" i="8" s="1"/>
  <c r="X201" i="8"/>
  <c r="Y201" i="8"/>
  <c r="AF202" i="8" s="1"/>
  <c r="X193" i="8"/>
  <c r="Y193" i="8"/>
  <c r="AF194" i="8" s="1"/>
  <c r="X695" i="8"/>
  <c r="Y695" i="8"/>
  <c r="AF696" i="8" s="1"/>
  <c r="X711" i="8"/>
  <c r="Y711" i="8"/>
  <c r="AF712" i="8" s="1"/>
  <c r="X30" i="8"/>
  <c r="Y30" i="8" s="1"/>
  <c r="X727" i="8"/>
  <c r="Y727" i="8"/>
  <c r="AF728" i="8" s="1"/>
  <c r="X821" i="8"/>
  <c r="Y821" i="8"/>
  <c r="AF822" i="8" s="1"/>
  <c r="X789" i="8"/>
  <c r="Y789" i="8"/>
  <c r="AF790" i="8" s="1"/>
  <c r="X757" i="8"/>
  <c r="Y757" i="8"/>
  <c r="AF758" i="8" s="1"/>
  <c r="X663" i="8"/>
  <c r="Y663" i="8"/>
  <c r="AF664" i="8" s="1"/>
  <c r="X825" i="8"/>
  <c r="Y825" i="8"/>
  <c r="AF826" i="8" s="1"/>
  <c r="X793" i="8"/>
  <c r="Y793" i="8"/>
  <c r="AF794" i="8" s="1"/>
  <c r="X745" i="8"/>
  <c r="Y745" i="8"/>
  <c r="AF746" i="8" s="1"/>
  <c r="X697" i="8"/>
  <c r="Y697" i="8"/>
  <c r="AF698" i="8" s="1"/>
  <c r="X649" i="8"/>
  <c r="Y649" i="8"/>
  <c r="AF650" i="8" s="1"/>
  <c r="X833" i="8"/>
  <c r="Y833" i="8"/>
  <c r="AF834" i="8" s="1"/>
  <c r="X801" i="8"/>
  <c r="Y801" i="8"/>
  <c r="AF802" i="8" s="1"/>
  <c r="X769" i="8"/>
  <c r="Y769" i="8"/>
  <c r="AF770" i="8" s="1"/>
  <c r="X737" i="8"/>
  <c r="Y737" i="8"/>
  <c r="AF738" i="8" s="1"/>
  <c r="X705" i="8"/>
  <c r="Y705" i="8"/>
  <c r="AF706" i="8" s="1"/>
  <c r="X69" i="8"/>
  <c r="Y69" i="8"/>
  <c r="AF70" i="8" s="1"/>
  <c r="X665" i="8"/>
  <c r="Y665" i="8"/>
  <c r="AF666" i="8" s="1"/>
  <c r="X159" i="8"/>
  <c r="Y159" i="8"/>
  <c r="AF160" i="8" s="1"/>
  <c r="X139" i="8"/>
  <c r="Y139" i="8"/>
  <c r="AF140" i="8" s="1"/>
  <c r="X99" i="8"/>
  <c r="Y99" i="8"/>
  <c r="AF100" i="8" s="1"/>
  <c r="X91" i="8"/>
  <c r="Y91" i="8"/>
  <c r="AF92" i="8" s="1"/>
  <c r="X83" i="8"/>
  <c r="Y83" i="8"/>
  <c r="AF84" i="8" s="1"/>
  <c r="X75" i="8"/>
  <c r="Y75" i="8"/>
  <c r="AF76" i="8" s="1"/>
  <c r="X15" i="8"/>
  <c r="Y15" i="8"/>
  <c r="X421" i="8"/>
  <c r="Y421" i="8"/>
  <c r="AF422" i="8" s="1"/>
  <c r="X413" i="8"/>
  <c r="Y413" i="8"/>
  <c r="AF414" i="8" s="1"/>
  <c r="X405" i="8"/>
  <c r="Y405" i="8"/>
  <c r="AF406" i="8" s="1"/>
  <c r="X397" i="8"/>
  <c r="Y397" i="8"/>
  <c r="AF398" i="8" s="1"/>
  <c r="X345" i="8"/>
  <c r="Y345" i="8"/>
  <c r="AF346" i="8" s="1"/>
  <c r="X337" i="8"/>
  <c r="Y337" i="8"/>
  <c r="AF338" i="8" s="1"/>
  <c r="X329" i="8"/>
  <c r="Y329" i="8"/>
  <c r="AF330" i="8" s="1"/>
  <c r="X321" i="8"/>
  <c r="Y321" i="8"/>
  <c r="AF322" i="8" s="1"/>
  <c r="X277" i="8"/>
  <c r="Y277" i="8"/>
  <c r="AF278" i="8" s="1"/>
  <c r="X269" i="8"/>
  <c r="Y269" i="8"/>
  <c r="AF270" i="8" s="1"/>
  <c r="X261" i="8"/>
  <c r="Y261" i="8"/>
  <c r="AF262" i="8" s="1"/>
  <c r="X253" i="8"/>
  <c r="Y253" i="8"/>
  <c r="AF254" i="8" s="1"/>
  <c r="X185" i="8"/>
  <c r="Y185" i="8"/>
  <c r="AF186" i="8" s="1"/>
  <c r="X177" i="8"/>
  <c r="Y177" i="8"/>
  <c r="AF178" i="8" s="1"/>
  <c r="X169" i="8"/>
  <c r="Y169" i="8"/>
  <c r="AF170" i="8" s="1"/>
  <c r="X161" i="8"/>
  <c r="Y161" i="8"/>
  <c r="AF162" i="8" s="1"/>
  <c r="X153" i="8"/>
  <c r="Y153" i="8"/>
  <c r="AF154" i="8" s="1"/>
  <c r="X145" i="8"/>
  <c r="Y145" i="8"/>
  <c r="AF146" i="8" s="1"/>
  <c r="X137" i="8"/>
  <c r="Y137" i="8"/>
  <c r="AF138" i="8" s="1"/>
  <c r="X129" i="8"/>
  <c r="Y129" i="8"/>
  <c r="AF130" i="8" s="1"/>
  <c r="X693" i="8"/>
  <c r="Y693" i="8"/>
  <c r="AF694" i="8" s="1"/>
  <c r="X661" i="8"/>
  <c r="Y661" i="8"/>
  <c r="AF662" i="8" s="1"/>
  <c r="X73" i="8"/>
  <c r="Y73" i="8"/>
  <c r="AF74" i="8" s="1"/>
  <c r="X61" i="8"/>
  <c r="Y61" i="8"/>
  <c r="AF62" i="8" s="1"/>
  <c r="X53" i="8"/>
  <c r="Y53" i="8"/>
  <c r="AF54" i="8" s="1"/>
  <c r="X45" i="8"/>
  <c r="Y45" i="8"/>
  <c r="AF46" i="8" s="1"/>
  <c r="X37" i="8"/>
  <c r="Y37" i="8"/>
  <c r="AF38" i="8" s="1"/>
  <c r="X29" i="8"/>
  <c r="Y29" i="8"/>
  <c r="X21" i="8"/>
  <c r="Y21" i="8" s="1"/>
  <c r="X845" i="8"/>
  <c r="Y845" i="8"/>
  <c r="AF846" i="8" s="1"/>
  <c r="X813" i="8"/>
  <c r="Y813" i="8"/>
  <c r="AF814" i="8" s="1"/>
  <c r="X781" i="8"/>
  <c r="Y781" i="8"/>
  <c r="AF782" i="8" s="1"/>
  <c r="X749" i="8"/>
  <c r="Y749" i="8"/>
  <c r="AF750" i="8" s="1"/>
  <c r="X717" i="8"/>
  <c r="Y717" i="8"/>
  <c r="AF718" i="8" s="1"/>
  <c r="X685" i="8"/>
  <c r="Y685" i="8"/>
  <c r="AF686" i="8" s="1"/>
  <c r="X653" i="8"/>
  <c r="Y653" i="8"/>
  <c r="AF654" i="8" s="1"/>
  <c r="X105" i="8"/>
  <c r="Y105" i="8"/>
  <c r="AF106" i="8" s="1"/>
  <c r="X657" i="8"/>
  <c r="Y657" i="8"/>
  <c r="AF658" i="8" s="1"/>
  <c r="X267" i="8"/>
  <c r="Y267" i="8"/>
  <c r="AF268" i="8" s="1"/>
  <c r="X103" i="8"/>
  <c r="Y103" i="8"/>
  <c r="AF104" i="8" s="1"/>
  <c r="X349" i="8"/>
  <c r="Y349" i="8"/>
  <c r="AF350" i="8" s="1"/>
  <c r="X189" i="8"/>
  <c r="Y189" i="8"/>
  <c r="AF190" i="8" s="1"/>
  <c r="AF25" i="8" l="1"/>
  <c r="AC24" i="8"/>
  <c r="AF21" i="8"/>
  <c r="AC20" i="8"/>
  <c r="AF17" i="8"/>
  <c r="AC16" i="8"/>
  <c r="AF29" i="8"/>
  <c r="AC28" i="8"/>
  <c r="AF22" i="8"/>
  <c r="AC21" i="8"/>
  <c r="AF31" i="8"/>
  <c r="AC30" i="8"/>
  <c r="AF30" i="8"/>
  <c r="AC29" i="8"/>
  <c r="AF16" i="8"/>
  <c r="AC15" i="8"/>
  <c r="AF27" i="8"/>
  <c r="AC26" i="8"/>
  <c r="AC9" i="8"/>
  <c r="AF10" i="8"/>
  <c r="AF6" i="8"/>
  <c r="AC4" i="8"/>
  <c r="AF5" i="8"/>
  <c r="AC11" i="8"/>
  <c r="AF12" i="8"/>
  <c r="AF14" i="8"/>
  <c r="AC13" i="8"/>
  <c r="Y800" i="8"/>
  <c r="AF801" i="8" s="1"/>
  <c r="X800" i="8"/>
  <c r="Y716" i="8"/>
  <c r="AF717" i="8" s="1"/>
  <c r="X716" i="8"/>
  <c r="Y715" i="8"/>
  <c r="AF716" i="8" s="1"/>
  <c r="X715" i="8"/>
  <c r="Y901" i="8"/>
  <c r="AF902" i="8" s="1"/>
  <c r="X901" i="8"/>
  <c r="Y877" i="8"/>
  <c r="AF878" i="8" s="1"/>
  <c r="X877" i="8"/>
  <c r="Y853" i="8"/>
  <c r="AF854" i="8" s="1"/>
  <c r="X853" i="8"/>
  <c r="Y629" i="8"/>
  <c r="AF630" i="8" s="1"/>
  <c r="X629" i="8"/>
  <c r="Y605" i="8"/>
  <c r="AF606" i="8" s="1"/>
  <c r="X605" i="8"/>
  <c r="Y581" i="8"/>
  <c r="AF582" i="8" s="1"/>
  <c r="X581" i="8"/>
  <c r="Y505" i="8"/>
  <c r="AF506" i="8" s="1"/>
  <c r="X505" i="8"/>
  <c r="Y481" i="8"/>
  <c r="AF482" i="8" s="1"/>
  <c r="X481" i="8"/>
  <c r="Y457" i="8"/>
  <c r="AF458" i="8" s="1"/>
  <c r="X457" i="8"/>
  <c r="Y431" i="8"/>
  <c r="AF432" i="8" s="1"/>
  <c r="X431" i="8"/>
  <c r="Y50" i="8"/>
  <c r="AF51" i="8" s="1"/>
  <c r="X50" i="8"/>
  <c r="Y359" i="8"/>
  <c r="AF360" i="8" s="1"/>
  <c r="X359" i="8"/>
  <c r="Y291" i="8"/>
  <c r="AF292" i="8" s="1"/>
  <c r="X291" i="8"/>
  <c r="Y227" i="8"/>
  <c r="AF228" i="8" s="1"/>
  <c r="X227" i="8"/>
  <c r="Y164" i="8"/>
  <c r="AF165" i="8" s="1"/>
  <c r="X164" i="8"/>
  <c r="Y132" i="8"/>
  <c r="AF133" i="8" s="1"/>
  <c r="X132" i="8"/>
  <c r="Y983" i="8"/>
  <c r="AF984" i="8" s="1"/>
  <c r="X983" i="8"/>
  <c r="Y955" i="8"/>
  <c r="AF956" i="8" s="1"/>
  <c r="X955" i="8"/>
  <c r="Y237" i="8"/>
  <c r="AF238" i="8" s="1"/>
  <c r="X237" i="8"/>
  <c r="Y213" i="8"/>
  <c r="AF214" i="8" s="1"/>
  <c r="X213" i="8"/>
  <c r="Y181" i="8"/>
  <c r="AF182" i="8" s="1"/>
  <c r="X181" i="8"/>
  <c r="Y157" i="8"/>
  <c r="AF158" i="8" s="1"/>
  <c r="X157" i="8"/>
  <c r="Y133" i="8"/>
  <c r="AF134" i="8" s="1"/>
  <c r="X133" i="8"/>
  <c r="Y647" i="8"/>
  <c r="AF648" i="8" s="1"/>
  <c r="X647" i="8"/>
  <c r="Y805" i="8"/>
  <c r="AF806" i="8" s="1"/>
  <c r="X805" i="8"/>
  <c r="Y709" i="8"/>
  <c r="AF710" i="8" s="1"/>
  <c r="X709" i="8"/>
  <c r="Y65" i="8"/>
  <c r="AF66" i="8" s="1"/>
  <c r="X65" i="8"/>
  <c r="Y41" i="8"/>
  <c r="AF42" i="8" s="1"/>
  <c r="X41" i="8"/>
  <c r="Y17" i="8"/>
  <c r="X17" i="8"/>
  <c r="Y765" i="8"/>
  <c r="AF766" i="8" s="1"/>
  <c r="X765" i="8"/>
  <c r="Y729" i="8"/>
  <c r="AF730" i="8" s="1"/>
  <c r="X729" i="8"/>
  <c r="Y89" i="8"/>
  <c r="AF90" i="8" s="1"/>
  <c r="X89" i="8"/>
  <c r="Y71" i="8"/>
  <c r="AF72" i="8" s="1"/>
  <c r="X71" i="8"/>
  <c r="X31" i="8"/>
  <c r="Y31" i="8" s="1"/>
  <c r="Y233" i="8"/>
  <c r="AF234" i="8" s="1"/>
  <c r="X233" i="8"/>
  <c r="Y841" i="8"/>
  <c r="AF842" i="8" s="1"/>
  <c r="X841" i="8"/>
  <c r="Y681" i="8"/>
  <c r="AF682" i="8" s="1"/>
  <c r="X681" i="8"/>
  <c r="Y753" i="8"/>
  <c r="AF754" i="8" s="1"/>
  <c r="X753" i="8"/>
  <c r="Y117" i="8"/>
  <c r="AF118" i="8" s="1"/>
  <c r="X117" i="8"/>
  <c r="Y81" i="8"/>
  <c r="AF82" i="8" s="1"/>
  <c r="X81" i="8"/>
  <c r="Y93" i="8"/>
  <c r="AF94" i="8" s="1"/>
  <c r="X93" i="8"/>
  <c r="Y123" i="8"/>
  <c r="AF124" i="8" s="1"/>
  <c r="X123" i="8"/>
  <c r="Y63" i="8"/>
  <c r="AF64" i="8" s="1"/>
  <c r="X63" i="8"/>
  <c r="Y393" i="8"/>
  <c r="AF394" i="8" s="1"/>
  <c r="X393" i="8"/>
  <c r="Y361" i="8"/>
  <c r="AF362" i="8" s="1"/>
  <c r="X361" i="8"/>
  <c r="Y293" i="8"/>
  <c r="AF294" i="8" s="1"/>
  <c r="X293" i="8"/>
  <c r="Y225" i="8"/>
  <c r="AF226" i="8" s="1"/>
  <c r="X225" i="8"/>
  <c r="X14" i="8"/>
  <c r="Y14" i="8" s="1"/>
  <c r="Y928" i="8"/>
  <c r="AF929" i="8" s="1"/>
  <c r="X928" i="8"/>
  <c r="Y676" i="8"/>
  <c r="AF677" i="8" s="1"/>
  <c r="X676" i="8"/>
  <c r="Y684" i="8"/>
  <c r="AF685" i="8" s="1"/>
  <c r="X684" i="8"/>
  <c r="Y683" i="8"/>
  <c r="AF684" i="8" s="1"/>
  <c r="X683" i="8"/>
  <c r="Y893" i="8"/>
  <c r="AF894" i="8" s="1"/>
  <c r="X893" i="8"/>
  <c r="Y869" i="8"/>
  <c r="AF870" i="8" s="1"/>
  <c r="X869" i="8"/>
  <c r="Y637" i="8"/>
  <c r="AF638" i="8" s="1"/>
  <c r="X637" i="8"/>
  <c r="Y613" i="8"/>
  <c r="AF614" i="8" s="1"/>
  <c r="X613" i="8"/>
  <c r="Y589" i="8"/>
  <c r="AF590" i="8" s="1"/>
  <c r="X589" i="8"/>
  <c r="Y497" i="8"/>
  <c r="AF498" i="8" s="1"/>
  <c r="X497" i="8"/>
  <c r="Y473" i="8"/>
  <c r="AF474" i="8" s="1"/>
  <c r="X473" i="8"/>
  <c r="Y449" i="8"/>
  <c r="AF450" i="8" s="1"/>
  <c r="X449" i="8"/>
  <c r="Y411" i="8"/>
  <c r="AF412" i="8" s="1"/>
  <c r="X411" i="8"/>
  <c r="Y42" i="8"/>
  <c r="AF43" i="8" s="1"/>
  <c r="X42" i="8"/>
  <c r="Y351" i="8"/>
  <c r="AF352" i="8" s="1"/>
  <c r="X351" i="8"/>
  <c r="Y279" i="8"/>
  <c r="AF280" i="8" s="1"/>
  <c r="X279" i="8"/>
  <c r="Y219" i="8"/>
  <c r="AF220" i="8" s="1"/>
  <c r="X219" i="8"/>
  <c r="Y156" i="8"/>
  <c r="AF157" i="8" s="1"/>
  <c r="X156" i="8"/>
  <c r="Y340" i="8"/>
  <c r="AF341" i="8" s="1"/>
  <c r="X340" i="8"/>
  <c r="Y975" i="8"/>
  <c r="AF976" i="8" s="1"/>
  <c r="X975" i="8"/>
  <c r="Y887" i="8"/>
  <c r="AF888" i="8" s="1"/>
  <c r="X887" i="8"/>
  <c r="Y229" i="8"/>
  <c r="AF230" i="8" s="1"/>
  <c r="X229" i="8"/>
  <c r="Y205" i="8"/>
  <c r="AF206" i="8" s="1"/>
  <c r="X205" i="8"/>
  <c r="Y173" i="8"/>
  <c r="AF174" i="8" s="1"/>
  <c r="X173" i="8"/>
  <c r="Y149" i="8"/>
  <c r="AF150" i="8" s="1"/>
  <c r="X149" i="8"/>
  <c r="Y121" i="8"/>
  <c r="AF122" i="8" s="1"/>
  <c r="X121" i="8"/>
  <c r="X22" i="8"/>
  <c r="Y22" i="8" s="1"/>
  <c r="Y773" i="8"/>
  <c r="AF774" i="8" s="1"/>
  <c r="X773" i="8"/>
  <c r="Y677" i="8"/>
  <c r="AF678" i="8" s="1"/>
  <c r="X677" i="8"/>
  <c r="Y57" i="8"/>
  <c r="AF58" i="8" s="1"/>
  <c r="X57" i="8"/>
  <c r="Y33" i="8"/>
  <c r="AF34" i="8" s="1"/>
  <c r="X33" i="8"/>
  <c r="Y829" i="8"/>
  <c r="AF830" i="8" s="1"/>
  <c r="X829" i="8"/>
  <c r="Y733" i="8"/>
  <c r="AF734" i="8" s="1"/>
  <c r="X733" i="8"/>
  <c r="Y785" i="8"/>
  <c r="AF786" i="8" s="1"/>
  <c r="X785" i="8"/>
  <c r="Y113" i="8"/>
  <c r="AF114" i="8" s="1"/>
  <c r="X113" i="8"/>
  <c r="Y369" i="8"/>
  <c r="AF370" i="8" s="1"/>
  <c r="X369" i="8"/>
  <c r="Y809" i="8"/>
  <c r="AF810" i="8" s="1"/>
  <c r="X809" i="8"/>
  <c r="Y283" i="8"/>
  <c r="AF284" i="8" s="1"/>
  <c r="X283" i="8"/>
  <c r="Y721" i="8"/>
  <c r="AF722" i="8" s="1"/>
  <c r="X721" i="8"/>
  <c r="Y109" i="8"/>
  <c r="AF110" i="8" s="1"/>
  <c r="X109" i="8"/>
  <c r="Y85" i="8"/>
  <c r="AF86" i="8" s="1"/>
  <c r="X85" i="8"/>
  <c r="Y761" i="8"/>
  <c r="AF762" i="8" s="1"/>
  <c r="X761" i="8"/>
  <c r="Y115" i="8"/>
  <c r="AF116" i="8" s="1"/>
  <c r="X115" i="8"/>
  <c r="Y55" i="8"/>
  <c r="AF56" i="8" s="1"/>
  <c r="X55" i="8"/>
  <c r="Y385" i="8"/>
  <c r="AF386" i="8" s="1"/>
  <c r="X385" i="8"/>
  <c r="Y353" i="8"/>
  <c r="AF354" i="8" s="1"/>
  <c r="X353" i="8"/>
  <c r="Y249" i="8"/>
  <c r="AF250" i="8" s="1"/>
  <c r="X249" i="8"/>
  <c r="X759" i="8"/>
  <c r="Y759" i="8"/>
  <c r="AF760" i="8" s="1"/>
  <c r="X708" i="8"/>
  <c r="Y708" i="8"/>
  <c r="AF709" i="8" s="1"/>
  <c r="X747" i="8"/>
  <c r="Y747" i="8"/>
  <c r="AF748" i="8" s="1"/>
  <c r="X651" i="8"/>
  <c r="Y651" i="8"/>
  <c r="AF652" i="8" s="1"/>
  <c r="X885" i="8"/>
  <c r="Y885" i="8"/>
  <c r="AF886" i="8" s="1"/>
  <c r="X861" i="8"/>
  <c r="Y861" i="8"/>
  <c r="AF862" i="8" s="1"/>
  <c r="X645" i="8"/>
  <c r="Y645" i="8"/>
  <c r="AF646" i="8" s="1"/>
  <c r="X621" i="8"/>
  <c r="Y621" i="8"/>
  <c r="AF622" i="8" s="1"/>
  <c r="X597" i="8"/>
  <c r="Y597" i="8"/>
  <c r="AF598" i="8" s="1"/>
  <c r="X489" i="8"/>
  <c r="Y489" i="8"/>
  <c r="AF490" i="8" s="1"/>
  <c r="X465" i="8"/>
  <c r="Y465" i="8"/>
  <c r="AF466" i="8" s="1"/>
  <c r="X439" i="8"/>
  <c r="Y439" i="8"/>
  <c r="AF440" i="8" s="1"/>
  <c r="X58" i="8"/>
  <c r="Y58" i="8"/>
  <c r="AF59" i="8" s="1"/>
  <c r="X34" i="8"/>
  <c r="Y34" i="8"/>
  <c r="AF35" i="8" s="1"/>
  <c r="X343" i="8"/>
  <c r="Y343" i="8"/>
  <c r="AF344" i="8" s="1"/>
  <c r="X271" i="8"/>
  <c r="Y271" i="8"/>
  <c r="AF272" i="8" s="1"/>
  <c r="X211" i="8"/>
  <c r="Y211" i="8"/>
  <c r="AF212" i="8" s="1"/>
  <c r="X140" i="8"/>
  <c r="Y140" i="8"/>
  <c r="AF141" i="8" s="1"/>
  <c r="X332" i="8"/>
  <c r="Y332" i="8"/>
  <c r="AF333" i="8" s="1"/>
  <c r="X963" i="8"/>
  <c r="Y963" i="8"/>
  <c r="AF964" i="8" s="1"/>
  <c r="X879" i="8"/>
  <c r="Y879" i="8"/>
  <c r="AF880" i="8" s="1"/>
  <c r="X221" i="8"/>
  <c r="Y221" i="8"/>
  <c r="AF222" i="8" s="1"/>
  <c r="X197" i="8"/>
  <c r="Y197" i="8"/>
  <c r="AF198" i="8" s="1"/>
  <c r="X165" i="8"/>
  <c r="Y165" i="8"/>
  <c r="AF166" i="8" s="1"/>
  <c r="X141" i="8"/>
  <c r="Y141" i="8"/>
  <c r="AF142" i="8" s="1"/>
  <c r="X631" i="8"/>
  <c r="Y631" i="8"/>
  <c r="AF632" i="8" s="1"/>
  <c r="X837" i="8"/>
  <c r="Y837" i="8"/>
  <c r="AF838" i="8" s="1"/>
  <c r="X741" i="8"/>
  <c r="Y741" i="8"/>
  <c r="AF742" i="8" s="1"/>
  <c r="X77" i="8"/>
  <c r="Y77" i="8"/>
  <c r="AF78" i="8" s="1"/>
  <c r="X49" i="8"/>
  <c r="Y49" i="8"/>
  <c r="AF50" i="8" s="1"/>
  <c r="X25" i="8"/>
  <c r="Y25" i="8"/>
  <c r="X797" i="8"/>
  <c r="Y797" i="8"/>
  <c r="AF798" i="8" s="1"/>
  <c r="Y669" i="8"/>
  <c r="AF670" i="8" s="1"/>
  <c r="X669" i="8"/>
  <c r="Y713" i="8"/>
  <c r="AF714" i="8" s="1"/>
  <c r="X713" i="8"/>
  <c r="Y151" i="8"/>
  <c r="AF152" i="8" s="1"/>
  <c r="X151" i="8"/>
  <c r="Y301" i="8"/>
  <c r="AF302" i="8" s="1"/>
  <c r="X301" i="8"/>
  <c r="X8" i="8"/>
  <c r="Y8" i="8"/>
  <c r="AC8" i="8" s="1"/>
  <c r="X701" i="8"/>
  <c r="Y701" i="8"/>
  <c r="AF702" i="8" s="1"/>
  <c r="Y777" i="8"/>
  <c r="AF778" i="8" s="1"/>
  <c r="X777" i="8"/>
  <c r="Y817" i="8"/>
  <c r="AF818" i="8" s="1"/>
  <c r="X817" i="8"/>
  <c r="Y689" i="8"/>
  <c r="AF690" i="8" s="1"/>
  <c r="X689" i="8"/>
  <c r="Y97" i="8"/>
  <c r="AF98" i="8" s="1"/>
  <c r="X97" i="8"/>
  <c r="Y673" i="8"/>
  <c r="AF674" i="8" s="1"/>
  <c r="X673" i="8"/>
  <c r="Y171" i="8"/>
  <c r="AF172" i="8" s="1"/>
  <c r="X171" i="8"/>
  <c r="Y107" i="8"/>
  <c r="AF108" i="8" s="1"/>
  <c r="X107" i="8"/>
  <c r="Y39" i="8"/>
  <c r="AF40" i="8" s="1"/>
  <c r="X39" i="8"/>
  <c r="Y377" i="8"/>
  <c r="AF378" i="8" s="1"/>
  <c r="X377" i="8"/>
  <c r="Y309" i="8"/>
  <c r="AF310" i="8" s="1"/>
  <c r="X309" i="8"/>
  <c r="Y241" i="8"/>
  <c r="AF242" i="8" s="1"/>
  <c r="X241" i="8"/>
  <c r="X10" i="8"/>
  <c r="Y10" i="8" s="1"/>
  <c r="AF11" i="8" s="1"/>
  <c r="X6" i="8"/>
  <c r="Y6" i="8" s="1"/>
  <c r="AC6" i="8" s="1"/>
  <c r="X851" i="8"/>
  <c r="Y851" i="8"/>
  <c r="AF852" i="8" s="1"/>
  <c r="X843" i="8"/>
  <c r="Y843" i="8"/>
  <c r="AF844" i="8" s="1"/>
  <c r="X835" i="8"/>
  <c r="Y835" i="8"/>
  <c r="AF836" i="8" s="1"/>
  <c r="X827" i="8"/>
  <c r="Y827" i="8"/>
  <c r="AF828" i="8" s="1"/>
  <c r="X819" i="8"/>
  <c r="Y819" i="8"/>
  <c r="AF820" i="8" s="1"/>
  <c r="X811" i="8"/>
  <c r="Y811" i="8"/>
  <c r="AF812" i="8" s="1"/>
  <c r="X803" i="8"/>
  <c r="Y803" i="8"/>
  <c r="AF804" i="8" s="1"/>
  <c r="X795" i="8"/>
  <c r="Y795" i="8"/>
  <c r="AF796" i="8" s="1"/>
  <c r="X12" i="8"/>
  <c r="Y12" i="8" s="1"/>
  <c r="AC12" i="8" s="1"/>
  <c r="X787" i="8"/>
  <c r="Y787" i="8"/>
  <c r="AF788" i="8"/>
  <c r="X565" i="8"/>
  <c r="Y565" i="8"/>
  <c r="AF566" i="8" s="1"/>
  <c r="X557" i="8"/>
  <c r="Y557" i="8"/>
  <c r="AF558" i="8" s="1"/>
  <c r="X549" i="8"/>
  <c r="Y549" i="8"/>
  <c r="AF550" i="8" s="1"/>
  <c r="X541" i="8"/>
  <c r="Y541" i="8"/>
  <c r="AF542" i="8" s="1"/>
  <c r="X533" i="8"/>
  <c r="Y533" i="8"/>
  <c r="AF534" i="8" s="1"/>
  <c r="X525" i="8"/>
  <c r="Y525" i="8"/>
  <c r="AF526" i="8" s="1"/>
  <c r="X517" i="8"/>
  <c r="Y517" i="8"/>
  <c r="AF518" i="8" s="1"/>
  <c r="X509" i="8"/>
  <c r="Y509" i="8"/>
  <c r="AF510" i="8" s="1"/>
  <c r="X441" i="8"/>
  <c r="Y441" i="8"/>
  <c r="AF442" i="8" s="1"/>
  <c r="X433" i="8"/>
  <c r="Y433" i="8"/>
  <c r="AF434" i="8" s="1"/>
  <c r="X419" i="8"/>
  <c r="Y419" i="8"/>
  <c r="AF420" i="8" s="1"/>
  <c r="X487" i="8"/>
  <c r="Y487" i="8"/>
  <c r="AF488" i="8" s="1"/>
  <c r="X479" i="8"/>
  <c r="Y479" i="8"/>
  <c r="AF480" i="8" s="1"/>
  <c r="X471" i="8"/>
  <c r="Y471" i="8"/>
  <c r="AF472" i="8" s="1"/>
  <c r="X463" i="8"/>
  <c r="Y463" i="8"/>
  <c r="AF464" i="8" s="1"/>
  <c r="X451" i="8"/>
  <c r="Y451" i="8"/>
  <c r="AF452" i="8" s="1"/>
  <c r="X47" i="8"/>
  <c r="Y47" i="8"/>
  <c r="AF48" i="8" s="1"/>
  <c r="X18" i="8"/>
  <c r="Y18" i="8"/>
  <c r="X403" i="8"/>
  <c r="Y403" i="8"/>
  <c r="AF404" i="8" s="1"/>
  <c r="X387" i="8"/>
  <c r="Y387" i="8"/>
  <c r="AF388" i="8" s="1"/>
  <c r="X371" i="8"/>
  <c r="Y371" i="8"/>
  <c r="AF372" i="8" s="1"/>
  <c r="X363" i="8"/>
  <c r="Y363" i="8"/>
  <c r="AF364" i="8" s="1"/>
  <c r="X327" i="8"/>
  <c r="Y327" i="8"/>
  <c r="AF328" i="8" s="1"/>
  <c r="X319" i="8"/>
  <c r="Y319" i="8"/>
  <c r="AF320" i="8" s="1"/>
  <c r="X311" i="8"/>
  <c r="Y311" i="8"/>
  <c r="AF312" i="8" s="1"/>
  <c r="X303" i="8"/>
  <c r="Y303" i="8"/>
  <c r="AF304" i="8" s="1"/>
  <c r="X263" i="8"/>
  <c r="Y263" i="8"/>
  <c r="AF264" i="8" s="1"/>
  <c r="X255" i="8"/>
  <c r="Y255" i="8"/>
  <c r="AF256" i="8" s="1"/>
  <c r="X247" i="8"/>
  <c r="Y247" i="8"/>
  <c r="AF248" i="8" s="1"/>
  <c r="X239" i="8"/>
  <c r="Y239" i="8"/>
  <c r="AF240" i="8" s="1"/>
  <c r="X231" i="8"/>
  <c r="Y231" i="8"/>
  <c r="AF232" i="8" s="1"/>
  <c r="X195" i="8"/>
  <c r="Y195" i="8"/>
  <c r="AF196" i="8" s="1"/>
  <c r="X187" i="8"/>
  <c r="Y187" i="8"/>
  <c r="AF188" i="8" s="1"/>
  <c r="X503" i="8"/>
  <c r="Y503" i="8"/>
  <c r="AF504" i="8" s="1"/>
  <c r="X344" i="8"/>
  <c r="Y344" i="8"/>
  <c r="AF345" i="8" s="1"/>
  <c r="X891" i="8"/>
  <c r="Y891" i="8"/>
  <c r="AF892" i="8" s="1"/>
  <c r="X703" i="8"/>
  <c r="Y703" i="8"/>
  <c r="AF704" i="8" s="1"/>
  <c r="X60" i="8"/>
  <c r="Y60" i="8"/>
  <c r="AF61" i="8" s="1"/>
  <c r="X445" i="8"/>
  <c r="Y445" i="8"/>
  <c r="AF446" i="8" s="1"/>
  <c r="X179" i="8"/>
  <c r="Y179" i="8"/>
  <c r="AF180" i="8" s="1"/>
  <c r="X143" i="8"/>
  <c r="Y143" i="8"/>
  <c r="AF144" i="8" s="1"/>
  <c r="X135" i="8"/>
  <c r="Y135" i="8"/>
  <c r="AF136" i="8" s="1"/>
  <c r="X127" i="8"/>
  <c r="Y127" i="8"/>
  <c r="AF128" i="8" s="1"/>
  <c r="X119" i="8"/>
  <c r="Y119" i="8"/>
  <c r="AF120" i="8" s="1"/>
  <c r="X111" i="8"/>
  <c r="Y111" i="8"/>
  <c r="AF112" i="8" s="1"/>
  <c r="X95" i="8"/>
  <c r="Y95" i="8"/>
  <c r="AF96" i="8" s="1"/>
  <c r="X87" i="8"/>
  <c r="Y87" i="8"/>
  <c r="AF88" i="8" s="1"/>
  <c r="X79" i="8"/>
  <c r="Y79" i="8"/>
  <c r="AF80" i="8" s="1"/>
  <c r="X67" i="8"/>
  <c r="Y67" i="8"/>
  <c r="AF68" i="8" s="1"/>
  <c r="X59" i="8"/>
  <c r="Y59" i="8"/>
  <c r="AF60" i="8" s="1"/>
  <c r="X43" i="8"/>
  <c r="Y43" i="8"/>
  <c r="AF44" i="8" s="1"/>
  <c r="X35" i="8"/>
  <c r="Y35" i="8"/>
  <c r="AF36" i="8" s="1"/>
  <c r="X27" i="8"/>
  <c r="Y27" i="8" s="1"/>
  <c r="X19" i="8"/>
  <c r="Y19" i="8"/>
  <c r="X425" i="8"/>
  <c r="Y425" i="8"/>
  <c r="AF426" i="8" s="1"/>
  <c r="X417" i="8"/>
  <c r="Y417" i="8"/>
  <c r="AF418" i="8" s="1"/>
  <c r="X409" i="8"/>
  <c r="Y409" i="8"/>
  <c r="AF410" i="8" s="1"/>
  <c r="X401" i="8"/>
  <c r="Y401" i="8"/>
  <c r="AF402" i="8" s="1"/>
  <c r="X389" i="8"/>
  <c r="Y389" i="8"/>
  <c r="AF390" i="8" s="1"/>
  <c r="X381" i="8"/>
  <c r="Y381" i="8"/>
  <c r="AF382" i="8" s="1"/>
  <c r="X373" i="8"/>
  <c r="Y373" i="8"/>
  <c r="AF374" i="8" s="1"/>
  <c r="X365" i="8"/>
  <c r="Y365" i="8"/>
  <c r="AF366" i="8" s="1"/>
  <c r="X357" i="8"/>
  <c r="Y357" i="8"/>
  <c r="AF358" i="8" s="1"/>
  <c r="X341" i="8"/>
  <c r="Y341" i="8"/>
  <c r="AF342" i="8" s="1"/>
  <c r="X333" i="8"/>
  <c r="Y333" i="8"/>
  <c r="AF334" i="8" s="1"/>
  <c r="X325" i="8"/>
  <c r="Y325" i="8"/>
  <c r="AF326" i="8" s="1"/>
  <c r="X313" i="8"/>
  <c r="Y313" i="8"/>
  <c r="AF314" i="8" s="1"/>
  <c r="X305" i="8"/>
  <c r="Y305" i="8"/>
  <c r="AF306" i="8" s="1"/>
  <c r="X297" i="8"/>
  <c r="Y297" i="8"/>
  <c r="AF298" i="8" s="1"/>
  <c r="X289" i="8"/>
  <c r="Y289" i="8"/>
  <c r="AF290" i="8" s="1"/>
  <c r="X281" i="8"/>
  <c r="Y281" i="8"/>
  <c r="AF282" i="8" s="1"/>
  <c r="X273" i="8"/>
  <c r="Y273" i="8"/>
  <c r="AF274" i="8" s="1"/>
  <c r="X265" i="8"/>
  <c r="Y265" i="8"/>
  <c r="AF266" i="8" s="1"/>
  <c r="X257" i="8"/>
  <c r="Y257" i="8"/>
  <c r="AF258" i="8" s="1"/>
  <c r="X245" i="8"/>
  <c r="Y245" i="8"/>
  <c r="AF246" i="8" s="1"/>
  <c r="X317" i="8"/>
  <c r="Y317" i="8"/>
  <c r="AF318" i="8" s="1"/>
  <c r="X125" i="8"/>
  <c r="Y125" i="8"/>
  <c r="AF126" i="8" s="1"/>
  <c r="X101" i="8"/>
  <c r="Y101" i="8"/>
  <c r="AF102" i="8" s="1"/>
  <c r="X23" i="8"/>
  <c r="Y23" i="8"/>
  <c r="AC23" i="8" s="1"/>
  <c r="X285" i="8"/>
  <c r="Y285" i="8"/>
  <c r="AF286" i="8" s="1"/>
  <c r="X725" i="8"/>
  <c r="Y725" i="8"/>
  <c r="AF726" i="8" s="1"/>
  <c r="X7" i="8"/>
  <c r="Y7" i="8" s="1"/>
  <c r="AF8" i="8" s="1"/>
  <c r="AF28" i="8" l="1"/>
  <c r="AC27" i="8"/>
  <c r="AF32" i="8"/>
  <c r="AC31" i="8"/>
  <c r="AF23" i="8"/>
  <c r="AC22" i="8"/>
  <c r="AF18" i="8"/>
  <c r="AC17" i="8"/>
  <c r="AF26" i="8"/>
  <c r="AC25" i="8"/>
  <c r="AF19" i="8"/>
  <c r="AC18" i="8"/>
  <c r="AF20" i="8"/>
  <c r="AC19" i="8"/>
  <c r="AF24" i="8"/>
  <c r="AC7" i="8"/>
  <c r="AC14" i="8"/>
  <c r="AF15" i="8"/>
  <c r="AF13" i="8"/>
  <c r="AF7" i="8"/>
  <c r="AC10" i="8"/>
  <c r="AF9" i="8"/>
  <c r="X3" i="8"/>
  <c r="Y3" i="8" s="1"/>
  <c r="F7" i="8"/>
  <c r="O16" i="8" l="1"/>
  <c r="P9" i="8"/>
  <c r="AF4" i="8"/>
  <c r="AC3" i="8"/>
  <c r="AD2" i="8" s="1"/>
  <c r="AH4" i="8"/>
  <c r="AH5" i="8"/>
  <c r="Q9" i="8" l="1"/>
  <c r="O9" i="8"/>
  <c r="AH6" i="8"/>
  <c r="AJ10" i="8"/>
  <c r="Q15" i="8" l="1"/>
  <c r="P15" i="8"/>
  <c r="AJ9" i="8"/>
  <c r="AJ11" i="8"/>
  <c r="AI10" i="8"/>
  <c r="AK10" i="8" l="1"/>
  <c r="AK11" i="8" s="1"/>
  <c r="AJ12" i="8"/>
  <c r="AJ13" i="8"/>
  <c r="AJ14" i="8" s="1"/>
  <c r="AI13" i="8"/>
  <c r="AK14" i="8" l="1"/>
  <c r="AK13" i="8" s="1"/>
  <c r="AJ15" i="8"/>
  <c r="AJ16" i="8"/>
  <c r="AJ17" i="8" s="1"/>
  <c r="AI16" i="8"/>
  <c r="AK17" i="8" l="1"/>
  <c r="AK16" i="8" s="1"/>
  <c r="AJ18" i="8"/>
  <c r="AJ19" i="8"/>
  <c r="AJ20" i="8" s="1"/>
  <c r="AI19" i="8"/>
  <c r="AK20" i="8" l="1"/>
  <c r="AK19" i="8" s="1"/>
  <c r="AJ21" i="8"/>
  <c r="AJ22" i="8"/>
  <c r="AJ23" i="8" s="1"/>
  <c r="AI22" i="8"/>
  <c r="AK23" i="8" l="1"/>
  <c r="AK22" i="8" s="1"/>
  <c r="AJ24" i="8"/>
  <c r="AJ25" i="8" s="1"/>
  <c r="AJ26" i="8" s="1"/>
  <c r="AI25" i="8"/>
  <c r="AJ27" i="8" l="1"/>
  <c r="AJ28" i="8" s="1"/>
  <c r="AJ29" i="8" s="1"/>
  <c r="AI28" i="8"/>
  <c r="AJ30" i="8" l="1"/>
  <c r="AJ31" i="8" s="1"/>
  <c r="AJ32" i="8" s="1"/>
  <c r="AI31" i="8"/>
  <c r="AJ33" i="8" l="1"/>
  <c r="AJ34" i="8" s="1"/>
  <c r="AJ35" i="8" s="1"/>
  <c r="AI34" i="8"/>
  <c r="AJ36" i="8" l="1"/>
  <c r="AJ37" i="8" s="1"/>
  <c r="AJ38" i="8" s="1"/>
  <c r="AI37" i="8"/>
  <c r="AJ39" i="8" l="1"/>
  <c r="AJ40" i="8" s="1"/>
  <c r="AJ41" i="8" s="1"/>
  <c r="AI40" i="8"/>
  <c r="AJ42" i="8" l="1"/>
  <c r="AJ43" i="8" s="1"/>
  <c r="AJ44" i="8" s="1"/>
  <c r="AI43" i="8"/>
  <c r="AJ45" i="8" l="1"/>
  <c r="AJ46" i="8" s="1"/>
  <c r="AJ47" i="8" s="1"/>
  <c r="AI46" i="8"/>
  <c r="AJ48" i="8" l="1"/>
  <c r="AJ49" i="8" s="1"/>
  <c r="AJ50" i="8" s="1"/>
  <c r="AI49" i="8"/>
  <c r="AJ51" i="8" l="1"/>
  <c r="AJ52" i="8" s="1"/>
  <c r="AJ53" i="8" s="1"/>
  <c r="AI52" i="8"/>
  <c r="AJ5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P59" authorId="0" shapeId="0" xr:uid="{00000000-0006-0000-0300-000002000000}">
      <text>
        <r>
          <rPr>
            <b/>
            <sz val="10"/>
            <color rgb="FF000000"/>
            <rFont val="Tahoma"/>
            <family val="2"/>
          </rPr>
          <t>This is needed to get the "Overall Mean" shown in the Descriptive Statistics table above and to the left.</t>
        </r>
        <r>
          <rPr>
            <sz val="10"/>
            <color rgb="FF000000"/>
            <rFont val="Tahoma"/>
            <family val="2"/>
          </rPr>
          <t xml:space="preserve">
</t>
        </r>
      </text>
    </comment>
    <comment ref="R59" authorId="0" shapeId="0" xr:uid="{00000000-0006-0000-0300-000003000000}">
      <text>
        <r>
          <rPr>
            <b/>
            <sz val="10"/>
            <color rgb="FF000000"/>
            <rFont val="Tahoma"/>
            <family val="2"/>
          </rPr>
          <t>This is needed to get the deviation of each mean from the Overall Mean and is used in the calculate of the Sums of Squares for the Between Groups in the table above.</t>
        </r>
        <r>
          <rPr>
            <sz val="10"/>
            <color rgb="FF000000"/>
            <rFont val="Tahoma"/>
            <family val="2"/>
          </rPr>
          <t xml:space="preserve">
</t>
        </r>
      </text>
    </comment>
    <comment ref="T59" authorId="0" shapeId="0" xr:uid="{00000000-0006-0000-0300-000004000000}">
      <text>
        <r>
          <rPr>
            <b/>
            <sz val="10"/>
            <color rgb="FF000000"/>
            <rFont val="Tahoma"/>
            <family val="2"/>
          </rPr>
          <t>This is needed to calculate the Sums of Squares for the Within Groups Source of Variation shown in the table above.</t>
        </r>
        <r>
          <rPr>
            <sz val="10"/>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I11" authorId="0" shapeId="0" xr:uid="{00000000-0006-0000-0400-000001000000}">
      <text>
        <r>
          <rPr>
            <sz val="10"/>
            <color rgb="FF000000"/>
            <rFont val="Tahoma"/>
            <family val="2"/>
          </rPr>
          <t>This controls the Confidence Level of the Confidence Interval.</t>
        </r>
      </text>
    </comment>
  </commentList>
</comments>
</file>

<file path=xl/sharedStrings.xml><?xml version="1.0" encoding="utf-8"?>
<sst xmlns="http://schemas.openxmlformats.org/spreadsheetml/2006/main" count="385" uniqueCount="199">
  <si>
    <t>Data
(Paste Below)</t>
  </si>
  <si>
    <t>Making Inference: One Sample Sigma Unknown (One-Sample t-Test)</t>
  </si>
  <si>
    <t>Numerical Summaries</t>
  </si>
  <si>
    <t>Hypothesis Test</t>
  </si>
  <si>
    <t>n</t>
  </si>
  <si>
    <t>Sample
Mean</t>
  </si>
  <si>
    <t>Sample Standard 
Deviation</t>
  </si>
  <si>
    <t>Standard Error
of the Mean</t>
  </si>
  <si>
    <t xml:space="preserve"> µ</t>
  </si>
  <si>
    <t>=</t>
  </si>
  <si>
    <t>≠</t>
  </si>
  <si>
    <t>Sample Mean
(x-bar)</t>
  </si>
  <si>
    <t>Test Statistic
 ( t )</t>
  </si>
  <si>
    <t>Degrees of Freedom
( df )</t>
  </si>
  <si>
    <t>P-value</t>
  </si>
  <si>
    <t>Graphical Summary</t>
  </si>
  <si>
    <t>Confidence Interval</t>
  </si>
  <si>
    <t>Point Estimate 
(Sample Mean)</t>
  </si>
  <si>
    <t>Margin 
of Error</t>
  </si>
  <si>
    <t>Lower Bound</t>
  </si>
  <si>
    <t>Upper Bound</t>
  </si>
  <si>
    <t>Data 1
(Paste Below)</t>
  </si>
  <si>
    <t>Data 2
(Paste Below)</t>
  </si>
  <si>
    <t>Making Inference: Paired Samples t-Test</t>
  </si>
  <si>
    <t>Numerical Summary of the Differences</t>
  </si>
  <si>
    <t>Sample Mean
of the Differences</t>
  </si>
  <si>
    <t>Sample Standard 
Deviation of the Differences</t>
  </si>
  <si>
    <t>Standard Error of
the Mean Difference</t>
  </si>
  <si>
    <t>&gt;</t>
  </si>
  <si>
    <t>Sample Mean of the Differences
(d-bar)</t>
  </si>
  <si>
    <t xml:space="preserve">Point Estimate
(Mean of the Differences} </t>
  </si>
  <si>
    <t>Alternatives</t>
  </si>
  <si>
    <t>&lt;</t>
  </si>
  <si>
    <r>
      <t>µ</t>
    </r>
    <r>
      <rPr>
        <i/>
        <vertAlign val="subscript"/>
        <sz val="10"/>
        <color theme="1"/>
        <rFont val="Calibri"/>
        <family val="2"/>
      </rPr>
      <t>d</t>
    </r>
  </si>
  <si>
    <r>
      <t>H</t>
    </r>
    <r>
      <rPr>
        <i/>
        <vertAlign val="subscript"/>
        <sz val="10"/>
        <rFont val="Arial"/>
        <family val="2"/>
      </rPr>
      <t>0</t>
    </r>
    <r>
      <rPr>
        <i/>
        <sz val="10"/>
        <rFont val="Arial"/>
        <family val="2"/>
      </rPr>
      <t xml:space="preserve">  :</t>
    </r>
  </si>
  <si>
    <r>
      <t>H</t>
    </r>
    <r>
      <rPr>
        <i/>
        <vertAlign val="subscript"/>
        <sz val="10"/>
        <rFont val="Arial"/>
        <family val="2"/>
      </rPr>
      <t>a</t>
    </r>
    <r>
      <rPr>
        <i/>
        <sz val="10"/>
        <rFont val="Arial"/>
        <family val="2"/>
      </rPr>
      <t xml:space="preserve">  :</t>
    </r>
  </si>
  <si>
    <r>
      <t>H</t>
    </r>
    <r>
      <rPr>
        <vertAlign val="subscript"/>
        <sz val="10"/>
        <rFont val="Arial"/>
        <family val="2"/>
      </rPr>
      <t>0</t>
    </r>
    <r>
      <rPr>
        <sz val="10"/>
        <rFont val="Arial"/>
        <family val="2"/>
      </rPr>
      <t xml:space="preserve"> : </t>
    </r>
  </si>
  <si>
    <r>
      <t>H</t>
    </r>
    <r>
      <rPr>
        <vertAlign val="subscript"/>
        <sz val="10"/>
        <rFont val="Arial"/>
        <family val="2"/>
      </rPr>
      <t>a</t>
    </r>
    <r>
      <rPr>
        <sz val="10"/>
        <rFont val="Arial"/>
        <family val="2"/>
      </rPr>
      <t xml:space="preserve"> : </t>
    </r>
  </si>
  <si>
    <t>Making Inference: Independent-samples t-Test</t>
  </si>
  <si>
    <t>Sample Means</t>
  </si>
  <si>
    <t>Sample Standard 
Deviations</t>
  </si>
  <si>
    <t>Standard Errors of the Mean</t>
  </si>
  <si>
    <t xml:space="preserve"> Data 1</t>
  </si>
  <si>
    <t xml:space="preserve"> Data 2</t>
  </si>
  <si>
    <t>Point Estimate
(Difference of the Means)</t>
  </si>
  <si>
    <r>
      <t>H</t>
    </r>
    <r>
      <rPr>
        <vertAlign val="subscript"/>
        <sz val="11"/>
        <rFont val="Arial"/>
        <family val="2"/>
      </rPr>
      <t>0</t>
    </r>
    <r>
      <rPr>
        <sz val="11"/>
        <rFont val="Arial"/>
        <family val="2"/>
      </rPr>
      <t xml:space="preserve"> : </t>
    </r>
  </si>
  <si>
    <r>
      <t>H</t>
    </r>
    <r>
      <rPr>
        <vertAlign val="subscript"/>
        <sz val="11"/>
        <rFont val="Arial"/>
        <family val="2"/>
      </rPr>
      <t>a</t>
    </r>
    <r>
      <rPr>
        <sz val="11"/>
        <rFont val="Arial"/>
        <family val="2"/>
      </rPr>
      <t xml:space="preserve"> : </t>
    </r>
  </si>
  <si>
    <r>
      <t xml:space="preserve"> µ</t>
    </r>
    <r>
      <rPr>
        <i/>
        <vertAlign val="subscript"/>
        <sz val="11"/>
        <color theme="1"/>
        <rFont val="Calibri"/>
        <family val="2"/>
      </rPr>
      <t>1</t>
    </r>
  </si>
  <si>
    <r>
      <t>µ</t>
    </r>
    <r>
      <rPr>
        <i/>
        <vertAlign val="subscript"/>
        <sz val="11"/>
        <color theme="1"/>
        <rFont val="Calibri"/>
        <family val="2"/>
      </rPr>
      <t>2</t>
    </r>
  </si>
  <si>
    <r>
      <t>µ</t>
    </r>
    <r>
      <rPr>
        <i/>
        <vertAlign val="subscript"/>
        <sz val="10"/>
        <color theme="1"/>
        <rFont val="Calibri"/>
        <family val="2"/>
      </rPr>
      <t>2</t>
    </r>
  </si>
  <si>
    <t>Making Inference: Analysis of Variance (ANOVA)</t>
  </si>
  <si>
    <t>Numerical Summary of the Data</t>
  </si>
  <si>
    <t>Sample 
Variances</t>
  </si>
  <si>
    <t>Overall Mean:</t>
  </si>
  <si>
    <t xml:space="preserve">H0 : </t>
  </si>
  <si>
    <t>All means are equal</t>
  </si>
  <si>
    <t xml:space="preserve">Ha : </t>
  </si>
  <si>
    <t>At least one mean differs</t>
  </si>
  <si>
    <t>Source of Variation</t>
  </si>
  <si>
    <t>Sum of Squares</t>
  </si>
  <si>
    <t>Degrees of Freedom</t>
  </si>
  <si>
    <t>Mean Squares</t>
  </si>
  <si>
    <t>Test Statistic
(F)</t>
  </si>
  <si>
    <t xml:space="preserve"> Data 3</t>
  </si>
  <si>
    <t>Between Groups</t>
  </si>
  <si>
    <t xml:space="preserve"> Data 4</t>
  </si>
  <si>
    <t>Within Groups</t>
  </si>
  <si>
    <t xml:space="preserve"> Data 5</t>
  </si>
  <si>
    <t>Total</t>
  </si>
  <si>
    <t xml:space="preserve"> Data 6</t>
  </si>
  <si>
    <t xml:space="preserve"> Data 7</t>
  </si>
  <si>
    <t>Graphical Summary of the Data</t>
  </si>
  <si>
    <t>(Ignore This) Special Calculations to obtain the Sums of Squares used in the Hypothesis Test Table above.</t>
  </si>
  <si>
    <t>Sum of Data
in each Group</t>
  </si>
  <si>
    <t>Deviation of each Mean from the Overall Mean</t>
  </si>
  <si>
    <t>Sum of Squared Deviations from within each Group</t>
  </si>
  <si>
    <t>Numerical Summary</t>
  </si>
  <si>
    <t>Check for Normality of p-hat</t>
  </si>
  <si>
    <t>x</t>
  </si>
  <si>
    <t>Sample Proportion
(p-hat)</t>
  </si>
  <si>
    <t>p</t>
  </si>
  <si>
    <t xml:space="preserve">Test Statistic
 ( z ) </t>
  </si>
  <si>
    <t>Point Estimate 
(Sample Proportion)</t>
  </si>
  <si>
    <t>Group 1</t>
  </si>
  <si>
    <t>Sample Proportion
(p-hat 1)</t>
  </si>
  <si>
    <t>Sample Proportion
(p-hat 2)</t>
  </si>
  <si>
    <t>Group 2</t>
  </si>
  <si>
    <t>Margin of Error</t>
  </si>
  <si>
    <t>Making Inference: Two Proportions Z Test</t>
  </si>
  <si>
    <t>Point Estimate 
(Difference of Proportions)</t>
  </si>
  <si>
    <t/>
  </si>
  <si>
    <r>
      <t>H</t>
    </r>
    <r>
      <rPr>
        <vertAlign val="subscript"/>
        <sz val="10"/>
        <rFont val="Arial"/>
        <family val="2"/>
      </rPr>
      <t>0</t>
    </r>
    <r>
      <rPr>
        <sz val="10"/>
        <rFont val="Arial"/>
        <family val="2"/>
      </rPr>
      <t xml:space="preserve"> :</t>
    </r>
  </si>
  <si>
    <r>
      <t>H</t>
    </r>
    <r>
      <rPr>
        <vertAlign val="subscript"/>
        <sz val="10"/>
        <rFont val="Arial"/>
        <family val="2"/>
      </rPr>
      <t>a</t>
    </r>
    <r>
      <rPr>
        <sz val="10"/>
        <rFont val="Arial"/>
        <family val="2"/>
      </rPr>
      <t xml:space="preserve"> :</t>
    </r>
  </si>
  <si>
    <r>
      <t>p</t>
    </r>
    <r>
      <rPr>
        <vertAlign val="subscript"/>
        <sz val="10"/>
        <rFont val="Arial"/>
        <family val="2"/>
      </rPr>
      <t>1</t>
    </r>
    <r>
      <rPr>
        <sz val="10"/>
        <rFont val="Arial"/>
        <family val="2"/>
      </rPr>
      <t xml:space="preserve"> </t>
    </r>
  </si>
  <si>
    <r>
      <t>p</t>
    </r>
    <r>
      <rPr>
        <vertAlign val="subscript"/>
        <sz val="10"/>
        <rFont val="Arial"/>
        <family val="2"/>
      </rPr>
      <t xml:space="preserve">1 </t>
    </r>
  </si>
  <si>
    <r>
      <t>p</t>
    </r>
    <r>
      <rPr>
        <vertAlign val="subscript"/>
        <sz val="10"/>
        <rFont val="Arial"/>
        <family val="2"/>
      </rPr>
      <t>2</t>
    </r>
    <r>
      <rPr>
        <sz val="10"/>
        <rFont val="Arial"/>
        <family val="2"/>
      </rPr>
      <t xml:space="preserve"> </t>
    </r>
  </si>
  <si>
    <r>
      <t>p</t>
    </r>
    <r>
      <rPr>
        <vertAlign val="subscript"/>
        <sz val="10"/>
        <rFont val="Arial"/>
        <family val="2"/>
      </rPr>
      <t xml:space="preserve">2 </t>
    </r>
  </si>
  <si>
    <t>Making Inference: Chi-Squared Test of Independence</t>
  </si>
  <si>
    <t>Numerical Summary: Observed Counts</t>
  </si>
  <si>
    <t>Check Requirements for Chi-Squared Test</t>
  </si>
  <si>
    <t>Column 1</t>
  </si>
  <si>
    <t>Column 2</t>
  </si>
  <si>
    <t>Column 3</t>
  </si>
  <si>
    <t>Column 4</t>
  </si>
  <si>
    <t>Column 5</t>
  </si>
  <si>
    <t>Column 6</t>
  </si>
  <si>
    <t>Expected Counts</t>
  </si>
  <si>
    <t>Row 1</t>
  </si>
  <si>
    <t xml:space="preserve">Test Statistic
 ( Pearson chi-square ) </t>
  </si>
  <si>
    <t>Row 2</t>
  </si>
  <si>
    <t>Row 3</t>
  </si>
  <si>
    <t>Row 4</t>
  </si>
  <si>
    <t>Row 5</t>
  </si>
  <si>
    <t>Row 6</t>
  </si>
  <si>
    <t>Extra Information for those Interested</t>
  </si>
  <si>
    <t>Graphical Summary: Observed Counts</t>
  </si>
  <si>
    <t>Chi-squared Sums</t>
  </si>
  <si>
    <t>If you click on the above graphic, it will highlight your "Observed Counts" table. You can then resize the highlighted area so that it includes only the cells you want.</t>
  </si>
  <si>
    <r>
      <t>H</t>
    </r>
    <r>
      <rPr>
        <vertAlign val="subscript"/>
        <sz val="10"/>
        <rFont val="Arial"/>
        <family val="2"/>
      </rPr>
      <t>0</t>
    </r>
    <r>
      <rPr>
        <sz val="10"/>
        <rFont val="Arial"/>
        <family val="2"/>
      </rPr>
      <t xml:space="preserve"> : row variable is independent of the column variable. </t>
    </r>
  </si>
  <si>
    <r>
      <t>H</t>
    </r>
    <r>
      <rPr>
        <vertAlign val="subscript"/>
        <sz val="10"/>
        <rFont val="Arial"/>
        <family val="2"/>
      </rPr>
      <t>a</t>
    </r>
    <r>
      <rPr>
        <sz val="10"/>
        <rFont val="Arial"/>
        <family val="2"/>
      </rPr>
      <t xml:space="preserve"> : row variable is not independent of the column variable. </t>
    </r>
  </si>
  <si>
    <t>Sample Proportion</t>
  </si>
  <si>
    <t>Making Inference: Simple Linear Regression</t>
  </si>
  <si>
    <t>X
(Repeated)</t>
  </si>
  <si>
    <t>Residuals</t>
  </si>
  <si>
    <t>For those interested:</t>
  </si>
  <si>
    <t>Squared 
Residuals</t>
  </si>
  <si>
    <t>Sum of Squared
Residuals</t>
  </si>
  <si>
    <t>Hypothesis Test of the Regression Slope</t>
  </si>
  <si>
    <t>Correlation
( r )</t>
  </si>
  <si>
    <t>Slope Estimate</t>
  </si>
  <si>
    <t>Test Statistic
( t )</t>
  </si>
  <si>
    <t>Predicted Value</t>
  </si>
  <si>
    <t>X</t>
  </si>
  <si>
    <t>Predicted
(y-hat)</t>
  </si>
  <si>
    <r>
      <t>Y-Intercept
(b</t>
    </r>
    <r>
      <rPr>
        <vertAlign val="subscript"/>
        <sz val="10"/>
        <rFont val="Arial"/>
        <family val="2"/>
      </rPr>
      <t>0</t>
    </r>
    <r>
      <rPr>
        <sz val="10"/>
        <rFont val="Arial"/>
        <family val="2"/>
      </rPr>
      <t>)</t>
    </r>
  </si>
  <si>
    <r>
      <t>Slope
(b</t>
    </r>
    <r>
      <rPr>
        <vertAlign val="subscript"/>
        <sz val="10"/>
        <rFont val="Arial"/>
        <family val="2"/>
      </rPr>
      <t>1</t>
    </r>
    <r>
      <rPr>
        <sz val="10"/>
        <rFont val="Arial"/>
        <family val="2"/>
      </rPr>
      <t>)</t>
    </r>
  </si>
  <si>
    <r>
      <t>S</t>
    </r>
    <r>
      <rPr>
        <vertAlign val="subscript"/>
        <sz val="10"/>
        <rFont val="Arial"/>
        <family val="2"/>
      </rPr>
      <t>x</t>
    </r>
  </si>
  <si>
    <r>
      <t>S</t>
    </r>
    <r>
      <rPr>
        <vertAlign val="subscript"/>
        <sz val="10"/>
        <rFont val="Arial"/>
        <family val="2"/>
      </rPr>
      <t>y</t>
    </r>
  </si>
  <si>
    <r>
      <t xml:space="preserve"> β</t>
    </r>
    <r>
      <rPr>
        <i/>
        <vertAlign val="subscript"/>
        <sz val="10"/>
        <color theme="1"/>
        <rFont val="Calibri"/>
        <family val="2"/>
      </rPr>
      <t>1</t>
    </r>
  </si>
  <si>
    <t>Check for Linearity and Constant Variance of the Residuals</t>
  </si>
  <si>
    <t xml:space="preserve">Bins: </t>
  </si>
  <si>
    <t>For those interested…
Code to make the histogram on the left:</t>
  </si>
  <si>
    <t>First Bin Start</t>
  </si>
  <si>
    <t>Third Bin Start</t>
  </si>
  <si>
    <t>Second Bin Start</t>
  </si>
  <si>
    <t>Number of Values in Bin</t>
  </si>
  <si>
    <t>Bin Number</t>
  </si>
  <si>
    <t>X-axis of Graph</t>
  </si>
  <si>
    <t>Y-axis of Graph</t>
  </si>
  <si>
    <t>Histogram Start Value</t>
  </si>
  <si>
    <t xml:space="preserve"> Histogram Stop Value</t>
  </si>
  <si>
    <t>Bin Step Size</t>
  </si>
  <si>
    <t>Second Histogram</t>
  </si>
  <si>
    <t>(Max choice: 15)</t>
  </si>
  <si>
    <t>Number of Bins</t>
  </si>
  <si>
    <t>Column to Use</t>
  </si>
  <si>
    <t>A</t>
  </si>
  <si>
    <t>B</t>
  </si>
  <si>
    <t>C</t>
  </si>
  <si>
    <t>D</t>
  </si>
  <si>
    <t>E</t>
  </si>
  <si>
    <t>F</t>
  </si>
  <si>
    <t>G</t>
  </si>
  <si>
    <t>Data Group</t>
  </si>
  <si>
    <t>Column</t>
  </si>
  <si>
    <t>Check for Normality of Residuals</t>
  </si>
  <si>
    <t>For those interested…
Code to make the histogram of residuals:</t>
  </si>
  <si>
    <r>
      <t xml:space="preserve">The Differences (d)
</t>
    </r>
    <r>
      <rPr>
        <b/>
        <sz val="10"/>
        <color theme="0"/>
        <rFont val="Calibri (Body)"/>
      </rPr>
      <t>(Data 1 - Data 2)</t>
    </r>
  </si>
  <si>
    <t>Graphical Summaries</t>
  </si>
  <si>
    <t>Number of Bins for Histogram:</t>
  </si>
  <si>
    <t>Graphical Summaries of the Differences</t>
  </si>
  <si>
    <t>Histogram of Data 1</t>
  </si>
  <si>
    <t>Histogram of Data 2</t>
  </si>
  <si>
    <t xml:space="preserve">Bins for histograms: </t>
  </si>
  <si>
    <r>
      <t xml:space="preserve">Data 2
</t>
    </r>
    <r>
      <rPr>
        <b/>
        <sz val="9"/>
        <color theme="0"/>
        <rFont val="Calibri (Body)"/>
      </rPr>
      <t>(Paste Below)</t>
    </r>
  </si>
  <si>
    <r>
      <t xml:space="preserve">Data 3
</t>
    </r>
    <r>
      <rPr>
        <b/>
        <sz val="9"/>
        <color theme="0"/>
        <rFont val="Calibri (Body)"/>
      </rPr>
      <t>(Paste Below)</t>
    </r>
  </si>
  <si>
    <r>
      <t xml:space="preserve">Data 4
</t>
    </r>
    <r>
      <rPr>
        <b/>
        <sz val="9"/>
        <color theme="0"/>
        <rFont val="Calibri (Body)"/>
      </rPr>
      <t>(Paste Below)</t>
    </r>
  </si>
  <si>
    <r>
      <t xml:space="preserve">Data 5
</t>
    </r>
    <r>
      <rPr>
        <b/>
        <sz val="9"/>
        <color theme="0"/>
        <rFont val="Calibri (Body)"/>
      </rPr>
      <t>(Paste Below)</t>
    </r>
  </si>
  <si>
    <r>
      <t xml:space="preserve">Data 6
</t>
    </r>
    <r>
      <rPr>
        <b/>
        <sz val="9"/>
        <color theme="0"/>
        <rFont val="Calibri (Body)"/>
      </rPr>
      <t>(Paste Below)</t>
    </r>
  </si>
  <si>
    <r>
      <t xml:space="preserve">Data 7
</t>
    </r>
    <r>
      <rPr>
        <b/>
        <sz val="9"/>
        <color theme="0"/>
        <rFont val="Calibri (Body)"/>
      </rPr>
      <t>(Paste Below)</t>
    </r>
  </si>
  <si>
    <t>Number of Bins:</t>
  </si>
  <si>
    <t>Histogram for Data</t>
  </si>
  <si>
    <t>Choose Data Group:</t>
  </si>
  <si>
    <t xml:space="preserve">     Making Inference: One Proportion Z Test</t>
  </si>
  <si>
    <t>Difference of the sample means</t>
  </si>
  <si>
    <r>
      <t>Data 1</t>
    </r>
    <r>
      <rPr>
        <b/>
        <sz val="9"/>
        <color theme="0"/>
        <rFont val="Calibri (Body)"/>
      </rPr>
      <t xml:space="preserve">
</t>
    </r>
    <r>
      <rPr>
        <b/>
        <sz val="8"/>
        <color theme="0"/>
        <rFont val="Calibri (Body)"/>
      </rPr>
      <t>(Paste Below)</t>
    </r>
  </si>
  <si>
    <t>Data 1</t>
  </si>
  <si>
    <t>Data 2</t>
  </si>
  <si>
    <t>Y</t>
  </si>
  <si>
    <t>Confidence Interval for the True Regression Slope</t>
  </si>
  <si>
    <t>Confidence Interval for the True Mean</t>
  </si>
  <si>
    <t>Confidence Interval for the True Mean of the Differences</t>
  </si>
  <si>
    <t>Confidence Interval for the True Difference of the Means</t>
  </si>
  <si>
    <t>Confidence Interval for the True Proportion</t>
  </si>
  <si>
    <t>Confidence Interval for the True Difference of Proportions</t>
  </si>
  <si>
    <t>Sum of Squared x deviations</t>
  </si>
  <si>
    <t>Standard error of Slope</t>
  </si>
  <si>
    <t>Squared X Deviations</t>
  </si>
  <si>
    <t>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</si>
</sst>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00"/>
    <numFmt numFmtId="165" formatCode="0.0"/>
    <numFmt numFmtId="166" formatCode="0.0000000"/>
    <numFmt numFmtId="167" formatCode="0.00000"/>
    <numFmt numFmtId="168" formatCode="0.0%"/>
  </numFmts>
  <fonts count="55">
    <font>
      <sz val="12"/>
      <color theme="1"/>
      <name val="Calibri"/>
      <family val="2"/>
      <scheme val="minor"/>
    </font>
    <font>
      <sz val="12"/>
      <color rgb="FF9C5700"/>
      <name val="Calibri"/>
      <family val="2"/>
      <scheme val="minor"/>
    </font>
    <font>
      <b/>
      <sz val="12"/>
      <color theme="0"/>
      <name val="Calibri"/>
      <family val="2"/>
      <scheme val="minor"/>
    </font>
    <font>
      <sz val="12"/>
      <color theme="0"/>
      <name val="Calibri"/>
      <family val="2"/>
      <scheme val="minor"/>
    </font>
    <font>
      <sz val="18"/>
      <color theme="1"/>
      <name val="Copperplate Light"/>
    </font>
    <font>
      <sz val="10"/>
      <color theme="1"/>
      <name val="Calibri"/>
      <family val="2"/>
      <scheme val="minor"/>
    </font>
    <font>
      <sz val="10"/>
      <name val="Arial"/>
      <family val="2"/>
    </font>
    <font>
      <sz val="9"/>
      <name val="Arial"/>
      <family val="2"/>
    </font>
    <font>
      <i/>
      <sz val="12"/>
      <color theme="1"/>
      <name val="Calibri"/>
      <family val="2"/>
    </font>
    <font>
      <sz val="12"/>
      <color theme="4"/>
      <name val="Copperplate Gothic Light"/>
      <family val="2"/>
    </font>
    <font>
      <sz val="10"/>
      <color theme="4" tint="0.39997558519241921"/>
      <name val="Arial"/>
      <family val="2"/>
    </font>
    <font>
      <sz val="12"/>
      <color theme="1"/>
      <name val="Calibri"/>
      <family val="2"/>
      <scheme val="minor"/>
    </font>
    <font>
      <sz val="11"/>
      <color theme="0"/>
      <name val="Calibri"/>
      <family val="2"/>
      <scheme val="minor"/>
    </font>
    <font>
      <sz val="9"/>
      <color theme="0"/>
      <name val="Calibri"/>
      <family val="2"/>
      <scheme val="minor"/>
    </font>
    <font>
      <sz val="8"/>
      <name val="Arial"/>
      <family val="2"/>
    </font>
    <font>
      <i/>
      <sz val="10"/>
      <name val="Arial"/>
      <family val="2"/>
    </font>
    <font>
      <i/>
      <sz val="10"/>
      <color theme="1"/>
      <name val="Calibri"/>
      <family val="2"/>
    </font>
    <font>
      <sz val="12"/>
      <color theme="0"/>
      <name val="Calibri"/>
      <family val="2"/>
    </font>
    <font>
      <i/>
      <vertAlign val="subscript"/>
      <sz val="10"/>
      <color theme="1"/>
      <name val="Calibri"/>
      <family val="2"/>
    </font>
    <font>
      <i/>
      <vertAlign val="subscript"/>
      <sz val="10"/>
      <name val="Arial"/>
      <family val="2"/>
    </font>
    <font>
      <vertAlign val="subscript"/>
      <sz val="10"/>
      <name val="Arial"/>
      <family val="2"/>
    </font>
    <font>
      <sz val="11"/>
      <name val="Arial"/>
      <family val="2"/>
    </font>
    <font>
      <i/>
      <sz val="11"/>
      <color theme="1"/>
      <name val="Calibri"/>
      <family val="2"/>
    </font>
    <font>
      <vertAlign val="subscript"/>
      <sz val="11"/>
      <name val="Arial"/>
      <family val="2"/>
    </font>
    <font>
      <i/>
      <vertAlign val="subscript"/>
      <sz val="11"/>
      <color theme="1"/>
      <name val="Calibri"/>
      <family val="2"/>
    </font>
    <font>
      <sz val="11"/>
      <color indexed="8"/>
      <name val="Calibri"/>
      <family val="2"/>
    </font>
    <font>
      <i/>
      <sz val="12"/>
      <color theme="1"/>
      <name val="Calibri"/>
      <family val="2"/>
      <scheme val="minor"/>
    </font>
    <font>
      <sz val="12"/>
      <color theme="1"/>
      <name val="Calibri"/>
      <family val="2"/>
    </font>
    <font>
      <sz val="12"/>
      <color theme="1" tint="0.499984740745262"/>
      <name val="Calibri"/>
      <family val="2"/>
      <scheme val="minor"/>
    </font>
    <font>
      <i/>
      <sz val="16"/>
      <color theme="1"/>
      <name val="Copperplate Gothic Light"/>
      <family val="2"/>
    </font>
    <font>
      <sz val="10"/>
      <color rgb="FF9C5700"/>
      <name val="Calibri"/>
      <family val="2"/>
      <scheme val="minor"/>
    </font>
    <font>
      <b/>
      <sz val="10"/>
      <color rgb="FF000000"/>
      <name val="Tahoma"/>
      <family val="2"/>
    </font>
    <font>
      <sz val="10"/>
      <color rgb="FF000000"/>
      <name val="Tahoma"/>
      <family val="2"/>
    </font>
    <font>
      <sz val="12"/>
      <color theme="0"/>
      <name val="Copperplate Gothic Light"/>
      <family val="2"/>
    </font>
    <font>
      <b/>
      <sz val="10"/>
      <name val="Arial"/>
      <family val="2"/>
    </font>
    <font>
      <i/>
      <sz val="16"/>
      <color rgb="FF000000"/>
      <name val="Copperplate Gothic Light"/>
      <family val="2"/>
    </font>
    <font>
      <sz val="10"/>
      <color theme="3"/>
      <name val="Calibri"/>
      <family val="2"/>
    </font>
    <font>
      <sz val="11"/>
      <color theme="1" tint="0.499984740745262"/>
      <name val="Calibri"/>
      <family val="2"/>
      <scheme val="minor"/>
    </font>
    <font>
      <sz val="9"/>
      <color theme="4" tint="0.79998168889431442"/>
      <name val="Arial"/>
      <family val="2"/>
    </font>
    <font>
      <b/>
      <sz val="10"/>
      <color theme="2"/>
      <name val="Arial"/>
      <family val="2"/>
    </font>
    <font>
      <sz val="10"/>
      <color theme="1" tint="0.34998626667073579"/>
      <name val="Calibri"/>
      <family val="2"/>
      <scheme val="minor"/>
    </font>
    <font>
      <sz val="12"/>
      <color theme="0" tint="-0.14999847407452621"/>
      <name val="Calibri"/>
      <family val="2"/>
      <scheme val="minor"/>
    </font>
    <font>
      <sz val="11"/>
      <color theme="1"/>
      <name val="Calibri"/>
      <family val="2"/>
    </font>
    <font>
      <b/>
      <sz val="12"/>
      <color theme="0"/>
      <name val="Calibri"/>
      <family val="2"/>
    </font>
    <font>
      <sz val="10"/>
      <color theme="0" tint="-0.14999847407452621"/>
      <name val="Arial"/>
      <family val="2"/>
    </font>
    <font>
      <b/>
      <sz val="10"/>
      <color theme="0" tint="-0.34998626667073579"/>
      <name val="Arial"/>
      <family val="2"/>
    </font>
    <font>
      <b/>
      <sz val="10"/>
      <color theme="0"/>
      <name val="Calibri (Body)"/>
    </font>
    <font>
      <sz val="10"/>
      <color theme="0"/>
      <name val="Calibri"/>
      <family val="2"/>
      <scheme val="minor"/>
    </font>
    <font>
      <sz val="12"/>
      <color theme="0" tint="-0.249977111117893"/>
      <name val="Calibri"/>
      <family val="2"/>
      <scheme val="minor"/>
    </font>
    <font>
      <sz val="12"/>
      <color theme="5"/>
      <name val="Calibri"/>
      <family val="2"/>
      <scheme val="minor"/>
    </font>
    <font>
      <b/>
      <sz val="16"/>
      <color theme="5"/>
      <name val="Calibri"/>
      <family val="2"/>
      <scheme val="minor"/>
    </font>
    <font>
      <sz val="12"/>
      <color theme="4" tint="-0.499984740745262"/>
      <name val="Calibri"/>
      <family val="2"/>
      <scheme val="minor"/>
    </font>
    <font>
      <sz val="10"/>
      <color theme="4" tint="-0.499984740745262"/>
      <name val="Calibri"/>
      <family val="2"/>
      <scheme val="minor"/>
    </font>
    <font>
      <b/>
      <sz val="9"/>
      <color theme="0"/>
      <name val="Calibri (Body)"/>
    </font>
    <font>
      <b/>
      <sz val="8"/>
      <color theme="0"/>
      <name val="Calibri (Body)"/>
    </font>
  </fonts>
  <fills count="23">
    <fill>
      <patternFill patternType="none"/>
    </fill>
    <fill>
      <patternFill patternType="gray125"/>
    </fill>
    <fill>
      <patternFill patternType="solid">
        <fgColor rgb="FFFFEB9C"/>
      </patternFill>
    </fill>
    <fill>
      <patternFill patternType="solid">
        <fgColor rgb="FF5B9BD5"/>
        <bgColor indexed="64"/>
      </patternFill>
    </fill>
    <fill>
      <patternFill patternType="solid">
        <fgColor rgb="FFD9D9D9"/>
        <bgColor indexed="64"/>
      </patternFill>
    </fill>
    <fill>
      <patternFill patternType="solid">
        <fgColor rgb="FFDDECF7"/>
        <bgColor indexed="64"/>
      </patternFill>
    </fill>
    <fill>
      <patternFill patternType="solid">
        <fgColor theme="0"/>
        <bgColor indexed="64"/>
      </patternFill>
    </fill>
    <fill>
      <patternFill patternType="solid">
        <fgColor rgb="FF5B9BD6"/>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9"/>
        <bgColor indexed="26"/>
      </patternFill>
    </fill>
    <fill>
      <patternFill patternType="solid">
        <fgColor theme="1" tint="0.499984740745262"/>
        <bgColor indexed="64"/>
      </patternFill>
    </fill>
    <fill>
      <patternFill patternType="solid">
        <fgColor rgb="FFD9D9D9"/>
        <bgColor rgb="FF000000"/>
      </patternFill>
    </fill>
    <fill>
      <patternFill patternType="solid">
        <fgColor theme="4" tint="0.79998168889431442"/>
        <bgColor indexed="64"/>
      </patternFill>
    </fill>
    <fill>
      <patternFill patternType="solid">
        <fgColor theme="0" tint="-0.249977111117893"/>
        <bgColor rgb="FF000000"/>
      </patternFill>
    </fill>
    <fill>
      <patternFill patternType="solid">
        <fgColor theme="2" tint="-0.499984740745262"/>
        <bgColor indexed="64"/>
      </patternFill>
    </fill>
    <fill>
      <patternFill patternType="solid">
        <fgColor theme="1" tint="0.34998626667073579"/>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5B9BD7"/>
        <bgColor indexed="64"/>
      </patternFill>
    </fill>
  </fills>
  <borders count="72">
    <border>
      <left/>
      <right/>
      <top/>
      <bottom/>
      <diagonal/>
    </border>
    <border>
      <left style="thin">
        <color rgb="FFBDD7EF"/>
      </left>
      <right style="thin">
        <color rgb="FFBDD7EF"/>
      </right>
      <top style="thin">
        <color rgb="FFBDD7EF"/>
      </top>
      <bottom style="thin">
        <color rgb="FFBDD7EF"/>
      </bottom>
      <diagonal/>
    </border>
    <border>
      <left style="thin">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theme="0" tint="-4.9989318521683403E-2"/>
      </left>
      <right style="thin">
        <color theme="0" tint="-4.9989318521683403E-2"/>
      </right>
      <top style="medium">
        <color auto="1"/>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style="thin">
        <color theme="0" tint="-4.9989318521683403E-2"/>
      </left>
      <right style="thin">
        <color theme="0" tint="-4.9989318521683403E-2"/>
      </right>
      <top/>
      <bottom style="thin">
        <color theme="0" tint="-0.34998626667073579"/>
      </bottom>
      <diagonal/>
    </border>
    <border>
      <left style="thin">
        <color theme="0" tint="-0.34998626667073579"/>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theme="0" tint="-4.9989318521683403E-2"/>
      </left>
      <right/>
      <top style="medium">
        <color auto="1"/>
      </top>
      <bottom style="thin">
        <color theme="0" tint="-4.9989318521683403E-2"/>
      </bottom>
      <diagonal/>
    </border>
    <border>
      <left/>
      <right style="thin">
        <color theme="0" tint="-4.9989318521683403E-2"/>
      </right>
      <top style="medium">
        <color auto="1"/>
      </top>
      <bottom style="thin">
        <color theme="0" tint="-4.9989318521683403E-2"/>
      </bottom>
      <diagonal/>
    </border>
    <border>
      <left style="thin">
        <color rgb="FFBDD7EF"/>
      </left>
      <right style="thin">
        <color rgb="FFBDD7EF"/>
      </right>
      <top style="thin">
        <color rgb="FFBDD7EF"/>
      </top>
      <bottom/>
      <diagonal/>
    </border>
    <border>
      <left style="thin">
        <color rgb="FFBDD7EF"/>
      </left>
      <right/>
      <top style="thin">
        <color rgb="FFBDD7EF"/>
      </top>
      <bottom style="thin">
        <color rgb="FFBDD7EF"/>
      </bottom>
      <diagonal/>
    </border>
    <border>
      <left style="thin">
        <color theme="0" tint="-0.34998626667073579"/>
      </left>
      <right style="thin">
        <color theme="0" tint="-0.34998626667073579"/>
      </right>
      <top style="thin">
        <color theme="0" tint="-0.34998626667073579"/>
      </top>
      <bottom style="medium">
        <color auto="1"/>
      </bottom>
      <diagonal/>
    </border>
    <border>
      <left style="thin">
        <color theme="0" tint="-4.9989318521683403E-2"/>
      </left>
      <right style="thin">
        <color theme="0" tint="-4.9989318521683403E-2"/>
      </right>
      <top/>
      <bottom style="medium">
        <color auto="1"/>
      </bottom>
      <diagonal/>
    </border>
    <border>
      <left style="thin">
        <color theme="0" tint="-0.34998626667073579"/>
      </left>
      <right/>
      <top/>
      <bottom style="medium">
        <color auto="1"/>
      </bottom>
      <diagonal/>
    </border>
    <border>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top/>
      <bottom/>
      <diagonal/>
    </border>
    <border>
      <left/>
      <right/>
      <top/>
      <bottom style="thin">
        <color theme="0" tint="-0.34998626667073579"/>
      </bottom>
      <diagonal/>
    </border>
    <border>
      <left/>
      <right style="thin">
        <color theme="0" tint="-4.9989318521683403E-2"/>
      </right>
      <top/>
      <bottom style="thin">
        <color theme="0" tint="-0.34998626667073579"/>
      </bottom>
      <diagonal/>
    </border>
    <border>
      <left style="thin">
        <color theme="0" tint="-4.9989318521683403E-2"/>
      </left>
      <right/>
      <top/>
      <bottom style="thin">
        <color theme="0" tint="-0.34998626667073579"/>
      </bottom>
      <diagonal/>
    </border>
    <border>
      <left style="thin">
        <color theme="0" tint="-4.9989318521683403E-2"/>
      </left>
      <right style="thin">
        <color theme="0" tint="-4.9989318521683403E-2"/>
      </right>
      <top style="thin">
        <color theme="0" tint="-0.34998626667073579"/>
      </top>
      <bottom style="medium">
        <color auto="1"/>
      </bottom>
      <diagonal/>
    </border>
    <border>
      <left style="thin">
        <color theme="0" tint="-0.34998626667073579"/>
      </left>
      <right/>
      <top style="thin">
        <color theme="0" tint="-0.34998626667073579"/>
      </top>
      <bottom style="thin">
        <color theme="0" tint="-0.34998626667073579"/>
      </bottom>
      <diagonal/>
    </border>
    <border>
      <left style="thin">
        <color rgb="FFA6A6A6"/>
      </left>
      <right style="thin">
        <color rgb="FFA6A6A6"/>
      </right>
      <top style="thin">
        <color rgb="FFA6A6A6"/>
      </top>
      <bottom style="thin">
        <color rgb="FFA6A6A6"/>
      </bottom>
      <diagonal/>
    </border>
    <border>
      <left style="thin">
        <color theme="0" tint="-0.34998626667073579"/>
      </left>
      <right/>
      <top style="medium">
        <color auto="1"/>
      </top>
      <bottom style="thin">
        <color theme="0" tint="-0.34998626667073579"/>
      </bottom>
      <diagonal/>
    </border>
    <border>
      <left/>
      <right/>
      <top style="medium">
        <color auto="1"/>
      </top>
      <bottom style="thin">
        <color theme="0" tint="-0.34998626667073579"/>
      </bottom>
      <diagonal/>
    </border>
    <border>
      <left/>
      <right style="thin">
        <color theme="0" tint="-0.34998626667073579"/>
      </right>
      <top style="medium">
        <color auto="1"/>
      </top>
      <bottom style="thin">
        <color theme="0" tint="-0.34998626667073579"/>
      </bottom>
      <diagonal/>
    </border>
    <border>
      <left style="thin">
        <color theme="0" tint="-0.34998626667073579"/>
      </left>
      <right/>
      <top style="thin">
        <color theme="0" tint="-0.34998626667073579"/>
      </top>
      <bottom style="medium">
        <color auto="1"/>
      </bottom>
      <diagonal/>
    </border>
    <border>
      <left/>
      <right/>
      <top style="thin">
        <color theme="0" tint="-0.34998626667073579"/>
      </top>
      <bottom style="medium">
        <color auto="1"/>
      </bottom>
      <diagonal/>
    </border>
    <border>
      <left/>
      <right style="thin">
        <color theme="0" tint="-0.34998626667073579"/>
      </right>
      <top style="thin">
        <color theme="0" tint="-0.34998626667073579"/>
      </top>
      <bottom style="medium">
        <color auto="1"/>
      </bottom>
      <diagonal/>
    </border>
    <border>
      <left/>
      <right/>
      <top style="medium">
        <color auto="1"/>
      </top>
      <bottom/>
      <diagonal/>
    </border>
    <border>
      <left style="thin">
        <color theme="0" tint="-4.9989318521683403E-2"/>
      </left>
      <right/>
      <top style="medium">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rgb="FFBDD7EE"/>
      </left>
      <right style="thin">
        <color rgb="FFBDD7EE"/>
      </right>
      <top style="thin">
        <color rgb="FFBDD7EE"/>
      </top>
      <bottom style="thin">
        <color rgb="FFBDD7EE"/>
      </bottom>
      <diagonal/>
    </border>
    <border>
      <left/>
      <right style="thin">
        <color theme="0" tint="-4.9989318521683403E-2"/>
      </right>
      <top style="medium">
        <color auto="1"/>
      </top>
      <bottom/>
      <diagonal/>
    </border>
    <border>
      <left/>
      <right style="thin">
        <color theme="0" tint="-0.34998626667073579"/>
      </right>
      <top style="thin">
        <color theme="0" tint="-0.34998626667073579"/>
      </top>
      <bottom style="thin">
        <color theme="0" tint="-0.34998626667073579"/>
      </bottom>
      <diagonal/>
    </border>
    <border>
      <left/>
      <right/>
      <top/>
      <bottom style="thin">
        <color auto="1"/>
      </bottom>
      <diagonal/>
    </border>
    <border>
      <left/>
      <right style="thin">
        <color theme="0" tint="-4.9989318521683403E-2"/>
      </right>
      <top/>
      <bottom style="thin">
        <color theme="4" tint="0.59996337778862885"/>
      </bottom>
      <diagonal/>
    </border>
    <border>
      <left style="thin">
        <color theme="0" tint="-4.9989318521683403E-2"/>
      </left>
      <right/>
      <top/>
      <bottom style="thin">
        <color auto="1"/>
      </bottom>
      <diagonal/>
    </border>
    <border>
      <left style="thin">
        <color theme="0" tint="-0.34998626667073579"/>
      </left>
      <right style="thin">
        <color theme="0" tint="-0.34998626667073579"/>
      </right>
      <top/>
      <bottom style="thin">
        <color theme="0" tint="-0.34998626667073579"/>
      </bottom>
      <diagonal/>
    </border>
    <border>
      <left style="thin">
        <color auto="1"/>
      </left>
      <right style="thin">
        <color auto="1"/>
      </right>
      <top style="thin">
        <color auto="1"/>
      </top>
      <bottom style="medium">
        <color auto="1"/>
      </bottom>
      <diagonal/>
    </border>
    <border>
      <left/>
      <right/>
      <top style="thin">
        <color auto="1"/>
      </top>
      <bottom/>
      <diagonal/>
    </border>
    <border>
      <left style="thin">
        <color theme="0" tint="-0.34998626667073579"/>
      </left>
      <right/>
      <top style="medium">
        <color auto="1"/>
      </top>
      <bottom/>
      <diagonal/>
    </border>
    <border>
      <left/>
      <right style="thin">
        <color theme="0" tint="-0.34998626667073579"/>
      </right>
      <top style="medium">
        <color auto="1"/>
      </top>
      <bottom/>
      <diagonal/>
    </border>
    <border>
      <left/>
      <right/>
      <top/>
      <bottom style="medium">
        <color auto="1"/>
      </bottom>
      <diagonal/>
    </border>
    <border>
      <left/>
      <right style="thin">
        <color theme="0" tint="-0.34998626667073579"/>
      </right>
      <top/>
      <bottom style="medium">
        <color auto="1"/>
      </bottom>
      <diagonal/>
    </border>
    <border>
      <left style="thin">
        <color theme="4" tint="0.59996337778862885"/>
      </left>
      <right style="thin">
        <color theme="0"/>
      </right>
      <top style="thin">
        <color theme="0" tint="-0.34998626667073579"/>
      </top>
      <bottom style="thin">
        <color theme="4" tint="0.59996337778862885"/>
      </bottom>
      <diagonal/>
    </border>
    <border>
      <left/>
      <right style="thin">
        <color rgb="FFA6A6A6"/>
      </right>
      <top style="thin">
        <color rgb="FFA6A6A6"/>
      </top>
      <bottom style="thin">
        <color rgb="FFA6A6A6"/>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4" tint="0.59996337778862885"/>
      </left>
      <right style="thin">
        <color theme="0"/>
      </right>
      <top style="thin">
        <color theme="4" tint="0.59996337778862885"/>
      </top>
      <bottom style="thin">
        <color theme="4" tint="0.59996337778862885"/>
      </bottom>
      <diagonal/>
    </border>
    <border>
      <left style="thin">
        <color theme="0" tint="-0.34998626667073579"/>
      </left>
      <right style="thin">
        <color theme="0" tint="-0.34998626667073579"/>
      </right>
      <top style="thin">
        <color theme="0" tint="-0.34998626667073579"/>
      </top>
      <bottom style="thin">
        <color theme="0" tint="-4.9989318521683403E-2"/>
      </bottom>
      <diagonal/>
    </border>
    <border>
      <left style="thin">
        <color theme="4" tint="0.59996337778862885"/>
      </left>
      <right style="thin">
        <color theme="4" tint="0.59996337778862885"/>
      </right>
      <top style="thin">
        <color theme="4" tint="0.59996337778862885"/>
      </top>
      <bottom style="thin">
        <color theme="0" tint="-4.9989318521683403E-2"/>
      </bottom>
      <diagonal/>
    </border>
    <border>
      <left style="thin">
        <color theme="4" tint="0.59996337778862885"/>
      </left>
      <right style="thin">
        <color theme="0"/>
      </right>
      <top style="thin">
        <color theme="4" tint="0.59996337778862885"/>
      </top>
      <bottom style="thin">
        <color theme="0" tint="-4.9989318521683403E-2"/>
      </bottom>
      <diagonal/>
    </border>
    <border>
      <left style="thin">
        <color rgb="FFA6A6A6"/>
      </left>
      <right style="thin">
        <color rgb="FFA6A6A6"/>
      </right>
      <top/>
      <bottom style="thin">
        <color rgb="FFA6A6A6"/>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theme="4" tint="0.59996337778862885"/>
      </left>
      <right/>
      <top style="medium">
        <color auto="1"/>
      </top>
      <bottom/>
      <diagonal/>
    </border>
    <border>
      <left style="thin">
        <color theme="4" tint="0.59996337778862885"/>
      </left>
      <right/>
      <top/>
      <bottom style="thin">
        <color theme="4" tint="0.59996337778862885"/>
      </bottom>
      <diagonal/>
    </border>
    <border>
      <left style="thin">
        <color theme="4" tint="0.59996337778862885"/>
      </left>
      <right style="thin">
        <color theme="4"/>
      </right>
      <top style="thin">
        <color theme="4" tint="0.59996337778862885"/>
      </top>
      <bottom style="thin">
        <color theme="4" tint="0.59996337778862885"/>
      </bottom>
      <diagonal/>
    </border>
    <border>
      <left style="thin">
        <color auto="1"/>
      </left>
      <right style="thin">
        <color auto="1"/>
      </right>
      <top style="thin">
        <color auto="1"/>
      </top>
      <bottom style="thin">
        <color auto="1"/>
      </bottom>
      <diagonal/>
    </border>
    <border>
      <left style="thin">
        <color theme="0" tint="-0.34998626667073579"/>
      </left>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int="0.59996337778862885"/>
      </top>
      <bottom/>
      <diagonal/>
    </border>
  </borders>
  <cellStyleXfs count="6">
    <xf numFmtId="0" fontId="0" fillId="0" borderId="0"/>
    <xf numFmtId="0" fontId="1" fillId="2" borderId="0" applyNumberFormat="0" applyBorder="0" applyAlignment="0" applyProtection="0"/>
    <xf numFmtId="0" fontId="6" fillId="0" borderId="0"/>
    <xf numFmtId="43" fontId="11" fillId="0" borderId="0" applyFont="0" applyFill="0" applyBorder="0" applyAlignment="0" applyProtection="0"/>
    <xf numFmtId="0" fontId="25" fillId="0" borderId="0"/>
    <xf numFmtId="9" fontId="11" fillId="0" borderId="0" applyFont="0" applyFill="0" applyBorder="0" applyAlignment="0" applyProtection="0"/>
  </cellStyleXfs>
  <cellXfs count="259">
    <xf numFmtId="0" fontId="0" fillId="0" borderId="0" xfId="0"/>
    <xf numFmtId="0" fontId="2" fillId="3" borderId="1" xfId="0" applyFont="1" applyFill="1" applyBorder="1" applyAlignment="1">
      <alignment horizontal="center" vertical="center" wrapText="1"/>
    </xf>
    <xf numFmtId="0" fontId="0" fillId="4" borderId="0" xfId="0" applyFill="1"/>
    <xf numFmtId="0" fontId="4" fillId="4" borderId="0" xfId="0" applyFont="1" applyFill="1"/>
    <xf numFmtId="0" fontId="5" fillId="5" borderId="1" xfId="0" applyFont="1" applyFill="1" applyBorder="1" applyAlignment="1">
      <alignment horizontal="center" vertical="center"/>
    </xf>
    <xf numFmtId="0" fontId="0" fillId="6" borderId="0" xfId="0" applyFill="1"/>
    <xf numFmtId="0" fontId="0" fillId="6" borderId="0" xfId="0" applyFill="1" applyAlignment="1" applyProtection="1">
      <alignment horizontal="center"/>
      <protection locked="0"/>
    </xf>
    <xf numFmtId="0" fontId="0" fillId="6" borderId="0" xfId="0" applyFill="1" applyProtection="1">
      <protection locked="0"/>
    </xf>
    <xf numFmtId="0" fontId="3" fillId="7" borderId="2" xfId="2" applyFont="1" applyFill="1" applyBorder="1" applyAlignment="1" applyProtection="1">
      <alignment horizontal="left" indent="3"/>
      <protection locked="0"/>
    </xf>
    <xf numFmtId="0" fontId="3" fillId="7" borderId="3" xfId="2" applyFont="1" applyFill="1" applyBorder="1" applyProtection="1">
      <protection locked="0"/>
    </xf>
    <xf numFmtId="0" fontId="3" fillId="7" borderId="4" xfId="2" applyFont="1" applyFill="1" applyBorder="1" applyProtection="1">
      <protection locked="0"/>
    </xf>
    <xf numFmtId="164" fontId="6" fillId="9" borderId="6" xfId="2" applyNumberFormat="1" applyFill="1" applyBorder="1" applyAlignment="1">
      <alignment horizontal="center" vertical="center"/>
    </xf>
    <xf numFmtId="164" fontId="8" fillId="9" borderId="6" xfId="2" applyNumberFormat="1" applyFont="1" applyFill="1" applyBorder="1" applyAlignment="1">
      <alignment horizontal="center" vertical="center"/>
    </xf>
    <xf numFmtId="164" fontId="1" fillId="2" borderId="7" xfId="1" applyNumberFormat="1" applyBorder="1" applyAlignment="1" applyProtection="1">
      <alignment horizontal="center"/>
      <protection locked="0"/>
    </xf>
    <xf numFmtId="0" fontId="1" fillId="2" borderId="8" xfId="1" applyNumberFormat="1" applyBorder="1" applyAlignment="1" applyProtection="1">
      <alignment horizontal="center" vertical="center"/>
      <protection locked="0"/>
    </xf>
    <xf numFmtId="164" fontId="6" fillId="9" borderId="9" xfId="2" applyNumberFormat="1" applyFill="1" applyBorder="1" applyAlignment="1">
      <alignment horizontal="center" vertical="center"/>
    </xf>
    <xf numFmtId="1" fontId="6" fillId="9" borderId="6" xfId="2" applyNumberFormat="1" applyFill="1" applyBorder="1" applyAlignment="1">
      <alignment horizontal="center" vertical="center"/>
    </xf>
    <xf numFmtId="164" fontId="6" fillId="6" borderId="0" xfId="2" applyNumberFormat="1" applyFill="1" applyAlignment="1" applyProtection="1">
      <alignment horizontal="center" vertical="center"/>
      <protection locked="0"/>
    </xf>
    <xf numFmtId="0" fontId="3" fillId="7" borderId="10" xfId="2" applyFont="1" applyFill="1" applyBorder="1" applyAlignment="1" applyProtection="1">
      <alignment horizontal="left" indent="3"/>
      <protection locked="0"/>
    </xf>
    <xf numFmtId="0" fontId="9" fillId="7" borderId="11" xfId="2" applyFont="1" applyFill="1" applyBorder="1" applyAlignment="1" applyProtection="1">
      <alignment vertical="center"/>
      <protection locked="0"/>
    </xf>
    <xf numFmtId="0" fontId="9" fillId="7" borderId="12" xfId="2" applyFont="1" applyFill="1" applyBorder="1" applyAlignment="1" applyProtection="1">
      <alignment vertical="center"/>
      <protection locked="0"/>
    </xf>
    <xf numFmtId="9" fontId="1" fillId="2" borderId="2" xfId="1" applyNumberFormat="1" applyBorder="1" applyAlignment="1" applyProtection="1">
      <alignment horizontal="center"/>
      <protection locked="0"/>
    </xf>
    <xf numFmtId="0" fontId="6" fillId="8" borderId="8" xfId="2" applyFill="1" applyBorder="1" applyAlignment="1">
      <alignment horizontal="center" vertical="center"/>
    </xf>
    <xf numFmtId="0" fontId="6" fillId="7" borderId="10" xfId="2" applyFill="1" applyBorder="1" applyProtection="1">
      <protection locked="0"/>
    </xf>
    <xf numFmtId="0" fontId="6" fillId="7" borderId="11" xfId="2" applyFill="1" applyBorder="1" applyProtection="1">
      <protection locked="0"/>
    </xf>
    <xf numFmtId="0" fontId="6" fillId="7" borderId="12" xfId="2" applyFill="1" applyBorder="1" applyProtection="1">
      <protection locked="0"/>
    </xf>
    <xf numFmtId="0" fontId="0" fillId="10" borderId="0" xfId="0" quotePrefix="1" applyFill="1" applyAlignment="1">
      <alignment horizontal="center" vertical="center"/>
    </xf>
    <xf numFmtId="0" fontId="0" fillId="10" borderId="0" xfId="0" quotePrefix="1" applyFill="1"/>
    <xf numFmtId="0" fontId="0" fillId="10" borderId="0" xfId="0" applyFill="1"/>
    <xf numFmtId="0" fontId="0" fillId="0" borderId="0" xfId="0" applyAlignment="1">
      <alignment horizontal="center" vertical="center"/>
    </xf>
    <xf numFmtId="0" fontId="2" fillId="3" borderId="15" xfId="0" applyFont="1" applyFill="1" applyBorder="1" applyAlignment="1">
      <alignment horizontal="center" vertical="center" wrapText="1"/>
    </xf>
    <xf numFmtId="0" fontId="5" fillId="5" borderId="16" xfId="0" applyFont="1" applyFill="1" applyBorder="1" applyAlignment="1">
      <alignment horizontal="center" vertical="center"/>
    </xf>
    <xf numFmtId="0" fontId="12" fillId="6" borderId="0" xfId="0" applyFont="1" applyFill="1" applyAlignment="1" applyProtection="1">
      <alignment horizontal="center"/>
      <protection locked="0"/>
    </xf>
    <xf numFmtId="0" fontId="13" fillId="7" borderId="3" xfId="2" applyFont="1" applyFill="1" applyBorder="1" applyProtection="1">
      <protection locked="0"/>
    </xf>
    <xf numFmtId="164" fontId="15" fillId="9" borderId="6" xfId="2" applyNumberFormat="1" applyFont="1" applyFill="1" applyBorder="1" applyAlignment="1">
      <alignment horizontal="center" vertical="center"/>
    </xf>
    <xf numFmtId="164" fontId="16" fillId="9" borderId="6" xfId="2" applyNumberFormat="1" applyFont="1" applyFill="1" applyBorder="1" applyAlignment="1">
      <alignment horizontal="center" vertical="center"/>
    </xf>
    <xf numFmtId="165" fontId="1" fillId="2" borderId="7" xfId="1" applyNumberFormat="1" applyBorder="1" applyAlignment="1" applyProtection="1">
      <alignment horizontal="center"/>
      <protection locked="0"/>
    </xf>
    <xf numFmtId="164" fontId="15" fillId="9" borderId="17" xfId="2" applyNumberFormat="1" applyFont="1" applyFill="1" applyBorder="1" applyAlignment="1">
      <alignment horizontal="center" vertical="center"/>
    </xf>
    <xf numFmtId="164" fontId="16" fillId="9" borderId="17" xfId="2" applyNumberFormat="1" applyFont="1" applyFill="1" applyBorder="1" applyAlignment="1">
      <alignment horizontal="center" vertical="center"/>
    </xf>
    <xf numFmtId="0" fontId="1" fillId="2" borderId="18" xfId="1" applyNumberFormat="1" applyBorder="1" applyAlignment="1" applyProtection="1">
      <alignment horizontal="center" vertical="center"/>
      <protection locked="0"/>
    </xf>
    <xf numFmtId="165" fontId="6" fillId="9" borderId="19" xfId="2" applyNumberFormat="1" applyFill="1" applyBorder="1" applyAlignment="1">
      <alignment horizontal="center" vertical="center"/>
    </xf>
    <xf numFmtId="0" fontId="17" fillId="7" borderId="10" xfId="2" applyFont="1" applyFill="1" applyBorder="1" applyAlignment="1" applyProtection="1">
      <alignment horizontal="center" vertical="center"/>
      <protection locked="0"/>
    </xf>
    <xf numFmtId="0" fontId="17" fillId="7" borderId="11" xfId="2" applyFont="1" applyFill="1" applyBorder="1" applyAlignment="1" applyProtection="1">
      <alignment horizontal="left" vertical="center"/>
      <protection locked="0"/>
    </xf>
    <xf numFmtId="43" fontId="0" fillId="6" borderId="0" xfId="3" applyFont="1" applyFill="1"/>
    <xf numFmtId="0" fontId="2" fillId="3" borderId="1" xfId="0" applyFont="1" applyFill="1" applyBorder="1" applyAlignment="1">
      <alignment horizontal="center" wrapText="1"/>
    </xf>
    <xf numFmtId="0" fontId="5" fillId="5" borderId="1" xfId="0" applyFont="1" applyFill="1" applyBorder="1" applyAlignment="1">
      <alignment horizontal="center"/>
    </xf>
    <xf numFmtId="0" fontId="5" fillId="5" borderId="16" xfId="0" applyFont="1" applyFill="1" applyBorder="1" applyAlignment="1">
      <alignment horizontal="center"/>
    </xf>
    <xf numFmtId="0" fontId="0" fillId="11" borderId="0" xfId="0" applyFill="1" applyProtection="1">
      <protection locked="0"/>
    </xf>
    <xf numFmtId="164" fontId="21" fillId="9" borderId="6" xfId="2" applyNumberFormat="1" applyFont="1" applyFill="1" applyBorder="1" applyAlignment="1">
      <alignment horizontal="center" vertical="center"/>
    </xf>
    <xf numFmtId="164" fontId="22" fillId="9" borderId="6" xfId="2" applyNumberFormat="1" applyFont="1" applyFill="1" applyBorder="1" applyAlignment="1">
      <alignment horizontal="center" vertical="center"/>
    </xf>
    <xf numFmtId="164" fontId="21" fillId="9" borderId="17" xfId="2" applyNumberFormat="1" applyFont="1" applyFill="1" applyBorder="1" applyAlignment="1">
      <alignment horizontal="center" vertical="center"/>
    </xf>
    <xf numFmtId="164" fontId="22" fillId="9" borderId="17" xfId="2" applyNumberFormat="1" applyFont="1" applyFill="1" applyBorder="1" applyAlignment="1">
      <alignment horizontal="center" vertical="center"/>
    </xf>
    <xf numFmtId="0" fontId="1" fillId="2" borderId="26" xfId="1" applyNumberFormat="1" applyBorder="1" applyAlignment="1" applyProtection="1">
      <alignment horizontal="center" vertical="center"/>
      <protection locked="0"/>
    </xf>
    <xf numFmtId="164" fontId="6" fillId="9" borderId="27" xfId="2" applyNumberFormat="1" applyFill="1" applyBorder="1" applyAlignment="1">
      <alignment horizontal="center" vertical="center"/>
    </xf>
    <xf numFmtId="0" fontId="9" fillId="7" borderId="11" xfId="2" applyFont="1" applyFill="1" applyBorder="1" applyAlignment="1" applyProtection="1">
      <alignment horizontal="center" vertical="center"/>
      <protection locked="0"/>
    </xf>
    <xf numFmtId="0" fontId="0" fillId="10" borderId="0" xfId="0" quotePrefix="1" applyFill="1" applyAlignment="1">
      <alignment horizontal="center"/>
    </xf>
    <xf numFmtId="0" fontId="0" fillId="0" borderId="0" xfId="0" applyAlignment="1">
      <alignment horizontal="center"/>
    </xf>
    <xf numFmtId="0" fontId="6" fillId="8" borderId="5" xfId="2" applyFill="1" applyBorder="1" applyAlignment="1">
      <alignment horizontal="center" wrapText="1"/>
    </xf>
    <xf numFmtId="0" fontId="6" fillId="8" borderId="8" xfId="2" applyFill="1" applyBorder="1" applyAlignment="1">
      <alignment horizontal="center" vertical="center"/>
    </xf>
    <xf numFmtId="0" fontId="0" fillId="0" borderId="0" xfId="0" applyAlignment="1" applyProtection="1">
      <alignment vertical="center"/>
      <protection locked="0"/>
    </xf>
    <xf numFmtId="164" fontId="6" fillId="9" borderId="0" xfId="2" applyNumberFormat="1" applyFill="1" applyAlignment="1">
      <alignment horizontal="center" vertical="center"/>
    </xf>
    <xf numFmtId="0" fontId="6" fillId="8" borderId="36" xfId="2" applyFill="1" applyBorder="1" applyAlignment="1">
      <alignment horizontal="center" wrapText="1"/>
    </xf>
    <xf numFmtId="164" fontId="6" fillId="8" borderId="36" xfId="2" applyNumberFormat="1" applyFill="1" applyBorder="1" applyAlignment="1">
      <alignment horizontal="center" wrapText="1"/>
    </xf>
    <xf numFmtId="1" fontId="6" fillId="8" borderId="36" xfId="2" applyNumberFormat="1" applyFill="1" applyBorder="1" applyAlignment="1">
      <alignment horizontal="center" wrapText="1"/>
    </xf>
    <xf numFmtId="164" fontId="14" fillId="9" borderId="6" xfId="2" applyNumberFormat="1" applyFont="1" applyFill="1" applyBorder="1" applyAlignment="1">
      <alignment horizontal="center" vertical="center"/>
    </xf>
    <xf numFmtId="0" fontId="25" fillId="13" borderId="0" xfId="4" applyFill="1" applyProtection="1">
      <protection locked="0"/>
    </xf>
    <xf numFmtId="164" fontId="26" fillId="9" borderId="6" xfId="2" applyNumberFormat="1" applyFont="1" applyFill="1" applyBorder="1" applyAlignment="1">
      <alignment horizontal="center" vertical="center"/>
    </xf>
    <xf numFmtId="0" fontId="27" fillId="11" borderId="10" xfId="2" applyFont="1" applyFill="1" applyBorder="1" applyAlignment="1">
      <alignment horizontal="left" indent="2"/>
    </xf>
    <xf numFmtId="0" fontId="1" fillId="2" borderId="8" xfId="1" applyBorder="1" applyAlignment="1" applyProtection="1">
      <alignment horizontal="center" vertical="center"/>
      <protection locked="0"/>
    </xf>
    <xf numFmtId="0" fontId="1" fillId="2" borderId="39" xfId="1" applyBorder="1" applyAlignment="1" applyProtection="1">
      <alignment horizontal="center"/>
      <protection locked="0"/>
    </xf>
    <xf numFmtId="164" fontId="28" fillId="9" borderId="40" xfId="1" applyNumberFormat="1" applyFont="1" applyFill="1" applyBorder="1" applyAlignment="1">
      <alignment horizontal="center"/>
    </xf>
    <xf numFmtId="164" fontId="6" fillId="9" borderId="27" xfId="2" applyNumberFormat="1" applyFill="1" applyBorder="1" applyAlignment="1">
      <alignment horizontal="center" vertical="center"/>
    </xf>
    <xf numFmtId="9" fontId="1" fillId="2" borderId="2" xfId="1" applyNumberFormat="1" applyBorder="1" applyAlignment="1" applyProtection="1">
      <alignment horizontal="right"/>
      <protection locked="0"/>
    </xf>
    <xf numFmtId="0" fontId="6" fillId="7" borderId="37" xfId="2" applyFill="1" applyBorder="1" applyAlignment="1" applyProtection="1">
      <alignment horizontal="right"/>
      <protection locked="0"/>
    </xf>
    <xf numFmtId="0" fontId="6" fillId="7" borderId="43" xfId="2" applyFill="1" applyBorder="1" applyAlignment="1" applyProtection="1">
      <alignment horizontal="right"/>
      <protection locked="0"/>
    </xf>
    <xf numFmtId="0" fontId="6" fillId="7" borderId="38" xfId="2" applyFill="1" applyBorder="1" applyAlignment="1" applyProtection="1">
      <alignment horizontal="right"/>
      <protection locked="0"/>
    </xf>
    <xf numFmtId="164" fontId="6" fillId="9" borderId="6" xfId="2" applyNumberFormat="1" applyFill="1" applyBorder="1" applyAlignment="1">
      <alignment horizontal="center"/>
    </xf>
    <xf numFmtId="0" fontId="27" fillId="11" borderId="10" xfId="2" applyFont="1" applyFill="1" applyBorder="1" applyAlignment="1" applyProtection="1">
      <alignment horizontal="left" indent="2"/>
      <protection locked="0"/>
    </xf>
    <xf numFmtId="0" fontId="27" fillId="11" borderId="11" xfId="2" applyFont="1" applyFill="1" applyBorder="1"/>
    <xf numFmtId="0" fontId="29" fillId="11" borderId="12" xfId="2" applyFont="1" applyFill="1" applyBorder="1"/>
    <xf numFmtId="164" fontId="6" fillId="9" borderId="17" xfId="2" applyNumberFormat="1" applyFill="1" applyBorder="1" applyAlignment="1">
      <alignment horizontal="center" vertical="center"/>
    </xf>
    <xf numFmtId="0" fontId="30" fillId="2" borderId="26" xfId="1" applyNumberFormat="1" applyFont="1" applyBorder="1" applyAlignment="1" applyProtection="1">
      <alignment horizontal="center" vertical="center"/>
      <protection locked="0"/>
    </xf>
    <xf numFmtId="0" fontId="1" fillId="2" borderId="39" xfId="1" applyNumberFormat="1" applyBorder="1" applyAlignment="1" applyProtection="1">
      <alignment horizontal="center" vertical="center"/>
      <protection locked="0"/>
    </xf>
    <xf numFmtId="164" fontId="28" fillId="9" borderId="40" xfId="1" applyNumberFormat="1" applyFont="1" applyFill="1" applyBorder="1" applyAlignment="1" applyProtection="1">
      <alignment horizontal="center"/>
    </xf>
    <xf numFmtId="0" fontId="3" fillId="7" borderId="47" xfId="2" applyFont="1" applyFill="1" applyBorder="1" applyAlignment="1" applyProtection="1">
      <alignment horizontal="left" indent="3"/>
      <protection locked="0"/>
    </xf>
    <xf numFmtId="0" fontId="29" fillId="11" borderId="11" xfId="2" applyFont="1" applyFill="1" applyBorder="1"/>
    <xf numFmtId="0" fontId="29" fillId="11" borderId="12" xfId="2" applyFont="1" applyFill="1" applyBorder="1" applyAlignment="1">
      <alignment horizontal="center" vertical="center"/>
    </xf>
    <xf numFmtId="0" fontId="9" fillId="7" borderId="3" xfId="2" applyFont="1" applyFill="1" applyBorder="1" applyAlignment="1" applyProtection="1">
      <alignment horizontal="center" vertical="center"/>
      <protection locked="0"/>
    </xf>
    <xf numFmtId="0" fontId="9" fillId="7" borderId="3" xfId="2" applyFont="1" applyFill="1" applyBorder="1" applyAlignment="1" applyProtection="1">
      <alignment vertical="center"/>
      <protection locked="0"/>
    </xf>
    <xf numFmtId="0" fontId="9" fillId="7" borderId="4" xfId="2" applyFont="1" applyFill="1" applyBorder="1" applyAlignment="1" applyProtection="1">
      <alignment vertical="center"/>
      <protection locked="0"/>
    </xf>
    <xf numFmtId="0" fontId="6" fillId="7" borderId="43" xfId="2" applyFill="1" applyBorder="1" applyAlignment="1" applyProtection="1">
      <alignment horizontal="center"/>
      <protection locked="0"/>
    </xf>
    <xf numFmtId="164" fontId="6" fillId="9" borderId="17" xfId="2" applyNumberFormat="1" applyFont="1" applyFill="1" applyBorder="1" applyAlignment="1">
      <alignment horizontal="center"/>
    </xf>
    <xf numFmtId="0" fontId="9" fillId="7" borderId="48" xfId="2" applyFont="1" applyFill="1" applyBorder="1" applyAlignment="1" applyProtection="1">
      <alignment vertical="center"/>
      <protection locked="0"/>
    </xf>
    <xf numFmtId="0" fontId="33" fillId="14" borderId="11" xfId="2" applyFont="1" applyFill="1" applyBorder="1" applyAlignment="1">
      <alignment vertical="center"/>
    </xf>
    <xf numFmtId="0" fontId="33" fillId="14" borderId="12" xfId="2" applyFont="1" applyFill="1" applyBorder="1" applyAlignment="1">
      <alignment vertical="center"/>
    </xf>
    <xf numFmtId="0" fontId="35" fillId="15" borderId="11" xfId="0" applyFont="1" applyFill="1" applyBorder="1"/>
    <xf numFmtId="164" fontId="6" fillId="9" borderId="6" xfId="2" applyNumberFormat="1" applyFill="1" applyBorder="1" applyAlignment="1" applyProtection="1">
      <alignment horizontal="center" vertical="center"/>
      <protection locked="0"/>
    </xf>
    <xf numFmtId="0" fontId="36" fillId="16" borderId="39" xfId="2" applyFont="1" applyFill="1" applyBorder="1" applyAlignment="1" applyProtection="1">
      <alignment horizontal="center"/>
      <protection locked="0"/>
    </xf>
    <xf numFmtId="0" fontId="36" fillId="16" borderId="53" xfId="2" applyFont="1" applyFill="1" applyBorder="1" applyAlignment="1" applyProtection="1">
      <alignment horizontal="center"/>
      <protection locked="0"/>
    </xf>
    <xf numFmtId="1" fontId="34" fillId="17" borderId="54" xfId="0" applyNumberFormat="1" applyFont="1" applyFill="1" applyBorder="1" applyAlignment="1">
      <alignment horizontal="center" vertical="center"/>
    </xf>
    <xf numFmtId="164" fontId="6" fillId="8" borderId="55" xfId="2" applyNumberFormat="1" applyFill="1" applyBorder="1" applyAlignment="1">
      <alignment horizontal="center" vertical="center" wrapText="1"/>
    </xf>
    <xf numFmtId="165" fontId="6" fillId="9" borderId="6" xfId="2" applyNumberFormat="1" applyFill="1" applyBorder="1" applyAlignment="1">
      <alignment horizontal="center" vertical="center"/>
    </xf>
    <xf numFmtId="0" fontId="36" fillId="16" borderId="56" xfId="2" applyFont="1" applyFill="1" applyBorder="1" applyAlignment="1" applyProtection="1">
      <alignment horizontal="center"/>
      <protection locked="0"/>
    </xf>
    <xf numFmtId="164" fontId="6" fillId="9" borderId="57" xfId="2" applyNumberFormat="1" applyFill="1" applyBorder="1" applyAlignment="1" applyProtection="1">
      <alignment horizontal="center" vertical="center"/>
      <protection locked="0"/>
    </xf>
    <xf numFmtId="0" fontId="36" fillId="16" borderId="58" xfId="2" applyFont="1" applyFill="1" applyBorder="1" applyAlignment="1" applyProtection="1">
      <alignment horizontal="center"/>
      <protection locked="0"/>
    </xf>
    <xf numFmtId="0" fontId="36" fillId="16" borderId="59" xfId="2" applyFont="1" applyFill="1" applyBorder="1" applyAlignment="1" applyProtection="1">
      <alignment horizontal="center"/>
      <protection locked="0"/>
    </xf>
    <xf numFmtId="164" fontId="34" fillId="17" borderId="60" xfId="0" applyNumberFormat="1" applyFont="1" applyFill="1" applyBorder="1" applyAlignment="1">
      <alignment horizontal="center" vertical="center"/>
    </xf>
    <xf numFmtId="1" fontId="34" fillId="17" borderId="60" xfId="0" applyNumberFormat="1" applyFont="1" applyFill="1" applyBorder="1" applyAlignment="1">
      <alignment horizontal="center" vertical="center"/>
    </xf>
    <xf numFmtId="1" fontId="34" fillId="17" borderId="28" xfId="0" applyNumberFormat="1" applyFont="1" applyFill="1" applyBorder="1" applyAlignment="1">
      <alignment horizontal="center" vertical="center"/>
    </xf>
    <xf numFmtId="0" fontId="25" fillId="13" borderId="0" xfId="4" applyFill="1"/>
    <xf numFmtId="0" fontId="25" fillId="6" borderId="0" xfId="4" applyFill="1" applyProtection="1">
      <protection locked="0"/>
    </xf>
    <xf numFmtId="0" fontId="41" fillId="6" borderId="0" xfId="0" applyFont="1" applyFill="1"/>
    <xf numFmtId="0" fontId="13" fillId="7" borderId="4" xfId="2" applyFont="1" applyFill="1" applyBorder="1" applyProtection="1">
      <protection locked="0"/>
    </xf>
    <xf numFmtId="1" fontId="42" fillId="9" borderId="46" xfId="2" applyNumberFormat="1" applyFont="1" applyFill="1" applyBorder="1" applyAlignment="1">
      <alignment horizontal="center" vertical="center"/>
    </xf>
    <xf numFmtId="1" fontId="42" fillId="9" borderId="17" xfId="2" applyNumberFormat="1" applyFont="1" applyFill="1" applyBorder="1" applyAlignment="1">
      <alignment horizontal="center" vertical="center"/>
    </xf>
    <xf numFmtId="0" fontId="0" fillId="6" borderId="0" xfId="0" applyFill="1" applyAlignment="1" applyProtection="1">
      <alignment horizontal="center" wrapText="1"/>
      <protection locked="0"/>
    </xf>
    <xf numFmtId="0" fontId="10" fillId="7" borderId="11" xfId="2" applyFont="1" applyFill="1" applyBorder="1" applyAlignment="1" applyProtection="1">
      <alignment horizontal="center"/>
      <protection locked="0"/>
    </xf>
    <xf numFmtId="166" fontId="0" fillId="6" borderId="0" xfId="0" applyNumberFormat="1" applyFill="1" applyProtection="1">
      <protection locked="0"/>
    </xf>
    <xf numFmtId="0" fontId="1" fillId="2" borderId="67" xfId="1" applyNumberFormat="1" applyBorder="1" applyAlignment="1" applyProtection="1">
      <alignment horizontal="center" vertical="center" wrapText="1"/>
      <protection locked="0"/>
    </xf>
    <xf numFmtId="167" fontId="0" fillId="6" borderId="0" xfId="0" applyNumberFormat="1" applyFill="1" applyAlignment="1" applyProtection="1">
      <alignment horizontal="center"/>
      <protection locked="0"/>
    </xf>
    <xf numFmtId="0" fontId="0" fillId="11" borderId="0" xfId="0" applyFill="1"/>
    <xf numFmtId="164" fontId="44" fillId="9" borderId="6" xfId="2" applyNumberFormat="1" applyFont="1" applyFill="1" applyBorder="1" applyAlignment="1">
      <alignment horizontal="center" vertical="center"/>
    </xf>
    <xf numFmtId="0" fontId="41" fillId="10" borderId="0" xfId="0" applyFont="1" applyFill="1"/>
    <xf numFmtId="0" fontId="45" fillId="18" borderId="36" xfId="2" applyFont="1" applyFill="1" applyBorder="1" applyAlignment="1">
      <alignment horizontal="center" vertical="center" wrapText="1"/>
    </xf>
    <xf numFmtId="0" fontId="47" fillId="12" borderId="2" xfId="2" applyFont="1" applyFill="1" applyBorder="1" applyAlignment="1" applyProtection="1">
      <alignment vertical="top"/>
      <protection locked="0"/>
    </xf>
    <xf numFmtId="0" fontId="47" fillId="12" borderId="3" xfId="2" applyFont="1" applyFill="1" applyBorder="1" applyProtection="1">
      <protection locked="0"/>
    </xf>
    <xf numFmtId="0" fontId="47" fillId="12" borderId="4" xfId="2" applyFont="1" applyFill="1" applyBorder="1" applyProtection="1">
      <protection locked="0"/>
    </xf>
    <xf numFmtId="0" fontId="3" fillId="19" borderId="10" xfId="0" applyFont="1" applyFill="1" applyBorder="1" applyAlignment="1">
      <alignment horizontal="right"/>
    </xf>
    <xf numFmtId="0" fontId="0" fillId="19" borderId="12" xfId="0" applyFill="1" applyBorder="1"/>
    <xf numFmtId="0" fontId="49" fillId="21" borderId="11" xfId="0" applyFont="1" applyFill="1" applyBorder="1" applyAlignment="1">
      <alignment horizontal="center" vertical="center"/>
    </xf>
    <xf numFmtId="0" fontId="41" fillId="0" borderId="0" xfId="0" applyFont="1"/>
    <xf numFmtId="0" fontId="41" fillId="0" borderId="0" xfId="0" applyFont="1" applyAlignment="1">
      <alignment horizontal="right"/>
    </xf>
    <xf numFmtId="2" fontId="41" fillId="0" borderId="0" xfId="0" applyNumberFormat="1" applyFont="1"/>
    <xf numFmtId="0" fontId="41" fillId="0" borderId="0" xfId="0" applyFont="1" applyFill="1"/>
    <xf numFmtId="0" fontId="44" fillId="0" borderId="0" xfId="2" applyFont="1" applyFill="1" applyProtection="1">
      <protection locked="0"/>
    </xf>
    <xf numFmtId="2" fontId="41" fillId="0" borderId="0" xfId="0" applyNumberFormat="1" applyFont="1" applyFill="1"/>
    <xf numFmtId="0" fontId="41" fillId="20" borderId="0" xfId="0" applyFont="1" applyFill="1" applyAlignment="1">
      <alignment wrapText="1"/>
    </xf>
    <xf numFmtId="0" fontId="5" fillId="19" borderId="11" xfId="0" applyFont="1" applyFill="1" applyBorder="1"/>
    <xf numFmtId="0" fontId="48" fillId="0" borderId="0" xfId="0" applyFont="1"/>
    <xf numFmtId="164" fontId="6" fillId="9" borderId="27" xfId="2" applyNumberFormat="1" applyFill="1" applyBorder="1" applyAlignment="1">
      <alignment horizontal="center" vertical="center"/>
    </xf>
    <xf numFmtId="168" fontId="0" fillId="6" borderId="0" xfId="5" applyNumberFormat="1" applyFont="1" applyFill="1"/>
    <xf numFmtId="164" fontId="0" fillId="6" borderId="0" xfId="0" applyNumberFormat="1" applyFill="1" applyProtection="1">
      <protection locked="0"/>
    </xf>
    <xf numFmtId="0" fontId="51" fillId="7" borderId="11" xfId="2" applyFont="1" applyFill="1" applyBorder="1" applyAlignment="1" applyProtection="1">
      <alignment vertical="center"/>
      <protection locked="0"/>
    </xf>
    <xf numFmtId="0" fontId="51" fillId="7" borderId="12" xfId="2" applyFont="1" applyFill="1" applyBorder="1" applyAlignment="1" applyProtection="1">
      <alignment vertical="center"/>
      <protection locked="0"/>
    </xf>
    <xf numFmtId="0" fontId="52" fillId="7" borderId="11" xfId="2" applyFont="1" applyFill="1" applyBorder="1" applyAlignment="1" applyProtection="1">
      <alignment vertical="center"/>
      <protection locked="0"/>
    </xf>
    <xf numFmtId="0" fontId="0" fillId="22" borderId="0" xfId="0" applyFill="1"/>
    <xf numFmtId="0" fontId="3" fillId="7" borderId="11" xfId="2" applyFont="1" applyFill="1" applyBorder="1" applyAlignment="1" applyProtection="1">
      <alignment horizontal="left" indent="3"/>
      <protection locked="0"/>
    </xf>
    <xf numFmtId="0" fontId="3" fillId="7" borderId="11" xfId="2" applyFont="1" applyFill="1" applyBorder="1" applyAlignment="1" applyProtection="1">
      <alignment horizontal="right"/>
      <protection locked="0"/>
    </xf>
    <xf numFmtId="0" fontId="27" fillId="11" borderId="48" xfId="2" applyFont="1" applyFill="1" applyBorder="1"/>
    <xf numFmtId="0" fontId="25" fillId="13" borderId="68" xfId="4" applyFill="1" applyBorder="1" applyAlignment="1">
      <alignment horizontal="center" vertical="center"/>
    </xf>
    <xf numFmtId="0" fontId="27" fillId="11" borderId="48" xfId="2" applyFont="1" applyFill="1" applyBorder="1" applyAlignment="1">
      <alignment horizontal="center" vertical="center"/>
    </xf>
    <xf numFmtId="0" fontId="44" fillId="7" borderId="11" xfId="2" applyFont="1" applyFill="1" applyBorder="1" applyAlignment="1">
      <alignment horizontal="center"/>
    </xf>
    <xf numFmtId="164" fontId="6" fillId="9" borderId="69" xfId="2" applyNumberFormat="1" applyFill="1" applyBorder="1" applyAlignment="1">
      <alignment horizontal="center" vertical="center"/>
    </xf>
    <xf numFmtId="0" fontId="1" fillId="2" borderId="70" xfId="1" applyNumberFormat="1" applyBorder="1" applyAlignment="1" applyProtection="1">
      <alignment horizontal="center" vertical="center"/>
      <protection locked="0"/>
    </xf>
    <xf numFmtId="0" fontId="6" fillId="7" borderId="43" xfId="2" applyFill="1" applyBorder="1" applyAlignment="1" applyProtection="1">
      <alignment horizontal="right"/>
      <protection locked="0"/>
    </xf>
    <xf numFmtId="0" fontId="3" fillId="11" borderId="0" xfId="0" applyFont="1" applyFill="1" applyAlignment="1">
      <alignment horizontal="right" vertical="center"/>
    </xf>
    <xf numFmtId="164" fontId="41" fillId="11" borderId="0" xfId="0" applyNumberFormat="1" applyFont="1" applyFill="1"/>
    <xf numFmtId="0" fontId="6" fillId="8" borderId="5" xfId="2" applyFill="1" applyBorder="1" applyAlignment="1">
      <alignment horizontal="center" wrapText="1"/>
    </xf>
    <xf numFmtId="0" fontId="2" fillId="3" borderId="1" xfId="0" applyNumberFormat="1" applyFont="1" applyFill="1" applyBorder="1" applyAlignment="1">
      <alignment horizontal="center" vertical="center" wrapText="1"/>
    </xf>
    <xf numFmtId="0" fontId="40" fillId="5" borderId="1" xfId="0" applyNumberFormat="1" applyFont="1" applyFill="1" applyBorder="1" applyAlignment="1">
      <alignment horizontal="center" vertical="center"/>
    </xf>
    <xf numFmtId="0" fontId="40" fillId="5" borderId="16" xfId="0" applyNumberFormat="1" applyFont="1" applyFill="1" applyBorder="1" applyAlignment="1">
      <alignment horizontal="center" vertical="center"/>
    </xf>
    <xf numFmtId="0" fontId="0" fillId="10" borderId="0" xfId="0" quotePrefix="1" applyNumberFormat="1" applyFill="1"/>
    <xf numFmtId="0" fontId="0" fillId="0" borderId="0" xfId="0" applyNumberFormat="1"/>
    <xf numFmtId="0" fontId="39" fillId="18" borderId="36" xfId="2" applyNumberFormat="1" applyFont="1" applyFill="1" applyBorder="1" applyAlignment="1">
      <alignment horizontal="center" vertical="center" wrapText="1"/>
    </xf>
    <xf numFmtId="0" fontId="6" fillId="9" borderId="6" xfId="2" applyNumberFormat="1" applyFill="1" applyBorder="1" applyAlignment="1">
      <alignment horizontal="center" vertical="center"/>
    </xf>
    <xf numFmtId="0" fontId="0" fillId="10" borderId="0" xfId="0" applyNumberFormat="1" applyFill="1"/>
    <xf numFmtId="0" fontId="6" fillId="8" borderId="5" xfId="2" applyFill="1" applyBorder="1" applyAlignment="1" applyProtection="1">
      <alignment wrapText="1"/>
      <protection locked="0"/>
    </xf>
    <xf numFmtId="0" fontId="6" fillId="8" borderId="8" xfId="2" applyFill="1" applyBorder="1" applyAlignment="1" applyProtection="1">
      <protection locked="0"/>
    </xf>
    <xf numFmtId="0" fontId="3" fillId="7" borderId="2" xfId="2" applyFont="1" applyFill="1" applyBorder="1" applyAlignment="1" applyProtection="1">
      <alignment horizontal="center"/>
      <protection locked="0"/>
    </xf>
    <xf numFmtId="0" fontId="3" fillId="7" borderId="3" xfId="2" applyFont="1" applyFill="1" applyBorder="1" applyAlignment="1" applyProtection="1">
      <alignment horizontal="center"/>
      <protection locked="0"/>
    </xf>
    <xf numFmtId="0" fontId="6" fillId="8" borderId="5" xfId="2" applyFill="1" applyBorder="1" applyAlignment="1">
      <alignment horizontal="center"/>
    </xf>
    <xf numFmtId="0" fontId="6" fillId="8" borderId="8" xfId="2" applyFill="1" applyBorder="1" applyAlignment="1">
      <alignment horizontal="center"/>
    </xf>
    <xf numFmtId="0" fontId="6" fillId="8" borderId="5" xfId="2" applyFill="1" applyBorder="1" applyAlignment="1">
      <alignment horizontal="center" wrapText="1"/>
    </xf>
    <xf numFmtId="0" fontId="7" fillId="8" borderId="5" xfId="2" applyFont="1" applyFill="1" applyBorder="1" applyAlignment="1">
      <alignment horizontal="center" wrapText="1"/>
    </xf>
    <xf numFmtId="0" fontId="7" fillId="8" borderId="8" xfId="2" applyFont="1" applyFill="1" applyBorder="1" applyAlignment="1">
      <alignment horizontal="center"/>
    </xf>
    <xf numFmtId="0" fontId="6" fillId="7" borderId="43" xfId="2" applyFill="1" applyBorder="1" applyAlignment="1" applyProtection="1">
      <alignment horizontal="right"/>
      <protection locked="0"/>
    </xf>
    <xf numFmtId="0" fontId="6" fillId="8" borderId="5" xfId="2" applyFill="1" applyBorder="1" applyAlignment="1">
      <alignment horizontal="center" vertical="center" wrapText="1"/>
    </xf>
    <xf numFmtId="0" fontId="6" fillId="8" borderId="8" xfId="2" applyFill="1" applyBorder="1" applyAlignment="1">
      <alignment horizontal="center" vertical="center"/>
    </xf>
    <xf numFmtId="0" fontId="7" fillId="8" borderId="5" xfId="2" applyFont="1" applyFill="1" applyBorder="1" applyAlignment="1">
      <alignment horizontal="center" vertical="center" wrapText="1"/>
    </xf>
    <xf numFmtId="0" fontId="7" fillId="8" borderId="8" xfId="2" applyFont="1" applyFill="1" applyBorder="1" applyAlignment="1">
      <alignment horizontal="center" vertical="center"/>
    </xf>
    <xf numFmtId="0" fontId="6" fillId="8" borderId="13" xfId="2" applyFill="1" applyBorder="1" applyAlignment="1">
      <alignment horizontal="center"/>
    </xf>
    <xf numFmtId="0" fontId="6" fillId="8" borderId="14" xfId="2" applyFill="1" applyBorder="1" applyAlignment="1">
      <alignment horizontal="center"/>
    </xf>
    <xf numFmtId="0" fontId="6" fillId="8" borderId="21" xfId="2" applyFill="1" applyBorder="1" applyAlignment="1">
      <alignment horizontal="center" vertical="center" wrapText="1"/>
    </xf>
    <xf numFmtId="0" fontId="6" fillId="8" borderId="8" xfId="2" applyFill="1" applyBorder="1" applyAlignment="1">
      <alignment horizontal="center" vertical="center" wrapText="1"/>
    </xf>
    <xf numFmtId="0" fontId="6" fillId="8" borderId="22" xfId="2" applyFill="1" applyBorder="1" applyAlignment="1">
      <alignment horizontal="center" vertical="center" wrapText="1"/>
    </xf>
    <xf numFmtId="0" fontId="6" fillId="8" borderId="25" xfId="2" applyFill="1" applyBorder="1" applyAlignment="1">
      <alignment horizontal="center" vertical="center" wrapText="1"/>
    </xf>
    <xf numFmtId="0" fontId="6" fillId="8" borderId="0" xfId="2" applyFill="1" applyAlignment="1">
      <alignment horizontal="center" vertical="center" wrapText="1"/>
    </xf>
    <xf numFmtId="0" fontId="6" fillId="8" borderId="23" xfId="2" applyFill="1" applyBorder="1" applyAlignment="1">
      <alignment horizontal="center" vertical="center" wrapText="1"/>
    </xf>
    <xf numFmtId="0" fontId="6" fillId="8" borderId="20" xfId="2" applyFill="1" applyBorder="1" applyAlignment="1">
      <alignment horizontal="center" vertical="center" wrapText="1"/>
    </xf>
    <xf numFmtId="0" fontId="6" fillId="8" borderId="24" xfId="2" applyFill="1" applyBorder="1" applyAlignment="1">
      <alignment horizontal="center" vertical="center" wrapText="1"/>
    </xf>
    <xf numFmtId="0" fontId="14" fillId="8" borderId="5" xfId="2" applyFont="1" applyFill="1" applyBorder="1" applyAlignment="1">
      <alignment horizontal="center" vertical="center"/>
    </xf>
    <xf numFmtId="0" fontId="14" fillId="8" borderId="8" xfId="2" applyFont="1" applyFill="1" applyBorder="1" applyAlignment="1">
      <alignment horizontal="center" vertical="center"/>
    </xf>
    <xf numFmtId="0" fontId="14" fillId="8" borderId="5" xfId="2" applyFont="1" applyFill="1" applyBorder="1" applyAlignment="1">
      <alignment horizontal="center" vertical="center" wrapText="1"/>
    </xf>
    <xf numFmtId="0" fontId="7" fillId="8" borderId="22" xfId="2" applyFont="1" applyFill="1" applyBorder="1" applyAlignment="1">
      <alignment horizontal="center" vertical="center" wrapText="1"/>
    </xf>
    <xf numFmtId="0" fontId="7" fillId="8" borderId="25" xfId="2" applyFont="1" applyFill="1" applyBorder="1" applyAlignment="1">
      <alignment horizontal="center" vertical="center" wrapText="1"/>
    </xf>
    <xf numFmtId="0" fontId="14" fillId="8" borderId="5" xfId="2" applyFont="1" applyFill="1" applyBorder="1" applyAlignment="1">
      <alignment horizontal="center" wrapText="1"/>
    </xf>
    <xf numFmtId="0" fontId="14" fillId="8" borderId="8" xfId="2" applyFont="1" applyFill="1" applyBorder="1" applyAlignment="1">
      <alignment horizontal="center"/>
    </xf>
    <xf numFmtId="0" fontId="6" fillId="8" borderId="35" xfId="2" applyFill="1" applyBorder="1" applyAlignment="1">
      <alignment horizontal="center" vertical="center" wrapText="1"/>
    </xf>
    <xf numFmtId="164" fontId="21" fillId="9" borderId="29" xfId="2" applyNumberFormat="1" applyFont="1" applyFill="1" applyBorder="1" applyAlignment="1">
      <alignment horizontal="center" vertical="center"/>
    </xf>
    <xf numFmtId="164" fontId="21" fillId="9" borderId="30" xfId="2" applyNumberFormat="1" applyFont="1" applyFill="1" applyBorder="1" applyAlignment="1">
      <alignment horizontal="center" vertical="center"/>
    </xf>
    <xf numFmtId="164" fontId="21" fillId="9" borderId="31" xfId="2" applyNumberFormat="1" applyFont="1" applyFill="1" applyBorder="1" applyAlignment="1">
      <alignment horizontal="center" vertical="center"/>
    </xf>
    <xf numFmtId="164" fontId="21" fillId="9" borderId="32" xfId="2" applyNumberFormat="1" applyFont="1" applyFill="1" applyBorder="1" applyAlignment="1">
      <alignment horizontal="center" vertical="center"/>
    </xf>
    <xf numFmtId="164" fontId="21" fillId="9" borderId="33" xfId="2" applyNumberFormat="1" applyFont="1" applyFill="1" applyBorder="1" applyAlignment="1">
      <alignment horizontal="center" vertical="center"/>
    </xf>
    <xf numFmtId="164" fontId="21" fillId="9" borderId="34" xfId="2" applyNumberFormat="1" applyFont="1" applyFill="1" applyBorder="1" applyAlignment="1">
      <alignment horizontal="center" vertical="center"/>
    </xf>
    <xf numFmtId="0" fontId="50" fillId="21" borderId="0" xfId="0" applyFont="1" applyFill="1" applyAlignment="1">
      <alignment horizontal="center" vertical="center"/>
    </xf>
    <xf numFmtId="0" fontId="6" fillId="8" borderId="21" xfId="2" applyFill="1" applyBorder="1" applyAlignment="1">
      <alignment horizontal="center" vertical="center"/>
    </xf>
    <xf numFmtId="164" fontId="6" fillId="9" borderId="0" xfId="2" applyNumberFormat="1" applyFill="1" applyAlignment="1">
      <alignment horizontal="center" vertical="center"/>
    </xf>
    <xf numFmtId="164" fontId="6" fillId="9" borderId="27" xfId="2" applyNumberFormat="1" applyFill="1" applyBorder="1" applyAlignment="1">
      <alignment horizontal="center" vertical="center"/>
    </xf>
    <xf numFmtId="164" fontId="6" fillId="9" borderId="42" xfId="2" applyNumberFormat="1" applyFill="1" applyBorder="1" applyAlignment="1">
      <alignment horizontal="center" vertical="center"/>
    </xf>
    <xf numFmtId="0" fontId="6" fillId="8" borderId="8" xfId="2" applyFill="1" applyBorder="1" applyAlignment="1">
      <alignment horizontal="center" wrapText="1"/>
    </xf>
    <xf numFmtId="0" fontId="17" fillId="14" borderId="37" xfId="2" applyFont="1" applyFill="1" applyBorder="1" applyAlignment="1">
      <alignment horizontal="center" vertical="center"/>
    </xf>
    <xf numFmtId="0" fontId="17" fillId="14" borderId="38" xfId="2" applyFont="1" applyFill="1" applyBorder="1" applyAlignment="1">
      <alignment horizontal="center" vertical="center"/>
    </xf>
    <xf numFmtId="0" fontId="30" fillId="2" borderId="71" xfId="1" applyFont="1" applyBorder="1" applyAlignment="1" applyProtection="1">
      <alignment horizontal="center" vertical="center"/>
      <protection locked="0"/>
    </xf>
    <xf numFmtId="0" fontId="30" fillId="2" borderId="0" xfId="1" applyFont="1" applyBorder="1" applyAlignment="1" applyProtection="1">
      <alignment horizontal="center" vertical="center"/>
      <protection locked="0"/>
    </xf>
    <xf numFmtId="0" fontId="6" fillId="8" borderId="36" xfId="2" applyFill="1" applyBorder="1" applyAlignment="1">
      <alignment horizontal="center" vertical="center" wrapText="1"/>
    </xf>
    <xf numFmtId="0" fontId="6" fillId="8" borderId="41" xfId="2" applyFill="1" applyBorder="1" applyAlignment="1">
      <alignment horizontal="center" vertical="center" wrapText="1"/>
    </xf>
    <xf numFmtId="0" fontId="7" fillId="8" borderId="8" xfId="2" applyFont="1" applyFill="1" applyBorder="1" applyAlignment="1">
      <alignment horizontal="center" vertical="center" wrapText="1"/>
    </xf>
    <xf numFmtId="0" fontId="17" fillId="14" borderId="37" xfId="2" applyFont="1" applyFill="1" applyBorder="1" applyAlignment="1" applyProtection="1">
      <alignment horizontal="center" vertical="center"/>
      <protection locked="0"/>
    </xf>
    <xf numFmtId="0" fontId="17" fillId="14" borderId="43" xfId="2" applyFont="1" applyFill="1" applyBorder="1" applyAlignment="1" applyProtection="1">
      <alignment horizontal="center" vertical="center"/>
      <protection locked="0"/>
    </xf>
    <xf numFmtId="0" fontId="17" fillId="14" borderId="38" xfId="2" applyFont="1" applyFill="1" applyBorder="1" applyAlignment="1" applyProtection="1">
      <alignment horizontal="center" vertical="center"/>
      <protection locked="0"/>
    </xf>
    <xf numFmtId="0" fontId="6" fillId="8" borderId="44" xfId="2" applyFill="1" applyBorder="1" applyAlignment="1">
      <alignment horizontal="center" vertical="center" wrapText="1"/>
    </xf>
    <xf numFmtId="0" fontId="6" fillId="8" borderId="45" xfId="2" applyFill="1" applyBorder="1" applyAlignment="1">
      <alignment horizontal="center" vertical="center" wrapText="1"/>
    </xf>
    <xf numFmtId="0" fontId="37" fillId="6" borderId="0" xfId="0" applyFont="1" applyFill="1" applyAlignment="1" applyProtection="1">
      <alignment horizontal="left" vertical="top" wrapText="1"/>
      <protection locked="0"/>
    </xf>
    <xf numFmtId="0" fontId="38" fillId="7" borderId="61" xfId="2" applyFont="1" applyFill="1" applyBorder="1" applyAlignment="1" applyProtection="1">
      <alignment horizontal="left" vertical="center" wrapText="1" indent="1"/>
      <protection locked="0"/>
    </xf>
    <xf numFmtId="0" fontId="38" fillId="7" borderId="48" xfId="2" applyFont="1" applyFill="1" applyBorder="1" applyAlignment="1" applyProtection="1">
      <alignment horizontal="left" vertical="center" wrapText="1" indent="1"/>
      <protection locked="0"/>
    </xf>
    <xf numFmtId="0" fontId="38" fillId="7" borderId="62" xfId="2" applyFont="1" applyFill="1" applyBorder="1" applyAlignment="1" applyProtection="1">
      <alignment horizontal="left" vertical="center" wrapText="1" indent="1"/>
      <protection locked="0"/>
    </xf>
    <xf numFmtId="0" fontId="38" fillId="7" borderId="63" xfId="2" applyFont="1" applyFill="1" applyBorder="1" applyAlignment="1" applyProtection="1">
      <alignment horizontal="left" vertical="center" wrapText="1" indent="1"/>
      <protection locked="0"/>
    </xf>
    <xf numFmtId="0" fontId="38" fillId="7" borderId="0" xfId="2" applyFont="1" applyFill="1" applyAlignment="1" applyProtection="1">
      <alignment horizontal="left" vertical="center" wrapText="1" indent="1"/>
      <protection locked="0"/>
    </xf>
    <xf numFmtId="0" fontId="38" fillId="7" borderId="64" xfId="2" applyFont="1" applyFill="1" applyBorder="1" applyAlignment="1" applyProtection="1">
      <alignment horizontal="left" vertical="center" wrapText="1" indent="1"/>
      <protection locked="0"/>
    </xf>
    <xf numFmtId="0" fontId="38" fillId="7" borderId="37" xfId="2" applyFont="1" applyFill="1" applyBorder="1" applyAlignment="1" applyProtection="1">
      <alignment horizontal="left" vertical="center" wrapText="1" indent="1"/>
      <protection locked="0"/>
    </xf>
    <xf numFmtId="0" fontId="38" fillId="7" borderId="43" xfId="2" applyFont="1" applyFill="1" applyBorder="1" applyAlignment="1" applyProtection="1">
      <alignment horizontal="left" vertical="center" wrapText="1" indent="1"/>
      <protection locked="0"/>
    </xf>
    <xf numFmtId="0" fontId="38" fillId="7" borderId="38" xfId="2" applyFont="1" applyFill="1" applyBorder="1" applyAlignment="1" applyProtection="1">
      <alignment horizontal="left" vertical="center" wrapText="1" indent="1"/>
      <protection locked="0"/>
    </xf>
    <xf numFmtId="164" fontId="6" fillId="9" borderId="49" xfId="2" applyNumberFormat="1" applyFill="1" applyBorder="1" applyAlignment="1">
      <alignment horizontal="center"/>
    </xf>
    <xf numFmtId="164" fontId="6" fillId="9" borderId="35" xfId="2" applyNumberFormat="1" applyFill="1" applyBorder="1" applyAlignment="1">
      <alignment horizontal="center"/>
    </xf>
    <xf numFmtId="164" fontId="6" fillId="9" borderId="50" xfId="2" applyNumberFormat="1" applyFill="1" applyBorder="1" applyAlignment="1">
      <alignment horizontal="center"/>
    </xf>
    <xf numFmtId="164" fontId="6" fillId="9" borderId="19" xfId="2" applyNumberFormat="1" applyFill="1" applyBorder="1" applyAlignment="1">
      <alignment horizontal="center"/>
    </xf>
    <xf numFmtId="164" fontId="6" fillId="9" borderId="51" xfId="2" applyNumberFormat="1" applyFill="1" applyBorder="1" applyAlignment="1">
      <alignment horizontal="center"/>
    </xf>
    <xf numFmtId="164" fontId="6" fillId="9" borderId="52" xfId="2" applyNumberFormat="1" applyFill="1" applyBorder="1" applyAlignment="1">
      <alignment horizontal="center"/>
    </xf>
    <xf numFmtId="0" fontId="6" fillId="8" borderId="36" xfId="2" applyFill="1" applyBorder="1" applyAlignment="1">
      <alignment horizontal="center" wrapText="1"/>
    </xf>
    <xf numFmtId="0" fontId="6" fillId="8" borderId="41" xfId="2" applyFill="1" applyBorder="1" applyAlignment="1">
      <alignment horizontal="center" wrapText="1"/>
    </xf>
    <xf numFmtId="0" fontId="6" fillId="8" borderId="22" xfId="2" applyFill="1" applyBorder="1" applyAlignment="1">
      <alignment horizontal="center" wrapText="1"/>
    </xf>
    <xf numFmtId="0" fontId="6" fillId="8" borderId="20" xfId="2" applyFill="1" applyBorder="1" applyAlignment="1">
      <alignment horizontal="center" wrapText="1"/>
    </xf>
    <xf numFmtId="0" fontId="17" fillId="14" borderId="10" xfId="2" applyFont="1" applyFill="1" applyBorder="1" applyAlignment="1">
      <alignment horizontal="center" vertical="center"/>
    </xf>
    <xf numFmtId="0" fontId="17" fillId="14" borderId="11" xfId="2" applyFont="1" applyFill="1" applyBorder="1" applyAlignment="1">
      <alignment horizontal="center" vertical="center"/>
    </xf>
    <xf numFmtId="0" fontId="6" fillId="8" borderId="5" xfId="2" applyFill="1" applyBorder="1" applyAlignment="1" applyProtection="1">
      <alignment horizontal="center"/>
      <protection locked="0"/>
    </xf>
    <xf numFmtId="0" fontId="6" fillId="8" borderId="8" xfId="2" applyFill="1" applyBorder="1" applyAlignment="1" applyProtection="1">
      <alignment horizontal="center"/>
      <protection locked="0"/>
    </xf>
    <xf numFmtId="0" fontId="34" fillId="12" borderId="5" xfId="2" applyFont="1" applyFill="1" applyBorder="1" applyAlignment="1">
      <alignment horizontal="center" wrapText="1"/>
    </xf>
    <xf numFmtId="0" fontId="34" fillId="12" borderId="8" xfId="2" applyFont="1" applyFill="1" applyBorder="1" applyAlignment="1">
      <alignment horizontal="center"/>
    </xf>
    <xf numFmtId="0" fontId="3" fillId="19" borderId="0" xfId="0" applyFont="1" applyFill="1" applyAlignment="1">
      <alignment horizontal="center"/>
    </xf>
    <xf numFmtId="0" fontId="6" fillId="8" borderId="36" xfId="2" applyFill="1" applyBorder="1" applyAlignment="1">
      <alignment horizontal="center" vertical="center"/>
    </xf>
    <xf numFmtId="0" fontId="6" fillId="8" borderId="41" xfId="2" applyFill="1" applyBorder="1" applyAlignment="1">
      <alignment horizontal="center" vertical="center"/>
    </xf>
    <xf numFmtId="0" fontId="17" fillId="19" borderId="37" xfId="2" applyFont="1" applyFill="1" applyBorder="1" applyAlignment="1" applyProtection="1">
      <alignment horizontal="center" vertical="center"/>
      <protection locked="0"/>
    </xf>
    <xf numFmtId="0" fontId="17" fillId="19" borderId="43" xfId="2" applyFont="1" applyFill="1" applyBorder="1" applyAlignment="1" applyProtection="1">
      <alignment horizontal="center" vertical="center"/>
      <protection locked="0"/>
    </xf>
    <xf numFmtId="0" fontId="17" fillId="19" borderId="38" xfId="2" applyFont="1" applyFill="1" applyBorder="1" applyAlignment="1" applyProtection="1">
      <alignment horizontal="center" vertical="center"/>
      <protection locked="0"/>
    </xf>
    <xf numFmtId="0" fontId="43" fillId="7" borderId="65" xfId="2" applyFont="1" applyFill="1" applyBorder="1" applyAlignment="1" applyProtection="1">
      <alignment horizontal="center" vertical="center" wrapText="1"/>
      <protection locked="0"/>
    </xf>
    <xf numFmtId="0" fontId="43" fillId="7" borderId="66" xfId="2" applyFont="1" applyFill="1" applyBorder="1" applyAlignment="1" applyProtection="1">
      <alignment horizontal="center" vertical="center" wrapText="1"/>
      <protection locked="0"/>
    </xf>
    <xf numFmtId="0" fontId="6" fillId="8" borderId="5" xfId="2" applyFill="1" applyBorder="1" applyAlignment="1">
      <alignment horizontal="center" vertical="center"/>
    </xf>
    <xf numFmtId="0" fontId="3" fillId="7" borderId="2" xfId="2" applyFont="1" applyFill="1" applyBorder="1" applyAlignment="1" applyProtection="1">
      <alignment horizontal="center" vertical="center"/>
      <protection locked="0"/>
    </xf>
    <xf numFmtId="0" fontId="3" fillId="7" borderId="4" xfId="2" applyFont="1" applyFill="1" applyBorder="1" applyAlignment="1" applyProtection="1">
      <alignment horizontal="center" vertical="center"/>
      <protection locked="0"/>
    </xf>
  </cellXfs>
  <cellStyles count="6">
    <cellStyle name="Comma" xfId="3" builtinId="3"/>
    <cellStyle name="Neutral" xfId="1" builtinId="28"/>
    <cellStyle name="Normal" xfId="0" builtinId="0"/>
    <cellStyle name="Normal 2" xfId="2" xr:uid="{00000000-0005-0000-0000-000003000000}"/>
    <cellStyle name="Normal 3" xfId="4" xr:uid="{00000000-0005-0000-0000-000004000000}"/>
    <cellStyle name="Percent" xfId="5" builtinId="5"/>
  </cellStyles>
  <dxfs count="8">
    <dxf>
      <font>
        <color theme="0" tint="-0.14996795556505021"/>
      </font>
      <fill>
        <patternFill>
          <bgColor theme="0" tint="-0.14996795556505021"/>
        </patternFill>
      </fill>
    </dxf>
    <dxf>
      <fill>
        <patternFill>
          <bgColor rgb="FFFF0000"/>
        </patternFill>
      </fill>
    </dxf>
    <dxf>
      <fill>
        <patternFill>
          <bgColor rgb="FFFF0000"/>
        </patternFill>
      </fill>
    </dxf>
    <dxf>
      <font>
        <color theme="0" tint="-0.499984740745262"/>
      </font>
      <fill>
        <patternFill>
          <bgColor theme="0" tint="-0.499984740745262"/>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5B9BD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1"/>
              </a:solidFill>
              <a:round/>
            </a:ln>
            <a:effectLst/>
          </c:spPr>
          <c:marker>
            <c:symbol val="none"/>
          </c:marker>
          <c:xVal>
            <c:numRef>
              <c:f>'One Sample t Test'!$S$8:$S$53</c:f>
              <c:numCache>
                <c:formatCode>General</c:formatCode>
                <c:ptCount val="46"/>
                <c:pt idx="0">
                  <c:v>523</c:v>
                </c:pt>
                <c:pt idx="1">
                  <c:v>523</c:v>
                </c:pt>
                <c:pt idx="2" formatCode="0.00">
                  <c:v>623.55555555555554</c:v>
                </c:pt>
                <c:pt idx="3">
                  <c:v>623.55555555555554</c:v>
                </c:pt>
                <c:pt idx="4">
                  <c:v>623.55555555555554</c:v>
                </c:pt>
                <c:pt idx="5">
                  <c:v>724.11111111111109</c:v>
                </c:pt>
                <c:pt idx="6">
                  <c:v>724.11111111111109</c:v>
                </c:pt>
                <c:pt idx="7">
                  <c:v>724.11111111111109</c:v>
                </c:pt>
                <c:pt idx="8">
                  <c:v>824.66666666666663</c:v>
                </c:pt>
                <c:pt idx="9">
                  <c:v>824.66666666666663</c:v>
                </c:pt>
                <c:pt idx="10">
                  <c:v>824.66666666666663</c:v>
                </c:pt>
                <c:pt idx="11">
                  <c:v>925.22222222222217</c:v>
                </c:pt>
                <c:pt idx="12">
                  <c:v>925.22222222222217</c:v>
                </c:pt>
                <c:pt idx="13">
                  <c:v>925.22222222222217</c:v>
                </c:pt>
                <c:pt idx="14">
                  <c:v>1025.7777777777778</c:v>
                </c:pt>
                <c:pt idx="15">
                  <c:v>1025.7777777777778</c:v>
                </c:pt>
                <c:pt idx="16">
                  <c:v>1025.7777777777778</c:v>
                </c:pt>
                <c:pt idx="17">
                  <c:v>1126.3333333333335</c:v>
                </c:pt>
                <c:pt idx="18">
                  <c:v>1126.3333333333335</c:v>
                </c:pt>
                <c:pt idx="19">
                  <c:v>1126.3333333333335</c:v>
                </c:pt>
                <c:pt idx="20">
                  <c:v>1226.8888888888891</c:v>
                </c:pt>
                <c:pt idx="21">
                  <c:v>1226.8888888888891</c:v>
                </c:pt>
                <c:pt idx="22">
                  <c:v>1226.8888888888891</c:v>
                </c:pt>
                <c:pt idx="23">
                  <c:v>1327.4444444444448</c:v>
                </c:pt>
                <c:pt idx="24">
                  <c:v>1327.4444444444448</c:v>
                </c:pt>
                <c:pt idx="25">
                  <c:v>1327.4444444444448</c:v>
                </c:pt>
                <c:pt idx="26">
                  <c:v>1428.0000000000005</c:v>
                </c:pt>
                <c:pt idx="27">
                  <c:v>1428.0000000000005</c:v>
                </c:pt>
                <c:pt idx="28">
                  <c:v>1428.0000000000005</c:v>
                </c:pt>
                <c:pt idx="29">
                  <c:v>1428.0000000000005</c:v>
                </c:pt>
                <c:pt idx="30">
                  <c:v>1428.0000000000005</c:v>
                </c:pt>
                <c:pt idx="31">
                  <c:v>1428.0000000000005</c:v>
                </c:pt>
                <c:pt idx="32">
                  <c:v>1428.0000000000005</c:v>
                </c:pt>
                <c:pt idx="33">
                  <c:v>1428.0000000000005</c:v>
                </c:pt>
                <c:pt idx="34">
                  <c:v>1428.0000000000005</c:v>
                </c:pt>
                <c:pt idx="35">
                  <c:v>1428.0000000000005</c:v>
                </c:pt>
                <c:pt idx="36">
                  <c:v>1428.0000000000005</c:v>
                </c:pt>
                <c:pt idx="37">
                  <c:v>1428.0000000000005</c:v>
                </c:pt>
                <c:pt idx="38">
                  <c:v>1428.0000000000005</c:v>
                </c:pt>
                <c:pt idx="39">
                  <c:v>1428.0000000000005</c:v>
                </c:pt>
                <c:pt idx="40">
                  <c:v>1428.0000000000005</c:v>
                </c:pt>
                <c:pt idx="41">
                  <c:v>1428.0000000000005</c:v>
                </c:pt>
                <c:pt idx="42">
                  <c:v>1428.0000000000005</c:v>
                </c:pt>
                <c:pt idx="43">
                  <c:v>1428.0000000000005</c:v>
                </c:pt>
                <c:pt idx="44">
                  <c:v>1428.0000000000005</c:v>
                </c:pt>
                <c:pt idx="45">
                  <c:v>1428.0000000000005</c:v>
                </c:pt>
              </c:numCache>
            </c:numRef>
          </c:xVal>
          <c:yVal>
            <c:numRef>
              <c:f>'One Sample t Test'!$T$8:$T$53</c:f>
              <c:numCache>
                <c:formatCode>General</c:formatCode>
                <c:ptCount val="46"/>
                <c:pt idx="0">
                  <c:v>0</c:v>
                </c:pt>
                <c:pt idx="1">
                  <c:v>3</c:v>
                </c:pt>
                <c:pt idx="2">
                  <c:v>3</c:v>
                </c:pt>
                <c:pt idx="3">
                  <c:v>0</c:v>
                </c:pt>
                <c:pt idx="4">
                  <c:v>2</c:v>
                </c:pt>
                <c:pt idx="5">
                  <c:v>2</c:v>
                </c:pt>
                <c:pt idx="6">
                  <c:v>0</c:v>
                </c:pt>
                <c:pt idx="7">
                  <c:v>2</c:v>
                </c:pt>
                <c:pt idx="8">
                  <c:v>2</c:v>
                </c:pt>
                <c:pt idx="9">
                  <c:v>0</c:v>
                </c:pt>
                <c:pt idx="10">
                  <c:v>1</c:v>
                </c:pt>
                <c:pt idx="11">
                  <c:v>1</c:v>
                </c:pt>
                <c:pt idx="12">
                  <c:v>0</c:v>
                </c:pt>
                <c:pt idx="13">
                  <c:v>2</c:v>
                </c:pt>
                <c:pt idx="14">
                  <c:v>2</c:v>
                </c:pt>
                <c:pt idx="15">
                  <c:v>0</c:v>
                </c:pt>
                <c:pt idx="16">
                  <c:v>0</c:v>
                </c:pt>
                <c:pt idx="17">
                  <c:v>0</c:v>
                </c:pt>
                <c:pt idx="18">
                  <c:v>0</c:v>
                </c:pt>
                <c:pt idx="19">
                  <c:v>0</c:v>
                </c:pt>
                <c:pt idx="20">
                  <c:v>0</c:v>
                </c:pt>
                <c:pt idx="21">
                  <c:v>0</c:v>
                </c:pt>
                <c:pt idx="22">
                  <c:v>2</c:v>
                </c:pt>
                <c:pt idx="23">
                  <c:v>2</c:v>
                </c:pt>
                <c:pt idx="24">
                  <c:v>0</c:v>
                </c:pt>
                <c:pt idx="25">
                  <c:v>1</c:v>
                </c:pt>
                <c:pt idx="26">
                  <c:v>1</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5E11-8E40-9C9B-330273351DD9}"/>
            </c:ext>
          </c:extLst>
        </c:ser>
        <c:dLbls>
          <c:showLegendKey val="0"/>
          <c:showVal val="0"/>
          <c:showCatName val="0"/>
          <c:showSerName val="0"/>
          <c:showPercent val="0"/>
          <c:showBubbleSize val="0"/>
        </c:dLbls>
        <c:axId val="454734384"/>
        <c:axId val="550221264"/>
      </c:scatterChart>
      <c:valAx>
        <c:axId val="45473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221264"/>
        <c:crosses val="autoZero"/>
        <c:crossBetween val="midCat"/>
      </c:valAx>
      <c:valAx>
        <c:axId val="55022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734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accent4"/>
              </a:solidFill>
              <a:round/>
            </a:ln>
            <a:effectLst/>
          </c:spPr>
          <c:marker>
            <c:symbol val="none"/>
          </c:marker>
          <c:xVal>
            <c:numRef>
              <c:f>'Paired Data t Test'!$U$8:$U$53</c:f>
              <c:numCache>
                <c:formatCode>General</c:formatCode>
                <c:ptCount val="46"/>
                <c:pt idx="0">
                  <c:v>-4.6000000000000085</c:v>
                </c:pt>
                <c:pt idx="1">
                  <c:v>-4.6000000000000085</c:v>
                </c:pt>
                <c:pt idx="2" formatCode="0.00">
                  <c:v>-3.9000000000000075</c:v>
                </c:pt>
                <c:pt idx="3">
                  <c:v>-3.9000000000000075</c:v>
                </c:pt>
                <c:pt idx="4">
                  <c:v>-3.9000000000000075</c:v>
                </c:pt>
                <c:pt idx="5">
                  <c:v>-3.2000000000000064</c:v>
                </c:pt>
                <c:pt idx="6">
                  <c:v>-3.2000000000000064</c:v>
                </c:pt>
                <c:pt idx="7">
                  <c:v>-3.2000000000000064</c:v>
                </c:pt>
                <c:pt idx="8">
                  <c:v>-2.5000000000000053</c:v>
                </c:pt>
                <c:pt idx="9">
                  <c:v>-2.5000000000000053</c:v>
                </c:pt>
                <c:pt idx="10">
                  <c:v>-2.5000000000000053</c:v>
                </c:pt>
                <c:pt idx="11">
                  <c:v>-1.8000000000000045</c:v>
                </c:pt>
                <c:pt idx="12">
                  <c:v>-1.8000000000000045</c:v>
                </c:pt>
                <c:pt idx="13">
                  <c:v>-1.8000000000000045</c:v>
                </c:pt>
                <c:pt idx="14">
                  <c:v>-1.1000000000000036</c:v>
                </c:pt>
                <c:pt idx="15">
                  <c:v>-1.1000000000000036</c:v>
                </c:pt>
                <c:pt idx="16">
                  <c:v>-1.1000000000000036</c:v>
                </c:pt>
                <c:pt idx="17">
                  <c:v>-0.4000000000000028</c:v>
                </c:pt>
                <c:pt idx="18">
                  <c:v>-0.4000000000000028</c:v>
                </c:pt>
                <c:pt idx="19">
                  <c:v>-0.4000000000000028</c:v>
                </c:pt>
                <c:pt idx="20">
                  <c:v>0.29999999999999805</c:v>
                </c:pt>
                <c:pt idx="21">
                  <c:v>0.29999999999999805</c:v>
                </c:pt>
                <c:pt idx="22">
                  <c:v>0.29999999999999805</c:v>
                </c:pt>
                <c:pt idx="23">
                  <c:v>0.29999999999999805</c:v>
                </c:pt>
                <c:pt idx="24">
                  <c:v>0.29999999999999805</c:v>
                </c:pt>
                <c:pt idx="25">
                  <c:v>0.29999999999999805</c:v>
                </c:pt>
                <c:pt idx="26">
                  <c:v>0.29999999999999805</c:v>
                </c:pt>
                <c:pt idx="27">
                  <c:v>0.29999999999999805</c:v>
                </c:pt>
                <c:pt idx="28">
                  <c:v>0.29999999999999805</c:v>
                </c:pt>
                <c:pt idx="29">
                  <c:v>0.29999999999999805</c:v>
                </c:pt>
                <c:pt idx="30">
                  <c:v>0.29999999999999805</c:v>
                </c:pt>
                <c:pt idx="31">
                  <c:v>0.29999999999999805</c:v>
                </c:pt>
                <c:pt idx="32">
                  <c:v>0.29999999999999805</c:v>
                </c:pt>
                <c:pt idx="33">
                  <c:v>0.29999999999999805</c:v>
                </c:pt>
                <c:pt idx="34">
                  <c:v>0.29999999999999805</c:v>
                </c:pt>
                <c:pt idx="35">
                  <c:v>0.29999999999999805</c:v>
                </c:pt>
                <c:pt idx="36">
                  <c:v>0.29999999999999805</c:v>
                </c:pt>
                <c:pt idx="37">
                  <c:v>0.29999999999999805</c:v>
                </c:pt>
                <c:pt idx="38">
                  <c:v>0.29999999999999805</c:v>
                </c:pt>
                <c:pt idx="39">
                  <c:v>0.29999999999999805</c:v>
                </c:pt>
                <c:pt idx="40">
                  <c:v>0.29999999999999805</c:v>
                </c:pt>
                <c:pt idx="41">
                  <c:v>0.29999999999999805</c:v>
                </c:pt>
                <c:pt idx="42">
                  <c:v>0.29999999999999805</c:v>
                </c:pt>
                <c:pt idx="43">
                  <c:v>0.29999999999999805</c:v>
                </c:pt>
                <c:pt idx="44">
                  <c:v>0.29999999999999805</c:v>
                </c:pt>
                <c:pt idx="45">
                  <c:v>0.29999999999999805</c:v>
                </c:pt>
              </c:numCache>
            </c:numRef>
          </c:xVal>
          <c:yVal>
            <c:numRef>
              <c:f>'Paired Data t Test'!$V$8:$V$53</c:f>
              <c:numCache>
                <c:formatCode>General</c:formatCode>
                <c:ptCount val="46"/>
                <c:pt idx="0">
                  <c:v>0</c:v>
                </c:pt>
                <c:pt idx="1">
                  <c:v>1</c:v>
                </c:pt>
                <c:pt idx="2">
                  <c:v>1</c:v>
                </c:pt>
                <c:pt idx="3">
                  <c:v>0</c:v>
                </c:pt>
                <c:pt idx="4">
                  <c:v>0</c:v>
                </c:pt>
                <c:pt idx="5">
                  <c:v>0</c:v>
                </c:pt>
                <c:pt idx="6">
                  <c:v>0</c:v>
                </c:pt>
                <c:pt idx="7">
                  <c:v>3</c:v>
                </c:pt>
                <c:pt idx="8">
                  <c:v>3</c:v>
                </c:pt>
                <c:pt idx="9">
                  <c:v>0</c:v>
                </c:pt>
                <c:pt idx="10">
                  <c:v>2</c:v>
                </c:pt>
                <c:pt idx="11">
                  <c:v>2</c:v>
                </c:pt>
                <c:pt idx="12">
                  <c:v>0</c:v>
                </c:pt>
                <c:pt idx="13">
                  <c:v>1</c:v>
                </c:pt>
                <c:pt idx="14">
                  <c:v>1</c:v>
                </c:pt>
                <c:pt idx="15">
                  <c:v>0</c:v>
                </c:pt>
                <c:pt idx="16">
                  <c:v>2</c:v>
                </c:pt>
                <c:pt idx="17">
                  <c:v>2</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8380-6746-912F-DA5E681AE234}"/>
            </c:ext>
          </c:extLst>
        </c:ser>
        <c:dLbls>
          <c:showLegendKey val="0"/>
          <c:showVal val="0"/>
          <c:showCatName val="0"/>
          <c:showSerName val="0"/>
          <c:showPercent val="0"/>
          <c:showBubbleSize val="0"/>
        </c:dLbls>
        <c:axId val="550441712"/>
        <c:axId val="102218656"/>
      </c:scatterChart>
      <c:valAx>
        <c:axId val="5504417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218656"/>
        <c:crosses val="autoZero"/>
        <c:crossBetween val="midCat"/>
      </c:valAx>
      <c:valAx>
        <c:axId val="102218656"/>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0441712"/>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1"/>
              </a:solidFill>
              <a:round/>
            </a:ln>
            <a:effectLst/>
          </c:spPr>
          <c:marker>
            <c:symbol val="none"/>
          </c:marker>
          <c:xVal>
            <c:numRef>
              <c:f>'Independent Samples t Test'!$X$8:$X$53</c:f>
              <c:numCache>
                <c:formatCode>General</c:formatCode>
                <c:ptCount val="46"/>
                <c:pt idx="0">
                  <c:v>43</c:v>
                </c:pt>
                <c:pt idx="1">
                  <c:v>43</c:v>
                </c:pt>
                <c:pt idx="2" formatCode="0.00">
                  <c:v>46.857142857142854</c:v>
                </c:pt>
                <c:pt idx="3">
                  <c:v>46.857142857142854</c:v>
                </c:pt>
                <c:pt idx="4">
                  <c:v>46.857142857142854</c:v>
                </c:pt>
                <c:pt idx="5">
                  <c:v>50.714285714285708</c:v>
                </c:pt>
                <c:pt idx="6">
                  <c:v>50.714285714285708</c:v>
                </c:pt>
                <c:pt idx="7">
                  <c:v>50.714285714285708</c:v>
                </c:pt>
                <c:pt idx="8">
                  <c:v>54.571428571428562</c:v>
                </c:pt>
                <c:pt idx="9">
                  <c:v>54.571428571428562</c:v>
                </c:pt>
                <c:pt idx="10">
                  <c:v>54.571428571428562</c:v>
                </c:pt>
                <c:pt idx="11">
                  <c:v>58.428571428571416</c:v>
                </c:pt>
                <c:pt idx="12">
                  <c:v>58.428571428571416</c:v>
                </c:pt>
                <c:pt idx="13">
                  <c:v>58.428571428571416</c:v>
                </c:pt>
                <c:pt idx="14">
                  <c:v>62.28571428571427</c:v>
                </c:pt>
                <c:pt idx="15">
                  <c:v>62.28571428571427</c:v>
                </c:pt>
                <c:pt idx="16">
                  <c:v>62.28571428571427</c:v>
                </c:pt>
                <c:pt idx="17">
                  <c:v>66.142857142857125</c:v>
                </c:pt>
                <c:pt idx="18">
                  <c:v>66.142857142857125</c:v>
                </c:pt>
                <c:pt idx="19">
                  <c:v>66.142857142857125</c:v>
                </c:pt>
                <c:pt idx="20">
                  <c:v>69.999999999999986</c:v>
                </c:pt>
                <c:pt idx="21">
                  <c:v>69.999999999999986</c:v>
                </c:pt>
                <c:pt idx="22">
                  <c:v>69.999999999999986</c:v>
                </c:pt>
                <c:pt idx="23">
                  <c:v>69.999999999999986</c:v>
                </c:pt>
                <c:pt idx="24">
                  <c:v>69.999999999999986</c:v>
                </c:pt>
                <c:pt idx="25">
                  <c:v>69.999999999999986</c:v>
                </c:pt>
                <c:pt idx="26">
                  <c:v>69.999999999999986</c:v>
                </c:pt>
                <c:pt idx="27">
                  <c:v>69.999999999999986</c:v>
                </c:pt>
                <c:pt idx="28">
                  <c:v>69.999999999999986</c:v>
                </c:pt>
                <c:pt idx="29">
                  <c:v>69.999999999999986</c:v>
                </c:pt>
                <c:pt idx="30">
                  <c:v>69.999999999999986</c:v>
                </c:pt>
                <c:pt idx="31">
                  <c:v>69.999999999999986</c:v>
                </c:pt>
                <c:pt idx="32">
                  <c:v>69.999999999999986</c:v>
                </c:pt>
                <c:pt idx="33">
                  <c:v>69.999999999999986</c:v>
                </c:pt>
                <c:pt idx="34">
                  <c:v>69.999999999999986</c:v>
                </c:pt>
                <c:pt idx="35">
                  <c:v>69.999999999999986</c:v>
                </c:pt>
                <c:pt idx="36">
                  <c:v>69.999999999999986</c:v>
                </c:pt>
                <c:pt idx="37">
                  <c:v>69.999999999999986</c:v>
                </c:pt>
                <c:pt idx="38">
                  <c:v>69.999999999999986</c:v>
                </c:pt>
                <c:pt idx="39">
                  <c:v>69.999999999999986</c:v>
                </c:pt>
                <c:pt idx="40">
                  <c:v>69.999999999999986</c:v>
                </c:pt>
                <c:pt idx="41">
                  <c:v>69.999999999999986</c:v>
                </c:pt>
                <c:pt idx="42">
                  <c:v>69.999999999999986</c:v>
                </c:pt>
                <c:pt idx="43">
                  <c:v>69.999999999999986</c:v>
                </c:pt>
                <c:pt idx="44">
                  <c:v>69.999999999999986</c:v>
                </c:pt>
                <c:pt idx="45">
                  <c:v>69.999999999999986</c:v>
                </c:pt>
              </c:numCache>
            </c:numRef>
          </c:xVal>
          <c:yVal>
            <c:numRef>
              <c:f>'Independent Samples t Test'!$Y$8:$Y$53</c:f>
              <c:numCache>
                <c:formatCode>General</c:formatCode>
                <c:ptCount val="46"/>
                <c:pt idx="0">
                  <c:v>0</c:v>
                </c:pt>
                <c:pt idx="1">
                  <c:v>1</c:v>
                </c:pt>
                <c:pt idx="2">
                  <c:v>1</c:v>
                </c:pt>
                <c:pt idx="3">
                  <c:v>0</c:v>
                </c:pt>
                <c:pt idx="4">
                  <c:v>2</c:v>
                </c:pt>
                <c:pt idx="5">
                  <c:v>2</c:v>
                </c:pt>
                <c:pt idx="6">
                  <c:v>0</c:v>
                </c:pt>
                <c:pt idx="7">
                  <c:v>2</c:v>
                </c:pt>
                <c:pt idx="8">
                  <c:v>2</c:v>
                </c:pt>
                <c:pt idx="9">
                  <c:v>0</c:v>
                </c:pt>
                <c:pt idx="10">
                  <c:v>3</c:v>
                </c:pt>
                <c:pt idx="11">
                  <c:v>3</c:v>
                </c:pt>
                <c:pt idx="12">
                  <c:v>0</c:v>
                </c:pt>
                <c:pt idx="13">
                  <c:v>2</c:v>
                </c:pt>
                <c:pt idx="14">
                  <c:v>2</c:v>
                </c:pt>
                <c:pt idx="15">
                  <c:v>0</c:v>
                </c:pt>
                <c:pt idx="16">
                  <c:v>4</c:v>
                </c:pt>
                <c:pt idx="17">
                  <c:v>4</c:v>
                </c:pt>
                <c:pt idx="18">
                  <c:v>0</c:v>
                </c:pt>
                <c:pt idx="19">
                  <c:v>1</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BF90-284B-BD93-17A77166B691}"/>
            </c:ext>
          </c:extLst>
        </c:ser>
        <c:dLbls>
          <c:showLegendKey val="0"/>
          <c:showVal val="0"/>
          <c:showCatName val="0"/>
          <c:showSerName val="0"/>
          <c:showPercent val="0"/>
          <c:showBubbleSize val="0"/>
        </c:dLbls>
        <c:axId val="620874112"/>
        <c:axId val="93009200"/>
      </c:scatterChart>
      <c:valAx>
        <c:axId val="620874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09200"/>
        <c:crosses val="autoZero"/>
        <c:crossBetween val="midCat"/>
      </c:valAx>
      <c:valAx>
        <c:axId val="9300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741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31750" cap="rnd">
              <a:solidFill>
                <a:schemeClr val="accent2"/>
              </a:solidFill>
              <a:round/>
            </a:ln>
            <a:effectLst/>
          </c:spPr>
          <c:marker>
            <c:symbol val="none"/>
          </c:marker>
          <c:xVal>
            <c:numRef>
              <c:f>'Independent Samples t Test'!$X$62:$X$107</c:f>
              <c:numCache>
                <c:formatCode>General</c:formatCode>
                <c:ptCount val="46"/>
                <c:pt idx="0">
                  <c:v>13</c:v>
                </c:pt>
                <c:pt idx="1">
                  <c:v>13</c:v>
                </c:pt>
                <c:pt idx="2" formatCode="0.00">
                  <c:v>19.857142857142858</c:v>
                </c:pt>
                <c:pt idx="3">
                  <c:v>19.857142857142858</c:v>
                </c:pt>
                <c:pt idx="4">
                  <c:v>19.857142857142858</c:v>
                </c:pt>
                <c:pt idx="5">
                  <c:v>26.714285714285715</c:v>
                </c:pt>
                <c:pt idx="6">
                  <c:v>26.714285714285715</c:v>
                </c:pt>
                <c:pt idx="7">
                  <c:v>26.714285714285715</c:v>
                </c:pt>
                <c:pt idx="8">
                  <c:v>33.571428571428569</c:v>
                </c:pt>
                <c:pt idx="9">
                  <c:v>33.571428571428569</c:v>
                </c:pt>
                <c:pt idx="10">
                  <c:v>33.571428571428569</c:v>
                </c:pt>
                <c:pt idx="11">
                  <c:v>40.428571428571423</c:v>
                </c:pt>
                <c:pt idx="12">
                  <c:v>40.428571428571423</c:v>
                </c:pt>
                <c:pt idx="13">
                  <c:v>40.428571428571423</c:v>
                </c:pt>
                <c:pt idx="14">
                  <c:v>47.285714285714278</c:v>
                </c:pt>
                <c:pt idx="15">
                  <c:v>47.285714285714278</c:v>
                </c:pt>
                <c:pt idx="16">
                  <c:v>47.285714285714278</c:v>
                </c:pt>
                <c:pt idx="17">
                  <c:v>54.142857142857132</c:v>
                </c:pt>
                <c:pt idx="18">
                  <c:v>54.142857142857132</c:v>
                </c:pt>
                <c:pt idx="19">
                  <c:v>54.142857142857132</c:v>
                </c:pt>
                <c:pt idx="20">
                  <c:v>60.999999999999986</c:v>
                </c:pt>
                <c:pt idx="21">
                  <c:v>60.999999999999986</c:v>
                </c:pt>
                <c:pt idx="22">
                  <c:v>60.999999999999986</c:v>
                </c:pt>
                <c:pt idx="23">
                  <c:v>60.999999999999986</c:v>
                </c:pt>
                <c:pt idx="24">
                  <c:v>60.999999999999986</c:v>
                </c:pt>
                <c:pt idx="25">
                  <c:v>60.999999999999986</c:v>
                </c:pt>
                <c:pt idx="26">
                  <c:v>60.999999999999986</c:v>
                </c:pt>
                <c:pt idx="27">
                  <c:v>60.999999999999986</c:v>
                </c:pt>
                <c:pt idx="28">
                  <c:v>60.999999999999986</c:v>
                </c:pt>
                <c:pt idx="29">
                  <c:v>60.999999999999986</c:v>
                </c:pt>
                <c:pt idx="30">
                  <c:v>60.999999999999986</c:v>
                </c:pt>
                <c:pt idx="31">
                  <c:v>60.999999999999986</c:v>
                </c:pt>
                <c:pt idx="32">
                  <c:v>60.999999999999986</c:v>
                </c:pt>
                <c:pt idx="33">
                  <c:v>60.999999999999986</c:v>
                </c:pt>
                <c:pt idx="34">
                  <c:v>60.999999999999986</c:v>
                </c:pt>
                <c:pt idx="35">
                  <c:v>60.999999999999986</c:v>
                </c:pt>
                <c:pt idx="36">
                  <c:v>60.999999999999986</c:v>
                </c:pt>
                <c:pt idx="37">
                  <c:v>60.999999999999986</c:v>
                </c:pt>
                <c:pt idx="38">
                  <c:v>60.999999999999986</c:v>
                </c:pt>
                <c:pt idx="39">
                  <c:v>60.999999999999986</c:v>
                </c:pt>
                <c:pt idx="40">
                  <c:v>60.999999999999986</c:v>
                </c:pt>
                <c:pt idx="41">
                  <c:v>60.999999999999986</c:v>
                </c:pt>
                <c:pt idx="42">
                  <c:v>60.999999999999986</c:v>
                </c:pt>
                <c:pt idx="43">
                  <c:v>60.999999999999986</c:v>
                </c:pt>
                <c:pt idx="44">
                  <c:v>60.999999999999986</c:v>
                </c:pt>
                <c:pt idx="45">
                  <c:v>60.999999999999986</c:v>
                </c:pt>
              </c:numCache>
            </c:numRef>
          </c:xVal>
          <c:yVal>
            <c:numRef>
              <c:f>'Independent Samples t Test'!$Y$62:$Y$107</c:f>
              <c:numCache>
                <c:formatCode>General</c:formatCode>
                <c:ptCount val="46"/>
                <c:pt idx="0">
                  <c:v>0</c:v>
                </c:pt>
                <c:pt idx="1">
                  <c:v>1</c:v>
                </c:pt>
                <c:pt idx="2">
                  <c:v>1</c:v>
                </c:pt>
                <c:pt idx="3">
                  <c:v>0</c:v>
                </c:pt>
                <c:pt idx="4">
                  <c:v>0</c:v>
                </c:pt>
                <c:pt idx="5">
                  <c:v>0</c:v>
                </c:pt>
                <c:pt idx="6">
                  <c:v>0</c:v>
                </c:pt>
                <c:pt idx="7">
                  <c:v>4</c:v>
                </c:pt>
                <c:pt idx="8">
                  <c:v>4</c:v>
                </c:pt>
                <c:pt idx="9">
                  <c:v>0</c:v>
                </c:pt>
                <c:pt idx="10">
                  <c:v>1</c:v>
                </c:pt>
                <c:pt idx="11">
                  <c:v>1</c:v>
                </c:pt>
                <c:pt idx="12">
                  <c:v>0</c:v>
                </c:pt>
                <c:pt idx="13">
                  <c:v>1</c:v>
                </c:pt>
                <c:pt idx="14">
                  <c:v>1</c:v>
                </c:pt>
                <c:pt idx="15">
                  <c:v>0</c:v>
                </c:pt>
                <c:pt idx="16">
                  <c:v>3</c:v>
                </c:pt>
                <c:pt idx="17">
                  <c:v>3</c:v>
                </c:pt>
                <c:pt idx="18">
                  <c:v>0</c:v>
                </c:pt>
                <c:pt idx="19">
                  <c:v>2</c:v>
                </c:pt>
                <c:pt idx="20">
                  <c:v>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15B2-AB41-866E-A8FB794B32AA}"/>
            </c:ext>
          </c:extLst>
        </c:ser>
        <c:dLbls>
          <c:showLegendKey val="0"/>
          <c:showVal val="0"/>
          <c:showCatName val="0"/>
          <c:showSerName val="0"/>
          <c:showPercent val="0"/>
          <c:showBubbleSize val="0"/>
        </c:dLbls>
        <c:axId val="624068720"/>
        <c:axId val="624226640"/>
      </c:scatterChart>
      <c:valAx>
        <c:axId val="6240687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226640"/>
        <c:crosses val="autoZero"/>
        <c:crossBetween val="midCat"/>
      </c:valAx>
      <c:valAx>
        <c:axId val="624226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687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44450" cap="rnd">
              <a:solidFill>
                <a:schemeClr val="bg1">
                  <a:lumMod val="50000"/>
                </a:schemeClr>
              </a:solidFill>
              <a:round/>
            </a:ln>
            <a:effectLst/>
          </c:spPr>
          <c:marker>
            <c:symbol val="none"/>
          </c:marker>
          <c:xVal>
            <c:numRef>
              <c:f>ANOVA!$AA$9:$AA$54</c:f>
              <c:numCache>
                <c:formatCode>General</c:formatCode>
                <c:ptCount val="46"/>
                <c:pt idx="0">
                  <c:v>4</c:v>
                </c:pt>
                <c:pt idx="1">
                  <c:v>4</c:v>
                </c:pt>
                <c:pt idx="2" formatCode="0.00">
                  <c:v>4.5999999999999996</c:v>
                </c:pt>
                <c:pt idx="3">
                  <c:v>4.5999999999999996</c:v>
                </c:pt>
                <c:pt idx="4">
                  <c:v>4.5999999999999996</c:v>
                </c:pt>
                <c:pt idx="5">
                  <c:v>5.1999999999999993</c:v>
                </c:pt>
                <c:pt idx="6">
                  <c:v>5.1999999999999993</c:v>
                </c:pt>
                <c:pt idx="7">
                  <c:v>5.1999999999999993</c:v>
                </c:pt>
                <c:pt idx="8">
                  <c:v>5.7999999999999989</c:v>
                </c:pt>
                <c:pt idx="9">
                  <c:v>5.7999999999999989</c:v>
                </c:pt>
                <c:pt idx="10">
                  <c:v>5.7999999999999989</c:v>
                </c:pt>
                <c:pt idx="11">
                  <c:v>6.3999999999999986</c:v>
                </c:pt>
                <c:pt idx="12">
                  <c:v>6.3999999999999986</c:v>
                </c:pt>
                <c:pt idx="13">
                  <c:v>6.3999999999999986</c:v>
                </c:pt>
                <c:pt idx="14">
                  <c:v>6.9999999999999982</c:v>
                </c:pt>
                <c:pt idx="15">
                  <c:v>6.9999999999999982</c:v>
                </c:pt>
                <c:pt idx="16">
                  <c:v>6.9999999999999982</c:v>
                </c:pt>
                <c:pt idx="17">
                  <c:v>6.9999999999999982</c:v>
                </c:pt>
                <c:pt idx="18">
                  <c:v>6.9999999999999982</c:v>
                </c:pt>
                <c:pt idx="19">
                  <c:v>6.9999999999999982</c:v>
                </c:pt>
                <c:pt idx="20">
                  <c:v>6.9999999999999982</c:v>
                </c:pt>
                <c:pt idx="21">
                  <c:v>6.9999999999999982</c:v>
                </c:pt>
                <c:pt idx="22">
                  <c:v>6.9999999999999982</c:v>
                </c:pt>
                <c:pt idx="23">
                  <c:v>6.9999999999999982</c:v>
                </c:pt>
                <c:pt idx="24">
                  <c:v>6.9999999999999982</c:v>
                </c:pt>
                <c:pt idx="25">
                  <c:v>6.9999999999999982</c:v>
                </c:pt>
                <c:pt idx="26">
                  <c:v>6.9999999999999982</c:v>
                </c:pt>
                <c:pt idx="27">
                  <c:v>6.9999999999999982</c:v>
                </c:pt>
                <c:pt idx="28">
                  <c:v>6.9999999999999982</c:v>
                </c:pt>
                <c:pt idx="29">
                  <c:v>6.9999999999999982</c:v>
                </c:pt>
                <c:pt idx="30">
                  <c:v>6.9999999999999982</c:v>
                </c:pt>
                <c:pt idx="31">
                  <c:v>6.9999999999999982</c:v>
                </c:pt>
                <c:pt idx="32">
                  <c:v>6.9999999999999982</c:v>
                </c:pt>
                <c:pt idx="33">
                  <c:v>6.9999999999999982</c:v>
                </c:pt>
                <c:pt idx="34">
                  <c:v>6.9999999999999982</c:v>
                </c:pt>
                <c:pt idx="35">
                  <c:v>6.9999999999999982</c:v>
                </c:pt>
                <c:pt idx="36">
                  <c:v>6.9999999999999982</c:v>
                </c:pt>
                <c:pt idx="37">
                  <c:v>6.9999999999999982</c:v>
                </c:pt>
                <c:pt idx="38">
                  <c:v>6.9999999999999982</c:v>
                </c:pt>
                <c:pt idx="39">
                  <c:v>6.9999999999999982</c:v>
                </c:pt>
                <c:pt idx="40">
                  <c:v>6.9999999999999982</c:v>
                </c:pt>
                <c:pt idx="41">
                  <c:v>6.9999999999999982</c:v>
                </c:pt>
                <c:pt idx="42">
                  <c:v>6.9999999999999982</c:v>
                </c:pt>
                <c:pt idx="43">
                  <c:v>6.9999999999999982</c:v>
                </c:pt>
                <c:pt idx="44">
                  <c:v>6.9999999999999982</c:v>
                </c:pt>
                <c:pt idx="45">
                  <c:v>6.9999999999999982</c:v>
                </c:pt>
              </c:numCache>
            </c:numRef>
          </c:xVal>
          <c:yVal>
            <c:numRef>
              <c:f>ANOVA!$AB$9:$AB$54</c:f>
              <c:numCache>
                <c:formatCode>General</c:formatCode>
                <c:ptCount val="46"/>
                <c:pt idx="0">
                  <c:v>0</c:v>
                </c:pt>
                <c:pt idx="1">
                  <c:v>2</c:v>
                </c:pt>
                <c:pt idx="2">
                  <c:v>2</c:v>
                </c:pt>
                <c:pt idx="3">
                  <c:v>0</c:v>
                </c:pt>
                <c:pt idx="4">
                  <c:v>2</c:v>
                </c:pt>
                <c:pt idx="5">
                  <c:v>2</c:v>
                </c:pt>
                <c:pt idx="6">
                  <c:v>0</c:v>
                </c:pt>
                <c:pt idx="7">
                  <c:v>0</c:v>
                </c:pt>
                <c:pt idx="8">
                  <c:v>0</c:v>
                </c:pt>
                <c:pt idx="9">
                  <c:v>0</c:v>
                </c:pt>
                <c:pt idx="10">
                  <c:v>2</c:v>
                </c:pt>
                <c:pt idx="11">
                  <c:v>2</c:v>
                </c:pt>
                <c:pt idx="12">
                  <c:v>0</c:v>
                </c:pt>
                <c:pt idx="13">
                  <c:v>1</c:v>
                </c:pt>
                <c:pt idx="14">
                  <c:v>1</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FDD7-F349-A1A9-46F17FEC41E5}"/>
            </c:ext>
          </c:extLst>
        </c:ser>
        <c:dLbls>
          <c:showLegendKey val="0"/>
          <c:showVal val="0"/>
          <c:showCatName val="0"/>
          <c:showSerName val="0"/>
          <c:showPercent val="0"/>
          <c:showBubbleSize val="0"/>
        </c:dLbls>
        <c:axId val="96946928"/>
        <c:axId val="553130128"/>
      </c:scatterChart>
      <c:valAx>
        <c:axId val="969469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130128"/>
        <c:crosses val="autoZero"/>
        <c:crossBetween val="midCat"/>
      </c:valAx>
      <c:valAx>
        <c:axId val="553130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9469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'One Proportion'!$E$5:$E$6</c:f>
              <c:strCache>
                <c:ptCount val="2"/>
                <c:pt idx="0">
                  <c:v>Sample Proportion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BF-8C48-AA65-A46FA122DECF}"/>
              </c:ext>
            </c:extLst>
          </c:dPt>
          <c:dPt>
            <c:idx val="1"/>
            <c:bubble3D val="0"/>
            <c:spPr>
              <a:solidFill>
                <a:schemeClr val="accent1">
                  <a:lumMod val="20000"/>
                  <a:lumOff val="80000"/>
                </a:schemeClr>
              </a:solidFill>
              <a:ln w="19050">
                <a:solidFill>
                  <a:schemeClr val="lt1"/>
                </a:solidFill>
              </a:ln>
              <a:effectLst/>
            </c:spPr>
            <c:extLst>
              <c:ext xmlns:c16="http://schemas.microsoft.com/office/drawing/2014/chart" uri="{C3380CC4-5D6E-409C-BE32-E72D297353CC}">
                <c16:uniqueId val="{00000002-2CBF-8C48-AA65-A46FA122DECF}"/>
              </c:ext>
            </c:extLst>
          </c:dPt>
          <c:dLbls>
            <c:dLbl>
              <c:idx val="0"/>
              <c:tx>
                <c:rich>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fld id="{D5CBB87B-BAD0-144F-B890-8C93B7825DBF}" type="SERIESNAME">
                      <a:rPr lang="en-US" sz="1200">
                        <a:solidFill>
                          <a:schemeClr val="accent1">
                            <a:lumMod val="40000"/>
                            <a:lumOff val="60000"/>
                          </a:schemeClr>
                        </a:solidFill>
                      </a:rPr>
                      <a:pPr>
                        <a:defRPr sz="1800">
                          <a:solidFill>
                            <a:schemeClr val="accent1">
                              <a:lumMod val="40000"/>
                              <a:lumOff val="60000"/>
                            </a:schemeClr>
                          </a:solidFill>
                        </a:defRPr>
                      </a:pPr>
                      <a:t>[SERIES NAME]</a:t>
                    </a:fld>
                    <a:r>
                      <a:rPr lang="en-US" sz="1800" baseline="0">
                        <a:solidFill>
                          <a:schemeClr val="accent1">
                            <a:lumMod val="40000"/>
                            <a:lumOff val="60000"/>
                          </a:schemeClr>
                        </a:solidFill>
                      </a:rPr>
                      <a:t>, </a:t>
                    </a:r>
                    <a:fld id="{17E5AEFC-1820-F347-A2AE-3655F954F79C}" type="PERCENTAGE">
                      <a:rPr lang="en-US" sz="1800" baseline="0">
                        <a:solidFill>
                          <a:schemeClr val="accent1">
                            <a:lumMod val="40000"/>
                            <a:lumOff val="60000"/>
                          </a:schemeClr>
                        </a:solidFill>
                      </a:rPr>
                      <a:pPr>
                        <a:defRPr sz="1800">
                          <a:solidFill>
                            <a:schemeClr val="accent1">
                              <a:lumMod val="40000"/>
                              <a:lumOff val="60000"/>
                            </a:schemeClr>
                          </a:solidFill>
                        </a:defRPr>
                      </a:pPr>
                      <a:t>[PERCENTAGE]</a:t>
                    </a:fld>
                    <a:endParaRPr lang="en-US" sz="1800" baseline="0">
                      <a:solidFill>
                        <a:schemeClr val="accent1">
                          <a:lumMod val="40000"/>
                          <a:lumOff val="60000"/>
                        </a:schemeClr>
                      </a:solidFill>
                    </a:endParaRPr>
                  </a:p>
                </c:rich>
              </c:tx>
              <c:numFmt formatCode="0.00" sourceLinked="0"/>
              <c:spPr>
                <a:noFill/>
                <a:ln>
                  <a:noFill/>
                </a:ln>
                <a:effectLst/>
              </c:spPr>
              <c:txPr>
                <a:bodyPr rot="0" spcFirstLastPara="1" vertOverflow="ellipsis" vert="horz" wrap="square" lIns="38100" tIns="19050" rIns="38100" bIns="19050" anchor="ctr" anchorCtr="1">
                  <a:noAutofit/>
                </a:bodyPr>
                <a:lstStyle/>
                <a:p>
                  <a:pPr>
                    <a:defRPr sz="1800" b="0" i="0" u="none" strike="noStrike" kern="1200" baseline="0">
                      <a:solidFill>
                        <a:schemeClr val="accent1">
                          <a:lumMod val="40000"/>
                          <a:lumOff val="60000"/>
                        </a:schemeClr>
                      </a:solidFill>
                      <a:latin typeface="+mn-lt"/>
                      <a:ea typeface="+mn-ea"/>
                      <a:cs typeface="+mn-cs"/>
                    </a:defRPr>
                  </a:pPr>
                  <a:endParaRPr lang="en-US"/>
                </a:p>
              </c:txPr>
              <c:dLblPos val="bestFit"/>
              <c:showLegendKey val="0"/>
              <c:showVal val="0"/>
              <c:showCatName val="0"/>
              <c:showSerName val="1"/>
              <c:showPercent val="1"/>
              <c:showBubbleSize val="0"/>
              <c:extLst>
                <c:ext xmlns:c15="http://schemas.microsoft.com/office/drawing/2012/chart" uri="{CE6537A1-D6FC-4f65-9D91-7224C49458BB}">
                  <c15:layout>
                    <c:manualLayout>
                      <c:w val="0.30223123732251522"/>
                      <c:h val="0.32480314960629919"/>
                    </c:manualLayout>
                  </c15:layout>
                  <c15:dlblFieldTable/>
                  <c15:showDataLabelsRange val="0"/>
                </c:ext>
                <c:ext xmlns:c16="http://schemas.microsoft.com/office/drawing/2014/chart" uri="{C3380CC4-5D6E-409C-BE32-E72D297353CC}">
                  <c16:uniqueId val="{00000001-2CBF-8C48-AA65-A46FA122DECF}"/>
                </c:ext>
              </c:extLst>
            </c:dLbl>
            <c:dLbl>
              <c:idx val="1"/>
              <c:delete val="1"/>
              <c:extLst>
                <c:ext xmlns:c15="http://schemas.microsoft.com/office/drawing/2012/chart" uri="{CE6537A1-D6FC-4f65-9D91-7224C49458BB}"/>
                <c:ext xmlns:c16="http://schemas.microsoft.com/office/drawing/2014/chart" uri="{C3380CC4-5D6E-409C-BE32-E72D297353CC}">
                  <c16:uniqueId val="{00000002-2CBF-8C48-AA65-A46FA122DEC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40000"/>
                        <a:lumOff val="60000"/>
                      </a:schemeClr>
                    </a:solidFill>
                    <a:latin typeface="+mn-lt"/>
                    <a:ea typeface="+mn-ea"/>
                    <a:cs typeface="+mn-cs"/>
                  </a:defRPr>
                </a:pPr>
                <a:endParaRPr lang="en-US"/>
              </a:p>
            </c:txPr>
            <c:showLegendKey val="0"/>
            <c:showVal val="0"/>
            <c:showCatName val="1"/>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'One Proportion'!$P$9:$P$10</c:f>
              <c:numCache>
                <c:formatCode>General</c:formatCode>
                <c:ptCount val="2"/>
                <c:pt idx="0">
                  <c:v>35</c:v>
                </c:pt>
                <c:pt idx="1">
                  <c:v>65</c:v>
                </c:pt>
              </c:numCache>
            </c:numRef>
          </c:val>
          <c:extLst>
            <c:ext xmlns:c16="http://schemas.microsoft.com/office/drawing/2014/chart" uri="{C3380CC4-5D6E-409C-BE32-E72D297353CC}">
              <c16:uniqueId val="{00000000-2CBF-8C48-AA65-A46FA122DEC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'Two Proportions'!$E$5:$E$6</c:f>
              <c:strCache>
                <c:ptCount val="2"/>
                <c:pt idx="0">
                  <c:v>Sample Proportion</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'Two Proportions'!$F$7:$F$8</c:f>
              <c:strCache>
                <c:ptCount val="2"/>
                <c:pt idx="0">
                  <c:v>Group 1</c:v>
                </c:pt>
                <c:pt idx="1">
                  <c:v>Group 2</c:v>
                </c:pt>
              </c:strCache>
            </c:strRef>
          </c:cat>
          <c:val>
            <c:numRef>
              <c:f>'Two Proportions'!$E$7:$E$8</c:f>
              <c:numCache>
                <c:formatCode>0.000</c:formatCode>
                <c:ptCount val="2"/>
                <c:pt idx="0">
                  <c:v>0.4</c:v>
                </c:pt>
                <c:pt idx="1">
                  <c:v>0.44444444444444442</c:v>
                </c:pt>
              </c:numCache>
            </c:numRef>
          </c:val>
          <c:extLst>
            <c:ext xmlns:c16="http://schemas.microsoft.com/office/drawing/2014/chart" uri="{C3380CC4-5D6E-409C-BE32-E72D297353CC}">
              <c16:uniqueId val="{00000000-8C08-514D-912A-8ED7DA6888B2}"/>
            </c:ext>
          </c:extLst>
        </c:ser>
        <c:ser>
          <c:idx val="1"/>
          <c:order val="1"/>
          <c:tx>
            <c:v>1 - Sample Proportion</c:v>
          </c:tx>
          <c:spPr>
            <a:solidFill>
              <a:schemeClr val="accent1">
                <a:lumMod val="20000"/>
                <a:lumOff val="80000"/>
              </a:schemeClr>
            </a:solidFill>
            <a:ln>
              <a:noFill/>
            </a:ln>
            <a:effectLst/>
          </c:spPr>
          <c:invertIfNegative val="0"/>
          <c:dLbls>
            <c:delete val="1"/>
          </c:dLbls>
          <c:val>
            <c:numRef>
              <c:f>'Two Proportions'!$E$11:$E$12</c:f>
              <c:numCache>
                <c:formatCode>0.000</c:formatCode>
                <c:ptCount val="2"/>
                <c:pt idx="0">
                  <c:v>0.6</c:v>
                </c:pt>
                <c:pt idx="1">
                  <c:v>0.55555555555555558</c:v>
                </c:pt>
              </c:numCache>
            </c:numRef>
          </c:val>
          <c:extLst>
            <c:ext xmlns:c16="http://schemas.microsoft.com/office/drawing/2014/chart" uri="{C3380CC4-5D6E-409C-BE32-E72D297353CC}">
              <c16:uniqueId val="{00000001-8C08-514D-912A-8ED7DA6888B2}"/>
            </c:ext>
          </c:extLst>
        </c:ser>
        <c:dLbls>
          <c:dLblPos val="ctr"/>
          <c:showLegendKey val="0"/>
          <c:showVal val="1"/>
          <c:showCatName val="0"/>
          <c:showSerName val="0"/>
          <c:showPercent val="0"/>
          <c:showBubbleSize val="0"/>
        </c:dLbls>
        <c:gapWidth val="80"/>
        <c:overlap val="100"/>
        <c:axId val="1703340848"/>
        <c:axId val="1706899216"/>
      </c:barChart>
      <c:catAx>
        <c:axId val="170334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706899216"/>
        <c:crosses val="autoZero"/>
        <c:auto val="1"/>
        <c:lblAlgn val="ctr"/>
        <c:lblOffset val="100"/>
        <c:noMultiLvlLbl val="0"/>
      </c:catAx>
      <c:valAx>
        <c:axId val="170689921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33408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'Chi Square'!$C$7</c:f>
              <c:strCache>
                <c:ptCount val="1"/>
                <c:pt idx="0">
                  <c:v>Row 1</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Square'!$D$7:$I$7</c:f>
              <c:numCache>
                <c:formatCode>General</c:formatCode>
                <c:ptCount val="6"/>
                <c:pt idx="0">
                  <c:v>150</c:v>
                </c:pt>
                <c:pt idx="1">
                  <c:v>152</c:v>
                </c:pt>
                <c:pt idx="2">
                  <c:v>4</c:v>
                </c:pt>
              </c:numCache>
            </c:numRef>
          </c:val>
          <c:extLst>
            <c:ext xmlns:c16="http://schemas.microsoft.com/office/drawing/2014/chart" uri="{C3380CC4-5D6E-409C-BE32-E72D297353CC}">
              <c16:uniqueId val="{00000001-D511-FD4E-918C-D09CCD949F53}"/>
            </c:ext>
          </c:extLst>
        </c:ser>
        <c:ser>
          <c:idx val="2"/>
          <c:order val="2"/>
          <c:tx>
            <c:strRef>
              <c:f>'Chi Square'!$C$8</c:f>
              <c:strCache>
                <c:ptCount val="1"/>
                <c:pt idx="0">
                  <c:v>Row 2</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Square'!$D$8:$I$8</c:f>
              <c:numCache>
                <c:formatCode>General</c:formatCode>
                <c:ptCount val="6"/>
                <c:pt idx="0">
                  <c:v>155</c:v>
                </c:pt>
                <c:pt idx="1">
                  <c:v>184</c:v>
                </c:pt>
                <c:pt idx="2">
                  <c:v>6</c:v>
                </c:pt>
              </c:numCache>
            </c:numRef>
          </c:val>
          <c:extLst>
            <c:ext xmlns:c16="http://schemas.microsoft.com/office/drawing/2014/chart" uri="{C3380CC4-5D6E-409C-BE32-E72D297353CC}">
              <c16:uniqueId val="{00000002-D511-FD4E-918C-D09CCD949F53}"/>
            </c:ext>
          </c:extLst>
        </c:ser>
        <c:ser>
          <c:idx val="3"/>
          <c:order val="3"/>
          <c:tx>
            <c:strRef>
              <c:f>'Chi Square'!$C$9</c:f>
              <c:strCache>
                <c:ptCount val="1"/>
                <c:pt idx="0">
                  <c:v>Row 3</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Square'!$D$9:$I$9</c:f>
              <c:numCache>
                <c:formatCode>General</c:formatCode>
                <c:ptCount val="6"/>
              </c:numCache>
            </c:numRef>
          </c:val>
          <c:extLst>
            <c:ext xmlns:c16="http://schemas.microsoft.com/office/drawing/2014/chart" uri="{C3380CC4-5D6E-409C-BE32-E72D297353CC}">
              <c16:uniqueId val="{00000003-D511-FD4E-918C-D09CCD949F53}"/>
            </c:ext>
          </c:extLst>
        </c:ser>
        <c:ser>
          <c:idx val="4"/>
          <c:order val="4"/>
          <c:tx>
            <c:strRef>
              <c:f>'Chi Square'!$C$10</c:f>
              <c:strCache>
                <c:ptCount val="1"/>
                <c:pt idx="0">
                  <c:v>Row 4</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Square'!$D$10:$I$10</c:f>
              <c:numCache>
                <c:formatCode>General</c:formatCode>
                <c:ptCount val="6"/>
              </c:numCache>
            </c:numRef>
          </c:val>
          <c:extLst>
            <c:ext xmlns:c16="http://schemas.microsoft.com/office/drawing/2014/chart" uri="{C3380CC4-5D6E-409C-BE32-E72D297353CC}">
              <c16:uniqueId val="{00000004-D511-FD4E-918C-D09CCD949F53}"/>
            </c:ext>
          </c:extLst>
        </c:ser>
        <c:ser>
          <c:idx val="5"/>
          <c:order val="5"/>
          <c:tx>
            <c:strRef>
              <c:f>'Chi Square'!$C$11</c:f>
              <c:strCache>
                <c:ptCount val="1"/>
                <c:pt idx="0">
                  <c:v>Row 5</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Square'!$D$11:$I$11</c:f>
              <c:numCache>
                <c:formatCode>General</c:formatCode>
                <c:ptCount val="6"/>
              </c:numCache>
            </c:numRef>
          </c:val>
          <c:extLst>
            <c:ext xmlns:c16="http://schemas.microsoft.com/office/drawing/2014/chart" uri="{C3380CC4-5D6E-409C-BE32-E72D297353CC}">
              <c16:uniqueId val="{00000005-D511-FD4E-918C-D09CCD949F53}"/>
            </c:ext>
          </c:extLst>
        </c:ser>
        <c:ser>
          <c:idx val="6"/>
          <c:order val="6"/>
          <c:tx>
            <c:strRef>
              <c:f>'Chi Square'!$C$12</c:f>
              <c:strCache>
                <c:ptCount val="1"/>
                <c:pt idx="0">
                  <c:v>Row 6</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cat>
            <c:numRef>
              <c:f>'Chi Square'!$D$5:$I$5</c:f>
              <c:numCache>
                <c:formatCode>General</c:formatCode>
                <c:ptCount val="6"/>
              </c:numCache>
            </c:numRef>
          </c:cat>
          <c:val>
            <c:numRef>
              <c:f>'Chi Square'!$D$12:$I$12</c:f>
              <c:numCache>
                <c:formatCode>General</c:formatCode>
                <c:ptCount val="6"/>
              </c:numCache>
            </c:numRef>
          </c:val>
          <c:extLst>
            <c:ext xmlns:c16="http://schemas.microsoft.com/office/drawing/2014/chart" uri="{C3380CC4-5D6E-409C-BE32-E72D297353CC}">
              <c16:uniqueId val="{00000006-D511-FD4E-918C-D09CCD949F53}"/>
            </c:ext>
          </c:extLst>
        </c:ser>
        <c:dLbls>
          <c:showLegendKey val="0"/>
          <c:showVal val="0"/>
          <c:showCatName val="0"/>
          <c:showSerName val="0"/>
          <c:showPercent val="0"/>
          <c:showBubbleSize val="0"/>
        </c:dLbls>
        <c:gapWidth val="100"/>
        <c:overlap val="-24"/>
        <c:axId val="91734288"/>
        <c:axId val="91735920"/>
        <c:extLst>
          <c:ext xmlns:c15="http://schemas.microsoft.com/office/drawing/2012/chart" uri="{02D57815-91ED-43cb-92C2-25804820EDAC}">
            <c15:filteredBarSeries>
              <c15:ser>
                <c:idx val="0"/>
                <c:order val="0"/>
                <c:tx>
                  <c:strRef>
                    <c:extLst>
                      <c:ext uri="{02D57815-91ED-43cb-92C2-25804820EDAC}">
                        <c15:formulaRef>
                          <c15:sqref>'Chi Square'!$C$6</c15:sqref>
                        </c15:formulaRef>
                      </c:ext>
                    </c:extLst>
                    <c:strCache>
                      <c:ptCount val="1"/>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numRef>
                    <c:extLst>
                      <c:ext uri="{02D57815-91ED-43cb-92C2-25804820EDAC}">
                        <c15:formulaRef>
                          <c15:sqref>'Chi Square'!$D$5:$I$5</c15:sqref>
                        </c15:formulaRef>
                      </c:ext>
                    </c:extLst>
                    <c:numCache>
                      <c:formatCode>General</c:formatCode>
                      <c:ptCount val="6"/>
                    </c:numCache>
                  </c:numRef>
                </c:cat>
                <c:val>
                  <c:numRef>
                    <c:extLst>
                      <c:ext uri="{02D57815-91ED-43cb-92C2-25804820EDAC}">
                        <c15:formulaRef>
                          <c15:sqref>'Chi Square'!$D$6:$I$6</c15:sqref>
                        </c15:formulaRef>
                      </c:ext>
                    </c:extLst>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D511-FD4E-918C-D09CCD949F53}"/>
                  </c:ext>
                </c:extLst>
              </c15:ser>
            </c15:filteredBarSeries>
          </c:ext>
        </c:extLst>
      </c:barChart>
      <c:catAx>
        <c:axId val="9173428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5920"/>
        <c:crosses val="autoZero"/>
        <c:auto val="1"/>
        <c:lblAlgn val="ctr"/>
        <c:lblOffset val="100"/>
        <c:noMultiLvlLbl val="0"/>
      </c:catAx>
      <c:valAx>
        <c:axId val="91735920"/>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73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Scatterplot Chart Title Goes Here</a:t>
            </a:r>
          </a:p>
        </c:rich>
      </c:tx>
      <c:layout>
        <c:manualLayout>
          <c:xMode val="edge"/>
          <c:yMode val="edge"/>
          <c:x val="0.14377788469436853"/>
          <c:y val="3.09477756286266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trendline>
            <c:spPr>
              <a:ln w="9525" cap="rnd">
                <a:solidFill>
                  <a:schemeClr val="accent1"/>
                </a:solidFill>
              </a:ln>
              <a:effectLst/>
            </c:spPr>
            <c:trendlineType val="linear"/>
            <c:dispRSqr val="0"/>
            <c:dispEq val="1"/>
            <c:trendlineLbl>
              <c:layout>
                <c:manualLayout>
                  <c:x val="0.14555429081051902"/>
                  <c:y val="-0.1665800575701731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trendlineLbl>
          </c:trendline>
          <c:xVal>
            <c:numRef>
              <c:f>'Linear Regression'!$A$2:$A$1001</c:f>
              <c:numCache>
                <c:formatCode>General</c:formatCode>
                <c:ptCount val="1000"/>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numCache>
            </c:numRef>
          </c:xVal>
          <c:yVal>
            <c:numRef>
              <c:f>'Linear Regression'!$B$2:$B$1001</c:f>
              <c:numCache>
                <c:formatCode>General</c:formatCode>
                <c:ptCount val="1000"/>
                <c:pt idx="0">
                  <c:v>50</c:v>
                </c:pt>
                <c:pt idx="1">
                  <c:v>83.3</c:v>
                </c:pt>
                <c:pt idx="2">
                  <c:v>76.7</c:v>
                </c:pt>
                <c:pt idx="3">
                  <c:v>50</c:v>
                </c:pt>
                <c:pt idx="4">
                  <c:v>76.7</c:v>
                </c:pt>
                <c:pt idx="5">
                  <c:v>73.3</c:v>
                </c:pt>
                <c:pt idx="6">
                  <c:v>100</c:v>
                </c:pt>
                <c:pt idx="7">
                  <c:v>96.7</c:v>
                </c:pt>
                <c:pt idx="8">
                  <c:v>50</c:v>
                </c:pt>
                <c:pt idx="9">
                  <c:v>60</c:v>
                </c:pt>
                <c:pt idx="10">
                  <c:v>70</c:v>
                </c:pt>
                <c:pt idx="11">
                  <c:v>90</c:v>
                </c:pt>
                <c:pt idx="12">
                  <c:v>33.299999999999997</c:v>
                </c:pt>
              </c:numCache>
            </c:numRef>
          </c:yVal>
          <c:smooth val="0"/>
          <c:extLst>
            <c:ext xmlns:c16="http://schemas.microsoft.com/office/drawing/2014/chart" uri="{C3380CC4-5D6E-409C-BE32-E72D297353CC}">
              <c16:uniqueId val="{00000000-4F15-034D-873F-CD02A1404DE3}"/>
            </c:ext>
          </c:extLst>
        </c:ser>
        <c:ser>
          <c:idx val="1"/>
          <c:order val="1"/>
          <c:tx>
            <c:v>Prediction</c:v>
          </c:tx>
          <c:spPr>
            <a:ln w="25400" cap="rnd">
              <a:noFill/>
              <a:round/>
            </a:ln>
            <a:effectLst/>
          </c:spPr>
          <c:marker>
            <c:symbol val="circle"/>
            <c:size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c:spPr>
          </c:marker>
          <c:xVal>
            <c:numRef>
              <c:f>'Linear Regression'!$J$18</c:f>
              <c:numCache>
                <c:formatCode>General</c:formatCode>
                <c:ptCount val="1"/>
              </c:numCache>
            </c:numRef>
          </c:xVal>
          <c:yVal>
            <c:numRef>
              <c:f>'Linear Regression'!$K$18</c:f>
              <c:numCache>
                <c:formatCode>0.000</c:formatCode>
                <c:ptCount val="1"/>
                <c:pt idx="0">
                  <c:v>0</c:v>
                </c:pt>
              </c:numCache>
            </c:numRef>
          </c:yVal>
          <c:smooth val="0"/>
          <c:extLst>
            <c:ext xmlns:c16="http://schemas.microsoft.com/office/drawing/2014/chart" uri="{C3380CC4-5D6E-409C-BE32-E72D297353CC}">
              <c16:uniqueId val="{00000001-7D15-AB42-A6F7-6F04FED5FF8C}"/>
            </c:ext>
          </c:extLst>
        </c:ser>
        <c:dLbls>
          <c:showLegendKey val="0"/>
          <c:showVal val="0"/>
          <c:showCatName val="0"/>
          <c:showSerName val="0"/>
          <c:showPercent val="0"/>
          <c:showBubbleSize val="0"/>
        </c:dLbls>
        <c:axId val="93284208"/>
        <c:axId val="416611072"/>
      </c:scatterChart>
      <c:valAx>
        <c:axId val="93284208"/>
        <c:scaling>
          <c:orientation val="minMax"/>
        </c:scaling>
        <c:delete val="0"/>
        <c:axPos val="b"/>
        <c:majorGridlines>
          <c:spPr>
            <a:ln w="9525" cap="flat" cmpd="sng" algn="ctr">
              <a:solidFill>
                <a:schemeClr val="tx2">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 Axis Title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16611072"/>
        <c:crosses val="autoZero"/>
        <c:crossBetween val="midCat"/>
      </c:valAx>
      <c:valAx>
        <c:axId val="416611072"/>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Y Axis Title</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32842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Residual Plot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scatterChart>
        <c:scatterStyle val="lineMarker"/>
        <c:varyColors val="0"/>
        <c:ser>
          <c:idx val="1"/>
          <c:order val="0"/>
          <c:spPr>
            <a:ln w="25400" cap="rnd">
              <a:noFill/>
              <a:round/>
            </a:ln>
            <a:effectLst/>
          </c:spPr>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dPt>
            <c:idx val="14"/>
            <c:marker>
              <c:symbol val="circle"/>
              <c:size val="5"/>
              <c:spPr>
                <a:gradFill rotWithShape="1">
                  <a:gsLst>
                    <a:gs pos="0">
                      <a:schemeClr val="accent3">
                        <a:tint val="77000"/>
                        <a:satMod val="103000"/>
                        <a:lumMod val="102000"/>
                        <a:tint val="94000"/>
                      </a:schemeClr>
                    </a:gs>
                    <a:gs pos="50000">
                      <a:schemeClr val="accent3">
                        <a:tint val="77000"/>
                        <a:satMod val="110000"/>
                        <a:lumMod val="100000"/>
                        <a:shade val="100000"/>
                      </a:schemeClr>
                    </a:gs>
                    <a:gs pos="100000">
                      <a:schemeClr val="accent3">
                        <a:tint val="77000"/>
                        <a:lumMod val="99000"/>
                        <a:satMod val="120000"/>
                        <a:shade val="78000"/>
                      </a:schemeClr>
                    </a:gs>
                  </a:gsLst>
                  <a:lin ang="5400000" scaled="0"/>
                </a:gradFill>
                <a:ln w="9525">
                  <a:solidFill>
                    <a:schemeClr val="accent3">
                      <a:tint val="77000"/>
                    </a:schemeClr>
                  </a:solidFill>
                  <a:round/>
                </a:ln>
                <a:effectLst/>
              </c:spPr>
            </c:marker>
            <c:bubble3D val="0"/>
            <c:extLst>
              <c:ext xmlns:c16="http://schemas.microsoft.com/office/drawing/2014/chart" uri="{C3380CC4-5D6E-409C-BE32-E72D297353CC}">
                <c16:uniqueId val="{00000000-6B8F-884A-AB11-27927565746C}"/>
              </c:ext>
            </c:extLst>
          </c:dPt>
          <c:xVal>
            <c:numRef>
              <c:f>'Linear Regression'!$X$2:$X$1002</c:f>
              <c:numCache>
                <c:formatCode>General</c:formatCode>
                <c:ptCount val="1001"/>
                <c:pt idx="0">
                  <c:v>4.34</c:v>
                </c:pt>
                <c:pt idx="1">
                  <c:v>4.7300000000000004</c:v>
                </c:pt>
                <c:pt idx="2">
                  <c:v>5.28</c:v>
                </c:pt>
                <c:pt idx="3">
                  <c:v>3.85</c:v>
                </c:pt>
                <c:pt idx="4">
                  <c:v>5.4</c:v>
                </c:pt>
                <c:pt idx="5">
                  <c:v>4.03</c:v>
                </c:pt>
                <c:pt idx="6">
                  <c:v>5.3</c:v>
                </c:pt>
                <c:pt idx="7">
                  <c:v>5.93</c:v>
                </c:pt>
                <c:pt idx="8">
                  <c:v>3.89</c:v>
                </c:pt>
                <c:pt idx="9">
                  <c:v>2.48</c:v>
                </c:pt>
                <c:pt idx="10">
                  <c:v>3.53</c:v>
                </c:pt>
                <c:pt idx="11">
                  <c:v>5.27</c:v>
                </c:pt>
                <c:pt idx="12">
                  <c:v>2.37</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xVal>
          <c:yVal>
            <c:numRef>
              <c:f>'Linear Regression'!$Y$2:$Y$1002</c:f>
              <c:numCache>
                <c:formatCode>General</c:formatCode>
                <c:ptCount val="1001"/>
                <c:pt idx="0">
                  <c:v>-20.022254703791333</c:v>
                </c:pt>
                <c:pt idx="1">
                  <c:v>7.6361778851081681</c:v>
                </c:pt>
                <c:pt idx="2">
                  <c:v>-6.9198787202899581</c:v>
                </c:pt>
                <c:pt idx="3">
                  <c:v>-12.934131546254811</c:v>
                </c:pt>
                <c:pt idx="4">
                  <c:v>-8.655745616013192</c:v>
                </c:pt>
                <c:pt idx="5">
                  <c:v>7.7620681101603424</c:v>
                </c:pt>
                <c:pt idx="6">
                  <c:v>16.090810130422838</c:v>
                </c:pt>
                <c:pt idx="7">
                  <c:v>3.677508927875877</c:v>
                </c:pt>
                <c:pt idx="8">
                  <c:v>-13.51275384482922</c:v>
                </c:pt>
                <c:pt idx="9">
                  <c:v>16.883682179918729</c:v>
                </c:pt>
                <c:pt idx="10">
                  <c:v>11.694846842340475</c:v>
                </c:pt>
                <c:pt idx="11">
                  <c:v>6.5247768543536466</c:v>
                </c:pt>
                <c:pt idx="12">
                  <c:v>-8.2251064990016474</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numCache>
            </c:numRef>
          </c:yVal>
          <c:smooth val="0"/>
          <c:extLst>
            <c:ext xmlns:c16="http://schemas.microsoft.com/office/drawing/2014/chart" uri="{C3380CC4-5D6E-409C-BE32-E72D297353CC}">
              <c16:uniqueId val="{00000002-4F19-484D-A9A1-80811D9C53B1}"/>
            </c:ext>
          </c:extLst>
        </c:ser>
        <c:dLbls>
          <c:showLegendKey val="0"/>
          <c:showVal val="0"/>
          <c:showCatName val="0"/>
          <c:showSerName val="0"/>
          <c:showPercent val="0"/>
          <c:showBubbleSize val="0"/>
        </c:dLbls>
        <c:axId val="91488176"/>
        <c:axId val="623410000"/>
      </c:scatterChart>
      <c:valAx>
        <c:axId val="914881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X</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23410000"/>
        <c:crossesAt val="-25"/>
        <c:crossBetween val="midCat"/>
      </c:valAx>
      <c:valAx>
        <c:axId val="62341000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Residuals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solidFill>
              <a:schemeClr val="tx2">
                <a:lumMod val="40000"/>
                <a:lumOff val="60000"/>
              </a:schemeClr>
            </a:solid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914881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9050" cap="rnd">
              <a:solidFill>
                <a:schemeClr val="bg1">
                  <a:lumMod val="50000"/>
                </a:schemeClr>
              </a:solidFill>
              <a:round/>
            </a:ln>
            <a:effectLst/>
          </c:spPr>
          <c:marker>
            <c:symbol val="none"/>
          </c:marker>
          <c:xVal>
            <c:numRef>
              <c:f>'Linear Regression'!$AJ$9:$AJ$54</c:f>
              <c:numCache>
                <c:formatCode>General</c:formatCode>
                <c:ptCount val="46"/>
                <c:pt idx="0">
                  <c:v>-20.022254703791333</c:v>
                </c:pt>
                <c:pt idx="1">
                  <c:v>-20.022254703791333</c:v>
                </c:pt>
                <c:pt idx="2" formatCode="0.00">
                  <c:v>-12.641067327049321</c:v>
                </c:pt>
                <c:pt idx="3">
                  <c:v>-12.641067327049321</c:v>
                </c:pt>
                <c:pt idx="4">
                  <c:v>-12.641067327049321</c:v>
                </c:pt>
                <c:pt idx="5">
                  <c:v>-5.2598799503073081</c:v>
                </c:pt>
                <c:pt idx="6">
                  <c:v>-5.2598799503073081</c:v>
                </c:pt>
                <c:pt idx="7">
                  <c:v>-5.2598799503073081</c:v>
                </c:pt>
                <c:pt idx="8">
                  <c:v>2.1213074264347043</c:v>
                </c:pt>
                <c:pt idx="9">
                  <c:v>2.1213074264347043</c:v>
                </c:pt>
                <c:pt idx="10">
                  <c:v>2.1213074264347043</c:v>
                </c:pt>
                <c:pt idx="11">
                  <c:v>9.5024948031767167</c:v>
                </c:pt>
                <c:pt idx="12">
                  <c:v>9.5024948031767167</c:v>
                </c:pt>
                <c:pt idx="13">
                  <c:v>9.5024948031767167</c:v>
                </c:pt>
                <c:pt idx="14">
                  <c:v>16.883682179918729</c:v>
                </c:pt>
                <c:pt idx="15">
                  <c:v>16.883682179918729</c:v>
                </c:pt>
                <c:pt idx="16">
                  <c:v>16.883682179918729</c:v>
                </c:pt>
                <c:pt idx="17">
                  <c:v>16.883682179918729</c:v>
                </c:pt>
                <c:pt idx="18">
                  <c:v>16.883682179918729</c:v>
                </c:pt>
                <c:pt idx="19">
                  <c:v>16.883682179918729</c:v>
                </c:pt>
                <c:pt idx="20">
                  <c:v>16.883682179918729</c:v>
                </c:pt>
                <c:pt idx="21">
                  <c:v>16.883682179918729</c:v>
                </c:pt>
                <c:pt idx="22">
                  <c:v>16.883682179918729</c:v>
                </c:pt>
                <c:pt idx="23">
                  <c:v>16.883682179918729</c:v>
                </c:pt>
                <c:pt idx="24">
                  <c:v>16.883682179918729</c:v>
                </c:pt>
                <c:pt idx="25">
                  <c:v>16.883682179918729</c:v>
                </c:pt>
                <c:pt idx="26">
                  <c:v>16.883682179918729</c:v>
                </c:pt>
                <c:pt idx="27">
                  <c:v>16.883682179918729</c:v>
                </c:pt>
                <c:pt idx="28">
                  <c:v>16.883682179918729</c:v>
                </c:pt>
                <c:pt idx="29">
                  <c:v>16.883682179918729</c:v>
                </c:pt>
                <c:pt idx="30">
                  <c:v>16.883682179918729</c:v>
                </c:pt>
                <c:pt idx="31">
                  <c:v>16.883682179918729</c:v>
                </c:pt>
                <c:pt idx="32">
                  <c:v>16.883682179918729</c:v>
                </c:pt>
                <c:pt idx="33">
                  <c:v>16.883682179918729</c:v>
                </c:pt>
                <c:pt idx="34">
                  <c:v>16.883682179918729</c:v>
                </c:pt>
                <c:pt idx="35">
                  <c:v>16.883682179918729</c:v>
                </c:pt>
                <c:pt idx="36">
                  <c:v>16.883682179918729</c:v>
                </c:pt>
                <c:pt idx="37">
                  <c:v>16.883682179918729</c:v>
                </c:pt>
                <c:pt idx="38">
                  <c:v>16.883682179918729</c:v>
                </c:pt>
                <c:pt idx="39">
                  <c:v>16.883682179918729</c:v>
                </c:pt>
                <c:pt idx="40">
                  <c:v>16.883682179918729</c:v>
                </c:pt>
                <c:pt idx="41">
                  <c:v>16.883682179918729</c:v>
                </c:pt>
                <c:pt idx="42">
                  <c:v>16.883682179918729</c:v>
                </c:pt>
                <c:pt idx="43">
                  <c:v>16.883682179918729</c:v>
                </c:pt>
                <c:pt idx="44">
                  <c:v>16.883682179918729</c:v>
                </c:pt>
                <c:pt idx="45">
                  <c:v>16.883682179918729</c:v>
                </c:pt>
              </c:numCache>
            </c:numRef>
          </c:xVal>
          <c:yVal>
            <c:numRef>
              <c:f>'Linear Regression'!$AK$9:$AK$54</c:f>
              <c:numCache>
                <c:formatCode>General</c:formatCode>
                <c:ptCount val="46"/>
                <c:pt idx="0">
                  <c:v>0</c:v>
                </c:pt>
                <c:pt idx="1">
                  <c:v>3</c:v>
                </c:pt>
                <c:pt idx="2">
                  <c:v>3</c:v>
                </c:pt>
                <c:pt idx="3">
                  <c:v>0</c:v>
                </c:pt>
                <c:pt idx="4">
                  <c:v>3</c:v>
                </c:pt>
                <c:pt idx="5">
                  <c:v>3</c:v>
                </c:pt>
                <c:pt idx="6">
                  <c:v>0</c:v>
                </c:pt>
                <c:pt idx="7">
                  <c:v>0</c:v>
                </c:pt>
                <c:pt idx="8">
                  <c:v>0</c:v>
                </c:pt>
                <c:pt idx="9">
                  <c:v>0</c:v>
                </c:pt>
                <c:pt idx="10">
                  <c:v>4</c:v>
                </c:pt>
                <c:pt idx="11">
                  <c:v>4</c:v>
                </c:pt>
                <c:pt idx="12">
                  <c:v>0</c:v>
                </c:pt>
                <c:pt idx="13">
                  <c:v>3</c:v>
                </c:pt>
                <c:pt idx="14">
                  <c:v>3</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numCache>
            </c:numRef>
          </c:yVal>
          <c:smooth val="0"/>
          <c:extLst>
            <c:ext xmlns:c16="http://schemas.microsoft.com/office/drawing/2014/chart" uri="{C3380CC4-5D6E-409C-BE32-E72D297353CC}">
              <c16:uniqueId val="{00000000-0E04-0E4D-BAFB-AAF800961071}"/>
            </c:ext>
          </c:extLst>
        </c:ser>
        <c:dLbls>
          <c:showLegendKey val="0"/>
          <c:showVal val="0"/>
          <c:showCatName val="0"/>
          <c:showSerName val="0"/>
          <c:showPercent val="0"/>
          <c:showBubbleSize val="0"/>
        </c:dLbls>
        <c:axId val="413448304"/>
        <c:axId val="623282288"/>
      </c:scatterChart>
      <c:valAx>
        <c:axId val="4134483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3282288"/>
        <c:crosses val="autoZero"/>
        <c:crossBetween val="midCat"/>
      </c:valAx>
      <c:valAx>
        <c:axId val="623282288"/>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448304"/>
        <c:crosses val="max"/>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plotArea>
      <cx:plotAreaRegion>
        <cx:series layoutId="boxWhisker" uniqueId="{50BEB8CB-1D7D-6447-97F3-8D33BAFB47F8}" formatIdx="0">
          <cx:tx>
            <cx:txData>
              <cx:f/>
              <cx:v>Data</cx:v>
            </cx:txData>
          </cx:tx>
          <cx:spPr>
            <a:solidFill>
              <a:schemeClr val="accent1"/>
            </a:solidFill>
            <a:ln>
              <a:solidFill>
                <a:schemeClr val="accent1">
                  <a:lumMod val="50000"/>
                </a:schemeClr>
              </a:solidFill>
            </a:ln>
            <a:effectLst>
              <a:outerShdw blurRad="50800" dist="50800" dir="5400000" sx="1000" sy="1000" algn="ctr" rotWithShape="0">
                <a:srgbClr val="000000">
                  <a:alpha val="43137"/>
                </a:srgbClr>
              </a:outerShdw>
            </a:effectLst>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plotArea>
      <cx:plotAreaRegion>
        <cx:series layoutId="boxWhisker" uniqueId="{D01217F0-D5DB-7843-AF31-4272C88742DE}" formatIdx="0">
          <cx:tx>
            <cx:txData>
              <cx:f/>
              <cx:v>Differences</cx:v>
            </cx:txData>
          </cx:tx>
          <cx:spPr>
            <a:solidFill>
              <a:schemeClr val="accent4"/>
            </a:solidFill>
            <a:ln>
              <a:solidFill>
                <a:schemeClr val="accent4">
                  <a:lumMod val="50000"/>
                </a:schemeClr>
              </a:solidFill>
            </a:ln>
          </cx:spPr>
          <cx:dataId val="0"/>
          <cx:layoutPr>
            <cx:visibility meanLine="1" meanMarker="1" nonoutliers="0"/>
            <cx:statistics quartileMethod="inclusive"/>
          </cx:layoutPr>
        </cx:series>
      </cx:plotAreaRegion>
      <cx:axis id="0" hidden="1">
        <cx:catScaling gapWidth="1"/>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_xlchart.v1.3</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800" b="1" i="0" u="none" strike="noStrike" baseline="0">
              <a:solidFill>
                <a:sysClr val="windowText" lastClr="000000">
                  <a:lumMod val="75000"/>
                  <a:lumOff val="25000"/>
                </a:sysClr>
              </a:solidFill>
              <a:latin typeface="Calibri" panose="020F0502020204030204"/>
            </a:rPr>
            <a:t>Side-by-side Boxplots</a:t>
          </a:r>
        </a:p>
      </cx:txPr>
    </cx:title>
    <cx:plotArea>
      <cx:plotAreaRegion>
        <cx:series layoutId="boxWhisker" uniqueId="{DF4FCE24-A7D3-A644-A023-98923A36E6DA}">
          <cx:tx>
            <cx:txData>
              <cx:f>_xlchart.v1.4</cx:f>
              <cx:v> Data 1</cx:v>
            </cx:txData>
          </cx:tx>
          <cx:spPr>
            <a:solidFill>
              <a:schemeClr val="accent1"/>
            </a:solidFill>
            <a:ln>
              <a:solidFill>
                <a:schemeClr val="accent1">
                  <a:lumMod val="50000"/>
                </a:schemeClr>
              </a:solidFill>
            </a:ln>
          </cx:spPr>
          <cx:dataId val="0"/>
          <cx:layoutPr>
            <cx:visibility meanLine="1" meanMarker="1" nonoutliers="0" outliers="1"/>
            <cx:statistics quartileMethod="inclusive"/>
          </cx:layoutPr>
        </cx:series>
        <cx:series layoutId="boxWhisker" uniqueId="{F37629E6-E593-9648-B17B-292F858A1914}">
          <cx:tx>
            <cx:txData>
              <cx:f>_xlchart.v1.5</cx:f>
              <cx:v> Data 2</cx:v>
            </cx:txData>
          </cx:tx>
          <cx:spPr>
            <a:solidFill>
              <a:schemeClr val="accent2"/>
            </a:solidFill>
            <a:ln>
              <a:solidFill>
                <a:schemeClr val="accent2">
                  <a:lumMod val="50000"/>
                </a:schemeClr>
              </a:solidFill>
            </a:ln>
            <a:effectLst>
              <a:outerShdw blurRad="50800" dist="50800" dir="5400000" sx="1000" sy="1000" algn="ctr" rotWithShape="0">
                <a:srgbClr val="000000">
                  <a:alpha val="43137"/>
                </a:srgbClr>
              </a:outerShdw>
            </a:effectLst>
          </cx:spPr>
          <cx:dataId val="1"/>
          <cx:layoutPr>
            <cx:visibility meanLine="1" meanMarker="1" nonoutliers="0" outliers="1"/>
            <cx:statistics quartileMethod="inclusive"/>
          </cx:layoutPr>
        </cx:series>
      </cx:plotAreaRegion>
      <cx:axis id="0" hidden="1">
        <cx:catScaling gapWidth="1"/>
        <cx:tickLabels/>
      </cx:axis>
      <cx:axis id="1">
        <cx:valScaling/>
        <cx:majorGridlines/>
        <cx:tickLabels/>
      </cx:axis>
    </cx:plotArea>
    <cx:legend pos="b" align="ctr" overlay="0"/>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val">
        <cx:f>_xlchart.v1.6</cx:f>
      </cx:numDim>
    </cx:data>
    <cx:data id="1">
      <cx:numDim type="val">
        <cx:f>_xlchart.v1.7</cx:f>
      </cx:numDim>
    </cx:data>
    <cx:data id="2">
      <cx:numDim type="val">
        <cx:f>_xlchart.v1.8</cx:f>
      </cx:numDim>
    </cx:data>
    <cx:data id="3">
      <cx:numDim type="val">
        <cx:f>_xlchart.v1.9</cx:f>
      </cx:numDim>
    </cx:data>
    <cx:data id="4">
      <cx:numDim type="val">
        <cx:f>_xlchart.v1.10</cx:f>
      </cx:numDim>
    </cx:data>
    <cx:data id="5">
      <cx:numDim type="val">
        <cx:f>_xlchart.v1.11</cx:f>
      </cx:numDim>
    </cx:data>
    <cx:data id="6">
      <cx:numDim type="val">
        <cx:f>_xlchart.v1.12</cx:f>
      </cx:numDim>
    </cx:data>
  </cx:chartData>
  <cx:chart>
    <cx:title pos="t" align="ctr" overlay="0">
      <cx:tx>
        <cx:txData>
          <cx:v>Side-by-side Boxplots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Side-by-side Boxplots</a:t>
          </a:r>
        </a:p>
      </cx:txPr>
    </cx:title>
    <cx:plotArea>
      <cx:plotAreaRegion>
        <cx:series layoutId="boxWhisker" uniqueId="{89B29165-81E1-5F43-8BD4-13DF7B9DD84B}">
          <cx:tx>
            <cx:txData>
              <cx:f>_xlchart.v1.17</cx:f>
              <cx:v>Data 1</cx:v>
            </cx:txData>
          </cx:tx>
          <cx:dataId val="0"/>
          <cx:layoutPr>
            <cx:visibility meanLine="1" meanMarker="1"/>
            <cx:statistics quartileMethod="inclusive"/>
          </cx:layoutPr>
        </cx:series>
        <cx:series layoutId="boxWhisker" uniqueId="{01B3B4C4-FEE8-6449-BDF7-BB09F0D1AEA6}">
          <cx:tx>
            <cx:txData>
              <cx:f>_xlchart.v1.18</cx:f>
              <cx:v>Data 2</cx:v>
            </cx:txData>
          </cx:tx>
          <cx:dataId val="1"/>
          <cx:layoutPr>
            <cx:visibility meanLine="1" meanMarker="1"/>
            <cx:statistics quartileMethod="inclusive"/>
          </cx:layoutPr>
        </cx:series>
        <cx:series layoutId="boxWhisker" uniqueId="{C0FE2326-28F1-A146-9781-D71FDA7C179F}">
          <cx:tx>
            <cx:txData>
              <cx:f>_xlchart.v1.19</cx:f>
              <cx:v> Data 3</cx:v>
            </cx:txData>
          </cx:tx>
          <cx:dataId val="2"/>
          <cx:layoutPr>
            <cx:visibility meanLine="1" meanMarker="1"/>
            <cx:statistics quartileMethod="inclusive"/>
          </cx:layoutPr>
        </cx:series>
        <cx:series layoutId="boxWhisker" uniqueId="{B9E249C8-861A-254C-8E40-A8EA7B20D1E9}">
          <cx:tx>
            <cx:txData>
              <cx:f>_xlchart.v1.13</cx:f>
              <cx:v> Data 4</cx:v>
            </cx:txData>
          </cx:tx>
          <cx:dataId val="3"/>
          <cx:layoutPr>
            <cx:visibility meanLine="1" meanMarker="1"/>
            <cx:statistics quartileMethod="inclusive"/>
          </cx:layoutPr>
        </cx:series>
        <cx:series layoutId="boxWhisker" uniqueId="{FA77D6F6-9803-3A4F-9A10-D1EAFAB924E5}">
          <cx:tx>
            <cx:txData>
              <cx:f>_xlchart.v1.14</cx:f>
              <cx:v> Data 5</cx:v>
            </cx:txData>
          </cx:tx>
          <cx:dataId val="4"/>
          <cx:layoutPr>
            <cx:visibility meanLine="1" meanMarker="1"/>
            <cx:statistics quartileMethod="exclusive"/>
          </cx:layoutPr>
        </cx:series>
        <cx:series layoutId="boxWhisker" uniqueId="{EB7E5F2C-DA2F-7C47-9454-F3C1D4546BE9}">
          <cx:tx>
            <cx:txData>
              <cx:f>_xlchart.v1.15</cx:f>
              <cx:v> Data 6</cx:v>
            </cx:txData>
          </cx:tx>
          <cx:dataId val="5"/>
          <cx:layoutPr>
            <cx:visibility meanLine="1" meanMarker="1"/>
            <cx:statistics quartileMethod="exclusive"/>
          </cx:layoutPr>
        </cx:series>
        <cx:series layoutId="boxWhisker" uniqueId="{CE3BD74C-97F2-1C4B-B6F4-F8ABB14EF7D4}">
          <cx:tx>
            <cx:txData>
              <cx:f>_xlchart.v1.16</cx:f>
              <cx:v> Data 7</cx:v>
            </cx:txData>
          </cx:tx>
          <cx:dataId val="6"/>
          <cx:layoutPr>
            <cx:visibility meanLine="1" meanMarker="1"/>
            <cx:statistics quartileMethod="exclusive"/>
          </cx:layoutPr>
        </cx:series>
      </cx:plotAreaRegion>
      <cx:axis id="0" hidden="1">
        <cx:catScaling gapWidth="1"/>
        <cx:tickLabels/>
      </cx:axis>
      <cx:axis id="1">
        <cx:valScaling/>
        <cx:majorGridlines/>
        <cx:tickLabels/>
      </cx:axis>
    </cx:plotArea>
    <cx:legend pos="b"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6">
  <a:schemeClr val="accent3"/>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73">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1.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2.xml"/><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3.xml"/><Relationship Id="rId5" Type="http://schemas.openxmlformats.org/officeDocument/2006/relationships/chart" Target="../charts/chart4.xml"/><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microsoft.com/office/2014/relationships/chartEx" Target="../charts/chartEx4.xml"/><Relationship Id="rId4"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1.xm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25400</xdr:colOff>
      <xdr:row>9</xdr:row>
      <xdr:rowOff>38100</xdr:rowOff>
    </xdr:from>
    <xdr:to>
      <xdr:col>5</xdr:col>
      <xdr:colOff>0</xdr:colOff>
      <xdr:row>22</xdr:row>
      <xdr:rowOff>177800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4E4E5FAA-6CA3-F043-B61B-2256896857C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451100" y="2120900"/>
              <a:ext cx="1600200" cy="2794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8</xdr:col>
      <xdr:colOff>279400</xdr:colOff>
      <xdr:row>2</xdr:row>
      <xdr:rowOff>58614</xdr:rowOff>
    </xdr:from>
    <xdr:to>
      <xdr:col>9</xdr:col>
      <xdr:colOff>412157</xdr:colOff>
      <xdr:row>3</xdr:row>
      <xdr:rowOff>115744</xdr:rowOff>
    </xdr:to>
    <xdr:pic>
      <xdr:nvPicPr>
        <xdr:cNvPr id="5" name="Picture 4">
          <a:extLst>
            <a:ext uri="{FF2B5EF4-FFF2-40B4-BE49-F238E27FC236}">
              <a16:creationId xmlns:a16="http://schemas.microsoft.com/office/drawing/2014/main" id="{17B27BC6-495A-EC4E-A103-D58AD257CC7B}"/>
            </a:ext>
          </a:extLst>
        </xdr:cNvPr>
        <xdr:cNvPicPr>
          <a:picLocks noChangeAspect="1"/>
        </xdr:cNvPicPr>
      </xdr:nvPicPr>
      <xdr:blipFill>
        <a:blip xmlns:r="http://schemas.openxmlformats.org/officeDocument/2006/relationships" r:embed="rId2"/>
        <a:stretch>
          <a:fillRect/>
        </a:stretch>
      </xdr:blipFill>
      <xdr:spPr>
        <a:xfrm>
          <a:off x="7340600" y="693614"/>
          <a:ext cx="805857" cy="260330"/>
        </a:xfrm>
        <a:prstGeom prst="rect">
          <a:avLst/>
        </a:prstGeom>
      </xdr:spPr>
    </xdr:pic>
    <xdr:clientData/>
  </xdr:twoCellAnchor>
  <xdr:twoCellAnchor editAs="oneCell">
    <xdr:from>
      <xdr:col>1</xdr:col>
      <xdr:colOff>330200</xdr:colOff>
      <xdr:row>2</xdr:row>
      <xdr:rowOff>38100</xdr:rowOff>
    </xdr:from>
    <xdr:to>
      <xdr:col>3</xdr:col>
      <xdr:colOff>355611</xdr:colOff>
      <xdr:row>3</xdr:row>
      <xdr:rowOff>106225</xdr:rowOff>
    </xdr:to>
    <xdr:pic>
      <xdr:nvPicPr>
        <xdr:cNvPr id="6" name="Picture 5">
          <a:extLst>
            <a:ext uri="{FF2B5EF4-FFF2-40B4-BE49-F238E27FC236}">
              <a16:creationId xmlns:a16="http://schemas.microsoft.com/office/drawing/2014/main" id="{974327F8-39FB-8149-866D-AFE5726D8811}"/>
            </a:ext>
          </a:extLst>
        </xdr:cNvPr>
        <xdr:cNvPicPr>
          <a:picLocks noChangeAspect="1"/>
        </xdr:cNvPicPr>
      </xdr:nvPicPr>
      <xdr:blipFill>
        <a:blip xmlns:r="http://schemas.openxmlformats.org/officeDocument/2006/relationships" r:embed="rId3"/>
        <a:stretch>
          <a:fillRect/>
        </a:stretch>
      </xdr:blipFill>
      <xdr:spPr>
        <a:xfrm>
          <a:off x="1854200" y="673100"/>
          <a:ext cx="927111" cy="271325"/>
        </a:xfrm>
        <a:prstGeom prst="rect">
          <a:avLst/>
        </a:prstGeom>
      </xdr:spPr>
    </xdr:pic>
    <xdr:clientData/>
  </xdr:twoCellAnchor>
  <xdr:twoCellAnchor>
    <xdr:from>
      <xdr:col>5</xdr:col>
      <xdr:colOff>12700</xdr:colOff>
      <xdr:row>9</xdr:row>
      <xdr:rowOff>25400</xdr:rowOff>
    </xdr:from>
    <xdr:to>
      <xdr:col>7</xdr:col>
      <xdr:colOff>1638300</xdr:colOff>
      <xdr:row>22</xdr:row>
      <xdr:rowOff>177800</xdr:rowOff>
    </xdr:to>
    <xdr:graphicFrame macro="">
      <xdr:nvGraphicFramePr>
        <xdr:cNvPr id="2" name="Chart 1">
          <a:extLst>
            <a:ext uri="{FF2B5EF4-FFF2-40B4-BE49-F238E27FC236}">
              <a16:creationId xmlns:a16="http://schemas.microsoft.com/office/drawing/2014/main" id="{0F2AA8D1-01F1-B741-96CE-E10304240E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6350</xdr:colOff>
      <xdr:row>9</xdr:row>
      <xdr:rowOff>25400</xdr:rowOff>
    </xdr:from>
    <xdr:to>
      <xdr:col>6</xdr:col>
      <xdr:colOff>1054100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6C7D231-4A74-5145-88B9-3DF35A78B1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759450" y="2108200"/>
              <a:ext cx="1454150" cy="2819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10</xdr:col>
      <xdr:colOff>282587</xdr:colOff>
      <xdr:row>2</xdr:row>
      <xdr:rowOff>58614</xdr:rowOff>
    </xdr:from>
    <xdr:to>
      <xdr:col>11</xdr:col>
      <xdr:colOff>415344</xdr:colOff>
      <xdr:row>3</xdr:row>
      <xdr:rowOff>115744</xdr:rowOff>
    </xdr:to>
    <xdr:pic>
      <xdr:nvPicPr>
        <xdr:cNvPr id="3" name="Picture 2">
          <a:extLst>
            <a:ext uri="{FF2B5EF4-FFF2-40B4-BE49-F238E27FC236}">
              <a16:creationId xmlns:a16="http://schemas.microsoft.com/office/drawing/2014/main" id="{C427A1B2-0868-9141-AC48-E617FB604660}"/>
            </a:ext>
          </a:extLst>
        </xdr:cNvPr>
        <xdr:cNvPicPr>
          <a:picLocks noChangeAspect="1"/>
        </xdr:cNvPicPr>
      </xdr:nvPicPr>
      <xdr:blipFill>
        <a:blip xmlns:r="http://schemas.openxmlformats.org/officeDocument/2006/relationships" r:embed="rId2"/>
        <a:stretch>
          <a:fillRect/>
        </a:stretch>
      </xdr:blipFill>
      <xdr:spPr>
        <a:xfrm>
          <a:off x="11255387" y="693614"/>
          <a:ext cx="805857" cy="260330"/>
        </a:xfrm>
        <a:prstGeom prst="rect">
          <a:avLst/>
        </a:prstGeom>
      </xdr:spPr>
    </xdr:pic>
    <xdr:clientData/>
  </xdr:twoCellAnchor>
  <xdr:twoCellAnchor editAs="oneCell">
    <xdr:from>
      <xdr:col>3</xdr:col>
      <xdr:colOff>508000</xdr:colOff>
      <xdr:row>2</xdr:row>
      <xdr:rowOff>38100</xdr:rowOff>
    </xdr:from>
    <xdr:to>
      <xdr:col>5</xdr:col>
      <xdr:colOff>368311</xdr:colOff>
      <xdr:row>3</xdr:row>
      <xdr:rowOff>106225</xdr:rowOff>
    </xdr:to>
    <xdr:pic>
      <xdr:nvPicPr>
        <xdr:cNvPr id="4" name="Picture 3">
          <a:extLst>
            <a:ext uri="{FF2B5EF4-FFF2-40B4-BE49-F238E27FC236}">
              <a16:creationId xmlns:a16="http://schemas.microsoft.com/office/drawing/2014/main" id="{E44891F2-228F-1F4A-8CF7-A0738B4E5868}"/>
            </a:ext>
          </a:extLst>
        </xdr:cNvPr>
        <xdr:cNvPicPr>
          <a:picLocks noChangeAspect="1"/>
        </xdr:cNvPicPr>
      </xdr:nvPicPr>
      <xdr:blipFill>
        <a:blip xmlns:r="http://schemas.openxmlformats.org/officeDocument/2006/relationships" r:embed="rId3"/>
        <a:stretch>
          <a:fillRect/>
        </a:stretch>
      </xdr:blipFill>
      <xdr:spPr>
        <a:xfrm>
          <a:off x="5194300" y="673100"/>
          <a:ext cx="927111" cy="271325"/>
        </a:xfrm>
        <a:prstGeom prst="rect">
          <a:avLst/>
        </a:prstGeom>
      </xdr:spPr>
    </xdr:pic>
    <xdr:clientData/>
  </xdr:twoCellAnchor>
  <xdr:twoCellAnchor>
    <xdr:from>
      <xdr:col>6</xdr:col>
      <xdr:colOff>1066800</xdr:colOff>
      <xdr:row>9</xdr:row>
      <xdr:rowOff>25400</xdr:rowOff>
    </xdr:from>
    <xdr:to>
      <xdr:col>9</xdr:col>
      <xdr:colOff>1663700</xdr:colOff>
      <xdr:row>22</xdr:row>
      <xdr:rowOff>190500</xdr:rowOff>
    </xdr:to>
    <xdr:graphicFrame macro="">
      <xdr:nvGraphicFramePr>
        <xdr:cNvPr id="6" name="Chart 5">
          <a:extLst>
            <a:ext uri="{FF2B5EF4-FFF2-40B4-BE49-F238E27FC236}">
              <a16:creationId xmlns:a16="http://schemas.microsoft.com/office/drawing/2014/main" id="{AB56468C-6AE4-084E-8DC7-6FA2FFF161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19050</xdr:colOff>
      <xdr:row>10</xdr:row>
      <xdr:rowOff>6350</xdr:rowOff>
    </xdr:from>
    <xdr:to>
      <xdr:col>11</xdr:col>
      <xdr:colOff>1168400</xdr:colOff>
      <xdr:row>22</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FDB9EFAA-3941-E441-8E8D-34DAC428793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794250" y="2317750"/>
              <a:ext cx="5251450" cy="26352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13</xdr:col>
      <xdr:colOff>307987</xdr:colOff>
      <xdr:row>2</xdr:row>
      <xdr:rowOff>63500</xdr:rowOff>
    </xdr:from>
    <xdr:to>
      <xdr:col>14</xdr:col>
      <xdr:colOff>377244</xdr:colOff>
      <xdr:row>3</xdr:row>
      <xdr:rowOff>120630</xdr:rowOff>
    </xdr:to>
    <xdr:pic>
      <xdr:nvPicPr>
        <xdr:cNvPr id="3" name="Picture 2">
          <a:extLst>
            <a:ext uri="{FF2B5EF4-FFF2-40B4-BE49-F238E27FC236}">
              <a16:creationId xmlns:a16="http://schemas.microsoft.com/office/drawing/2014/main" id="{EA522E6B-8944-3940-8C8E-A83FD488CEE5}"/>
            </a:ext>
          </a:extLst>
        </xdr:cNvPr>
        <xdr:cNvPicPr>
          <a:picLocks noChangeAspect="1"/>
        </xdr:cNvPicPr>
      </xdr:nvPicPr>
      <xdr:blipFill>
        <a:blip xmlns:r="http://schemas.openxmlformats.org/officeDocument/2006/relationships" r:embed="rId2"/>
        <a:stretch>
          <a:fillRect/>
        </a:stretch>
      </xdr:blipFill>
      <xdr:spPr>
        <a:xfrm>
          <a:off x="10874387" y="711200"/>
          <a:ext cx="805857" cy="260330"/>
        </a:xfrm>
        <a:prstGeom prst="rect">
          <a:avLst/>
        </a:prstGeom>
      </xdr:spPr>
    </xdr:pic>
    <xdr:clientData/>
  </xdr:twoCellAnchor>
  <xdr:twoCellAnchor editAs="oneCell">
    <xdr:from>
      <xdr:col>5</xdr:col>
      <xdr:colOff>12700</xdr:colOff>
      <xdr:row>2</xdr:row>
      <xdr:rowOff>55686</xdr:rowOff>
    </xdr:from>
    <xdr:to>
      <xdr:col>7</xdr:col>
      <xdr:colOff>355611</xdr:colOff>
      <xdr:row>3</xdr:row>
      <xdr:rowOff>123811</xdr:rowOff>
    </xdr:to>
    <xdr:pic>
      <xdr:nvPicPr>
        <xdr:cNvPr id="4" name="Picture 3">
          <a:extLst>
            <a:ext uri="{FF2B5EF4-FFF2-40B4-BE49-F238E27FC236}">
              <a16:creationId xmlns:a16="http://schemas.microsoft.com/office/drawing/2014/main" id="{E8AE3DE5-520D-B244-A269-0D82DAD375F1}"/>
            </a:ext>
          </a:extLst>
        </xdr:cNvPr>
        <xdr:cNvPicPr>
          <a:picLocks noChangeAspect="1"/>
        </xdr:cNvPicPr>
      </xdr:nvPicPr>
      <xdr:blipFill>
        <a:blip xmlns:r="http://schemas.openxmlformats.org/officeDocument/2006/relationships" r:embed="rId3"/>
        <a:stretch>
          <a:fillRect/>
        </a:stretch>
      </xdr:blipFill>
      <xdr:spPr>
        <a:xfrm>
          <a:off x="4203700" y="703386"/>
          <a:ext cx="927111" cy="271325"/>
        </a:xfrm>
        <a:prstGeom prst="rect">
          <a:avLst/>
        </a:prstGeom>
      </xdr:spPr>
    </xdr:pic>
    <xdr:clientData/>
  </xdr:twoCellAnchor>
  <xdr:twoCellAnchor>
    <xdr:from>
      <xdr:col>7</xdr:col>
      <xdr:colOff>19050</xdr:colOff>
      <xdr:row>24</xdr:row>
      <xdr:rowOff>12700</xdr:rowOff>
    </xdr:from>
    <xdr:to>
      <xdr:col>9</xdr:col>
      <xdr:colOff>990600</xdr:colOff>
      <xdr:row>32</xdr:row>
      <xdr:rowOff>190500</xdr:rowOff>
    </xdr:to>
    <xdr:graphicFrame macro="">
      <xdr:nvGraphicFramePr>
        <xdr:cNvPr id="5" name="Chart 4">
          <a:extLst>
            <a:ext uri="{FF2B5EF4-FFF2-40B4-BE49-F238E27FC236}">
              <a16:creationId xmlns:a16="http://schemas.microsoft.com/office/drawing/2014/main" id="{0316D58B-2AEF-4947-9988-2397E8B94F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1079500</xdr:colOff>
      <xdr:row>24</xdr:row>
      <xdr:rowOff>12700</xdr:rowOff>
    </xdr:from>
    <xdr:to>
      <xdr:col>11</xdr:col>
      <xdr:colOff>1143000</xdr:colOff>
      <xdr:row>32</xdr:row>
      <xdr:rowOff>190500</xdr:rowOff>
    </xdr:to>
    <xdr:graphicFrame macro="">
      <xdr:nvGraphicFramePr>
        <xdr:cNvPr id="6" name="Chart 5">
          <a:extLst>
            <a:ext uri="{FF2B5EF4-FFF2-40B4-BE49-F238E27FC236}">
              <a16:creationId xmlns:a16="http://schemas.microsoft.com/office/drawing/2014/main" id="{B4123AA8-F507-3E44-80D1-7CF10A3C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38100</xdr:colOff>
      <xdr:row>15</xdr:row>
      <xdr:rowOff>6350</xdr:rowOff>
    </xdr:from>
    <xdr:to>
      <xdr:col>13</xdr:col>
      <xdr:colOff>1193800</xdr:colOff>
      <xdr:row>26</xdr:row>
      <xdr:rowOff>190500</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DA9FD3E5-1817-5440-B2EC-293CCDAAA78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086600" y="3257550"/>
              <a:ext cx="6032500" cy="241935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14</xdr:col>
      <xdr:colOff>523887</xdr:colOff>
      <xdr:row>2</xdr:row>
      <xdr:rowOff>50800</xdr:rowOff>
    </xdr:from>
    <xdr:to>
      <xdr:col>15</xdr:col>
      <xdr:colOff>415344</xdr:colOff>
      <xdr:row>3</xdr:row>
      <xdr:rowOff>107930</xdr:rowOff>
    </xdr:to>
    <xdr:pic>
      <xdr:nvPicPr>
        <xdr:cNvPr id="3" name="Picture 2">
          <a:extLst>
            <a:ext uri="{FF2B5EF4-FFF2-40B4-BE49-F238E27FC236}">
              <a16:creationId xmlns:a16="http://schemas.microsoft.com/office/drawing/2014/main" id="{92518127-1DC4-5448-ABD7-596C87777F08}"/>
            </a:ext>
          </a:extLst>
        </xdr:cNvPr>
        <xdr:cNvPicPr>
          <a:picLocks noChangeAspect="1"/>
        </xdr:cNvPicPr>
      </xdr:nvPicPr>
      <xdr:blipFill>
        <a:blip xmlns:r="http://schemas.openxmlformats.org/officeDocument/2006/relationships" r:embed="rId2"/>
        <a:stretch>
          <a:fillRect/>
        </a:stretch>
      </xdr:blipFill>
      <xdr:spPr>
        <a:xfrm>
          <a:off x="18849987" y="685800"/>
          <a:ext cx="805857" cy="260330"/>
        </a:xfrm>
        <a:prstGeom prst="rect">
          <a:avLst/>
        </a:prstGeom>
      </xdr:spPr>
    </xdr:pic>
    <xdr:clientData/>
  </xdr:twoCellAnchor>
  <xdr:twoCellAnchor editAs="oneCell">
    <xdr:from>
      <xdr:col>8</xdr:col>
      <xdr:colOff>38100</xdr:colOff>
      <xdr:row>2</xdr:row>
      <xdr:rowOff>42986</xdr:rowOff>
    </xdr:from>
    <xdr:to>
      <xdr:col>9</xdr:col>
      <xdr:colOff>330211</xdr:colOff>
      <xdr:row>3</xdr:row>
      <xdr:rowOff>111111</xdr:rowOff>
    </xdr:to>
    <xdr:pic>
      <xdr:nvPicPr>
        <xdr:cNvPr id="4" name="Picture 3">
          <a:extLst>
            <a:ext uri="{FF2B5EF4-FFF2-40B4-BE49-F238E27FC236}">
              <a16:creationId xmlns:a16="http://schemas.microsoft.com/office/drawing/2014/main" id="{D728036E-7AD0-134F-971B-FC767BB50E86}"/>
            </a:ext>
          </a:extLst>
        </xdr:cNvPr>
        <xdr:cNvPicPr>
          <a:picLocks noChangeAspect="1"/>
        </xdr:cNvPicPr>
      </xdr:nvPicPr>
      <xdr:blipFill>
        <a:blip xmlns:r="http://schemas.openxmlformats.org/officeDocument/2006/relationships" r:embed="rId3"/>
        <a:stretch>
          <a:fillRect/>
        </a:stretch>
      </xdr:blipFill>
      <xdr:spPr>
        <a:xfrm>
          <a:off x="11633200" y="677986"/>
          <a:ext cx="927111" cy="271325"/>
        </a:xfrm>
        <a:prstGeom prst="rect">
          <a:avLst/>
        </a:prstGeom>
      </xdr:spPr>
    </xdr:pic>
    <xdr:clientData/>
  </xdr:twoCellAnchor>
  <xdr:twoCellAnchor>
    <xdr:from>
      <xdr:col>10</xdr:col>
      <xdr:colOff>6350</xdr:colOff>
      <xdr:row>30</xdr:row>
      <xdr:rowOff>196850</xdr:rowOff>
    </xdr:from>
    <xdr:to>
      <xdr:col>13</xdr:col>
      <xdr:colOff>1206500</xdr:colOff>
      <xdr:row>41</xdr:row>
      <xdr:rowOff>190500</xdr:rowOff>
    </xdr:to>
    <xdr:graphicFrame macro="">
      <xdr:nvGraphicFramePr>
        <xdr:cNvPr id="5" name="Chart 4">
          <a:extLst>
            <a:ext uri="{FF2B5EF4-FFF2-40B4-BE49-F238E27FC236}">
              <a16:creationId xmlns:a16="http://schemas.microsoft.com/office/drawing/2014/main" id="{C6DCDA9D-9B70-F343-9A34-0ACECAD19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14</xdr:col>
      <xdr:colOff>279400</xdr:colOff>
      <xdr:row>5</xdr:row>
      <xdr:rowOff>0</xdr:rowOff>
    </xdr:from>
    <xdr:ext cx="493059" cy="187872"/>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𝑛𝑝</m:t>
                    </m:r>
                    <m:r>
                      <a:rPr lang="en-US" sz="1200" b="0" i="1">
                        <a:latin typeface="Cambria Math" charset="0"/>
                      </a:rPr>
                      <m:t>=</m:t>
                    </m:r>
                  </m:oMath>
                </m:oMathPara>
              </a14:m>
              <a:endParaRPr lang="en-US" sz="1200" b="0"/>
            </a:p>
          </xdr:txBody>
        </xdr:sp>
      </mc:Choice>
      <mc:Fallback xmlns="">
        <xdr:sp macro="" textlink="">
          <xdr:nvSpPr>
            <xdr:cNvPr id="2" name="TextBox 1">
              <a:extLst>
                <a:ext uri="{FF2B5EF4-FFF2-40B4-BE49-F238E27FC236}">
                  <a16:creationId xmlns:a16="http://schemas.microsoft.com/office/drawing/2014/main" id="{F12C4C7C-345C-834A-912C-49977EA61EF0}"/>
                </a:ext>
              </a:extLst>
            </xdr:cNvPr>
            <xdr:cNvSpPr txBox="1"/>
          </xdr:nvSpPr>
          <xdr:spPr>
            <a:xfrm>
              <a:off x="13538200" y="1485900"/>
              <a:ext cx="493059"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endParaRPr lang="en-US" sz="1200" b="0"/>
            </a:p>
          </xdr:txBody>
        </xdr:sp>
      </mc:Fallback>
    </mc:AlternateContent>
    <xdr:clientData/>
  </xdr:oneCellAnchor>
  <xdr:oneCellAnchor>
    <xdr:from>
      <xdr:col>14</xdr:col>
      <xdr:colOff>0</xdr:colOff>
      <xdr:row>6</xdr:row>
      <xdr:rowOff>0</xdr:rowOff>
    </xdr:from>
    <xdr:ext cx="990600" cy="187872"/>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r>
                      <a:rPr lang="en-US" sz="1200" b="0" i="1">
                        <a:latin typeface="Cambria Math" charset="0"/>
                      </a:rPr>
                      <m:t>𝑝</m:t>
                    </m:r>
                    <m:r>
                      <a:rPr lang="en-US" sz="1200" b="0" i="1">
                        <a:latin typeface="Cambria Math" charset="0"/>
                      </a:rPr>
                      <m:t>)=</m:t>
                    </m:r>
                  </m:oMath>
                </m:oMathPara>
              </a14:m>
              <a:endParaRPr lang="en-US" sz="1200" b="0"/>
            </a:p>
          </xdr:txBody>
        </xdr:sp>
      </mc:Choice>
      <mc:Fallback xmlns="">
        <xdr:sp macro="" textlink="">
          <xdr:nvSpPr>
            <xdr:cNvPr id="3" name="TextBox 2">
              <a:extLst>
                <a:ext uri="{FF2B5EF4-FFF2-40B4-BE49-F238E27FC236}">
                  <a16:creationId xmlns:a16="http://schemas.microsoft.com/office/drawing/2014/main" id="{BC553567-C39B-9F40-AE6C-56CB5256F7BC}"/>
                </a:ext>
              </a:extLst>
            </xdr:cNvPr>
            <xdr:cNvSpPr txBox="1"/>
          </xdr:nvSpPr>
          <xdr:spPr>
            <a:xfrm>
              <a:off x="13258800" y="17018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endParaRPr lang="en-US" sz="1200" b="0"/>
            </a:p>
          </xdr:txBody>
        </xdr:sp>
      </mc:Fallback>
    </mc:AlternateContent>
    <xdr:clientData/>
  </xdr:oneCellAnchor>
  <xdr:oneCellAnchor>
    <xdr:from>
      <xdr:col>14</xdr:col>
      <xdr:colOff>28575</xdr:colOff>
      <xdr:row>8</xdr:row>
      <xdr:rowOff>25400</xdr:rowOff>
    </xdr:from>
    <xdr:ext cx="990600" cy="1878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4" name="TextBox 3">
              <a:extLst>
                <a:ext uri="{FF2B5EF4-FFF2-40B4-BE49-F238E27FC236}">
                  <a16:creationId xmlns:a16="http://schemas.microsoft.com/office/drawing/2014/main" id="{9F9A2022-6FF6-8A47-AF6B-3BD13F465853}"/>
                </a:ext>
              </a:extLst>
            </xdr:cNvPr>
            <xdr:cNvSpPr txBox="1"/>
          </xdr:nvSpPr>
          <xdr:spPr>
            <a:xfrm>
              <a:off x="13287375" y="21463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28575</xdr:colOff>
      <xdr:row>9</xdr:row>
      <xdr:rowOff>25400</xdr:rowOff>
    </xdr:from>
    <xdr:ext cx="990600" cy="18787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5" name="TextBox 4">
              <a:extLst>
                <a:ext uri="{FF2B5EF4-FFF2-40B4-BE49-F238E27FC236}">
                  <a16:creationId xmlns:a16="http://schemas.microsoft.com/office/drawing/2014/main" id="{35B14E0B-D49F-C948-A6AA-7DF4BCCB173A}"/>
                </a:ext>
              </a:extLst>
            </xdr:cNvPr>
            <xdr:cNvSpPr txBox="1"/>
          </xdr:nvSpPr>
          <xdr:spPr>
            <a:xfrm>
              <a:off x="13287375" y="2362200"/>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155587</xdr:colOff>
      <xdr:row>2</xdr:row>
      <xdr:rowOff>50800</xdr:rowOff>
    </xdr:from>
    <xdr:to>
      <xdr:col>8</xdr:col>
      <xdr:colOff>428044</xdr:colOff>
      <xdr:row>3</xdr:row>
      <xdr:rowOff>107930</xdr:rowOff>
    </xdr:to>
    <xdr:pic>
      <xdr:nvPicPr>
        <xdr:cNvPr id="7" name="Picture 6">
          <a:extLst>
            <a:ext uri="{FF2B5EF4-FFF2-40B4-BE49-F238E27FC236}">
              <a16:creationId xmlns:a16="http://schemas.microsoft.com/office/drawing/2014/main" id="{D5BFA935-2AC4-FF4F-8F34-0333969D807A}"/>
            </a:ext>
          </a:extLst>
        </xdr:cNvPr>
        <xdr:cNvPicPr>
          <a:picLocks noChangeAspect="1"/>
        </xdr:cNvPicPr>
      </xdr:nvPicPr>
      <xdr:blipFill>
        <a:blip xmlns:r="http://schemas.openxmlformats.org/officeDocument/2006/relationships" r:embed="rId1"/>
        <a:stretch>
          <a:fillRect/>
        </a:stretch>
      </xdr:blipFill>
      <xdr:spPr>
        <a:xfrm>
          <a:off x="6683387" y="901700"/>
          <a:ext cx="805857" cy="260330"/>
        </a:xfrm>
        <a:prstGeom prst="rect">
          <a:avLst/>
        </a:prstGeom>
      </xdr:spPr>
    </xdr:pic>
    <xdr:clientData/>
  </xdr:twoCellAnchor>
  <xdr:twoCellAnchor editAs="oneCell">
    <xdr:from>
      <xdr:col>0</xdr:col>
      <xdr:colOff>622300</xdr:colOff>
      <xdr:row>2</xdr:row>
      <xdr:rowOff>30286</xdr:rowOff>
    </xdr:from>
    <xdr:to>
      <xdr:col>2</xdr:col>
      <xdr:colOff>266711</xdr:colOff>
      <xdr:row>3</xdr:row>
      <xdr:rowOff>98411</xdr:rowOff>
    </xdr:to>
    <xdr:pic>
      <xdr:nvPicPr>
        <xdr:cNvPr id="8" name="Picture 7">
          <a:extLst>
            <a:ext uri="{FF2B5EF4-FFF2-40B4-BE49-F238E27FC236}">
              <a16:creationId xmlns:a16="http://schemas.microsoft.com/office/drawing/2014/main" id="{8DC0E8E0-C6A6-4342-B39C-0F05AF399BF8}"/>
            </a:ext>
          </a:extLst>
        </xdr:cNvPr>
        <xdr:cNvPicPr>
          <a:picLocks noChangeAspect="1"/>
        </xdr:cNvPicPr>
      </xdr:nvPicPr>
      <xdr:blipFill>
        <a:blip xmlns:r="http://schemas.openxmlformats.org/officeDocument/2006/relationships" r:embed="rId2"/>
        <a:stretch>
          <a:fillRect/>
        </a:stretch>
      </xdr:blipFill>
      <xdr:spPr>
        <a:xfrm>
          <a:off x="2146300" y="881186"/>
          <a:ext cx="927111" cy="271325"/>
        </a:xfrm>
        <a:prstGeom prst="rect">
          <a:avLst/>
        </a:prstGeom>
      </xdr:spPr>
    </xdr:pic>
    <xdr:clientData/>
  </xdr:twoCellAnchor>
  <xdr:twoCellAnchor>
    <xdr:from>
      <xdr:col>2</xdr:col>
      <xdr:colOff>6350</xdr:colOff>
      <xdr:row>9</xdr:row>
      <xdr:rowOff>25400</xdr:rowOff>
    </xdr:from>
    <xdr:to>
      <xdr:col>4</xdr:col>
      <xdr:colOff>1206500</xdr:colOff>
      <xdr:row>24</xdr:row>
      <xdr:rowOff>190500</xdr:rowOff>
    </xdr:to>
    <xdr:graphicFrame macro="">
      <xdr:nvGraphicFramePr>
        <xdr:cNvPr id="10" name="Chart 9">
          <a:extLst>
            <a:ext uri="{FF2B5EF4-FFF2-40B4-BE49-F238E27FC236}">
              <a16:creationId xmlns:a16="http://schemas.microsoft.com/office/drawing/2014/main" id="{875E914F-6B0E-9242-81A4-461D1B41DD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oneCellAnchor>
    <xdr:from>
      <xdr:col>14</xdr:col>
      <xdr:colOff>0</xdr:colOff>
      <xdr:row>9</xdr:row>
      <xdr:rowOff>28028</xdr:rowOff>
    </xdr:from>
    <xdr:ext cx="990600" cy="187872"/>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6" name="TextBox 5">
              <a:extLst>
                <a:ext uri="{FF2B5EF4-FFF2-40B4-BE49-F238E27FC236}">
                  <a16:creationId xmlns:a16="http://schemas.microsoft.com/office/drawing/2014/main" id="{469C5E88-0C20-5B46-9108-9BF4EA6B85E5}"/>
                </a:ext>
              </a:extLst>
            </xdr:cNvPr>
            <xdr:cNvSpPr txBox="1"/>
          </xdr:nvSpPr>
          <xdr:spPr>
            <a:xfrm>
              <a:off x="20091400" y="24791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13</xdr:col>
      <xdr:colOff>939800</xdr:colOff>
      <xdr:row>8</xdr:row>
      <xdr:rowOff>15328</xdr:rowOff>
    </xdr:from>
    <xdr:ext cx="990600" cy="187872"/>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7" name="TextBox 6">
              <a:extLst>
                <a:ext uri="{FF2B5EF4-FFF2-40B4-BE49-F238E27FC236}">
                  <a16:creationId xmlns:a16="http://schemas.microsoft.com/office/drawing/2014/main" id="{427A8AF7-70F1-BC4C-B5DE-8B8B1E77BAC4}"/>
                </a:ext>
              </a:extLst>
            </xdr:cNvPr>
            <xdr:cNvSpPr txBox="1"/>
          </xdr:nvSpPr>
          <xdr:spPr>
            <a:xfrm>
              <a:off x="20066000" y="22632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6</xdr:row>
      <xdr:rowOff>28028</xdr:rowOff>
    </xdr:from>
    <xdr:ext cx="990600" cy="187872"/>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r>
                      <a:rPr lang="en-US" sz="1200" b="0" i="1">
                        <a:latin typeface="Cambria Math" charset="0"/>
                      </a:rPr>
                      <m:t>(1−</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9" name="TextBox 8">
              <a:extLst>
                <a:ext uri="{FF2B5EF4-FFF2-40B4-BE49-F238E27FC236}">
                  <a16:creationId xmlns:a16="http://schemas.microsoft.com/office/drawing/2014/main" id="{16D7EB99-38AC-8743-8CE2-176F2519D31B}"/>
                </a:ext>
              </a:extLst>
            </xdr:cNvPr>
            <xdr:cNvSpPr txBox="1"/>
          </xdr:nvSpPr>
          <xdr:spPr>
            <a:xfrm>
              <a:off x="20091400" y="17806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𝑛(1−𝑝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oneCellAnchor>
    <xdr:from>
      <xdr:col>14</xdr:col>
      <xdr:colOff>0</xdr:colOff>
      <xdr:row>5</xdr:row>
      <xdr:rowOff>28028</xdr:rowOff>
    </xdr:from>
    <xdr:ext cx="990600" cy="187872"/>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charset="0"/>
                      </a:rPr>
                      <m:t>𝑛</m:t>
                    </m:r>
                    <m:acc>
                      <m:accPr>
                        <m:chr m:val="̂"/>
                        <m:ctrlPr>
                          <a:rPr lang="en-US" sz="1200" b="0" i="1">
                            <a:latin typeface="Cambria Math" panose="02040503050406030204" pitchFamily="18" charset="0"/>
                          </a:rPr>
                        </m:ctrlPr>
                      </m:accPr>
                      <m:e>
                        <m:r>
                          <a:rPr lang="en-US" sz="1200" b="0" i="1">
                            <a:latin typeface="Cambria Math" charset="0"/>
                          </a:rPr>
                          <m:t>𝑝</m:t>
                        </m:r>
                      </m:e>
                    </m:acc>
                    <m:r>
                      <a:rPr lang="en-US" sz="1200" b="0" i="1">
                        <a:latin typeface="Cambria Math" charset="0"/>
                      </a:rPr>
                      <m:t>=</m:t>
                    </m:r>
                  </m:oMath>
                </m:oMathPara>
              </a14:m>
              <a:endParaRPr lang="en-US" sz="1200" b="0"/>
            </a:p>
          </xdr:txBody>
        </xdr:sp>
      </mc:Choice>
      <mc:Fallback xmlns="">
        <xdr:sp macro="" textlink="">
          <xdr:nvSpPr>
            <xdr:cNvPr id="10" name="TextBox 9">
              <a:extLst>
                <a:ext uri="{FF2B5EF4-FFF2-40B4-BE49-F238E27FC236}">
                  <a16:creationId xmlns:a16="http://schemas.microsoft.com/office/drawing/2014/main" id="{A90E862C-7D1B-1346-89F2-300AB133DE66}"/>
                </a:ext>
              </a:extLst>
            </xdr:cNvPr>
            <xdr:cNvSpPr txBox="1"/>
          </xdr:nvSpPr>
          <xdr:spPr>
            <a:xfrm>
              <a:off x="20091400" y="1564728"/>
              <a:ext cx="990600"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charset="0"/>
                </a:rPr>
                <a:t>𝑛𝑝</a:t>
              </a:r>
              <a:r>
                <a:rPr lang="en-US" sz="1200" b="0" i="0">
                  <a:latin typeface="Cambria Math" panose="02040503050406030204" pitchFamily="18" charset="0"/>
                </a:rPr>
                <a:t> ̂</a:t>
              </a:r>
              <a:r>
                <a:rPr lang="en-US" sz="1200" b="0" i="0">
                  <a:latin typeface="Cambria Math" charset="0"/>
                </a:rPr>
                <a:t>=</a:t>
              </a:r>
              <a:endParaRPr lang="en-US" sz="1200" b="0"/>
            </a:p>
          </xdr:txBody>
        </xdr:sp>
      </mc:Fallback>
    </mc:AlternateContent>
    <xdr:clientData/>
  </xdr:oneCellAnchor>
  <xdr:twoCellAnchor editAs="oneCell">
    <xdr:from>
      <xdr:col>7</xdr:col>
      <xdr:colOff>422287</xdr:colOff>
      <xdr:row>2</xdr:row>
      <xdr:rowOff>76200</xdr:rowOff>
    </xdr:from>
    <xdr:to>
      <xdr:col>8</xdr:col>
      <xdr:colOff>402644</xdr:colOff>
      <xdr:row>3</xdr:row>
      <xdr:rowOff>120630</xdr:rowOff>
    </xdr:to>
    <xdr:pic>
      <xdr:nvPicPr>
        <xdr:cNvPr id="8" name="Picture 7">
          <a:extLst>
            <a:ext uri="{FF2B5EF4-FFF2-40B4-BE49-F238E27FC236}">
              <a16:creationId xmlns:a16="http://schemas.microsoft.com/office/drawing/2014/main" id="{A4B664D8-5689-0041-B0A4-5EBB542B5443}"/>
            </a:ext>
          </a:extLst>
        </xdr:cNvPr>
        <xdr:cNvPicPr>
          <a:picLocks noChangeAspect="1"/>
        </xdr:cNvPicPr>
      </xdr:nvPicPr>
      <xdr:blipFill>
        <a:blip xmlns:r="http://schemas.openxmlformats.org/officeDocument/2006/relationships" r:embed="rId1"/>
        <a:stretch>
          <a:fillRect/>
        </a:stretch>
      </xdr:blipFill>
      <xdr:spPr>
        <a:xfrm>
          <a:off x="11293487" y="939800"/>
          <a:ext cx="805857" cy="260330"/>
        </a:xfrm>
        <a:prstGeom prst="rect">
          <a:avLst/>
        </a:prstGeom>
      </xdr:spPr>
    </xdr:pic>
    <xdr:clientData/>
  </xdr:twoCellAnchor>
  <xdr:twoCellAnchor editAs="oneCell">
    <xdr:from>
      <xdr:col>1</xdr:col>
      <xdr:colOff>520700</xdr:colOff>
      <xdr:row>2</xdr:row>
      <xdr:rowOff>55686</xdr:rowOff>
    </xdr:from>
    <xdr:to>
      <xdr:col>2</xdr:col>
      <xdr:colOff>342911</xdr:colOff>
      <xdr:row>3</xdr:row>
      <xdr:rowOff>111111</xdr:rowOff>
    </xdr:to>
    <xdr:pic>
      <xdr:nvPicPr>
        <xdr:cNvPr id="12" name="Picture 11">
          <a:extLst>
            <a:ext uri="{FF2B5EF4-FFF2-40B4-BE49-F238E27FC236}">
              <a16:creationId xmlns:a16="http://schemas.microsoft.com/office/drawing/2014/main" id="{790601E3-6C28-B94D-BF96-7E7B9EC93A92}"/>
            </a:ext>
          </a:extLst>
        </xdr:cNvPr>
        <xdr:cNvPicPr>
          <a:picLocks noChangeAspect="1"/>
        </xdr:cNvPicPr>
      </xdr:nvPicPr>
      <xdr:blipFill>
        <a:blip xmlns:r="http://schemas.openxmlformats.org/officeDocument/2006/relationships" r:embed="rId2"/>
        <a:stretch>
          <a:fillRect/>
        </a:stretch>
      </xdr:blipFill>
      <xdr:spPr>
        <a:xfrm>
          <a:off x="4229100" y="919286"/>
          <a:ext cx="927111" cy="271325"/>
        </a:xfrm>
        <a:prstGeom prst="rect">
          <a:avLst/>
        </a:prstGeom>
      </xdr:spPr>
    </xdr:pic>
    <xdr:clientData/>
  </xdr:twoCellAnchor>
  <xdr:twoCellAnchor>
    <xdr:from>
      <xdr:col>2</xdr:col>
      <xdr:colOff>12700</xdr:colOff>
      <xdr:row>10</xdr:row>
      <xdr:rowOff>0</xdr:rowOff>
    </xdr:from>
    <xdr:to>
      <xdr:col>5</xdr:col>
      <xdr:colOff>1295400</xdr:colOff>
      <xdr:row>25</xdr:row>
      <xdr:rowOff>190500</xdr:rowOff>
    </xdr:to>
    <xdr:graphicFrame macro="">
      <xdr:nvGraphicFramePr>
        <xdr:cNvPr id="5" name="Chart 4">
          <a:extLst>
            <a:ext uri="{FF2B5EF4-FFF2-40B4-BE49-F238E27FC236}">
              <a16:creationId xmlns:a16="http://schemas.microsoft.com/office/drawing/2014/main" id="{AB96B40A-B081-2941-BA35-439A976F6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1377950</xdr:colOff>
      <xdr:row>15</xdr:row>
      <xdr:rowOff>19050</xdr:rowOff>
    </xdr:from>
    <xdr:to>
      <xdr:col>5</xdr:col>
      <xdr:colOff>1371600</xdr:colOff>
      <xdr:row>31</xdr:row>
      <xdr:rowOff>0</xdr:rowOff>
    </xdr:to>
    <xdr:graphicFrame macro="">
      <xdr:nvGraphicFramePr>
        <xdr:cNvPr id="2" name="Chart 1">
          <a:extLst>
            <a:ext uri="{FF2B5EF4-FFF2-40B4-BE49-F238E27FC236}">
              <a16:creationId xmlns:a16="http://schemas.microsoft.com/office/drawing/2014/main" id="{376B396D-2F32-7A4A-BE14-0928F62F7E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66687</xdr:colOff>
      <xdr:row>2</xdr:row>
      <xdr:rowOff>63500</xdr:rowOff>
    </xdr:from>
    <xdr:to>
      <xdr:col>12</xdr:col>
      <xdr:colOff>351844</xdr:colOff>
      <xdr:row>3</xdr:row>
      <xdr:rowOff>120630</xdr:rowOff>
    </xdr:to>
    <xdr:pic>
      <xdr:nvPicPr>
        <xdr:cNvPr id="3" name="Picture 2">
          <a:extLst>
            <a:ext uri="{FF2B5EF4-FFF2-40B4-BE49-F238E27FC236}">
              <a16:creationId xmlns:a16="http://schemas.microsoft.com/office/drawing/2014/main" id="{33A5873B-6CAB-7F49-9B08-7E7F50DC80F1}"/>
            </a:ext>
          </a:extLst>
        </xdr:cNvPr>
        <xdr:cNvPicPr>
          <a:picLocks noChangeAspect="1"/>
        </xdr:cNvPicPr>
      </xdr:nvPicPr>
      <xdr:blipFill>
        <a:blip xmlns:r="http://schemas.openxmlformats.org/officeDocument/2006/relationships" r:embed="rId2"/>
        <a:stretch>
          <a:fillRect/>
        </a:stretch>
      </xdr:blipFill>
      <xdr:spPr>
        <a:xfrm>
          <a:off x="15814687" y="914400"/>
          <a:ext cx="805857" cy="260330"/>
        </a:xfrm>
        <a:prstGeom prst="rect">
          <a:avLst/>
        </a:prstGeom>
      </xdr:spPr>
    </xdr:pic>
    <xdr:clientData/>
  </xdr:twoCellAnchor>
  <xdr:twoCellAnchor editAs="oneCell">
    <xdr:from>
      <xdr:col>1</xdr:col>
      <xdr:colOff>838200</xdr:colOff>
      <xdr:row>2</xdr:row>
      <xdr:rowOff>42986</xdr:rowOff>
    </xdr:from>
    <xdr:to>
      <xdr:col>2</xdr:col>
      <xdr:colOff>381011</xdr:colOff>
      <xdr:row>3</xdr:row>
      <xdr:rowOff>111111</xdr:rowOff>
    </xdr:to>
    <xdr:pic>
      <xdr:nvPicPr>
        <xdr:cNvPr id="4" name="Picture 3">
          <a:extLst>
            <a:ext uri="{FF2B5EF4-FFF2-40B4-BE49-F238E27FC236}">
              <a16:creationId xmlns:a16="http://schemas.microsoft.com/office/drawing/2014/main" id="{87B57D65-6C54-FD46-A08E-A2A0259B966A}"/>
            </a:ext>
          </a:extLst>
        </xdr:cNvPr>
        <xdr:cNvPicPr>
          <a:picLocks noChangeAspect="1"/>
        </xdr:cNvPicPr>
      </xdr:nvPicPr>
      <xdr:blipFill>
        <a:blip xmlns:r="http://schemas.openxmlformats.org/officeDocument/2006/relationships" r:embed="rId3"/>
        <a:stretch>
          <a:fillRect/>
        </a:stretch>
      </xdr:blipFill>
      <xdr:spPr>
        <a:xfrm>
          <a:off x="4343400" y="893886"/>
          <a:ext cx="927111" cy="2713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400050</xdr:colOff>
      <xdr:row>8</xdr:row>
      <xdr:rowOff>209550</xdr:rowOff>
    </xdr:from>
    <xdr:to>
      <xdr:col>8</xdr:col>
      <xdr:colOff>1054100</xdr:colOff>
      <xdr:row>25</xdr:row>
      <xdr:rowOff>0</xdr:rowOff>
    </xdr:to>
    <xdr:graphicFrame macro="">
      <xdr:nvGraphicFramePr>
        <xdr:cNvPr id="3" name="Chart 2">
          <a:extLst>
            <a:ext uri="{FF2B5EF4-FFF2-40B4-BE49-F238E27FC236}">
              <a16:creationId xmlns:a16="http://schemas.microsoft.com/office/drawing/2014/main" id="{6382E2FA-28BF-7C4F-8F56-79FED01318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25400</xdr:colOff>
      <xdr:row>4</xdr:row>
      <xdr:rowOff>6350</xdr:rowOff>
    </xdr:from>
    <xdr:to>
      <xdr:col>21</xdr:col>
      <xdr:colOff>939800</xdr:colOff>
      <xdr:row>17</xdr:row>
      <xdr:rowOff>50800</xdr:rowOff>
    </xdr:to>
    <xdr:graphicFrame macro="">
      <xdr:nvGraphicFramePr>
        <xdr:cNvPr id="4" name="Chart 3">
          <a:extLst>
            <a:ext uri="{FF2B5EF4-FFF2-40B4-BE49-F238E27FC236}">
              <a16:creationId xmlns:a16="http://schemas.microsoft.com/office/drawing/2014/main" id="{4DFB36FB-6320-EE47-9B64-DCB90D7F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3187</xdr:colOff>
      <xdr:row>2</xdr:row>
      <xdr:rowOff>63500</xdr:rowOff>
    </xdr:from>
    <xdr:to>
      <xdr:col>13</xdr:col>
      <xdr:colOff>440744</xdr:colOff>
      <xdr:row>3</xdr:row>
      <xdr:rowOff>107930</xdr:rowOff>
    </xdr:to>
    <xdr:pic>
      <xdr:nvPicPr>
        <xdr:cNvPr id="7" name="Picture 6">
          <a:extLst>
            <a:ext uri="{FF2B5EF4-FFF2-40B4-BE49-F238E27FC236}">
              <a16:creationId xmlns:a16="http://schemas.microsoft.com/office/drawing/2014/main" id="{47210F4E-AA67-DB4C-9A8D-2B5477506260}"/>
            </a:ext>
          </a:extLst>
        </xdr:cNvPr>
        <xdr:cNvPicPr>
          <a:picLocks noChangeAspect="1"/>
        </xdr:cNvPicPr>
      </xdr:nvPicPr>
      <xdr:blipFill>
        <a:blip xmlns:r="http://schemas.openxmlformats.org/officeDocument/2006/relationships" r:embed="rId3"/>
        <a:stretch>
          <a:fillRect/>
        </a:stretch>
      </xdr:blipFill>
      <xdr:spPr>
        <a:xfrm>
          <a:off x="9972687" y="711200"/>
          <a:ext cx="818557" cy="260330"/>
        </a:xfrm>
        <a:prstGeom prst="rect">
          <a:avLst/>
        </a:prstGeom>
      </xdr:spPr>
    </xdr:pic>
    <xdr:clientData/>
  </xdr:twoCellAnchor>
  <xdr:twoCellAnchor editAs="oneCell">
    <xdr:from>
      <xdr:col>3</xdr:col>
      <xdr:colOff>76200</xdr:colOff>
      <xdr:row>2</xdr:row>
      <xdr:rowOff>42986</xdr:rowOff>
    </xdr:from>
    <xdr:to>
      <xdr:col>5</xdr:col>
      <xdr:colOff>342911</xdr:colOff>
      <xdr:row>3</xdr:row>
      <xdr:rowOff>98411</xdr:rowOff>
    </xdr:to>
    <xdr:pic>
      <xdr:nvPicPr>
        <xdr:cNvPr id="8" name="Picture 7">
          <a:extLst>
            <a:ext uri="{FF2B5EF4-FFF2-40B4-BE49-F238E27FC236}">
              <a16:creationId xmlns:a16="http://schemas.microsoft.com/office/drawing/2014/main" id="{7E723CA5-B5DE-A442-BE33-0757CC75DE44}"/>
            </a:ext>
          </a:extLst>
        </xdr:cNvPr>
        <xdr:cNvPicPr>
          <a:picLocks noChangeAspect="1"/>
        </xdr:cNvPicPr>
      </xdr:nvPicPr>
      <xdr:blipFill>
        <a:blip xmlns:r="http://schemas.openxmlformats.org/officeDocument/2006/relationships" r:embed="rId4"/>
        <a:stretch>
          <a:fillRect/>
        </a:stretch>
      </xdr:blipFill>
      <xdr:spPr>
        <a:xfrm>
          <a:off x="3327400" y="677986"/>
          <a:ext cx="927111" cy="271325"/>
        </a:xfrm>
        <a:prstGeom prst="rect">
          <a:avLst/>
        </a:prstGeom>
      </xdr:spPr>
    </xdr:pic>
    <xdr:clientData/>
  </xdr:twoCellAnchor>
  <xdr:twoCellAnchor>
    <xdr:from>
      <xdr:col>17</xdr:col>
      <xdr:colOff>819150</xdr:colOff>
      <xdr:row>19</xdr:row>
      <xdr:rowOff>196850</xdr:rowOff>
    </xdr:from>
    <xdr:to>
      <xdr:col>21</xdr:col>
      <xdr:colOff>939800</xdr:colOff>
      <xdr:row>30</xdr:row>
      <xdr:rowOff>190500</xdr:rowOff>
    </xdr:to>
    <xdr:graphicFrame macro="">
      <xdr:nvGraphicFramePr>
        <xdr:cNvPr id="2" name="Chart 1">
          <a:extLst>
            <a:ext uri="{FF2B5EF4-FFF2-40B4-BE49-F238E27FC236}">
              <a16:creationId xmlns:a16="http://schemas.microsoft.com/office/drawing/2014/main" id="{C823A02C-728C-5F47-8931-887D666491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A1:T1002"/>
  <sheetViews>
    <sheetView tabSelected="1" workbookViewId="0">
      <selection activeCell="A2" sqref="A2"/>
    </sheetView>
  </sheetViews>
  <sheetFormatPr baseColWidth="10" defaultColWidth="11" defaultRowHeight="16"/>
  <cols>
    <col min="1" max="1" width="20" style="29" customWidth="1"/>
    <col min="2" max="2" width="9.1640625" customWidth="1"/>
    <col min="3" max="3" width="2.6640625" customWidth="1"/>
    <col min="4" max="4" width="5.33203125" customWidth="1"/>
    <col min="5" max="7" width="16" customWidth="1"/>
    <col min="8" max="8" width="22" customWidth="1"/>
    <col min="9" max="9" width="8.83203125" customWidth="1"/>
    <col min="10" max="13" width="16.6640625" customWidth="1"/>
    <col min="15" max="15" width="66.6640625" customWidth="1"/>
    <col min="16" max="16" width="33.83203125" customWidth="1"/>
    <col min="18" max="18" width="19.33203125" customWidth="1"/>
    <col min="19" max="20" width="14" customWidth="1"/>
  </cols>
  <sheetData>
    <row r="1" spans="1:20" ht="34" customHeight="1">
      <c r="A1" s="1" t="s">
        <v>0</v>
      </c>
      <c r="B1" s="2"/>
      <c r="C1" s="3" t="s">
        <v>1</v>
      </c>
      <c r="D1" s="2"/>
      <c r="E1" s="2"/>
      <c r="F1" s="2"/>
      <c r="G1" s="2"/>
      <c r="H1" s="2"/>
      <c r="I1" s="2"/>
      <c r="J1" s="2"/>
      <c r="K1" s="2"/>
      <c r="L1" s="2"/>
      <c r="M1" s="2"/>
      <c r="N1" s="2"/>
      <c r="O1" s="2"/>
      <c r="P1" s="136" t="s">
        <v>141</v>
      </c>
      <c r="Q1" s="130"/>
      <c r="R1" s="130"/>
      <c r="S1" s="130"/>
      <c r="T1" s="130" t="s">
        <v>31</v>
      </c>
    </row>
    <row r="2" spans="1:20">
      <c r="A2" s="4">
        <v>1428</v>
      </c>
      <c r="B2" s="5"/>
      <c r="C2" s="5"/>
      <c r="D2" s="5"/>
      <c r="E2" s="5"/>
      <c r="F2" s="5"/>
      <c r="G2" s="5"/>
      <c r="H2" s="5"/>
      <c r="I2" s="5"/>
      <c r="J2" s="5"/>
      <c r="K2" s="5"/>
      <c r="L2" s="5"/>
      <c r="M2" s="5"/>
      <c r="N2" s="5"/>
      <c r="O2" s="5"/>
      <c r="R2" s="130"/>
      <c r="S2" s="130"/>
      <c r="T2" s="130" t="s">
        <v>28</v>
      </c>
    </row>
    <row r="3" spans="1:20">
      <c r="A3" s="4">
        <v>1227</v>
      </c>
      <c r="B3" s="5"/>
      <c r="C3" s="6"/>
      <c r="D3" s="7"/>
      <c r="E3" s="7"/>
      <c r="F3" s="7"/>
      <c r="G3" s="7"/>
      <c r="H3" s="7"/>
      <c r="I3" s="7"/>
      <c r="J3" s="7"/>
      <c r="K3" s="7"/>
      <c r="L3" s="7"/>
      <c r="M3" s="7"/>
      <c r="N3" s="5"/>
      <c r="O3" s="5"/>
      <c r="R3" s="130"/>
      <c r="S3" s="130"/>
      <c r="T3" s="130" t="s">
        <v>10</v>
      </c>
    </row>
    <row r="4" spans="1:20" ht="17" thickBot="1">
      <c r="A4" s="4">
        <v>985</v>
      </c>
      <c r="B4" s="5"/>
      <c r="C4" s="6"/>
      <c r="D4" s="8" t="s">
        <v>2</v>
      </c>
      <c r="E4" s="9"/>
      <c r="F4" s="9"/>
      <c r="G4" s="10"/>
      <c r="H4" s="7"/>
      <c r="I4" s="7"/>
      <c r="J4" s="168" t="s">
        <v>3</v>
      </c>
      <c r="K4" s="169"/>
      <c r="L4" s="9"/>
      <c r="M4" s="10"/>
      <c r="N4" s="5"/>
      <c r="O4" s="5"/>
      <c r="P4" s="131" t="s">
        <v>149</v>
      </c>
      <c r="Q4" s="130">
        <f>MIN(A:A)</f>
        <v>523</v>
      </c>
      <c r="R4" s="130"/>
      <c r="S4" s="130"/>
      <c r="T4" s="130" t="s">
        <v>32</v>
      </c>
    </row>
    <row r="5" spans="1:20">
      <c r="A5" s="4">
        <v>693</v>
      </c>
      <c r="B5" s="5"/>
      <c r="C5" s="6"/>
      <c r="D5" s="170" t="s">
        <v>4</v>
      </c>
      <c r="E5" s="172" t="s">
        <v>5</v>
      </c>
      <c r="F5" s="172" t="s">
        <v>6</v>
      </c>
      <c r="G5" s="173" t="s">
        <v>7</v>
      </c>
      <c r="H5" s="7"/>
      <c r="I5" s="7"/>
      <c r="J5" s="11" t="s">
        <v>36</v>
      </c>
      <c r="K5" s="12" t="s">
        <v>8</v>
      </c>
      <c r="L5" s="11" t="s">
        <v>9</v>
      </c>
      <c r="M5" s="13">
        <v>620</v>
      </c>
      <c r="N5" s="5"/>
      <c r="O5" s="5"/>
      <c r="P5" s="131" t="s">
        <v>150</v>
      </c>
      <c r="Q5" s="130">
        <f>MAX(A:A)</f>
        <v>1428</v>
      </c>
      <c r="R5" s="130"/>
      <c r="S5" s="130"/>
      <c r="T5" s="130"/>
    </row>
    <row r="6" spans="1:20" ht="17" thickBot="1">
      <c r="A6" s="4">
        <v>725</v>
      </c>
      <c r="B6" s="5"/>
      <c r="C6" s="6"/>
      <c r="D6" s="171"/>
      <c r="E6" s="171"/>
      <c r="F6" s="171"/>
      <c r="G6" s="174"/>
      <c r="H6" s="7"/>
      <c r="I6" s="7"/>
      <c r="J6" s="11" t="s">
        <v>37</v>
      </c>
      <c r="K6" s="12" t="s">
        <v>8</v>
      </c>
      <c r="L6" s="14" t="s">
        <v>32</v>
      </c>
      <c r="M6" s="15">
        <f>M5</f>
        <v>620</v>
      </c>
      <c r="N6" s="5"/>
      <c r="O6" s="5"/>
      <c r="P6" s="131" t="s">
        <v>151</v>
      </c>
      <c r="Q6" s="132">
        <f>(Q5-Q4)/H24</f>
        <v>100.55555555555556</v>
      </c>
      <c r="R6" s="130"/>
      <c r="S6" s="130"/>
      <c r="T6" s="130"/>
    </row>
    <row r="7" spans="1:20">
      <c r="A7" s="4">
        <v>833</v>
      </c>
      <c r="B7" s="5"/>
      <c r="C7" s="6"/>
      <c r="D7" s="16">
        <f>COUNT(A:A)</f>
        <v>13</v>
      </c>
      <c r="E7" s="11">
        <f>AVERAGE(A:A)</f>
        <v>871</v>
      </c>
      <c r="F7" s="11">
        <f>_xlfn.STDEV.S(A:A)</f>
        <v>294.09862291415101</v>
      </c>
      <c r="G7" s="11">
        <f>F7/SQRT(D7)</f>
        <v>81.568281920024617</v>
      </c>
      <c r="H7" s="7"/>
      <c r="I7" s="7"/>
      <c r="J7" s="176" t="s">
        <v>11</v>
      </c>
      <c r="K7" s="176" t="s">
        <v>12</v>
      </c>
      <c r="L7" s="176" t="s">
        <v>13</v>
      </c>
      <c r="M7" s="178" t="s">
        <v>14</v>
      </c>
      <c r="N7" s="5"/>
      <c r="O7" s="5"/>
      <c r="P7" s="130"/>
      <c r="Q7" s="133"/>
      <c r="R7" s="133"/>
      <c r="S7" s="133" t="s">
        <v>147</v>
      </c>
      <c r="T7" s="130" t="s">
        <v>148</v>
      </c>
    </row>
    <row r="8" spans="1:20">
      <c r="A8" s="4">
        <v>721</v>
      </c>
      <c r="B8" s="5"/>
      <c r="C8" s="6"/>
      <c r="D8" s="7"/>
      <c r="E8" s="17"/>
      <c r="F8" s="17"/>
      <c r="G8" s="17"/>
      <c r="H8" s="7"/>
      <c r="I8" s="7"/>
      <c r="J8" s="177"/>
      <c r="K8" s="177"/>
      <c r="L8" s="177"/>
      <c r="M8" s="179"/>
      <c r="N8" s="5"/>
      <c r="O8" s="5"/>
      <c r="P8" s="130"/>
      <c r="Q8" s="134" t="s">
        <v>146</v>
      </c>
      <c r="R8" s="134" t="s">
        <v>145</v>
      </c>
      <c r="S8" s="133">
        <f>S9</f>
        <v>523</v>
      </c>
      <c r="T8" s="130">
        <v>0</v>
      </c>
    </row>
    <row r="9" spans="1:20">
      <c r="A9" s="4">
        <v>750</v>
      </c>
      <c r="B9" s="5"/>
      <c r="C9" s="6"/>
      <c r="D9" s="18" t="s">
        <v>168</v>
      </c>
      <c r="E9" s="18"/>
      <c r="F9" s="19"/>
      <c r="G9" s="19"/>
      <c r="H9" s="19"/>
      <c r="I9" s="7"/>
      <c r="J9" s="11">
        <f>E7</f>
        <v>871</v>
      </c>
      <c r="K9" s="11">
        <f>(E7-$M$5)/G7</f>
        <v>3.0771764966938786</v>
      </c>
      <c r="L9" s="16">
        <f>D7-1</f>
        <v>12</v>
      </c>
      <c r="M9" s="11">
        <f>IF(L6="≠",2*_xlfn.T.DIST.RT(ABS(K9),L9),IF(L6="&lt;",_xlfn.T.DIST(K9,L9,TRUE),_xlfn.T.DIST.RT(K9,L9)))</f>
        <v>0.99520595752305352</v>
      </c>
      <c r="N9" s="5"/>
      <c r="O9" s="5"/>
      <c r="P9" s="130" t="s">
        <v>142</v>
      </c>
      <c r="Q9" s="134">
        <v>1</v>
      </c>
      <c r="R9" s="134">
        <f>COUNTIF(A:A,"&lt;="&amp;S10)</f>
        <v>3</v>
      </c>
      <c r="S9" s="133">
        <f>Q4</f>
        <v>523</v>
      </c>
      <c r="T9" s="130">
        <f>R9</f>
        <v>3</v>
      </c>
    </row>
    <row r="10" spans="1:20">
      <c r="A10" s="4">
        <v>548</v>
      </c>
      <c r="B10" s="5"/>
      <c r="C10" s="5"/>
      <c r="D10" s="5"/>
      <c r="E10" s="5"/>
      <c r="F10" s="5"/>
      <c r="G10" s="5"/>
      <c r="H10" s="5"/>
      <c r="I10" s="5"/>
      <c r="J10" s="5"/>
      <c r="K10" s="5"/>
      <c r="L10" s="5"/>
      <c r="M10" s="5"/>
      <c r="N10" s="5"/>
      <c r="O10" s="5"/>
      <c r="P10" s="130"/>
      <c r="Q10" s="134"/>
      <c r="R10" s="134"/>
      <c r="S10" s="135">
        <f>S9+$Q$6</f>
        <v>623.55555555555554</v>
      </c>
      <c r="T10" s="130">
        <f>T9</f>
        <v>3</v>
      </c>
    </row>
    <row r="11" spans="1:20" ht="17" thickBot="1">
      <c r="A11" s="4">
        <v>621</v>
      </c>
      <c r="B11" s="5"/>
      <c r="C11" s="5"/>
      <c r="D11" s="5"/>
      <c r="E11" s="5"/>
      <c r="F11" s="5"/>
      <c r="G11" s="5"/>
      <c r="H11" s="5"/>
      <c r="I11" s="5"/>
      <c r="J11" s="21">
        <v>0.95</v>
      </c>
      <c r="K11" s="9" t="s">
        <v>190</v>
      </c>
      <c r="L11" s="9"/>
      <c r="M11" s="10"/>
      <c r="N11" s="5"/>
      <c r="O11" s="5"/>
      <c r="P11" s="130"/>
      <c r="Q11" s="134"/>
      <c r="R11" s="134"/>
      <c r="S11" s="133">
        <f>IF(Q9&gt;$H$24,"",S10)</f>
        <v>623.55555555555554</v>
      </c>
      <c r="T11" s="130">
        <f>IF(Q9&gt;$H$24,"",0)</f>
        <v>0</v>
      </c>
    </row>
    <row r="12" spans="1:20">
      <c r="A12" s="4">
        <v>1321</v>
      </c>
      <c r="B12" s="5"/>
      <c r="C12" s="5"/>
      <c r="D12" s="5"/>
      <c r="E12" s="5"/>
      <c r="F12" s="5"/>
      <c r="G12" s="5"/>
      <c r="H12" s="5"/>
      <c r="I12" s="5"/>
      <c r="J12" s="172" t="s">
        <v>17</v>
      </c>
      <c r="K12" s="172" t="s">
        <v>18</v>
      </c>
      <c r="L12" s="180" t="s">
        <v>16</v>
      </c>
      <c r="M12" s="181"/>
      <c r="N12" s="5"/>
      <c r="P12" s="130" t="s">
        <v>144</v>
      </c>
      <c r="Q12" s="134">
        <f>Q9+1</f>
        <v>2</v>
      </c>
      <c r="R12" s="134">
        <f>IF(Q12&gt;$H$24,"",COUNTIF(A:A,"&lt;="&amp;S13))</f>
        <v>5</v>
      </c>
      <c r="S12" s="133">
        <f>IF(Q12&gt;$H$24,S11,S10)</f>
        <v>623.55555555555554</v>
      </c>
      <c r="T12" s="130">
        <f>IF(Q12&gt;$H$24,T11,T13)</f>
        <v>2</v>
      </c>
    </row>
    <row r="13" spans="1:20">
      <c r="A13" s="4">
        <v>948</v>
      </c>
      <c r="B13" s="5"/>
      <c r="C13" s="5"/>
      <c r="D13" s="5"/>
      <c r="E13" s="5"/>
      <c r="F13" s="5"/>
      <c r="G13" s="5"/>
      <c r="H13" s="5"/>
      <c r="I13" s="5"/>
      <c r="J13" s="171"/>
      <c r="K13" s="171"/>
      <c r="L13" s="22" t="s">
        <v>19</v>
      </c>
      <c r="M13" s="22" t="s">
        <v>20</v>
      </c>
      <c r="N13" s="5"/>
      <c r="O13" s="5"/>
      <c r="P13" s="130"/>
      <c r="Q13" s="134"/>
      <c r="R13" s="134"/>
      <c r="S13" s="133">
        <f>IF(Q12&gt;$H$24,S12,S12+$Q$6)</f>
        <v>724.11111111111109</v>
      </c>
      <c r="T13" s="130">
        <f>IF(Q12&gt;$H$24,T12,R12-R9)</f>
        <v>2</v>
      </c>
    </row>
    <row r="14" spans="1:20">
      <c r="A14" s="4">
        <v>523</v>
      </c>
      <c r="B14" s="5"/>
      <c r="C14" s="5"/>
      <c r="D14" s="5"/>
      <c r="E14" s="5"/>
      <c r="F14" s="5"/>
      <c r="G14" s="5"/>
      <c r="H14" s="5"/>
      <c r="I14" s="5"/>
      <c r="J14" s="11">
        <f>E7</f>
        <v>871</v>
      </c>
      <c r="K14" s="11">
        <f>TINV(1-$J$11,L9)*G7</f>
        <v>177.72201914126302</v>
      </c>
      <c r="L14" s="11">
        <f>J14-K14</f>
        <v>693.27798085873701</v>
      </c>
      <c r="M14" s="11">
        <f>J14+K14</f>
        <v>1048.722019141263</v>
      </c>
      <c r="N14" s="5"/>
      <c r="O14" s="5"/>
      <c r="P14" s="130"/>
      <c r="Q14" s="134"/>
      <c r="R14" s="134"/>
      <c r="S14" s="133">
        <f>IF(Q12&gt;$H$24,S13,S13)</f>
        <v>724.11111111111109</v>
      </c>
      <c r="T14" s="130">
        <f>IF(Q12&gt;$H$24,T13,0)</f>
        <v>0</v>
      </c>
    </row>
    <row r="15" spans="1:20">
      <c r="A15" s="4"/>
      <c r="B15" s="5"/>
      <c r="C15" s="5"/>
      <c r="D15" s="5"/>
      <c r="E15" s="5"/>
      <c r="F15" s="5"/>
      <c r="G15" s="5"/>
      <c r="H15" s="5"/>
      <c r="I15" s="5"/>
      <c r="J15" s="23"/>
      <c r="K15" s="151" t="str">
        <f>"t*=±"&amp;ROUND(_xlfn.T.INV.2T(1-J11,L9),3)</f>
        <v>t*=±2.179</v>
      </c>
      <c r="L15" s="24"/>
      <c r="M15" s="25"/>
      <c r="N15" s="5"/>
      <c r="O15" s="5"/>
      <c r="P15" s="130" t="s">
        <v>143</v>
      </c>
      <c r="Q15" s="134">
        <f>Q12+1</f>
        <v>3</v>
      </c>
      <c r="R15" s="134">
        <f>IF(Q15&gt;$H$24,"",COUNTIF(A:A,"&lt;="&amp;S16))</f>
        <v>7</v>
      </c>
      <c r="S15" s="133">
        <f>IF(Q15&gt;$H$24,S14,S13)</f>
        <v>724.11111111111109</v>
      </c>
      <c r="T15" s="130">
        <f>IF(Q15&gt;$H$24,T14,T16)</f>
        <v>2</v>
      </c>
    </row>
    <row r="16" spans="1:20">
      <c r="A16" s="4"/>
      <c r="B16" s="5"/>
      <c r="C16" s="5"/>
      <c r="D16" s="5"/>
      <c r="E16" s="5"/>
      <c r="F16" s="5"/>
      <c r="G16" s="5"/>
      <c r="H16" s="5"/>
      <c r="I16" s="5"/>
      <c r="J16" s="5"/>
      <c r="K16" s="5"/>
      <c r="L16" s="5"/>
      <c r="M16" s="5"/>
      <c r="N16" s="5"/>
      <c r="O16" s="5"/>
      <c r="P16" s="130"/>
      <c r="Q16" s="134"/>
      <c r="R16" s="134"/>
      <c r="S16" s="133">
        <f>IF(Q15&gt;$H$24,S15,S15+$Q$6)</f>
        <v>824.66666666666663</v>
      </c>
      <c r="T16" s="130">
        <f>IF(Q15&gt;$H$24,T15,R15-R12)</f>
        <v>2</v>
      </c>
    </row>
    <row r="17" spans="1:20">
      <c r="A17" s="4"/>
      <c r="B17" s="5"/>
      <c r="C17" s="5"/>
      <c r="D17" s="5"/>
      <c r="E17" s="5"/>
      <c r="F17" s="5"/>
      <c r="G17" s="5"/>
      <c r="H17" s="5"/>
      <c r="I17" s="5"/>
      <c r="J17" s="5"/>
      <c r="K17" s="5"/>
      <c r="L17" s="5"/>
      <c r="M17" s="5"/>
      <c r="N17" s="5"/>
      <c r="O17" s="5"/>
      <c r="P17" s="130"/>
      <c r="Q17" s="134"/>
      <c r="R17" s="134"/>
      <c r="S17" s="133">
        <f>IF(Q15&gt;$H$24,S16,S16)</f>
        <v>824.66666666666663</v>
      </c>
      <c r="T17" s="130">
        <f>IF(Q15&gt;$H$24,T16,0)</f>
        <v>0</v>
      </c>
    </row>
    <row r="18" spans="1:20">
      <c r="A18" s="4"/>
      <c r="B18" s="5"/>
      <c r="C18" s="5"/>
      <c r="D18" s="5"/>
      <c r="E18" s="5"/>
      <c r="F18" s="5"/>
      <c r="G18" s="5"/>
      <c r="H18" s="5"/>
      <c r="I18" s="5"/>
      <c r="J18" s="5"/>
      <c r="K18" s="5"/>
      <c r="L18" s="5"/>
      <c r="M18" s="5"/>
      <c r="N18" s="5"/>
      <c r="O18" s="5"/>
      <c r="P18" s="130"/>
      <c r="Q18" s="134">
        <f>Q15+1</f>
        <v>4</v>
      </c>
      <c r="R18" s="134">
        <f>IF(Q18&gt;$H$24,"",COUNTIF(A:A,"&lt;="&amp;S19))</f>
        <v>8</v>
      </c>
      <c r="S18" s="133">
        <f>IF(Q18&gt;$H$24,S17,S16)</f>
        <v>824.66666666666663</v>
      </c>
      <c r="T18" s="130">
        <f>IF(Q18&gt;$H$24,T17,T19)</f>
        <v>1</v>
      </c>
    </row>
    <row r="19" spans="1:20">
      <c r="A19" s="4"/>
      <c r="B19" s="5"/>
      <c r="C19" s="5"/>
      <c r="D19" s="5"/>
      <c r="E19" s="5"/>
      <c r="F19" s="5"/>
      <c r="G19" s="5"/>
      <c r="H19" s="5"/>
      <c r="I19" s="5"/>
      <c r="J19" s="5"/>
      <c r="K19" s="5"/>
      <c r="L19" s="5"/>
      <c r="M19" s="5"/>
      <c r="N19" s="5"/>
      <c r="O19" s="5"/>
      <c r="P19" s="130"/>
      <c r="Q19" s="134"/>
      <c r="R19" s="134"/>
      <c r="S19" s="133">
        <f>IF(Q18&gt;$H$24,S18,S18+$Q$6)</f>
        <v>925.22222222222217</v>
      </c>
      <c r="T19" s="130">
        <f>IF(Q18&gt;$H$24,T18,R18-R15)</f>
        <v>1</v>
      </c>
    </row>
    <row r="20" spans="1:20">
      <c r="A20" s="4"/>
      <c r="B20" s="5"/>
      <c r="C20" s="5"/>
      <c r="D20" s="5"/>
      <c r="E20" s="5"/>
      <c r="F20" s="5"/>
      <c r="G20" s="5"/>
      <c r="H20" s="5"/>
      <c r="I20" s="5"/>
      <c r="J20" s="5"/>
      <c r="K20" s="5"/>
      <c r="L20" s="5"/>
      <c r="M20" s="5"/>
      <c r="N20" s="5"/>
      <c r="O20" s="5"/>
      <c r="P20" s="130"/>
      <c r="Q20" s="134"/>
      <c r="R20" s="134"/>
      <c r="S20" s="133">
        <f>IF(Q18&gt;$H$24,S19,S19)</f>
        <v>925.22222222222217</v>
      </c>
      <c r="T20" s="130">
        <f>IF(Q18&gt;$H$24,T19,0)</f>
        <v>0</v>
      </c>
    </row>
    <row r="21" spans="1:20">
      <c r="A21" s="4"/>
      <c r="B21" s="5"/>
      <c r="C21" s="5"/>
      <c r="D21" s="5"/>
      <c r="E21" s="5"/>
      <c r="F21" s="5"/>
      <c r="G21" s="5"/>
      <c r="H21" s="5"/>
      <c r="I21" s="5"/>
      <c r="J21" s="5"/>
      <c r="K21" s="5"/>
      <c r="L21" s="5"/>
      <c r="M21" s="5"/>
      <c r="N21" s="5"/>
      <c r="O21" s="5"/>
      <c r="P21" s="130"/>
      <c r="Q21" s="134">
        <f>Q18+1</f>
        <v>5</v>
      </c>
      <c r="R21" s="134">
        <f>IF(Q21&gt;$H$24,"",COUNTIF(A:A,"&lt;="&amp;S22))</f>
        <v>10</v>
      </c>
      <c r="S21" s="133">
        <f>IF(Q21&gt;$H$24,S20,S19)</f>
        <v>925.22222222222217</v>
      </c>
      <c r="T21" s="130">
        <f>IF(Q21&gt;$H$24,T20,T22)</f>
        <v>2</v>
      </c>
    </row>
    <row r="22" spans="1:20">
      <c r="A22" s="4"/>
      <c r="B22" s="5"/>
      <c r="C22" s="5"/>
      <c r="D22" s="5"/>
      <c r="E22" s="5"/>
      <c r="F22" s="5"/>
      <c r="G22" s="5"/>
      <c r="H22" s="5"/>
      <c r="I22" s="5"/>
      <c r="J22" s="5"/>
      <c r="K22" s="5"/>
      <c r="L22" s="5"/>
      <c r="M22" s="5"/>
      <c r="N22" s="5"/>
      <c r="O22" s="5"/>
      <c r="P22" s="130"/>
      <c r="Q22" s="134"/>
      <c r="R22" s="134"/>
      <c r="S22" s="133">
        <f>IF(Q21&gt;$H$24,S21,S21+$Q$6)</f>
        <v>1025.7777777777778</v>
      </c>
      <c r="T22" s="130">
        <f>IF(Q21&gt;$H$24,T21,R21-R18)</f>
        <v>2</v>
      </c>
    </row>
    <row r="23" spans="1:20">
      <c r="A23" s="4"/>
      <c r="B23" s="5"/>
      <c r="C23" s="5"/>
      <c r="D23" s="5"/>
      <c r="E23" s="5"/>
      <c r="F23" s="5"/>
      <c r="G23" s="5"/>
      <c r="H23" s="5"/>
      <c r="I23" s="5"/>
      <c r="J23" s="5"/>
      <c r="K23" s="5"/>
      <c r="L23" s="5"/>
      <c r="M23" s="5"/>
      <c r="N23" s="5"/>
      <c r="O23" s="5"/>
      <c r="P23" s="130"/>
      <c r="Q23" s="134"/>
      <c r="R23" s="134"/>
      <c r="S23" s="133">
        <f>IF(Q21&gt;$H$24,S22,S22)</f>
        <v>1025.7777777777778</v>
      </c>
      <c r="T23" s="130">
        <f>IF(Q21&gt;$H$24,T22,0)</f>
        <v>0</v>
      </c>
    </row>
    <row r="24" spans="1:20">
      <c r="A24" s="4"/>
      <c r="B24" s="5"/>
      <c r="C24" s="5"/>
      <c r="D24" s="74"/>
      <c r="E24" s="74"/>
      <c r="F24" s="175" t="s">
        <v>169</v>
      </c>
      <c r="G24" s="175"/>
      <c r="H24" s="129">
        <v>9</v>
      </c>
      <c r="I24" s="5"/>
      <c r="J24" s="5"/>
      <c r="K24" s="5"/>
      <c r="L24" s="5"/>
      <c r="M24" s="5"/>
      <c r="N24" s="5"/>
      <c r="O24" s="5"/>
      <c r="P24" s="130"/>
      <c r="Q24" s="134">
        <f>Q21+1</f>
        <v>6</v>
      </c>
      <c r="R24" s="134">
        <f>IF(Q24&gt;$H$24,"",COUNTIF(A:A,"&lt;="&amp;S25))</f>
        <v>10</v>
      </c>
      <c r="S24" s="133">
        <f>IF(Q24&gt;$H$24,S23,S22)</f>
        <v>1025.7777777777778</v>
      </c>
      <c r="T24" s="130">
        <f>IF(Q24&gt;$H$24,T23,T25)</f>
        <v>0</v>
      </c>
    </row>
    <row r="25" spans="1:20">
      <c r="A25" s="4"/>
      <c r="B25" s="5"/>
      <c r="C25" s="5"/>
      <c r="D25" s="5"/>
      <c r="E25" s="5"/>
      <c r="F25" s="5"/>
      <c r="G25" s="5"/>
      <c r="H25" s="5"/>
      <c r="I25" s="5"/>
      <c r="J25" s="5"/>
      <c r="K25" s="5"/>
      <c r="L25" s="5"/>
      <c r="M25" s="5"/>
      <c r="N25" s="5"/>
      <c r="O25" s="5"/>
      <c r="P25" s="130"/>
      <c r="Q25" s="134"/>
      <c r="R25" s="134"/>
      <c r="S25" s="133">
        <f>IF(Q24&gt;$H$24,S24,S24+$Q$6)</f>
        <v>1126.3333333333335</v>
      </c>
      <c r="T25" s="130">
        <f>IF(Q24&gt;$H$24,T24,R24-R21)</f>
        <v>0</v>
      </c>
    </row>
    <row r="26" spans="1:20">
      <c r="A26" s="4"/>
      <c r="B26" s="5"/>
      <c r="C26" s="5"/>
      <c r="D26" s="5"/>
      <c r="E26" s="5"/>
      <c r="F26" s="5"/>
      <c r="G26" s="5"/>
      <c r="H26" s="5"/>
      <c r="I26" s="5"/>
      <c r="J26" s="5"/>
      <c r="K26" s="5"/>
      <c r="L26" s="5"/>
      <c r="M26" s="5"/>
      <c r="N26" s="5"/>
      <c r="O26" s="5"/>
      <c r="P26" s="130"/>
      <c r="Q26" s="134"/>
      <c r="R26" s="134"/>
      <c r="S26" s="133">
        <f>IF(Q24&gt;$H$24,S25,S25)</f>
        <v>1126.3333333333335</v>
      </c>
      <c r="T26" s="130">
        <f>IF(Q24&gt;$H$24,T25,0)</f>
        <v>0</v>
      </c>
    </row>
    <row r="27" spans="1:20">
      <c r="A27" s="4"/>
      <c r="B27" s="5"/>
      <c r="C27" s="5"/>
      <c r="D27" s="5"/>
      <c r="E27" s="5"/>
      <c r="F27" s="5"/>
      <c r="G27" s="5"/>
      <c r="H27" s="5"/>
      <c r="I27" s="5"/>
      <c r="J27" s="5"/>
      <c r="K27" s="5"/>
      <c r="L27" s="5"/>
      <c r="M27" s="5"/>
      <c r="N27" s="5"/>
      <c r="O27" s="5"/>
      <c r="P27" s="130"/>
      <c r="Q27" s="134">
        <f>Q24+1</f>
        <v>7</v>
      </c>
      <c r="R27" s="134">
        <f>IF(Q27&gt;$H$24,"",COUNTIF(A:A,"&lt;="&amp;S28))</f>
        <v>10</v>
      </c>
      <c r="S27" s="133">
        <f>IF(Q27&gt;$H$24,S26,S25)</f>
        <v>1126.3333333333335</v>
      </c>
      <c r="T27" s="130">
        <f>IF(Q27&gt;$H$24,T26,T28)</f>
        <v>0</v>
      </c>
    </row>
    <row r="28" spans="1:20">
      <c r="A28" s="4"/>
      <c r="B28" s="5"/>
      <c r="C28" s="5"/>
      <c r="D28" s="5"/>
      <c r="E28" s="5"/>
      <c r="F28" s="5"/>
      <c r="G28" s="5"/>
      <c r="H28" s="5"/>
      <c r="I28" s="5"/>
      <c r="J28" s="5"/>
      <c r="K28" s="5"/>
      <c r="L28" s="5"/>
      <c r="M28" s="5"/>
      <c r="N28" s="5"/>
      <c r="O28" s="5"/>
      <c r="P28" s="130"/>
      <c r="Q28" s="134"/>
      <c r="R28" s="134"/>
      <c r="S28" s="133">
        <f>IF(Q27&gt;$H$24,S27,S27+$Q$6)</f>
        <v>1226.8888888888891</v>
      </c>
      <c r="T28" s="130">
        <f>IF(Q27&gt;$H$24,T27,R27-R24)</f>
        <v>0</v>
      </c>
    </row>
    <row r="29" spans="1:20">
      <c r="A29" s="4"/>
      <c r="B29" s="5"/>
      <c r="C29" s="5"/>
      <c r="D29" s="5"/>
      <c r="E29" s="5"/>
      <c r="F29" s="5"/>
      <c r="G29" s="5"/>
      <c r="H29" s="5"/>
      <c r="I29" s="5"/>
      <c r="J29" s="5"/>
      <c r="K29" s="5"/>
      <c r="L29" s="5"/>
      <c r="M29" s="5"/>
      <c r="N29" s="5"/>
      <c r="O29" s="5"/>
      <c r="P29" s="130"/>
      <c r="Q29" s="134"/>
      <c r="R29" s="134"/>
      <c r="S29" s="133">
        <f>IF(Q27&gt;$H$24,S28,S28)</f>
        <v>1226.8888888888891</v>
      </c>
      <c r="T29" s="130">
        <f>IF(Q27&gt;$H$24,T28,0)</f>
        <v>0</v>
      </c>
    </row>
    <row r="30" spans="1:20">
      <c r="A30" s="4"/>
      <c r="B30" s="5"/>
      <c r="C30" s="5"/>
      <c r="D30" s="5"/>
      <c r="E30" s="5"/>
      <c r="F30" s="5"/>
      <c r="G30" s="5"/>
      <c r="H30" s="5"/>
      <c r="I30" s="5"/>
      <c r="J30" s="5"/>
      <c r="K30" s="5"/>
      <c r="L30" s="5"/>
      <c r="M30" s="5"/>
      <c r="N30" s="5"/>
      <c r="O30" s="5"/>
      <c r="P30" s="130"/>
      <c r="Q30" s="134">
        <f>Q27+1</f>
        <v>8</v>
      </c>
      <c r="R30" s="134">
        <f>IF(Q30&gt;$H$24,"",COUNTIF(A:A,"&lt;="&amp;S31))</f>
        <v>12</v>
      </c>
      <c r="S30" s="133">
        <f>IF(Q30&gt;$H$24,S29,S28)</f>
        <v>1226.8888888888891</v>
      </c>
      <c r="T30" s="130">
        <f>IF(Q30&gt;$H$24,T29,T31)</f>
        <v>2</v>
      </c>
    </row>
    <row r="31" spans="1:20">
      <c r="A31" s="4"/>
      <c r="B31" s="5"/>
      <c r="C31" s="5"/>
      <c r="D31" s="5"/>
      <c r="E31" s="5"/>
      <c r="F31" s="5"/>
      <c r="G31" s="5"/>
      <c r="H31" s="5"/>
      <c r="I31" s="5"/>
      <c r="J31" s="5"/>
      <c r="K31" s="5"/>
      <c r="L31" s="5"/>
      <c r="M31" s="5"/>
      <c r="N31" s="5"/>
      <c r="O31" s="5"/>
      <c r="P31" s="130"/>
      <c r="Q31" s="134"/>
      <c r="R31" s="134"/>
      <c r="S31" s="133">
        <f>IF(Q30&gt;$H$24,S30,S30+$Q$6)</f>
        <v>1327.4444444444448</v>
      </c>
      <c r="T31" s="130">
        <f>IF(Q30&gt;$H$24,T30,R30-R27)</f>
        <v>2</v>
      </c>
    </row>
    <row r="32" spans="1:20">
      <c r="A32" s="4"/>
      <c r="B32" s="5"/>
      <c r="C32" s="5"/>
      <c r="D32" s="5"/>
      <c r="E32" s="5"/>
      <c r="F32" s="5"/>
      <c r="G32" s="5"/>
      <c r="H32" s="5"/>
      <c r="I32" s="5"/>
      <c r="J32" s="5"/>
      <c r="K32" s="5"/>
      <c r="L32" s="5"/>
      <c r="M32" s="5"/>
      <c r="N32" s="5"/>
      <c r="O32" s="5"/>
      <c r="P32" s="130"/>
      <c r="Q32" s="134"/>
      <c r="R32" s="134"/>
      <c r="S32" s="133">
        <f>IF(Q30&gt;$H$24,S31,S31)</f>
        <v>1327.4444444444448</v>
      </c>
      <c r="T32" s="130">
        <f>IF(Q30&gt;$H$24,T31,0)</f>
        <v>0</v>
      </c>
    </row>
    <row r="33" spans="1:20">
      <c r="A33" s="4"/>
      <c r="B33" s="5"/>
      <c r="C33" s="5"/>
      <c r="D33" s="5"/>
      <c r="E33" s="5"/>
      <c r="F33" s="5"/>
      <c r="G33" s="5"/>
      <c r="H33" s="5"/>
      <c r="I33" s="5"/>
      <c r="J33" s="5"/>
      <c r="K33" s="5"/>
      <c r="L33" s="5"/>
      <c r="M33" s="5"/>
      <c r="N33" s="5"/>
      <c r="O33" s="5"/>
      <c r="P33" s="130"/>
      <c r="Q33" s="134">
        <f>Q30+1</f>
        <v>9</v>
      </c>
      <c r="R33" s="134">
        <f>IF(Q33&gt;$H$24,"",COUNTIF(A:A,"&lt;="&amp;S34))</f>
        <v>13</v>
      </c>
      <c r="S33" s="133">
        <f>IF(Q33&gt;$H$24,S32,S31)</f>
        <v>1327.4444444444448</v>
      </c>
      <c r="T33" s="130">
        <f>IF(Q33&gt;$H$24,T32,T34)</f>
        <v>1</v>
      </c>
    </row>
    <row r="34" spans="1:20">
      <c r="A34" s="4"/>
      <c r="B34" s="5"/>
      <c r="C34" s="5"/>
      <c r="D34" s="5"/>
      <c r="E34" s="5"/>
      <c r="F34" s="5"/>
      <c r="G34" s="5"/>
      <c r="H34" s="5"/>
      <c r="I34" s="5"/>
      <c r="J34" s="5"/>
      <c r="K34" s="5"/>
      <c r="L34" s="5"/>
      <c r="M34" s="5"/>
      <c r="N34" s="5"/>
      <c r="O34" s="5"/>
      <c r="P34" s="130"/>
      <c r="Q34" s="134"/>
      <c r="R34" s="134"/>
      <c r="S34" s="133">
        <f>IF(Q33&gt;$H$24,S33,S33+$Q$6)</f>
        <v>1428.0000000000005</v>
      </c>
      <c r="T34" s="130">
        <f>IF(Q33&gt;$H$24,T33,R33-R30)</f>
        <v>1</v>
      </c>
    </row>
    <row r="35" spans="1:20">
      <c r="A35" s="4"/>
      <c r="B35" s="5"/>
      <c r="C35" s="5"/>
      <c r="D35" s="5"/>
      <c r="E35" s="5"/>
      <c r="F35" s="5"/>
      <c r="G35" s="5"/>
      <c r="H35" s="5"/>
      <c r="I35" s="5"/>
      <c r="J35" s="5"/>
      <c r="K35" s="5"/>
      <c r="L35" s="5"/>
      <c r="M35" s="5"/>
      <c r="N35" s="5"/>
      <c r="O35" s="5"/>
      <c r="P35" s="130"/>
      <c r="Q35" s="134"/>
      <c r="R35" s="134"/>
      <c r="S35" s="133">
        <f>IF(Q33&gt;$H$24,S34,S34)</f>
        <v>1428.0000000000005</v>
      </c>
      <c r="T35" s="130">
        <f>IF(Q33&gt;$H$24,T34,0)</f>
        <v>0</v>
      </c>
    </row>
    <row r="36" spans="1:20">
      <c r="A36" s="4"/>
      <c r="B36" s="5"/>
      <c r="C36" s="5"/>
      <c r="D36" s="5"/>
      <c r="E36" s="5"/>
      <c r="F36" s="5"/>
      <c r="G36" s="5"/>
      <c r="H36" s="5"/>
      <c r="I36" s="5"/>
      <c r="J36" s="5"/>
      <c r="K36" s="5"/>
      <c r="L36" s="5"/>
      <c r="M36" s="5"/>
      <c r="N36" s="5"/>
      <c r="O36" s="5"/>
      <c r="P36" s="130"/>
      <c r="Q36" s="134">
        <f>Q33+1</f>
        <v>10</v>
      </c>
      <c r="R36" s="134" t="str">
        <f>IF(Q36&gt;$H$24,"",COUNTIF(A:A,"&lt;="&amp;S37))</f>
        <v/>
      </c>
      <c r="S36" s="133">
        <f>IF(Q36&gt;$H$24,S35,S34)</f>
        <v>1428.0000000000005</v>
      </c>
      <c r="T36" s="130">
        <f>IF(Q36&gt;$H$24,T35,T37)</f>
        <v>0</v>
      </c>
    </row>
    <row r="37" spans="1:20">
      <c r="A37" s="4"/>
      <c r="B37" s="5"/>
      <c r="C37" s="5"/>
      <c r="D37" s="5"/>
      <c r="E37" s="5"/>
      <c r="F37" s="5"/>
      <c r="G37" s="5"/>
      <c r="H37" s="5"/>
      <c r="I37" s="5"/>
      <c r="J37" s="5"/>
      <c r="K37" s="5"/>
      <c r="L37" s="5"/>
      <c r="M37" s="5"/>
      <c r="N37" s="5"/>
      <c r="O37" s="5"/>
      <c r="P37" s="130"/>
      <c r="Q37" s="134"/>
      <c r="R37" s="134"/>
      <c r="S37" s="133">
        <f>IF(Q36&gt;$H$24,S36,S36+$Q$6)</f>
        <v>1428.0000000000005</v>
      </c>
      <c r="T37" s="130">
        <f>IF(Q36&gt;$H$24,T36,R36-R33)</f>
        <v>0</v>
      </c>
    </row>
    <row r="38" spans="1:20">
      <c r="A38" s="4"/>
      <c r="B38" s="5"/>
      <c r="C38" s="5"/>
      <c r="D38" s="5"/>
      <c r="E38" s="5"/>
      <c r="F38" s="5"/>
      <c r="G38" s="5"/>
      <c r="H38" s="5"/>
      <c r="I38" s="5"/>
      <c r="J38" s="5"/>
      <c r="K38" s="5"/>
      <c r="L38" s="5"/>
      <c r="M38" s="5"/>
      <c r="N38" s="5"/>
      <c r="O38" s="5"/>
      <c r="P38" s="130"/>
      <c r="Q38" s="134"/>
      <c r="R38" s="134"/>
      <c r="S38" s="133">
        <f>IF(Q36&gt;$H$24,S37,S37)</f>
        <v>1428.0000000000005</v>
      </c>
      <c r="T38" s="130">
        <f>IF(Q36&gt;$H$24,T37,0)</f>
        <v>0</v>
      </c>
    </row>
    <row r="39" spans="1:20">
      <c r="A39" s="4"/>
      <c r="B39" s="5"/>
      <c r="C39" s="5"/>
      <c r="D39" s="5"/>
      <c r="E39" s="5"/>
      <c r="F39" s="5"/>
      <c r="G39" s="5"/>
      <c r="H39" s="5"/>
      <c r="I39" s="5"/>
      <c r="J39" s="5"/>
      <c r="K39" s="5"/>
      <c r="L39" s="5"/>
      <c r="M39" s="5"/>
      <c r="N39" s="5"/>
      <c r="O39" s="5"/>
      <c r="P39" s="130"/>
      <c r="Q39" s="134">
        <f>Q36+1</f>
        <v>11</v>
      </c>
      <c r="R39" s="134" t="str">
        <f>IF(Q39&gt;$H$24,"",COUNTIF(A:A,"&lt;="&amp;S40))</f>
        <v/>
      </c>
      <c r="S39" s="133">
        <f>IF(Q39&gt;$H$24,S38,S37)</f>
        <v>1428.0000000000005</v>
      </c>
      <c r="T39" s="130">
        <f>IF(Q39&gt;$H$24,T38,T40)</f>
        <v>0</v>
      </c>
    </row>
    <row r="40" spans="1:20">
      <c r="A40" s="4"/>
      <c r="B40" s="5"/>
      <c r="C40" s="5"/>
      <c r="D40" s="5"/>
      <c r="E40" s="5"/>
      <c r="F40" s="5"/>
      <c r="G40" s="5"/>
      <c r="H40" s="5"/>
      <c r="I40" s="5"/>
      <c r="J40" s="5"/>
      <c r="K40" s="5"/>
      <c r="L40" s="5"/>
      <c r="M40" s="5"/>
      <c r="N40" s="5"/>
      <c r="O40" s="5"/>
      <c r="P40" s="130"/>
      <c r="Q40" s="134"/>
      <c r="R40" s="134"/>
      <c r="S40" s="133">
        <f>IF(Q39&gt;$H$24,S39,S39+$Q$6)</f>
        <v>1428.0000000000005</v>
      </c>
      <c r="T40" s="130">
        <f>IF(Q39&gt;$H$24,T39,R39-R36)</f>
        <v>0</v>
      </c>
    </row>
    <row r="41" spans="1:20">
      <c r="A41" s="4"/>
      <c r="B41" s="5"/>
      <c r="C41" s="5"/>
      <c r="D41" s="5"/>
      <c r="E41" s="5"/>
      <c r="F41" s="5"/>
      <c r="G41" s="5"/>
      <c r="H41" s="5"/>
      <c r="I41" s="5"/>
      <c r="J41" s="5"/>
      <c r="K41" s="5"/>
      <c r="L41" s="5"/>
      <c r="M41" s="5"/>
      <c r="N41" s="5"/>
      <c r="O41" s="5"/>
      <c r="P41" s="130"/>
      <c r="Q41" s="134"/>
      <c r="R41" s="134"/>
      <c r="S41" s="133">
        <f>IF(Q39&gt;$H$24,S40,S40)</f>
        <v>1428.0000000000005</v>
      </c>
      <c r="T41" s="130">
        <f>IF(Q39&gt;$H$24,T40,0)</f>
        <v>0</v>
      </c>
    </row>
    <row r="42" spans="1:20">
      <c r="A42" s="4"/>
      <c r="B42" s="5"/>
      <c r="C42" s="5"/>
      <c r="D42" s="5"/>
      <c r="E42" s="5"/>
      <c r="F42" s="5"/>
      <c r="G42" s="5"/>
      <c r="H42" s="5"/>
      <c r="I42" s="5"/>
      <c r="J42" s="5"/>
      <c r="K42" s="5"/>
      <c r="L42" s="5"/>
      <c r="M42" s="5"/>
      <c r="N42" s="5"/>
      <c r="O42" s="5"/>
      <c r="P42" s="130"/>
      <c r="Q42" s="134">
        <f>Q39+1</f>
        <v>12</v>
      </c>
      <c r="R42" s="134" t="str">
        <f>IF(Q42&gt;$H$24,"",COUNTIF(A:A,"&lt;="&amp;S43))</f>
        <v/>
      </c>
      <c r="S42" s="133">
        <f>IF(Q42&gt;$H$24,S41,S40)</f>
        <v>1428.0000000000005</v>
      </c>
      <c r="T42" s="130">
        <f>IF(Q42&gt;$H$24,T41,T43)</f>
        <v>0</v>
      </c>
    </row>
    <row r="43" spans="1:20">
      <c r="A43" s="4"/>
      <c r="B43" s="5"/>
      <c r="C43" s="5"/>
      <c r="D43" s="5"/>
      <c r="E43" s="5"/>
      <c r="F43" s="5"/>
      <c r="G43" s="5"/>
      <c r="H43" s="5"/>
      <c r="I43" s="5"/>
      <c r="J43" s="5"/>
      <c r="K43" s="5"/>
      <c r="L43" s="5"/>
      <c r="M43" s="5"/>
      <c r="N43" s="5"/>
      <c r="O43" s="5"/>
      <c r="P43" s="130"/>
      <c r="Q43" s="134"/>
      <c r="R43" s="134"/>
      <c r="S43" s="133">
        <f>IF(Q42&gt;$H$24,S42,S42+$Q$6)</f>
        <v>1428.0000000000005</v>
      </c>
      <c r="T43" s="130">
        <f>IF(Q42&gt;$H$24,T42,R42-R39)</f>
        <v>0</v>
      </c>
    </row>
    <row r="44" spans="1:20">
      <c r="A44" s="4"/>
      <c r="B44" s="5"/>
      <c r="C44" s="5"/>
      <c r="D44" s="5"/>
      <c r="E44" s="5"/>
      <c r="F44" s="5"/>
      <c r="G44" s="5"/>
      <c r="H44" s="5"/>
      <c r="I44" s="5"/>
      <c r="J44" s="5"/>
      <c r="K44" s="5"/>
      <c r="L44" s="5"/>
      <c r="M44" s="5"/>
      <c r="N44" s="5"/>
      <c r="O44" s="5"/>
      <c r="P44" s="130"/>
      <c r="Q44" s="134"/>
      <c r="R44" s="134"/>
      <c r="S44" s="133">
        <f>IF(Q42&gt;$H$24,S43,S43)</f>
        <v>1428.0000000000005</v>
      </c>
      <c r="T44" s="130">
        <f>IF(Q42&gt;$H$24,T43,0)</f>
        <v>0</v>
      </c>
    </row>
    <row r="45" spans="1:20">
      <c r="A45" s="4"/>
      <c r="B45" s="5"/>
      <c r="C45" s="5"/>
      <c r="D45" s="5"/>
      <c r="E45" s="5"/>
      <c r="F45" s="5"/>
      <c r="G45" s="5"/>
      <c r="H45" s="5"/>
      <c r="I45" s="5"/>
      <c r="J45" s="5"/>
      <c r="K45" s="5"/>
      <c r="L45" s="5"/>
      <c r="M45" s="5"/>
      <c r="N45" s="5"/>
      <c r="O45" s="5"/>
      <c r="P45" s="130"/>
      <c r="Q45" s="134">
        <f>Q42+1</f>
        <v>13</v>
      </c>
      <c r="R45" s="134" t="str">
        <f>IF(Q45&gt;$H$24,"",COUNTIF(A:A,"&lt;="&amp;S46))</f>
        <v/>
      </c>
      <c r="S45" s="133">
        <f>IF(Q45&gt;$H$24,S44,S43)</f>
        <v>1428.0000000000005</v>
      </c>
      <c r="T45" s="130">
        <f>IF(Q45&gt;$H$24,T44,T46)</f>
        <v>0</v>
      </c>
    </row>
    <row r="46" spans="1:20">
      <c r="A46" s="4"/>
      <c r="B46" s="5"/>
      <c r="C46" s="5"/>
      <c r="D46" s="5"/>
      <c r="E46" s="5"/>
      <c r="F46" s="5"/>
      <c r="G46" s="5"/>
      <c r="H46" s="5"/>
      <c r="I46" s="5"/>
      <c r="J46" s="5"/>
      <c r="K46" s="5"/>
      <c r="L46" s="5"/>
      <c r="M46" s="5"/>
      <c r="N46" s="5"/>
      <c r="O46" s="5"/>
      <c r="P46" s="130"/>
      <c r="Q46" s="134"/>
      <c r="R46" s="134"/>
      <c r="S46" s="133">
        <f>IF(Q45&gt;$H$24,S45,S45+$Q$6)</f>
        <v>1428.0000000000005</v>
      </c>
      <c r="T46" s="130">
        <f>IF(Q45&gt;$H$24,T45,R45-R42)</f>
        <v>0</v>
      </c>
    </row>
    <row r="47" spans="1:20">
      <c r="A47" s="4"/>
      <c r="B47" s="5"/>
      <c r="C47" s="5"/>
      <c r="D47" s="5"/>
      <c r="E47" s="5"/>
      <c r="F47" s="5"/>
      <c r="G47" s="5"/>
      <c r="H47" s="5"/>
      <c r="I47" s="5"/>
      <c r="J47" s="5"/>
      <c r="K47" s="5"/>
      <c r="L47" s="5"/>
      <c r="M47" s="5"/>
      <c r="N47" s="5"/>
      <c r="O47" s="5"/>
      <c r="P47" s="130"/>
      <c r="Q47" s="134"/>
      <c r="R47" s="134"/>
      <c r="S47" s="133">
        <f>IF(Q45&gt;$H$24,S46,S46)</f>
        <v>1428.0000000000005</v>
      </c>
      <c r="T47" s="130">
        <f>IF(Q45&gt;$H$24,T46,0)</f>
        <v>0</v>
      </c>
    </row>
    <row r="48" spans="1:20">
      <c r="A48" s="4"/>
      <c r="B48" s="5"/>
      <c r="C48" s="5"/>
      <c r="D48" s="5"/>
      <c r="E48" s="5"/>
      <c r="F48" s="5"/>
      <c r="G48" s="5"/>
      <c r="H48" s="5"/>
      <c r="I48" s="5"/>
      <c r="J48" s="5"/>
      <c r="K48" s="5"/>
      <c r="L48" s="5"/>
      <c r="M48" s="5"/>
      <c r="N48" s="5"/>
      <c r="O48" s="5"/>
      <c r="P48" s="130"/>
      <c r="Q48" s="134">
        <f>Q45+1</f>
        <v>14</v>
      </c>
      <c r="R48" s="134" t="str">
        <f>IF(Q48&gt;$H$24,"",COUNTIF(A:A,"&lt;="&amp;S49))</f>
        <v/>
      </c>
      <c r="S48" s="133">
        <f>IF(Q48&gt;$H$24,S47,S46)</f>
        <v>1428.0000000000005</v>
      </c>
      <c r="T48" s="130">
        <f>IF(Q48&gt;$H$24,T47,T49)</f>
        <v>0</v>
      </c>
    </row>
    <row r="49" spans="1:20">
      <c r="A49" s="4"/>
      <c r="B49" s="5"/>
      <c r="C49" s="5"/>
      <c r="D49" s="5"/>
      <c r="E49" s="5"/>
      <c r="F49" s="5"/>
      <c r="G49" s="5"/>
      <c r="H49" s="5"/>
      <c r="I49" s="5"/>
      <c r="J49" s="5"/>
      <c r="K49" s="5"/>
      <c r="L49" s="5"/>
      <c r="M49" s="5"/>
      <c r="N49" s="5"/>
      <c r="O49" s="5"/>
      <c r="P49" s="130"/>
      <c r="Q49" s="134"/>
      <c r="R49" s="134"/>
      <c r="S49" s="133">
        <f>IF(Q48&gt;$H$24,S48,S48+$Q$6)</f>
        <v>1428.0000000000005</v>
      </c>
      <c r="T49" s="130">
        <f>IF(Q48&gt;$H$24,T48,R48-R45)</f>
        <v>0</v>
      </c>
    </row>
    <row r="50" spans="1:20">
      <c r="A50" s="4"/>
      <c r="B50" s="5"/>
      <c r="C50" s="5"/>
      <c r="D50" s="5"/>
      <c r="E50" s="5"/>
      <c r="F50" s="5"/>
      <c r="G50" s="5"/>
      <c r="H50" s="5"/>
      <c r="I50" s="5"/>
      <c r="J50" s="5"/>
      <c r="K50" s="5"/>
      <c r="L50" s="5"/>
      <c r="M50" s="5"/>
      <c r="N50" s="5"/>
      <c r="O50" s="5"/>
      <c r="P50" s="130"/>
      <c r="Q50" s="134"/>
      <c r="R50" s="134"/>
      <c r="S50" s="133">
        <f>IF(Q48&gt;$H$24,S49,S49)</f>
        <v>1428.0000000000005</v>
      </c>
      <c r="T50" s="130">
        <f>IF(Q48&gt;$H$24,T49,0)</f>
        <v>0</v>
      </c>
    </row>
    <row r="51" spans="1:20">
      <c r="A51" s="4"/>
      <c r="B51" s="5"/>
      <c r="C51" s="5"/>
      <c r="D51" s="5"/>
      <c r="E51" s="5"/>
      <c r="F51" s="5"/>
      <c r="G51" s="5"/>
      <c r="H51" s="5"/>
      <c r="I51" s="5"/>
      <c r="J51" s="5"/>
      <c r="K51" s="5"/>
      <c r="L51" s="5"/>
      <c r="M51" s="5"/>
      <c r="N51" s="5"/>
      <c r="O51" s="5"/>
      <c r="P51" s="130"/>
      <c r="Q51" s="134">
        <f>Q48+1</f>
        <v>15</v>
      </c>
      <c r="R51" s="134" t="str">
        <f>IF(Q51&gt;$H$24,"",COUNTIF(A:A,"&lt;="&amp;S52))</f>
        <v/>
      </c>
      <c r="S51" s="133">
        <f>IF(Q51&gt;$H$24,S50,S49)</f>
        <v>1428.0000000000005</v>
      </c>
      <c r="T51" s="130">
        <f>IF(Q51&gt;$H$24,T50,T52)</f>
        <v>0</v>
      </c>
    </row>
    <row r="52" spans="1:20">
      <c r="A52" s="4"/>
      <c r="B52" s="5"/>
      <c r="C52" s="5"/>
      <c r="D52" s="5"/>
      <c r="E52" s="5"/>
      <c r="F52" s="5"/>
      <c r="G52" s="5"/>
      <c r="H52" s="5"/>
      <c r="I52" s="5"/>
      <c r="J52" s="5"/>
      <c r="K52" s="5"/>
      <c r="L52" s="5"/>
      <c r="M52" s="5"/>
      <c r="N52" s="5"/>
      <c r="O52" s="5"/>
      <c r="P52" s="130"/>
      <c r="Q52" s="134"/>
      <c r="R52" s="134"/>
      <c r="S52" s="133">
        <f>IF(Q51&gt;$H$24,S51,S51+$Q$6)</f>
        <v>1428.0000000000005</v>
      </c>
      <c r="T52" s="130">
        <f>IF(Q51&gt;$H$24,T51,R51-R48)</f>
        <v>0</v>
      </c>
    </row>
    <row r="53" spans="1:20">
      <c r="A53" s="4"/>
      <c r="B53" s="5"/>
      <c r="C53" s="5"/>
      <c r="D53" s="5"/>
      <c r="E53" s="5"/>
      <c r="F53" s="5"/>
      <c r="G53" s="5"/>
      <c r="H53" s="5"/>
      <c r="I53" s="5"/>
      <c r="J53" s="5"/>
      <c r="K53" s="5"/>
      <c r="L53" s="5"/>
      <c r="M53" s="5"/>
      <c r="N53" s="5"/>
      <c r="O53" s="5"/>
      <c r="P53" s="130"/>
      <c r="Q53" s="134"/>
      <c r="R53" s="134"/>
      <c r="S53" s="133">
        <f>IF(Q51&gt;$H$24,S52,S52)</f>
        <v>1428.0000000000005</v>
      </c>
      <c r="T53" s="130">
        <f>IF(Q51&gt;$H$24,T52,0)</f>
        <v>0</v>
      </c>
    </row>
    <row r="54" spans="1:20">
      <c r="A54" s="4"/>
      <c r="B54" s="5"/>
      <c r="C54" s="5"/>
      <c r="D54" s="5"/>
      <c r="E54" s="5"/>
      <c r="F54" s="5"/>
      <c r="G54" s="5"/>
      <c r="H54" s="5"/>
      <c r="I54" s="5"/>
      <c r="J54" s="5"/>
      <c r="K54" s="5"/>
      <c r="L54" s="5"/>
      <c r="M54" s="5"/>
      <c r="N54" s="5"/>
      <c r="O54" s="5"/>
      <c r="P54" s="130"/>
      <c r="Q54" s="134"/>
      <c r="R54" s="134"/>
      <c r="S54" s="133"/>
      <c r="T54" s="130"/>
    </row>
    <row r="55" spans="1:20">
      <c r="A55" s="4"/>
      <c r="B55" s="5"/>
      <c r="C55" s="5"/>
      <c r="D55" s="5"/>
      <c r="E55" s="5"/>
      <c r="F55" s="5"/>
      <c r="G55" s="5"/>
      <c r="H55" s="5"/>
      <c r="I55" s="5"/>
      <c r="J55" s="5"/>
      <c r="K55" s="5"/>
      <c r="L55" s="5"/>
      <c r="M55" s="5"/>
      <c r="N55" s="5"/>
      <c r="O55" s="5"/>
      <c r="P55" s="130"/>
      <c r="Q55" s="134"/>
      <c r="R55" s="134"/>
      <c r="S55" s="133"/>
      <c r="T55" s="130"/>
    </row>
    <row r="56" spans="1:20">
      <c r="A56" s="4"/>
      <c r="B56" s="5"/>
      <c r="C56" s="5"/>
      <c r="D56" s="5"/>
      <c r="E56" s="5"/>
      <c r="F56" s="5"/>
      <c r="G56" s="5"/>
      <c r="H56" s="5"/>
      <c r="I56" s="5"/>
      <c r="J56" s="5"/>
      <c r="K56" s="5"/>
      <c r="L56" s="5"/>
      <c r="M56" s="5"/>
      <c r="N56" s="5"/>
      <c r="O56" s="5"/>
      <c r="P56" s="130"/>
      <c r="Q56" s="134"/>
      <c r="R56" s="134"/>
      <c r="S56" s="133"/>
      <c r="T56" s="130"/>
    </row>
    <row r="57" spans="1:20">
      <c r="A57" s="4"/>
      <c r="B57" s="5"/>
      <c r="C57" s="5"/>
      <c r="D57" s="5"/>
      <c r="E57" s="5"/>
      <c r="F57" s="5"/>
      <c r="G57" s="5"/>
      <c r="H57" s="5"/>
      <c r="I57" s="5"/>
      <c r="J57" s="5"/>
      <c r="K57" s="5"/>
      <c r="L57" s="5"/>
      <c r="M57" s="5"/>
      <c r="N57" s="5"/>
      <c r="O57" s="5"/>
      <c r="P57" s="130"/>
      <c r="Q57" s="134"/>
      <c r="R57" s="134"/>
      <c r="S57" s="133"/>
      <c r="T57" s="130"/>
    </row>
    <row r="58" spans="1:20">
      <c r="A58" s="4"/>
      <c r="B58" s="5"/>
      <c r="C58" s="5"/>
      <c r="D58" s="5"/>
      <c r="E58" s="5"/>
      <c r="F58" s="5"/>
      <c r="G58" s="5"/>
      <c r="H58" s="5"/>
      <c r="I58" s="5"/>
      <c r="J58" s="5"/>
      <c r="K58" s="5"/>
      <c r="L58" s="5"/>
      <c r="M58" s="5"/>
      <c r="N58" s="5"/>
      <c r="O58" s="5"/>
      <c r="P58" s="130"/>
      <c r="Q58" s="134"/>
      <c r="R58" s="134"/>
      <c r="S58" s="133"/>
      <c r="T58" s="130"/>
    </row>
    <row r="59" spans="1:20">
      <c r="A59" s="4"/>
      <c r="B59" s="5"/>
      <c r="C59" s="5"/>
      <c r="D59" s="5"/>
      <c r="E59" s="5"/>
      <c r="F59" s="5"/>
      <c r="G59" s="5"/>
      <c r="H59" s="5"/>
      <c r="I59" s="5"/>
      <c r="J59" s="5"/>
      <c r="K59" s="5"/>
      <c r="L59" s="5"/>
      <c r="M59" s="5"/>
      <c r="N59" s="5"/>
      <c r="O59" s="5"/>
      <c r="P59" s="130"/>
      <c r="Q59" s="134"/>
      <c r="R59" s="134"/>
      <c r="S59" s="133"/>
      <c r="T59" s="130"/>
    </row>
    <row r="60" spans="1:20">
      <c r="A60" s="4"/>
      <c r="B60" s="5"/>
      <c r="C60" s="5"/>
      <c r="D60" s="5"/>
      <c r="E60" s="5"/>
      <c r="F60" s="5"/>
      <c r="G60" s="5"/>
      <c r="H60" s="5"/>
      <c r="I60" s="5"/>
      <c r="J60" s="5"/>
      <c r="K60" s="5"/>
      <c r="L60" s="5"/>
      <c r="M60" s="5"/>
      <c r="N60" s="5"/>
      <c r="O60" s="5"/>
      <c r="P60" s="130"/>
      <c r="Q60" s="134"/>
      <c r="R60" s="134"/>
      <c r="S60" s="133"/>
      <c r="T60" s="130"/>
    </row>
    <row r="61" spans="1:20">
      <c r="A61" s="4"/>
      <c r="B61" s="5"/>
      <c r="C61" s="5"/>
      <c r="D61" s="5"/>
      <c r="E61" s="5"/>
      <c r="F61" s="5"/>
      <c r="G61" s="5"/>
      <c r="H61" s="5"/>
      <c r="I61" s="5"/>
      <c r="J61" s="5"/>
      <c r="K61" s="5"/>
      <c r="L61" s="5"/>
      <c r="M61" s="5"/>
      <c r="N61" s="5"/>
      <c r="O61" s="5"/>
      <c r="P61" s="130"/>
      <c r="Q61" s="134"/>
      <c r="R61" s="134"/>
      <c r="S61" s="133"/>
      <c r="T61" s="130"/>
    </row>
    <row r="62" spans="1:20">
      <c r="A62" s="4"/>
      <c r="B62" s="5"/>
      <c r="C62" s="5"/>
      <c r="D62" s="5"/>
      <c r="E62" s="5"/>
      <c r="F62" s="5"/>
      <c r="G62" s="5"/>
      <c r="H62" s="5"/>
      <c r="I62" s="5"/>
      <c r="J62" s="5"/>
      <c r="K62" s="5"/>
      <c r="L62" s="5"/>
      <c r="M62" s="5"/>
      <c r="N62" s="5"/>
      <c r="O62" s="5"/>
      <c r="P62" s="130"/>
      <c r="Q62" s="134"/>
      <c r="R62" s="134"/>
      <c r="S62" s="133"/>
      <c r="T62" s="130"/>
    </row>
    <row r="63" spans="1:20">
      <c r="A63" s="4"/>
      <c r="B63" s="5"/>
      <c r="C63" s="5"/>
      <c r="D63" s="5"/>
      <c r="E63" s="5"/>
      <c r="F63" s="5"/>
      <c r="G63" s="5"/>
      <c r="H63" s="5"/>
      <c r="I63" s="5"/>
      <c r="J63" s="5"/>
      <c r="K63" s="5"/>
      <c r="L63" s="5"/>
      <c r="M63" s="5"/>
      <c r="N63" s="5"/>
      <c r="O63" s="5"/>
      <c r="P63" s="130"/>
      <c r="Q63" s="134"/>
      <c r="R63" s="134"/>
      <c r="S63" s="133"/>
      <c r="T63" s="130"/>
    </row>
    <row r="64" spans="1:20">
      <c r="A64" s="4"/>
      <c r="B64" s="5"/>
      <c r="C64" s="5"/>
      <c r="D64" s="5"/>
      <c r="E64" s="5"/>
      <c r="F64" s="5"/>
      <c r="G64" s="5"/>
      <c r="H64" s="5"/>
      <c r="I64" s="5"/>
      <c r="J64" s="5"/>
      <c r="K64" s="5"/>
      <c r="L64" s="5"/>
      <c r="M64" s="5"/>
      <c r="N64" s="5"/>
      <c r="O64" s="5"/>
      <c r="P64" s="130"/>
      <c r="Q64" s="134"/>
      <c r="R64" s="134"/>
      <c r="S64" s="133"/>
      <c r="T64" s="130"/>
    </row>
    <row r="65" spans="1:20">
      <c r="A65" s="4"/>
      <c r="B65" s="5"/>
      <c r="C65" s="5"/>
      <c r="D65" s="5"/>
      <c r="E65" s="5"/>
      <c r="F65" s="5"/>
      <c r="G65" s="5"/>
      <c r="H65" s="5"/>
      <c r="I65" s="5"/>
      <c r="J65" s="5"/>
      <c r="K65" s="5"/>
      <c r="L65" s="5"/>
      <c r="M65" s="5"/>
      <c r="N65" s="5"/>
      <c r="O65" s="5"/>
      <c r="P65" s="130"/>
      <c r="Q65" s="134"/>
      <c r="R65" s="134"/>
      <c r="S65" s="133"/>
      <c r="T65" s="130"/>
    </row>
    <row r="66" spans="1:20">
      <c r="A66" s="4"/>
      <c r="B66" s="5"/>
      <c r="C66" s="5"/>
      <c r="D66" s="5"/>
      <c r="E66" s="5"/>
      <c r="F66" s="5"/>
      <c r="G66" s="5"/>
      <c r="H66" s="5"/>
      <c r="I66" s="5"/>
      <c r="J66" s="5"/>
      <c r="K66" s="5"/>
      <c r="L66" s="5"/>
      <c r="M66" s="5"/>
      <c r="N66" s="5"/>
      <c r="O66" s="5"/>
      <c r="P66" s="130"/>
      <c r="Q66" s="134"/>
      <c r="R66" s="134"/>
      <c r="S66" s="133"/>
      <c r="T66" s="130"/>
    </row>
    <row r="67" spans="1:20">
      <c r="A67" s="4"/>
      <c r="B67" s="5"/>
      <c r="C67" s="5"/>
      <c r="D67" s="5"/>
      <c r="E67" s="5"/>
      <c r="F67" s="5"/>
      <c r="G67" s="5"/>
      <c r="H67" s="5"/>
      <c r="I67" s="5"/>
      <c r="J67" s="5"/>
      <c r="K67" s="5"/>
      <c r="L67" s="5"/>
      <c r="M67" s="5"/>
      <c r="N67" s="5"/>
      <c r="O67" s="5"/>
      <c r="P67" s="130"/>
      <c r="Q67" s="134"/>
      <c r="R67" s="134"/>
      <c r="S67" s="133"/>
      <c r="T67" s="130"/>
    </row>
    <row r="68" spans="1:20">
      <c r="A68" s="4"/>
      <c r="B68" s="5"/>
      <c r="C68" s="5"/>
      <c r="D68" s="5"/>
      <c r="E68" s="5"/>
      <c r="F68" s="5"/>
      <c r="G68" s="5"/>
      <c r="H68" s="5"/>
      <c r="I68" s="5"/>
      <c r="J68" s="5"/>
      <c r="K68" s="5"/>
      <c r="L68" s="5"/>
      <c r="M68" s="5"/>
      <c r="N68" s="5"/>
      <c r="O68" s="5"/>
      <c r="P68" s="130"/>
      <c r="Q68" s="134"/>
      <c r="R68" s="134"/>
      <c r="S68" s="133"/>
      <c r="T68" s="130"/>
    </row>
    <row r="69" spans="1:20">
      <c r="A69" s="4"/>
      <c r="B69" s="5"/>
      <c r="C69" s="5"/>
      <c r="D69" s="5"/>
      <c r="E69" s="5"/>
      <c r="F69" s="5"/>
      <c r="G69" s="5"/>
      <c r="H69" s="5"/>
      <c r="I69" s="5"/>
      <c r="J69" s="5"/>
      <c r="K69" s="5"/>
      <c r="L69" s="5"/>
      <c r="M69" s="5"/>
      <c r="N69" s="5"/>
      <c r="O69" s="5"/>
      <c r="P69" s="130"/>
      <c r="Q69" s="134"/>
      <c r="R69" s="134"/>
      <c r="S69" s="133"/>
      <c r="T69" s="130"/>
    </row>
    <row r="70" spans="1:20">
      <c r="A70" s="4"/>
      <c r="B70" s="5"/>
      <c r="C70" s="5"/>
      <c r="D70" s="5"/>
      <c r="E70" s="5"/>
      <c r="F70" s="5"/>
      <c r="G70" s="5"/>
      <c r="H70" s="5"/>
      <c r="I70" s="5"/>
      <c r="J70" s="5"/>
      <c r="K70" s="5"/>
      <c r="L70" s="5"/>
      <c r="M70" s="5"/>
      <c r="N70" s="5"/>
      <c r="O70" s="5"/>
      <c r="P70" s="130"/>
      <c r="Q70" s="134"/>
      <c r="R70" s="134"/>
      <c r="S70" s="133"/>
      <c r="T70" s="130"/>
    </row>
    <row r="71" spans="1:20">
      <c r="A71" s="4"/>
      <c r="B71" s="5"/>
      <c r="C71" s="5"/>
      <c r="D71" s="5"/>
      <c r="E71" s="5"/>
      <c r="F71" s="5"/>
      <c r="G71" s="5"/>
      <c r="H71" s="5"/>
      <c r="I71" s="5"/>
      <c r="J71" s="5"/>
      <c r="K71" s="5"/>
      <c r="L71" s="5"/>
      <c r="M71" s="5"/>
      <c r="N71" s="5"/>
      <c r="O71" s="5"/>
      <c r="P71" s="130"/>
      <c r="Q71" s="134"/>
      <c r="R71" s="134"/>
      <c r="S71" s="133"/>
      <c r="T71" s="130"/>
    </row>
    <row r="72" spans="1:20">
      <c r="A72" s="4"/>
      <c r="B72" s="5"/>
      <c r="C72" s="5"/>
      <c r="D72" s="5"/>
      <c r="E72" s="5"/>
      <c r="F72" s="5"/>
      <c r="G72" s="5"/>
      <c r="H72" s="5"/>
      <c r="I72" s="5"/>
      <c r="J72" s="5"/>
      <c r="K72" s="5"/>
      <c r="L72" s="5"/>
      <c r="M72" s="5"/>
      <c r="N72" s="5"/>
      <c r="O72" s="5"/>
      <c r="P72" s="130"/>
      <c r="Q72" s="134"/>
      <c r="R72" s="134"/>
      <c r="S72" s="133"/>
      <c r="T72" s="130"/>
    </row>
    <row r="73" spans="1:20">
      <c r="A73" s="4"/>
      <c r="B73" s="5"/>
      <c r="C73" s="5"/>
      <c r="D73" s="5"/>
      <c r="E73" s="5"/>
      <c r="F73" s="5"/>
      <c r="G73" s="5"/>
      <c r="H73" s="5"/>
      <c r="I73" s="5"/>
      <c r="J73" s="5"/>
      <c r="K73" s="5"/>
      <c r="L73" s="5"/>
      <c r="M73" s="5"/>
      <c r="N73" s="5"/>
      <c r="O73" s="5"/>
      <c r="P73" s="130"/>
      <c r="Q73" s="134"/>
      <c r="R73" s="134"/>
      <c r="S73" s="133"/>
      <c r="T73" s="130"/>
    </row>
    <row r="74" spans="1:20">
      <c r="A74" s="4"/>
      <c r="B74" s="5"/>
      <c r="C74" s="5"/>
      <c r="D74" s="5"/>
      <c r="E74" s="5"/>
      <c r="F74" s="5"/>
      <c r="G74" s="5"/>
      <c r="H74" s="5"/>
      <c r="I74" s="5"/>
      <c r="J74" s="5"/>
      <c r="K74" s="5"/>
      <c r="L74" s="5"/>
      <c r="M74" s="5"/>
      <c r="N74" s="5"/>
      <c r="O74" s="5"/>
      <c r="P74" s="130"/>
      <c r="Q74" s="134"/>
      <c r="R74" s="134"/>
      <c r="S74" s="133"/>
      <c r="T74" s="130"/>
    </row>
    <row r="75" spans="1:20">
      <c r="A75" s="4"/>
      <c r="B75" s="5"/>
      <c r="C75" s="5"/>
      <c r="D75" s="5"/>
      <c r="E75" s="5"/>
      <c r="F75" s="5"/>
      <c r="G75" s="5"/>
      <c r="H75" s="5"/>
      <c r="I75" s="5"/>
      <c r="J75" s="5"/>
      <c r="K75" s="5"/>
      <c r="L75" s="5"/>
      <c r="M75" s="5"/>
      <c r="N75" s="5"/>
      <c r="O75" s="5"/>
      <c r="P75" s="130"/>
      <c r="Q75" s="134"/>
      <c r="R75" s="134"/>
      <c r="S75" s="133"/>
      <c r="T75" s="130"/>
    </row>
    <row r="76" spans="1:20">
      <c r="A76" s="4"/>
      <c r="B76" s="5"/>
      <c r="C76" s="5"/>
      <c r="D76" s="5"/>
      <c r="E76" s="5"/>
      <c r="F76" s="5"/>
      <c r="G76" s="5"/>
      <c r="H76" s="5"/>
      <c r="I76" s="5"/>
      <c r="J76" s="5"/>
      <c r="K76" s="5"/>
      <c r="L76" s="5"/>
      <c r="M76" s="5"/>
      <c r="N76" s="5"/>
      <c r="O76" s="5"/>
      <c r="P76" s="130"/>
      <c r="Q76" s="134"/>
      <c r="R76" s="134"/>
      <c r="S76" s="133"/>
      <c r="T76" s="130"/>
    </row>
    <row r="77" spans="1:20">
      <c r="A77" s="4"/>
      <c r="B77" s="5"/>
      <c r="C77" s="5"/>
      <c r="D77" s="5"/>
      <c r="E77" s="5"/>
      <c r="F77" s="5"/>
      <c r="G77" s="5"/>
      <c r="H77" s="5"/>
      <c r="I77" s="5"/>
      <c r="J77" s="5"/>
      <c r="K77" s="5"/>
      <c r="L77" s="5"/>
      <c r="M77" s="5"/>
      <c r="N77" s="5"/>
      <c r="O77" s="5"/>
      <c r="P77" s="130"/>
      <c r="Q77" s="134"/>
      <c r="R77" s="134"/>
      <c r="S77" s="133"/>
      <c r="T77" s="130"/>
    </row>
    <row r="78" spans="1:20">
      <c r="A78" s="4"/>
      <c r="B78" s="5"/>
      <c r="C78" s="5"/>
      <c r="D78" s="5"/>
      <c r="E78" s="5"/>
      <c r="F78" s="5"/>
      <c r="G78" s="5"/>
      <c r="H78" s="5"/>
      <c r="I78" s="5"/>
      <c r="J78" s="5"/>
      <c r="K78" s="5"/>
      <c r="L78" s="5"/>
      <c r="M78" s="5"/>
      <c r="N78" s="5"/>
      <c r="O78" s="5"/>
      <c r="P78" s="130"/>
      <c r="Q78" s="134"/>
      <c r="R78" s="134"/>
      <c r="S78" s="133"/>
      <c r="T78" s="130"/>
    </row>
    <row r="79" spans="1:20">
      <c r="A79" s="4"/>
      <c r="B79" s="5"/>
      <c r="C79" s="5"/>
      <c r="D79" s="5"/>
      <c r="E79" s="5"/>
      <c r="F79" s="5"/>
      <c r="G79" s="5"/>
      <c r="H79" s="5"/>
      <c r="I79" s="5"/>
      <c r="J79" s="5"/>
      <c r="K79" s="5"/>
      <c r="L79" s="5"/>
      <c r="M79" s="5"/>
      <c r="N79" s="5"/>
      <c r="O79" s="5"/>
      <c r="P79" s="130"/>
      <c r="Q79" s="134"/>
      <c r="R79" s="134"/>
      <c r="S79" s="133"/>
      <c r="T79" s="130"/>
    </row>
    <row r="80" spans="1:20">
      <c r="A80" s="4"/>
      <c r="B80" s="5"/>
      <c r="C80" s="5"/>
      <c r="D80" s="5"/>
      <c r="E80" s="5"/>
      <c r="F80" s="5"/>
      <c r="G80" s="5"/>
      <c r="H80" s="5"/>
      <c r="I80" s="5"/>
      <c r="J80" s="5"/>
      <c r="K80" s="5"/>
      <c r="L80" s="5"/>
      <c r="M80" s="5"/>
      <c r="N80" s="5"/>
      <c r="O80" s="5"/>
      <c r="P80" s="130"/>
      <c r="Q80" s="134"/>
      <c r="R80" s="134"/>
      <c r="S80" s="133"/>
      <c r="T80" s="130"/>
    </row>
    <row r="81" spans="1:20">
      <c r="A81" s="4"/>
      <c r="B81" s="5"/>
      <c r="C81" s="5"/>
      <c r="D81" s="5"/>
      <c r="E81" s="5"/>
      <c r="F81" s="5"/>
      <c r="G81" s="5"/>
      <c r="H81" s="5"/>
      <c r="I81" s="5"/>
      <c r="J81" s="5"/>
      <c r="K81" s="5"/>
      <c r="L81" s="5"/>
      <c r="M81" s="5"/>
      <c r="N81" s="5"/>
      <c r="O81" s="5"/>
      <c r="P81" s="130"/>
      <c r="Q81" s="134"/>
      <c r="R81" s="134"/>
      <c r="S81" s="133"/>
      <c r="T81" s="130"/>
    </row>
    <row r="82" spans="1:20">
      <c r="A82" s="4"/>
      <c r="B82" s="5"/>
      <c r="C82" s="5"/>
      <c r="D82" s="5"/>
      <c r="E82" s="5"/>
      <c r="F82" s="5"/>
      <c r="G82" s="5"/>
      <c r="H82" s="5"/>
      <c r="I82" s="5"/>
      <c r="J82" s="5"/>
      <c r="K82" s="5"/>
      <c r="L82" s="5"/>
      <c r="M82" s="5"/>
      <c r="N82" s="5"/>
      <c r="O82" s="5"/>
      <c r="P82" s="130"/>
      <c r="Q82" s="134"/>
      <c r="R82" s="134"/>
      <c r="S82" s="133"/>
      <c r="T82" s="130"/>
    </row>
    <row r="83" spans="1:20">
      <c r="A83" s="4"/>
      <c r="B83" s="5"/>
      <c r="C83" s="5"/>
      <c r="D83" s="5"/>
      <c r="E83" s="5"/>
      <c r="F83" s="5"/>
      <c r="G83" s="5"/>
      <c r="H83" s="5"/>
      <c r="I83" s="5"/>
      <c r="J83" s="5"/>
      <c r="K83" s="5"/>
      <c r="L83" s="5"/>
      <c r="M83" s="5"/>
      <c r="N83" s="5"/>
      <c r="O83" s="5"/>
      <c r="P83" s="130"/>
      <c r="Q83" s="134"/>
      <c r="R83" s="134"/>
      <c r="S83" s="133"/>
      <c r="T83" s="130"/>
    </row>
    <row r="84" spans="1:20">
      <c r="A84" s="4"/>
      <c r="B84" s="5"/>
      <c r="C84" s="5"/>
      <c r="D84" s="5"/>
      <c r="E84" s="5"/>
      <c r="F84" s="5"/>
      <c r="G84" s="5"/>
      <c r="H84" s="5"/>
      <c r="I84" s="5"/>
      <c r="J84" s="5"/>
      <c r="K84" s="5"/>
      <c r="L84" s="5"/>
      <c r="M84" s="5"/>
      <c r="N84" s="5"/>
      <c r="O84" s="5"/>
      <c r="P84" s="130"/>
      <c r="Q84" s="134"/>
      <c r="R84" s="134"/>
      <c r="S84" s="133"/>
      <c r="T84" s="130"/>
    </row>
    <row r="85" spans="1:20">
      <c r="A85" s="4"/>
      <c r="B85" s="5"/>
      <c r="C85" s="5"/>
      <c r="D85" s="5"/>
      <c r="E85" s="5"/>
      <c r="F85" s="5"/>
      <c r="G85" s="5"/>
      <c r="H85" s="5"/>
      <c r="I85" s="5"/>
      <c r="J85" s="5"/>
      <c r="K85" s="5"/>
      <c r="L85" s="5"/>
      <c r="M85" s="5"/>
      <c r="N85" s="5"/>
      <c r="O85" s="5"/>
      <c r="P85" s="130"/>
      <c r="Q85" s="134"/>
      <c r="R85" s="134"/>
      <c r="S85" s="133"/>
      <c r="T85" s="130"/>
    </row>
    <row r="86" spans="1:20">
      <c r="A86" s="4"/>
      <c r="B86" s="5"/>
      <c r="C86" s="5"/>
      <c r="D86" s="5"/>
      <c r="E86" s="5"/>
      <c r="F86" s="5"/>
      <c r="G86" s="5"/>
      <c r="H86" s="5"/>
      <c r="I86" s="5"/>
      <c r="J86" s="5"/>
      <c r="K86" s="5"/>
      <c r="L86" s="5"/>
      <c r="M86" s="5"/>
      <c r="N86" s="5"/>
      <c r="O86" s="5"/>
      <c r="P86" s="130"/>
      <c r="Q86" s="134"/>
      <c r="R86" s="134"/>
      <c r="S86" s="133"/>
      <c r="T86" s="130"/>
    </row>
    <row r="87" spans="1:20">
      <c r="A87" s="4"/>
      <c r="B87" s="5"/>
      <c r="C87" s="5"/>
      <c r="D87" s="5"/>
      <c r="E87" s="5"/>
      <c r="F87" s="5"/>
      <c r="G87" s="5"/>
      <c r="H87" s="5"/>
      <c r="I87" s="5"/>
      <c r="J87" s="5"/>
      <c r="K87" s="5"/>
      <c r="L87" s="5"/>
      <c r="M87" s="5"/>
      <c r="N87" s="5"/>
      <c r="O87" s="5"/>
      <c r="P87" s="130"/>
      <c r="Q87" s="134"/>
      <c r="R87" s="134"/>
      <c r="S87" s="133"/>
      <c r="T87" s="130"/>
    </row>
    <row r="88" spans="1:20">
      <c r="A88" s="4"/>
      <c r="B88" s="5"/>
      <c r="C88" s="5"/>
      <c r="D88" s="5"/>
      <c r="E88" s="5"/>
      <c r="F88" s="5"/>
      <c r="G88" s="5"/>
      <c r="H88" s="5"/>
      <c r="I88" s="5"/>
      <c r="J88" s="5"/>
      <c r="K88" s="5"/>
      <c r="L88" s="5"/>
      <c r="M88" s="5"/>
      <c r="N88" s="5"/>
      <c r="O88" s="5"/>
      <c r="P88" s="130"/>
      <c r="Q88" s="134"/>
      <c r="R88" s="134"/>
      <c r="S88" s="133"/>
      <c r="T88" s="130"/>
    </row>
    <row r="89" spans="1:20">
      <c r="A89" s="4"/>
      <c r="B89" s="5"/>
      <c r="C89" s="5"/>
      <c r="D89" s="5"/>
      <c r="E89" s="5"/>
      <c r="F89" s="5"/>
      <c r="G89" s="5"/>
      <c r="H89" s="5"/>
      <c r="I89" s="5"/>
      <c r="J89" s="5"/>
      <c r="K89" s="5"/>
      <c r="L89" s="5"/>
      <c r="M89" s="5"/>
      <c r="N89" s="5"/>
      <c r="O89" s="5"/>
      <c r="P89" s="130"/>
      <c r="Q89" s="134"/>
      <c r="R89" s="134"/>
      <c r="S89" s="133"/>
      <c r="T89" s="130"/>
    </row>
    <row r="90" spans="1:20">
      <c r="A90" s="4"/>
      <c r="B90" s="5"/>
      <c r="C90" s="5"/>
      <c r="D90" s="5"/>
      <c r="E90" s="5"/>
      <c r="F90" s="5"/>
      <c r="G90" s="5"/>
      <c r="H90" s="5"/>
      <c r="I90" s="5"/>
      <c r="J90" s="5"/>
      <c r="K90" s="5"/>
      <c r="L90" s="5"/>
      <c r="M90" s="5"/>
      <c r="N90" s="5"/>
      <c r="O90" s="5"/>
      <c r="P90" s="130"/>
      <c r="Q90" s="134"/>
      <c r="R90" s="134"/>
      <c r="S90" s="133"/>
      <c r="T90" s="130"/>
    </row>
    <row r="91" spans="1:20">
      <c r="A91" s="4"/>
      <c r="B91" s="5"/>
      <c r="C91" s="5"/>
      <c r="D91" s="5"/>
      <c r="E91" s="5"/>
      <c r="F91" s="5"/>
      <c r="G91" s="5"/>
      <c r="H91" s="5"/>
      <c r="I91" s="5"/>
      <c r="J91" s="5"/>
      <c r="K91" s="5"/>
      <c r="L91" s="5"/>
      <c r="M91" s="5"/>
      <c r="N91" s="5"/>
      <c r="O91" s="5"/>
      <c r="P91" s="130"/>
      <c r="Q91" s="134"/>
      <c r="R91" s="134"/>
      <c r="S91" s="133"/>
      <c r="T91" s="130"/>
    </row>
    <row r="92" spans="1:20">
      <c r="A92" s="4"/>
      <c r="B92" s="5"/>
      <c r="C92" s="5"/>
      <c r="D92" s="5"/>
      <c r="E92" s="5"/>
      <c r="F92" s="5"/>
      <c r="G92" s="5"/>
      <c r="H92" s="5"/>
      <c r="I92" s="5"/>
      <c r="J92" s="5"/>
      <c r="K92" s="5"/>
      <c r="L92" s="5"/>
      <c r="M92" s="5"/>
      <c r="N92" s="5"/>
      <c r="O92" s="5"/>
      <c r="P92" s="130"/>
      <c r="Q92" s="134"/>
      <c r="R92" s="134"/>
      <c r="S92" s="133"/>
      <c r="T92" s="130"/>
    </row>
    <row r="93" spans="1:20">
      <c r="A93" s="4"/>
      <c r="B93" s="5"/>
      <c r="C93" s="5"/>
      <c r="D93" s="5"/>
      <c r="E93" s="5"/>
      <c r="F93" s="5"/>
      <c r="G93" s="5"/>
      <c r="H93" s="5"/>
      <c r="I93" s="5"/>
      <c r="J93" s="5"/>
      <c r="K93" s="5"/>
      <c r="L93" s="5"/>
      <c r="M93" s="5"/>
      <c r="N93" s="5"/>
      <c r="O93" s="5"/>
      <c r="P93" s="130"/>
      <c r="Q93" s="134"/>
      <c r="R93" s="134"/>
      <c r="S93" s="133"/>
      <c r="T93" s="130"/>
    </row>
    <row r="94" spans="1:20">
      <c r="A94" s="4"/>
      <c r="B94" s="5"/>
      <c r="C94" s="5"/>
      <c r="D94" s="5"/>
      <c r="E94" s="5"/>
      <c r="F94" s="5"/>
      <c r="G94" s="5"/>
      <c r="H94" s="5"/>
      <c r="I94" s="5"/>
      <c r="J94" s="5"/>
      <c r="K94" s="5"/>
      <c r="L94" s="5"/>
      <c r="M94" s="5"/>
      <c r="N94" s="5"/>
      <c r="O94" s="5"/>
      <c r="P94" s="130"/>
      <c r="Q94" s="134"/>
      <c r="R94" s="134"/>
      <c r="S94" s="133"/>
      <c r="T94" s="130"/>
    </row>
    <row r="95" spans="1:20">
      <c r="A95" s="4"/>
      <c r="B95" s="5"/>
      <c r="C95" s="5"/>
      <c r="D95" s="5"/>
      <c r="E95" s="5"/>
      <c r="F95" s="5"/>
      <c r="G95" s="5"/>
      <c r="H95" s="5"/>
      <c r="I95" s="5"/>
      <c r="J95" s="5"/>
      <c r="K95" s="5"/>
      <c r="L95" s="5"/>
      <c r="M95" s="5"/>
      <c r="N95" s="5"/>
      <c r="O95" s="5"/>
      <c r="P95" s="130"/>
      <c r="Q95" s="134"/>
      <c r="R95" s="134"/>
      <c r="S95" s="133"/>
      <c r="T95" s="130"/>
    </row>
    <row r="96" spans="1:20">
      <c r="A96" s="4"/>
      <c r="B96" s="5"/>
      <c r="C96" s="5"/>
      <c r="D96" s="5"/>
      <c r="E96" s="5"/>
      <c r="F96" s="5"/>
      <c r="G96" s="5"/>
      <c r="H96" s="5"/>
      <c r="I96" s="5"/>
      <c r="J96" s="5"/>
      <c r="K96" s="5"/>
      <c r="L96" s="5"/>
      <c r="M96" s="5"/>
      <c r="N96" s="5"/>
      <c r="O96" s="5"/>
      <c r="P96" s="130"/>
      <c r="Q96" s="134"/>
      <c r="R96" s="134"/>
      <c r="S96" s="133"/>
      <c r="T96" s="130"/>
    </row>
    <row r="97" spans="1:20">
      <c r="A97" s="4"/>
      <c r="B97" s="5"/>
      <c r="C97" s="5"/>
      <c r="D97" s="5"/>
      <c r="E97" s="5"/>
      <c r="F97" s="5"/>
      <c r="G97" s="5"/>
      <c r="H97" s="5"/>
      <c r="I97" s="5"/>
      <c r="J97" s="5"/>
      <c r="K97" s="5"/>
      <c r="L97" s="5"/>
      <c r="M97" s="5"/>
      <c r="N97" s="5"/>
      <c r="O97" s="5"/>
      <c r="P97" s="130"/>
      <c r="Q97" s="134"/>
      <c r="R97" s="134"/>
      <c r="S97" s="133"/>
      <c r="T97" s="130"/>
    </row>
    <row r="98" spans="1:20">
      <c r="A98" s="4"/>
      <c r="B98" s="5"/>
      <c r="C98" s="5"/>
      <c r="D98" s="5"/>
      <c r="E98" s="5"/>
      <c r="F98" s="5"/>
      <c r="G98" s="5"/>
      <c r="H98" s="5"/>
      <c r="I98" s="5"/>
      <c r="J98" s="5"/>
      <c r="K98" s="5"/>
      <c r="L98" s="5"/>
      <c r="M98" s="5"/>
      <c r="N98" s="5"/>
      <c r="O98" s="5"/>
      <c r="P98" s="130"/>
      <c r="Q98" s="134"/>
      <c r="R98" s="134"/>
      <c r="S98" s="133"/>
      <c r="T98" s="130"/>
    </row>
    <row r="99" spans="1:20">
      <c r="A99" s="4"/>
      <c r="B99" s="5"/>
      <c r="C99" s="5"/>
      <c r="D99" s="5"/>
      <c r="E99" s="5"/>
      <c r="F99" s="5"/>
      <c r="G99" s="5"/>
      <c r="H99" s="5"/>
      <c r="I99" s="5"/>
      <c r="J99" s="5"/>
      <c r="K99" s="5"/>
      <c r="L99" s="5"/>
      <c r="M99" s="5"/>
      <c r="N99" s="5"/>
      <c r="O99" s="5"/>
      <c r="P99" s="130"/>
      <c r="Q99" s="134"/>
      <c r="R99" s="134"/>
      <c r="S99" s="133"/>
      <c r="T99" s="130"/>
    </row>
    <row r="100" spans="1:20">
      <c r="A100" s="4"/>
      <c r="B100" s="5"/>
      <c r="C100" s="5"/>
      <c r="D100" s="5"/>
      <c r="E100" s="5"/>
      <c r="F100" s="5"/>
      <c r="G100" s="5"/>
      <c r="H100" s="5"/>
      <c r="I100" s="5"/>
      <c r="J100" s="5"/>
      <c r="K100" s="5"/>
      <c r="L100" s="5"/>
      <c r="M100" s="5"/>
      <c r="N100" s="5"/>
      <c r="O100" s="5"/>
      <c r="P100" s="130"/>
      <c r="Q100" s="134"/>
      <c r="R100" s="134"/>
      <c r="S100" s="133"/>
      <c r="T100" s="130"/>
    </row>
    <row r="101" spans="1:20">
      <c r="A101" s="4"/>
      <c r="B101" s="5"/>
      <c r="C101" s="5"/>
      <c r="D101" s="5"/>
      <c r="E101" s="5"/>
      <c r="F101" s="5"/>
      <c r="G101" s="5"/>
      <c r="H101" s="5"/>
      <c r="I101" s="5"/>
      <c r="J101" s="5"/>
      <c r="K101" s="5"/>
      <c r="L101" s="5"/>
      <c r="M101" s="5"/>
      <c r="N101" s="5"/>
      <c r="O101" s="5"/>
      <c r="P101" s="130"/>
      <c r="Q101" s="134"/>
      <c r="R101" s="134"/>
      <c r="S101" s="133"/>
      <c r="T101" s="130"/>
    </row>
    <row r="102" spans="1:20">
      <c r="A102" s="4"/>
      <c r="B102" s="5"/>
      <c r="C102" s="5"/>
      <c r="D102" s="5"/>
      <c r="E102" s="5"/>
      <c r="F102" s="5"/>
      <c r="G102" s="5"/>
      <c r="H102" s="5"/>
      <c r="I102" s="5"/>
      <c r="J102" s="5"/>
      <c r="K102" s="5"/>
      <c r="L102" s="5"/>
      <c r="M102" s="5"/>
      <c r="N102" s="5"/>
      <c r="O102" s="5"/>
      <c r="P102" s="130"/>
      <c r="Q102" s="134"/>
      <c r="R102" s="134"/>
      <c r="S102" s="133"/>
      <c r="T102" s="130"/>
    </row>
    <row r="103" spans="1:20">
      <c r="A103" s="4"/>
      <c r="B103" s="5"/>
      <c r="C103" s="5"/>
      <c r="D103" s="5"/>
      <c r="E103" s="5"/>
      <c r="F103" s="5"/>
      <c r="G103" s="5"/>
      <c r="H103" s="5"/>
      <c r="I103" s="5"/>
      <c r="J103" s="5"/>
      <c r="K103" s="5"/>
      <c r="L103" s="5"/>
      <c r="M103" s="5"/>
      <c r="N103" s="5"/>
      <c r="O103" s="5"/>
      <c r="P103" s="130"/>
      <c r="Q103" s="134"/>
      <c r="R103" s="134"/>
      <c r="S103" s="133"/>
      <c r="T103" s="130"/>
    </row>
    <row r="104" spans="1:20">
      <c r="A104" s="4"/>
      <c r="B104" s="5"/>
      <c r="C104" s="5"/>
      <c r="D104" s="5"/>
      <c r="E104" s="5"/>
      <c r="F104" s="5"/>
      <c r="G104" s="5"/>
      <c r="H104" s="5"/>
      <c r="I104" s="5"/>
      <c r="J104" s="5"/>
      <c r="K104" s="5"/>
      <c r="L104" s="5"/>
      <c r="M104" s="5"/>
      <c r="N104" s="5"/>
      <c r="O104" s="5"/>
      <c r="P104" s="130"/>
      <c r="Q104" s="134"/>
      <c r="R104" s="134"/>
      <c r="S104" s="133"/>
      <c r="T104" s="130"/>
    </row>
    <row r="105" spans="1:20">
      <c r="A105" s="4"/>
      <c r="B105" s="5"/>
      <c r="C105" s="5"/>
      <c r="D105" s="5"/>
      <c r="E105" s="5"/>
      <c r="F105" s="5"/>
      <c r="G105" s="5"/>
      <c r="H105" s="5"/>
      <c r="I105" s="5"/>
      <c r="J105" s="5"/>
      <c r="K105" s="5"/>
      <c r="L105" s="5"/>
      <c r="M105" s="5"/>
      <c r="N105" s="5"/>
      <c r="O105" s="5"/>
      <c r="P105" s="130"/>
      <c r="Q105" s="134"/>
      <c r="R105" s="134"/>
      <c r="S105" s="133"/>
      <c r="T105" s="130"/>
    </row>
    <row r="106" spans="1:20">
      <c r="A106" s="4"/>
      <c r="B106" s="5"/>
      <c r="C106" s="5"/>
      <c r="D106" s="5"/>
      <c r="E106" s="5"/>
      <c r="F106" s="5"/>
      <c r="G106" s="5"/>
      <c r="H106" s="5"/>
      <c r="I106" s="5"/>
      <c r="J106" s="5"/>
      <c r="K106" s="5"/>
      <c r="L106" s="5"/>
      <c r="M106" s="5"/>
      <c r="N106" s="5"/>
      <c r="O106" s="5"/>
      <c r="P106" s="130"/>
      <c r="Q106" s="134"/>
      <c r="R106" s="134"/>
      <c r="S106" s="133"/>
      <c r="T106" s="130"/>
    </row>
    <row r="107" spans="1:20">
      <c r="A107" s="4"/>
      <c r="B107" s="5"/>
      <c r="C107" s="5"/>
      <c r="D107" s="5"/>
      <c r="E107" s="5"/>
      <c r="F107" s="5"/>
      <c r="G107" s="5"/>
      <c r="H107" s="5"/>
      <c r="I107" s="5"/>
      <c r="J107" s="5"/>
      <c r="K107" s="5"/>
      <c r="L107" s="5"/>
      <c r="M107" s="5"/>
      <c r="N107" s="5"/>
      <c r="O107" s="5"/>
      <c r="P107" s="130"/>
      <c r="Q107" s="134"/>
      <c r="R107" s="134"/>
      <c r="S107" s="133"/>
      <c r="T107" s="130"/>
    </row>
    <row r="108" spans="1:20">
      <c r="A108" s="4"/>
      <c r="B108" s="5"/>
      <c r="C108" s="5"/>
      <c r="D108" s="5"/>
      <c r="E108" s="5"/>
      <c r="F108" s="5"/>
      <c r="G108" s="5"/>
      <c r="H108" s="5"/>
      <c r="I108" s="5"/>
      <c r="J108" s="5"/>
      <c r="K108" s="5"/>
      <c r="L108" s="5"/>
      <c r="M108" s="5"/>
      <c r="N108" s="5"/>
      <c r="O108" s="5"/>
      <c r="P108" s="130"/>
      <c r="Q108" s="134"/>
      <c r="R108" s="134"/>
      <c r="S108" s="133"/>
      <c r="T108" s="130"/>
    </row>
    <row r="109" spans="1:20">
      <c r="A109" s="4"/>
      <c r="B109" s="5"/>
      <c r="C109" s="5"/>
      <c r="D109" s="5"/>
      <c r="E109" s="5"/>
      <c r="F109" s="5"/>
      <c r="G109" s="5"/>
      <c r="H109" s="5"/>
      <c r="I109" s="5"/>
      <c r="J109" s="5"/>
      <c r="K109" s="5"/>
      <c r="L109" s="5"/>
      <c r="M109" s="5"/>
      <c r="N109" s="5"/>
      <c r="O109" s="5"/>
      <c r="P109" s="130"/>
      <c r="Q109" s="134"/>
      <c r="R109" s="134"/>
      <c r="S109" s="133"/>
      <c r="T109" s="130"/>
    </row>
    <row r="110" spans="1:20">
      <c r="A110" s="4"/>
      <c r="B110" s="5"/>
      <c r="C110" s="5"/>
      <c r="D110" s="5"/>
      <c r="E110" s="5"/>
      <c r="F110" s="5"/>
      <c r="G110" s="5"/>
      <c r="H110" s="5"/>
      <c r="I110" s="5"/>
      <c r="J110" s="5"/>
      <c r="K110" s="5"/>
      <c r="L110" s="5"/>
      <c r="M110" s="5"/>
      <c r="N110" s="5"/>
      <c r="O110" s="5"/>
      <c r="P110" s="130"/>
      <c r="Q110" s="134"/>
      <c r="R110" s="134"/>
      <c r="S110" s="133"/>
      <c r="T110" s="130"/>
    </row>
    <row r="111" spans="1:20">
      <c r="A111" s="4"/>
      <c r="B111" s="5"/>
      <c r="C111" s="5"/>
      <c r="D111" s="5"/>
      <c r="E111" s="5"/>
      <c r="F111" s="5"/>
      <c r="G111" s="5"/>
      <c r="H111" s="5"/>
      <c r="I111" s="5"/>
      <c r="J111" s="5"/>
      <c r="K111" s="5"/>
      <c r="L111" s="5"/>
      <c r="M111" s="5"/>
      <c r="N111" s="5"/>
      <c r="O111" s="5"/>
      <c r="P111" s="130"/>
      <c r="Q111" s="134"/>
      <c r="R111" s="134"/>
      <c r="S111" s="133"/>
      <c r="T111" s="130"/>
    </row>
    <row r="112" spans="1:20">
      <c r="A112" s="4"/>
      <c r="B112" s="5"/>
      <c r="C112" s="5"/>
      <c r="D112" s="5"/>
      <c r="E112" s="5"/>
      <c r="F112" s="5"/>
      <c r="G112" s="5"/>
      <c r="H112" s="5"/>
      <c r="I112" s="5"/>
      <c r="J112" s="5"/>
      <c r="K112" s="5"/>
      <c r="L112" s="5"/>
      <c r="M112" s="5"/>
      <c r="N112" s="5"/>
      <c r="O112" s="5"/>
      <c r="P112" s="130"/>
      <c r="Q112" s="134"/>
      <c r="R112" s="134"/>
      <c r="S112" s="133"/>
      <c r="T112" s="130"/>
    </row>
    <row r="113" spans="1:20">
      <c r="A113" s="4"/>
      <c r="B113" s="5"/>
      <c r="C113" s="5"/>
      <c r="D113" s="5"/>
      <c r="E113" s="5"/>
      <c r="F113" s="5"/>
      <c r="G113" s="5"/>
      <c r="H113" s="5"/>
      <c r="I113" s="5"/>
      <c r="J113" s="5"/>
      <c r="K113" s="5"/>
      <c r="L113" s="5"/>
      <c r="M113" s="5"/>
      <c r="N113" s="5"/>
      <c r="O113" s="5"/>
      <c r="P113" s="130"/>
      <c r="Q113" s="134"/>
      <c r="R113" s="134"/>
      <c r="S113" s="133"/>
      <c r="T113" s="130"/>
    </row>
    <row r="114" spans="1:20">
      <c r="A114" s="4"/>
      <c r="B114" s="5"/>
      <c r="C114" s="5"/>
      <c r="D114" s="5"/>
      <c r="E114" s="5"/>
      <c r="F114" s="5"/>
      <c r="G114" s="5"/>
      <c r="H114" s="5"/>
      <c r="I114" s="5"/>
      <c r="J114" s="5"/>
      <c r="K114" s="5"/>
      <c r="L114" s="5"/>
      <c r="M114" s="5"/>
      <c r="N114" s="5"/>
      <c r="O114" s="5"/>
      <c r="P114" s="130"/>
      <c r="Q114" s="134"/>
      <c r="R114" s="134"/>
      <c r="S114" s="133"/>
      <c r="T114" s="130"/>
    </row>
    <row r="115" spans="1:20">
      <c r="A115" s="4"/>
      <c r="B115" s="5"/>
      <c r="C115" s="5"/>
      <c r="D115" s="5"/>
      <c r="E115" s="5"/>
      <c r="F115" s="5"/>
      <c r="G115" s="5"/>
      <c r="H115" s="5"/>
      <c r="I115" s="5"/>
      <c r="J115" s="5"/>
      <c r="K115" s="5"/>
      <c r="L115" s="5"/>
      <c r="M115" s="5"/>
      <c r="N115" s="5"/>
      <c r="O115" s="5"/>
      <c r="P115" s="130"/>
      <c r="Q115" s="134"/>
      <c r="R115" s="134"/>
      <c r="S115" s="133"/>
      <c r="T115" s="130"/>
    </row>
    <row r="116" spans="1:20">
      <c r="A116" s="4"/>
      <c r="B116" s="5"/>
      <c r="C116" s="5"/>
      <c r="D116" s="5"/>
      <c r="E116" s="5"/>
      <c r="F116" s="5"/>
      <c r="G116" s="5"/>
      <c r="H116" s="5"/>
      <c r="I116" s="5"/>
      <c r="J116" s="5"/>
      <c r="K116" s="5"/>
      <c r="L116" s="5"/>
      <c r="M116" s="5"/>
      <c r="N116" s="5"/>
      <c r="O116" s="5"/>
      <c r="P116" s="130"/>
      <c r="Q116" s="134"/>
      <c r="R116" s="134"/>
      <c r="S116" s="133"/>
      <c r="T116" s="130"/>
    </row>
    <row r="117" spans="1:20">
      <c r="A117" s="4"/>
      <c r="B117" s="5"/>
      <c r="C117" s="5"/>
      <c r="D117" s="5"/>
      <c r="E117" s="5"/>
      <c r="F117" s="5"/>
      <c r="G117" s="5"/>
      <c r="H117" s="5"/>
      <c r="I117" s="5"/>
      <c r="J117" s="5"/>
      <c r="K117" s="5"/>
      <c r="L117" s="5"/>
      <c r="M117" s="5"/>
      <c r="N117" s="5"/>
      <c r="O117" s="5"/>
      <c r="P117" s="130"/>
      <c r="Q117" s="134"/>
      <c r="R117" s="134"/>
      <c r="S117" s="133"/>
      <c r="T117" s="130"/>
    </row>
    <row r="118" spans="1:20">
      <c r="A118" s="4"/>
      <c r="B118" s="5"/>
      <c r="C118" s="5"/>
      <c r="D118" s="5"/>
      <c r="E118" s="5"/>
      <c r="F118" s="5"/>
      <c r="G118" s="5"/>
      <c r="H118" s="5"/>
      <c r="I118" s="5"/>
      <c r="J118" s="5"/>
      <c r="K118" s="5"/>
      <c r="L118" s="5"/>
      <c r="M118" s="5"/>
      <c r="N118" s="5"/>
      <c r="O118" s="5"/>
      <c r="P118" s="130"/>
      <c r="Q118" s="134"/>
      <c r="R118" s="134"/>
      <c r="S118" s="133"/>
      <c r="T118" s="130"/>
    </row>
    <row r="119" spans="1:20">
      <c r="A119" s="4"/>
      <c r="B119" s="5"/>
      <c r="C119" s="5"/>
      <c r="D119" s="5"/>
      <c r="E119" s="5"/>
      <c r="F119" s="5"/>
      <c r="G119" s="5"/>
      <c r="H119" s="5"/>
      <c r="I119" s="5"/>
      <c r="J119" s="5"/>
      <c r="K119" s="5"/>
      <c r="L119" s="5"/>
      <c r="M119" s="5"/>
      <c r="N119" s="5"/>
      <c r="O119" s="5"/>
      <c r="P119" s="130"/>
      <c r="Q119" s="134"/>
      <c r="R119" s="134"/>
      <c r="S119" s="133"/>
      <c r="T119" s="130"/>
    </row>
    <row r="120" spans="1:20">
      <c r="A120" s="4"/>
      <c r="B120" s="5"/>
      <c r="C120" s="5"/>
      <c r="D120" s="5"/>
      <c r="E120" s="5"/>
      <c r="F120" s="5"/>
      <c r="G120" s="5"/>
      <c r="H120" s="5"/>
      <c r="I120" s="5"/>
      <c r="J120" s="5"/>
      <c r="K120" s="5"/>
      <c r="L120" s="5"/>
      <c r="M120" s="5"/>
      <c r="N120" s="5"/>
      <c r="O120" s="5"/>
      <c r="P120" s="130"/>
      <c r="Q120" s="134"/>
      <c r="R120" s="134"/>
      <c r="S120" s="133"/>
      <c r="T120" s="130"/>
    </row>
    <row r="121" spans="1:20">
      <c r="A121" s="4"/>
      <c r="B121" s="5"/>
      <c r="C121" s="5"/>
      <c r="D121" s="5"/>
      <c r="E121" s="5"/>
      <c r="F121" s="5"/>
      <c r="G121" s="5"/>
      <c r="H121" s="5"/>
      <c r="I121" s="5"/>
      <c r="J121" s="5"/>
      <c r="K121" s="5"/>
      <c r="L121" s="5"/>
      <c r="M121" s="5"/>
      <c r="N121" s="5"/>
      <c r="O121" s="5"/>
      <c r="P121" s="130"/>
      <c r="Q121" s="134"/>
      <c r="R121" s="134"/>
      <c r="S121" s="133"/>
      <c r="T121" s="130"/>
    </row>
    <row r="122" spans="1:20">
      <c r="A122" s="4"/>
      <c r="B122" s="5"/>
      <c r="C122" s="5"/>
      <c r="D122" s="5"/>
      <c r="E122" s="5"/>
      <c r="F122" s="5"/>
      <c r="G122" s="5"/>
      <c r="H122" s="5"/>
      <c r="I122" s="5"/>
      <c r="J122" s="5"/>
      <c r="K122" s="5"/>
      <c r="L122" s="5"/>
      <c r="M122" s="5"/>
      <c r="N122" s="5"/>
      <c r="O122" s="5"/>
      <c r="P122" s="130"/>
      <c r="Q122" s="134"/>
      <c r="R122" s="134"/>
      <c r="S122" s="133"/>
      <c r="T122" s="130"/>
    </row>
    <row r="123" spans="1:20">
      <c r="A123" s="4"/>
      <c r="B123" s="5"/>
      <c r="C123" s="5"/>
      <c r="D123" s="5"/>
      <c r="E123" s="5"/>
      <c r="F123" s="5"/>
      <c r="G123" s="5"/>
      <c r="H123" s="5"/>
      <c r="I123" s="5"/>
      <c r="J123" s="5"/>
      <c r="K123" s="5"/>
      <c r="L123" s="5"/>
      <c r="M123" s="5"/>
      <c r="N123" s="5"/>
      <c r="O123" s="5"/>
      <c r="P123" s="130"/>
      <c r="Q123" s="134"/>
      <c r="R123" s="134"/>
      <c r="S123" s="133"/>
      <c r="T123" s="130"/>
    </row>
    <row r="124" spans="1:20">
      <c r="A124" s="4"/>
      <c r="B124" s="5"/>
      <c r="C124" s="5"/>
      <c r="D124" s="5"/>
      <c r="E124" s="5"/>
      <c r="F124" s="5"/>
      <c r="G124" s="5"/>
      <c r="H124" s="5"/>
      <c r="I124" s="5"/>
      <c r="J124" s="5"/>
      <c r="K124" s="5"/>
      <c r="L124" s="5"/>
      <c r="M124" s="5"/>
      <c r="N124" s="5"/>
      <c r="O124" s="5"/>
      <c r="P124" s="130"/>
      <c r="Q124" s="134"/>
      <c r="R124" s="134"/>
      <c r="S124" s="133"/>
      <c r="T124" s="130"/>
    </row>
    <row r="125" spans="1:20">
      <c r="A125" s="4"/>
      <c r="B125" s="5"/>
      <c r="C125" s="5"/>
      <c r="D125" s="5"/>
      <c r="E125" s="5"/>
      <c r="F125" s="5"/>
      <c r="G125" s="5"/>
      <c r="H125" s="5"/>
      <c r="I125" s="5"/>
      <c r="J125" s="5"/>
      <c r="K125" s="5"/>
      <c r="L125" s="5"/>
      <c r="M125" s="5"/>
      <c r="N125" s="5"/>
      <c r="O125" s="5"/>
      <c r="P125" s="130"/>
      <c r="Q125" s="134"/>
      <c r="R125" s="134"/>
      <c r="S125" s="133"/>
      <c r="T125" s="130"/>
    </row>
    <row r="126" spans="1:20">
      <c r="A126" s="4"/>
      <c r="B126" s="5"/>
      <c r="C126" s="5"/>
      <c r="D126" s="5"/>
      <c r="E126" s="5"/>
      <c r="F126" s="5"/>
      <c r="G126" s="5"/>
      <c r="H126" s="5"/>
      <c r="I126" s="5"/>
      <c r="J126" s="5"/>
      <c r="K126" s="5"/>
      <c r="L126" s="5"/>
      <c r="M126" s="5"/>
      <c r="N126" s="5"/>
      <c r="O126" s="5"/>
      <c r="P126" s="130"/>
      <c r="Q126" s="134"/>
      <c r="R126" s="134"/>
      <c r="S126" s="133"/>
      <c r="T126" s="130"/>
    </row>
    <row r="127" spans="1:20">
      <c r="A127" s="4"/>
      <c r="B127" s="5"/>
      <c r="C127" s="5"/>
      <c r="D127" s="5"/>
      <c r="E127" s="5"/>
      <c r="F127" s="5"/>
      <c r="G127" s="5"/>
      <c r="H127" s="5"/>
      <c r="I127" s="5"/>
      <c r="J127" s="5"/>
      <c r="K127" s="5"/>
      <c r="L127" s="5"/>
      <c r="M127" s="5"/>
      <c r="N127" s="5"/>
      <c r="O127" s="5"/>
      <c r="P127" s="130"/>
      <c r="Q127" s="134"/>
      <c r="R127" s="134"/>
      <c r="S127" s="133"/>
      <c r="T127" s="130"/>
    </row>
    <row r="128" spans="1:20">
      <c r="A128" s="4"/>
      <c r="B128" s="5"/>
      <c r="C128" s="5"/>
      <c r="D128" s="5"/>
      <c r="E128" s="5"/>
      <c r="F128" s="5"/>
      <c r="G128" s="5"/>
      <c r="H128" s="5"/>
      <c r="I128" s="5"/>
      <c r="J128" s="5"/>
      <c r="K128" s="5"/>
      <c r="L128" s="5"/>
      <c r="M128" s="5"/>
      <c r="N128" s="5"/>
      <c r="O128" s="5"/>
      <c r="P128" s="130"/>
      <c r="Q128" s="133"/>
      <c r="R128" s="133"/>
      <c r="S128" s="133"/>
      <c r="T128" s="130"/>
    </row>
    <row r="129" spans="1:15">
      <c r="A129" s="4"/>
      <c r="B129" s="5"/>
      <c r="C129" s="5"/>
      <c r="D129" s="5"/>
      <c r="E129" s="5"/>
      <c r="F129" s="5"/>
      <c r="G129" s="5"/>
      <c r="H129" s="5"/>
      <c r="I129" s="5"/>
      <c r="J129" s="5"/>
      <c r="K129" s="5"/>
      <c r="L129" s="5"/>
      <c r="M129" s="5"/>
      <c r="N129" s="5"/>
      <c r="O129" s="5"/>
    </row>
    <row r="130" spans="1:15">
      <c r="A130" s="4"/>
      <c r="B130" s="5"/>
      <c r="C130" s="5"/>
      <c r="D130" s="5"/>
      <c r="E130" s="5"/>
      <c r="F130" s="5"/>
      <c r="G130" s="5"/>
      <c r="H130" s="5"/>
      <c r="I130" s="5"/>
      <c r="J130" s="5"/>
      <c r="K130" s="5"/>
      <c r="L130" s="5"/>
      <c r="M130" s="5"/>
      <c r="N130" s="5"/>
      <c r="O130" s="5"/>
    </row>
    <row r="131" spans="1:15">
      <c r="A131" s="4"/>
      <c r="B131" s="5"/>
      <c r="C131" s="5"/>
      <c r="D131" s="5"/>
      <c r="E131" s="5"/>
      <c r="F131" s="5"/>
      <c r="G131" s="5"/>
      <c r="H131" s="5"/>
      <c r="I131" s="5"/>
      <c r="J131" s="5"/>
      <c r="K131" s="5"/>
      <c r="L131" s="5"/>
      <c r="M131" s="5"/>
      <c r="N131" s="5"/>
      <c r="O131" s="5"/>
    </row>
    <row r="132" spans="1:15">
      <c r="A132" s="4"/>
      <c r="B132" s="5"/>
      <c r="C132" s="5"/>
      <c r="D132" s="5"/>
      <c r="E132" s="5"/>
      <c r="F132" s="5"/>
      <c r="G132" s="5"/>
      <c r="H132" s="5"/>
      <c r="I132" s="5"/>
      <c r="J132" s="5"/>
      <c r="K132" s="5"/>
      <c r="L132" s="5"/>
      <c r="M132" s="5"/>
      <c r="N132" s="5"/>
      <c r="O132" s="5"/>
    </row>
    <row r="133" spans="1:15">
      <c r="A133" s="4"/>
      <c r="B133" s="5"/>
      <c r="C133" s="5"/>
      <c r="D133" s="5"/>
      <c r="E133" s="5"/>
      <c r="F133" s="5"/>
      <c r="G133" s="5"/>
      <c r="H133" s="5"/>
      <c r="I133" s="5"/>
      <c r="J133" s="5"/>
      <c r="K133" s="5"/>
      <c r="L133" s="5"/>
      <c r="M133" s="5"/>
      <c r="N133" s="5"/>
      <c r="O133" s="5"/>
    </row>
    <row r="134" spans="1:15">
      <c r="A134" s="4"/>
      <c r="B134" s="5"/>
      <c r="C134" s="5"/>
      <c r="D134" s="5"/>
      <c r="E134" s="5"/>
      <c r="F134" s="5"/>
      <c r="G134" s="5"/>
      <c r="H134" s="5"/>
      <c r="I134" s="5"/>
      <c r="J134" s="5"/>
      <c r="K134" s="5"/>
      <c r="L134" s="5"/>
      <c r="M134" s="5"/>
      <c r="N134" s="5"/>
      <c r="O134" s="5"/>
    </row>
    <row r="135" spans="1:15">
      <c r="A135" s="4"/>
      <c r="B135" s="5"/>
      <c r="C135" s="5"/>
      <c r="D135" s="5"/>
      <c r="E135" s="5"/>
      <c r="F135" s="5"/>
      <c r="G135" s="5"/>
      <c r="H135" s="5"/>
      <c r="I135" s="5"/>
      <c r="J135" s="5"/>
      <c r="K135" s="5"/>
      <c r="L135" s="5"/>
      <c r="M135" s="5"/>
      <c r="N135" s="5"/>
      <c r="O135" s="5"/>
    </row>
    <row r="136" spans="1:15">
      <c r="A136" s="4"/>
      <c r="B136" s="5"/>
      <c r="C136" s="5"/>
      <c r="D136" s="5"/>
      <c r="E136" s="5"/>
      <c r="F136" s="5"/>
      <c r="G136" s="5"/>
      <c r="H136" s="5"/>
      <c r="I136" s="5"/>
      <c r="J136" s="5"/>
      <c r="K136" s="5"/>
      <c r="L136" s="5"/>
      <c r="M136" s="5"/>
      <c r="N136" s="5"/>
      <c r="O136" s="5"/>
    </row>
    <row r="137" spans="1:15">
      <c r="A137" s="4"/>
      <c r="B137" s="5"/>
      <c r="C137" s="5"/>
      <c r="D137" s="5"/>
      <c r="E137" s="5"/>
      <c r="F137" s="5"/>
      <c r="G137" s="5"/>
      <c r="H137" s="5"/>
      <c r="I137" s="5"/>
      <c r="J137" s="5"/>
      <c r="K137" s="5"/>
      <c r="L137" s="5"/>
      <c r="M137" s="5"/>
      <c r="N137" s="5"/>
      <c r="O137" s="5"/>
    </row>
    <row r="138" spans="1:15">
      <c r="A138" s="4"/>
      <c r="B138" s="5"/>
      <c r="C138" s="5"/>
      <c r="D138" s="5"/>
      <c r="E138" s="5"/>
      <c r="F138" s="5"/>
      <c r="G138" s="5"/>
      <c r="H138" s="5"/>
      <c r="I138" s="5"/>
      <c r="J138" s="5"/>
      <c r="K138" s="5"/>
      <c r="L138" s="5"/>
      <c r="M138" s="5"/>
      <c r="N138" s="5"/>
      <c r="O138" s="5"/>
    </row>
    <row r="139" spans="1:15">
      <c r="A139" s="4"/>
      <c r="B139" s="5"/>
      <c r="C139" s="5"/>
      <c r="D139" s="5"/>
      <c r="E139" s="5"/>
      <c r="F139" s="5"/>
      <c r="G139" s="5"/>
      <c r="H139" s="5"/>
      <c r="I139" s="5"/>
      <c r="J139" s="5"/>
      <c r="K139" s="5"/>
      <c r="L139" s="5"/>
      <c r="M139" s="5"/>
      <c r="N139" s="5"/>
      <c r="O139" s="5"/>
    </row>
    <row r="140" spans="1:15">
      <c r="A140" s="4"/>
      <c r="B140" s="5"/>
      <c r="C140" s="5"/>
      <c r="D140" s="5"/>
      <c r="E140" s="5"/>
      <c r="F140" s="5"/>
      <c r="G140" s="5"/>
      <c r="H140" s="5"/>
      <c r="I140" s="5"/>
      <c r="J140" s="5"/>
      <c r="K140" s="5"/>
      <c r="L140" s="5"/>
      <c r="M140" s="5"/>
      <c r="N140" s="5"/>
      <c r="O140" s="5"/>
    </row>
    <row r="141" spans="1:15">
      <c r="A141" s="4"/>
      <c r="B141" s="5"/>
      <c r="C141" s="5"/>
      <c r="D141" s="5"/>
      <c r="E141" s="5"/>
      <c r="F141" s="5"/>
      <c r="G141" s="5"/>
      <c r="H141" s="5"/>
      <c r="I141" s="5"/>
      <c r="J141" s="5"/>
      <c r="K141" s="5"/>
      <c r="L141" s="5"/>
      <c r="M141" s="5"/>
      <c r="N141" s="5"/>
      <c r="O141" s="5"/>
    </row>
    <row r="142" spans="1:15">
      <c r="A142" s="4"/>
      <c r="B142" s="5"/>
      <c r="C142" s="5"/>
      <c r="D142" s="5"/>
      <c r="E142" s="5"/>
      <c r="F142" s="5"/>
      <c r="G142" s="5"/>
      <c r="H142" s="5"/>
      <c r="I142" s="5"/>
      <c r="J142" s="5"/>
      <c r="K142" s="5"/>
      <c r="L142" s="5"/>
      <c r="M142" s="5"/>
      <c r="N142" s="5"/>
      <c r="O142" s="5"/>
    </row>
    <row r="143" spans="1:15">
      <c r="A143" s="4"/>
      <c r="B143" s="5"/>
      <c r="C143" s="5"/>
      <c r="D143" s="5"/>
      <c r="E143" s="5"/>
      <c r="F143" s="5"/>
      <c r="G143" s="5"/>
      <c r="H143" s="5"/>
      <c r="I143" s="5"/>
      <c r="J143" s="5"/>
      <c r="K143" s="5"/>
      <c r="L143" s="5"/>
      <c r="M143" s="5"/>
      <c r="N143" s="5"/>
      <c r="O143" s="5"/>
    </row>
    <row r="144" spans="1:15">
      <c r="A144" s="4"/>
      <c r="B144" s="5"/>
      <c r="C144" s="5"/>
      <c r="D144" s="5"/>
      <c r="E144" s="5"/>
      <c r="F144" s="5"/>
      <c r="G144" s="5"/>
      <c r="H144" s="5"/>
      <c r="I144" s="5"/>
      <c r="J144" s="5"/>
      <c r="K144" s="5"/>
      <c r="L144" s="5"/>
      <c r="M144" s="5"/>
      <c r="N144" s="5"/>
      <c r="O144" s="5"/>
    </row>
    <row r="145" spans="1:15">
      <c r="A145" s="4"/>
      <c r="B145" s="5"/>
      <c r="C145" s="5"/>
      <c r="D145" s="5"/>
      <c r="E145" s="5"/>
      <c r="F145" s="5"/>
      <c r="G145" s="5"/>
      <c r="H145" s="5"/>
      <c r="I145" s="5"/>
      <c r="J145" s="5"/>
      <c r="K145" s="5"/>
      <c r="L145" s="5"/>
      <c r="M145" s="5"/>
      <c r="N145" s="5"/>
      <c r="O145" s="5"/>
    </row>
    <row r="146" spans="1:15">
      <c r="A146" s="4"/>
      <c r="B146" s="5"/>
      <c r="C146" s="5"/>
      <c r="D146" s="5"/>
      <c r="E146" s="5"/>
      <c r="F146" s="5"/>
      <c r="G146" s="5"/>
      <c r="H146" s="5"/>
      <c r="I146" s="5"/>
      <c r="J146" s="5"/>
      <c r="K146" s="5"/>
      <c r="L146" s="5"/>
      <c r="M146" s="5"/>
      <c r="N146" s="5"/>
      <c r="O146" s="5"/>
    </row>
    <row r="147" spans="1:15">
      <c r="A147" s="4"/>
      <c r="B147" s="5"/>
      <c r="C147" s="5"/>
      <c r="D147" s="5"/>
      <c r="E147" s="5"/>
      <c r="F147" s="5"/>
      <c r="G147" s="5"/>
      <c r="H147" s="5"/>
      <c r="I147" s="5"/>
      <c r="J147" s="5"/>
      <c r="K147" s="5"/>
      <c r="L147" s="5"/>
      <c r="M147" s="5"/>
      <c r="N147" s="5"/>
      <c r="O147" s="5"/>
    </row>
    <row r="148" spans="1:15">
      <c r="A148" s="4"/>
      <c r="B148" s="5"/>
      <c r="C148" s="5"/>
      <c r="D148" s="5"/>
      <c r="E148" s="5"/>
      <c r="F148" s="5"/>
      <c r="G148" s="5"/>
      <c r="H148" s="5"/>
      <c r="I148" s="5"/>
      <c r="J148" s="5"/>
      <c r="K148" s="5"/>
      <c r="L148" s="5"/>
      <c r="M148" s="5"/>
      <c r="N148" s="5"/>
      <c r="O148" s="5"/>
    </row>
    <row r="149" spans="1:15">
      <c r="A149" s="4"/>
      <c r="B149" s="5"/>
      <c r="C149" s="5"/>
      <c r="D149" s="5"/>
      <c r="E149" s="5"/>
      <c r="F149" s="5"/>
      <c r="G149" s="5"/>
      <c r="H149" s="5"/>
      <c r="I149" s="5"/>
      <c r="J149" s="5"/>
      <c r="K149" s="5"/>
      <c r="L149" s="5"/>
      <c r="M149" s="5"/>
      <c r="N149" s="5"/>
      <c r="O149" s="5"/>
    </row>
    <row r="150" spans="1:15">
      <c r="A150" s="4"/>
      <c r="B150" s="5"/>
      <c r="C150" s="5"/>
      <c r="D150" s="5"/>
      <c r="E150" s="5"/>
      <c r="F150" s="5"/>
      <c r="G150" s="5"/>
      <c r="H150" s="5"/>
      <c r="I150" s="5"/>
      <c r="J150" s="5"/>
      <c r="K150" s="5"/>
      <c r="L150" s="5"/>
      <c r="M150" s="5"/>
      <c r="N150" s="5"/>
      <c r="O150" s="5"/>
    </row>
    <row r="151" spans="1:15">
      <c r="A151" s="4"/>
      <c r="B151" s="5"/>
      <c r="C151" s="5"/>
      <c r="D151" s="5"/>
      <c r="E151" s="5"/>
      <c r="F151" s="5"/>
      <c r="G151" s="5"/>
      <c r="H151" s="5"/>
      <c r="I151" s="5"/>
      <c r="J151" s="5"/>
      <c r="K151" s="5"/>
      <c r="L151" s="5"/>
      <c r="M151" s="5"/>
      <c r="N151" s="5"/>
      <c r="O151" s="5"/>
    </row>
    <row r="152" spans="1:15">
      <c r="A152" s="4"/>
      <c r="B152" s="5"/>
      <c r="C152" s="5"/>
      <c r="D152" s="5"/>
      <c r="E152" s="5"/>
      <c r="F152" s="5"/>
      <c r="G152" s="5"/>
      <c r="H152" s="5"/>
      <c r="I152" s="5"/>
      <c r="J152" s="5"/>
      <c r="K152" s="5"/>
      <c r="L152" s="5"/>
      <c r="M152" s="5"/>
      <c r="N152" s="5"/>
      <c r="O152" s="5"/>
    </row>
    <row r="153" spans="1:15">
      <c r="A153" s="4"/>
      <c r="B153" s="5"/>
      <c r="C153" s="5"/>
      <c r="D153" s="5"/>
      <c r="E153" s="5"/>
      <c r="F153" s="5"/>
      <c r="G153" s="5"/>
      <c r="H153" s="5"/>
      <c r="I153" s="5"/>
      <c r="J153" s="5"/>
      <c r="K153" s="5"/>
      <c r="L153" s="5"/>
      <c r="M153" s="5"/>
      <c r="N153" s="5"/>
      <c r="O153" s="5"/>
    </row>
    <row r="154" spans="1:15">
      <c r="A154" s="4"/>
      <c r="B154" s="5"/>
      <c r="C154" s="5"/>
      <c r="D154" s="5"/>
      <c r="E154" s="5"/>
      <c r="F154" s="5"/>
      <c r="G154" s="5"/>
      <c r="H154" s="5"/>
      <c r="I154" s="5"/>
      <c r="J154" s="5"/>
      <c r="K154" s="5"/>
      <c r="L154" s="5"/>
      <c r="M154" s="5"/>
      <c r="N154" s="5"/>
      <c r="O154" s="5"/>
    </row>
    <row r="155" spans="1:15">
      <c r="A155" s="4"/>
      <c r="B155" s="5"/>
      <c r="C155" s="5"/>
      <c r="D155" s="5"/>
      <c r="E155" s="5"/>
      <c r="F155" s="5"/>
      <c r="G155" s="5"/>
      <c r="H155" s="5"/>
      <c r="I155" s="5"/>
      <c r="J155" s="5"/>
      <c r="K155" s="5"/>
      <c r="L155" s="5"/>
      <c r="M155" s="5"/>
      <c r="N155" s="5"/>
      <c r="O155" s="5"/>
    </row>
    <row r="156" spans="1:15">
      <c r="A156" s="4"/>
      <c r="B156" s="5"/>
      <c r="C156" s="5"/>
      <c r="D156" s="5"/>
      <c r="E156" s="5"/>
      <c r="F156" s="5"/>
      <c r="G156" s="5"/>
      <c r="H156" s="5"/>
      <c r="I156" s="5"/>
      <c r="J156" s="5"/>
      <c r="K156" s="5"/>
      <c r="L156" s="5"/>
      <c r="M156" s="5"/>
      <c r="N156" s="5"/>
      <c r="O156" s="5"/>
    </row>
    <row r="157" spans="1:15">
      <c r="A157" s="4"/>
      <c r="B157" s="5"/>
      <c r="C157" s="5"/>
      <c r="D157" s="5"/>
      <c r="E157" s="5"/>
      <c r="F157" s="5"/>
      <c r="G157" s="5"/>
      <c r="H157" s="5"/>
      <c r="I157" s="5"/>
      <c r="J157" s="5"/>
      <c r="K157" s="5"/>
      <c r="L157" s="5"/>
      <c r="M157" s="5"/>
      <c r="N157" s="5"/>
      <c r="O157" s="5"/>
    </row>
    <row r="158" spans="1:15">
      <c r="A158" s="4"/>
      <c r="B158" s="5"/>
      <c r="C158" s="5"/>
      <c r="D158" s="5"/>
      <c r="E158" s="5"/>
      <c r="F158" s="5"/>
      <c r="G158" s="5"/>
      <c r="H158" s="5"/>
      <c r="I158" s="5"/>
      <c r="J158" s="5"/>
      <c r="K158" s="5"/>
      <c r="L158" s="5"/>
      <c r="M158" s="5"/>
      <c r="N158" s="5"/>
      <c r="O158" s="5"/>
    </row>
    <row r="159" spans="1:15">
      <c r="A159" s="4"/>
      <c r="B159" s="5"/>
      <c r="C159" s="5"/>
      <c r="D159" s="5"/>
      <c r="E159" s="5"/>
      <c r="F159" s="5"/>
      <c r="G159" s="5"/>
      <c r="H159" s="5"/>
      <c r="I159" s="5"/>
      <c r="J159" s="5"/>
      <c r="K159" s="5"/>
      <c r="L159" s="5"/>
      <c r="M159" s="5"/>
      <c r="N159" s="5"/>
      <c r="O159" s="5"/>
    </row>
    <row r="160" spans="1:15">
      <c r="A160" s="4"/>
      <c r="B160" s="5"/>
      <c r="C160" s="5"/>
      <c r="D160" s="5"/>
      <c r="E160" s="5"/>
      <c r="F160" s="5"/>
      <c r="G160" s="5"/>
      <c r="H160" s="5"/>
      <c r="I160" s="5"/>
      <c r="J160" s="5"/>
      <c r="K160" s="5"/>
      <c r="L160" s="5"/>
      <c r="M160" s="5"/>
      <c r="N160" s="5"/>
      <c r="O160" s="5"/>
    </row>
    <row r="161" spans="1:15">
      <c r="A161" s="4"/>
      <c r="B161" s="5"/>
      <c r="C161" s="5"/>
      <c r="D161" s="5"/>
      <c r="E161" s="5"/>
      <c r="F161" s="5"/>
      <c r="G161" s="5"/>
      <c r="H161" s="5"/>
      <c r="I161" s="5"/>
      <c r="J161" s="5"/>
      <c r="K161" s="5"/>
      <c r="L161" s="5"/>
      <c r="M161" s="5"/>
      <c r="N161" s="5"/>
      <c r="O161" s="5"/>
    </row>
    <row r="162" spans="1:15">
      <c r="A162" s="4"/>
      <c r="B162" s="5"/>
      <c r="C162" s="5"/>
      <c r="D162" s="5"/>
      <c r="E162" s="5"/>
      <c r="F162" s="5"/>
      <c r="G162" s="5"/>
      <c r="H162" s="5"/>
      <c r="I162" s="5"/>
      <c r="J162" s="5"/>
      <c r="K162" s="5"/>
      <c r="L162" s="5"/>
      <c r="M162" s="5"/>
      <c r="N162" s="5"/>
      <c r="O162" s="5"/>
    </row>
    <row r="163" spans="1:15">
      <c r="A163" s="4"/>
      <c r="B163" s="5"/>
      <c r="C163" s="5"/>
      <c r="D163" s="5"/>
      <c r="E163" s="5"/>
      <c r="F163" s="5"/>
      <c r="G163" s="5"/>
      <c r="H163" s="5"/>
      <c r="I163" s="5"/>
      <c r="J163" s="5"/>
      <c r="K163" s="5"/>
      <c r="L163" s="5"/>
      <c r="M163" s="5"/>
      <c r="N163" s="5"/>
      <c r="O163" s="5"/>
    </row>
    <row r="164" spans="1:15">
      <c r="A164" s="4"/>
      <c r="B164" s="5"/>
      <c r="C164" s="5"/>
      <c r="D164" s="5"/>
      <c r="E164" s="5"/>
      <c r="F164" s="5"/>
      <c r="G164" s="5"/>
      <c r="H164" s="5"/>
      <c r="I164" s="5"/>
      <c r="J164" s="5"/>
      <c r="K164" s="5"/>
      <c r="L164" s="5"/>
      <c r="M164" s="5"/>
      <c r="N164" s="5"/>
      <c r="O164" s="5"/>
    </row>
    <row r="165" spans="1:15">
      <c r="A165" s="4"/>
      <c r="B165" s="5"/>
      <c r="C165" s="5"/>
      <c r="D165" s="5"/>
      <c r="E165" s="5"/>
      <c r="F165" s="5"/>
      <c r="G165" s="5"/>
      <c r="H165" s="5"/>
      <c r="I165" s="5"/>
      <c r="J165" s="5"/>
      <c r="K165" s="5"/>
      <c r="L165" s="5"/>
      <c r="M165" s="5"/>
      <c r="N165" s="5"/>
      <c r="O165" s="5"/>
    </row>
    <row r="166" spans="1:15">
      <c r="A166" s="4"/>
      <c r="B166" s="5"/>
      <c r="C166" s="5"/>
      <c r="D166" s="5"/>
      <c r="E166" s="5"/>
      <c r="F166" s="5"/>
      <c r="G166" s="5"/>
      <c r="H166" s="5"/>
      <c r="I166" s="5"/>
      <c r="J166" s="5"/>
      <c r="K166" s="5"/>
      <c r="L166" s="5"/>
      <c r="M166" s="5"/>
      <c r="N166" s="5"/>
      <c r="O166" s="5"/>
    </row>
    <row r="167" spans="1:15">
      <c r="A167" s="4"/>
      <c r="B167" s="5"/>
      <c r="C167" s="5"/>
      <c r="D167" s="5"/>
      <c r="E167" s="5"/>
      <c r="F167" s="5"/>
      <c r="G167" s="5"/>
      <c r="H167" s="5"/>
      <c r="I167" s="5"/>
      <c r="J167" s="5"/>
      <c r="K167" s="5"/>
      <c r="L167" s="5"/>
      <c r="M167" s="5"/>
      <c r="N167" s="5"/>
      <c r="O167" s="5"/>
    </row>
    <row r="168" spans="1:15">
      <c r="A168" s="4"/>
      <c r="B168" s="5"/>
      <c r="C168" s="5"/>
      <c r="D168" s="5"/>
      <c r="E168" s="5"/>
      <c r="F168" s="5"/>
      <c r="G168" s="5"/>
      <c r="H168" s="5"/>
      <c r="I168" s="5"/>
      <c r="J168" s="5"/>
      <c r="K168" s="5"/>
      <c r="L168" s="5"/>
      <c r="M168" s="5"/>
      <c r="N168" s="5"/>
      <c r="O168" s="5"/>
    </row>
    <row r="169" spans="1:15">
      <c r="A169" s="4"/>
      <c r="B169" s="5"/>
      <c r="C169" s="5"/>
      <c r="D169" s="5"/>
      <c r="E169" s="5"/>
      <c r="F169" s="5"/>
      <c r="G169" s="5"/>
      <c r="H169" s="5"/>
      <c r="I169" s="5"/>
      <c r="J169" s="5"/>
      <c r="K169" s="5"/>
      <c r="L169" s="5"/>
      <c r="M169" s="5"/>
      <c r="N169" s="5"/>
      <c r="O169" s="5"/>
    </row>
    <row r="170" spans="1:15">
      <c r="A170" s="4"/>
      <c r="B170" s="5"/>
      <c r="C170" s="5"/>
      <c r="D170" s="5"/>
      <c r="E170" s="5"/>
      <c r="F170" s="5"/>
      <c r="G170" s="5"/>
      <c r="H170" s="5"/>
      <c r="I170" s="5"/>
      <c r="J170" s="5"/>
      <c r="K170" s="5"/>
      <c r="L170" s="5"/>
      <c r="M170" s="5"/>
      <c r="N170" s="5"/>
      <c r="O170" s="5"/>
    </row>
    <row r="171" spans="1:15">
      <c r="A171" s="4"/>
      <c r="B171" s="5"/>
      <c r="C171" s="5"/>
      <c r="D171" s="5"/>
      <c r="E171" s="5"/>
      <c r="F171" s="5"/>
      <c r="G171" s="5"/>
      <c r="H171" s="5"/>
      <c r="I171" s="5"/>
      <c r="J171" s="5"/>
      <c r="K171" s="5"/>
      <c r="L171" s="5"/>
      <c r="M171" s="5"/>
      <c r="N171" s="5"/>
      <c r="O171" s="5"/>
    </row>
    <row r="172" spans="1:15">
      <c r="A172" s="4"/>
      <c r="B172" s="5"/>
      <c r="C172" s="5"/>
      <c r="D172" s="5"/>
      <c r="E172" s="5"/>
      <c r="F172" s="5"/>
      <c r="G172" s="5"/>
      <c r="H172" s="5"/>
      <c r="I172" s="5"/>
      <c r="J172" s="5"/>
      <c r="K172" s="5"/>
      <c r="L172" s="5"/>
      <c r="M172" s="5"/>
      <c r="N172" s="5"/>
      <c r="O172" s="5"/>
    </row>
    <row r="173" spans="1:15">
      <c r="A173" s="4"/>
      <c r="B173" s="5"/>
      <c r="C173" s="5"/>
      <c r="D173" s="5"/>
      <c r="E173" s="5"/>
      <c r="F173" s="5"/>
      <c r="G173" s="5"/>
      <c r="H173" s="5"/>
      <c r="I173" s="5"/>
      <c r="J173" s="5"/>
      <c r="K173" s="5"/>
      <c r="L173" s="5"/>
      <c r="M173" s="5"/>
      <c r="N173" s="5"/>
      <c r="O173" s="5"/>
    </row>
    <row r="174" spans="1:15">
      <c r="A174" s="4"/>
      <c r="B174" s="5"/>
      <c r="C174" s="5"/>
      <c r="D174" s="5"/>
      <c r="E174" s="5"/>
      <c r="F174" s="5"/>
      <c r="G174" s="5"/>
      <c r="H174" s="5"/>
      <c r="I174" s="5"/>
      <c r="J174" s="5"/>
      <c r="K174" s="5"/>
      <c r="L174" s="5"/>
      <c r="M174" s="5"/>
      <c r="N174" s="5"/>
      <c r="O174" s="5"/>
    </row>
    <row r="175" spans="1:15">
      <c r="A175" s="4"/>
      <c r="B175" s="5"/>
      <c r="C175" s="5"/>
      <c r="D175" s="5"/>
      <c r="E175" s="5"/>
      <c r="F175" s="5"/>
      <c r="G175" s="5"/>
      <c r="H175" s="5"/>
      <c r="I175" s="5"/>
      <c r="J175" s="5"/>
      <c r="K175" s="5"/>
      <c r="L175" s="5"/>
      <c r="M175" s="5"/>
      <c r="N175" s="5"/>
      <c r="O175" s="5"/>
    </row>
    <row r="176" spans="1:15">
      <c r="A176" s="4"/>
      <c r="B176" s="5"/>
      <c r="C176" s="5"/>
      <c r="D176" s="5"/>
      <c r="E176" s="5"/>
      <c r="F176" s="5"/>
      <c r="G176" s="5"/>
      <c r="H176" s="5"/>
      <c r="I176" s="5"/>
      <c r="J176" s="5"/>
      <c r="K176" s="5"/>
      <c r="L176" s="5"/>
      <c r="M176" s="5"/>
      <c r="N176" s="5"/>
      <c r="O176" s="5"/>
    </row>
    <row r="177" spans="1:15">
      <c r="A177" s="4"/>
      <c r="B177" s="5"/>
      <c r="C177" s="5"/>
      <c r="D177" s="5"/>
      <c r="E177" s="5"/>
      <c r="F177" s="5"/>
      <c r="G177" s="5"/>
      <c r="H177" s="5"/>
      <c r="I177" s="5"/>
      <c r="J177" s="5"/>
      <c r="K177" s="5"/>
      <c r="L177" s="5"/>
      <c r="M177" s="5"/>
      <c r="N177" s="5"/>
      <c r="O177" s="5"/>
    </row>
    <row r="178" spans="1:15">
      <c r="A178" s="4"/>
      <c r="B178" s="5"/>
      <c r="C178" s="5"/>
      <c r="D178" s="5"/>
      <c r="E178" s="5"/>
      <c r="F178" s="5"/>
      <c r="G178" s="5"/>
      <c r="H178" s="5"/>
      <c r="I178" s="5"/>
      <c r="J178" s="5"/>
      <c r="K178" s="5"/>
      <c r="L178" s="5"/>
      <c r="M178" s="5"/>
      <c r="N178" s="5"/>
      <c r="O178" s="5"/>
    </row>
    <row r="179" spans="1:15">
      <c r="A179" s="4"/>
      <c r="B179" s="5"/>
      <c r="C179" s="5"/>
      <c r="D179" s="5"/>
      <c r="E179" s="5"/>
      <c r="F179" s="5"/>
      <c r="G179" s="5"/>
      <c r="H179" s="5"/>
      <c r="I179" s="5"/>
      <c r="J179" s="5"/>
      <c r="K179" s="5"/>
      <c r="L179" s="5"/>
      <c r="M179" s="5"/>
      <c r="N179" s="5"/>
      <c r="O179" s="5"/>
    </row>
    <row r="180" spans="1:15">
      <c r="A180" s="4"/>
      <c r="B180" s="5"/>
      <c r="C180" s="5"/>
      <c r="D180" s="5"/>
      <c r="E180" s="5"/>
      <c r="F180" s="5"/>
      <c r="G180" s="5"/>
      <c r="H180" s="5"/>
      <c r="I180" s="5"/>
      <c r="J180" s="5"/>
      <c r="K180" s="5"/>
      <c r="L180" s="5"/>
      <c r="M180" s="5"/>
      <c r="N180" s="5"/>
      <c r="O180" s="5"/>
    </row>
    <row r="181" spans="1:15">
      <c r="A181" s="4"/>
      <c r="B181" s="5"/>
      <c r="C181" s="5"/>
      <c r="D181" s="5"/>
      <c r="E181" s="5"/>
      <c r="F181" s="5"/>
      <c r="G181" s="5"/>
      <c r="H181" s="5"/>
      <c r="I181" s="5"/>
      <c r="J181" s="5"/>
      <c r="K181" s="5"/>
      <c r="L181" s="5"/>
      <c r="M181" s="5"/>
      <c r="N181" s="5"/>
      <c r="O181" s="5"/>
    </row>
    <row r="182" spans="1:15">
      <c r="A182" s="4"/>
      <c r="B182" s="5"/>
      <c r="C182" s="5"/>
      <c r="D182" s="5"/>
      <c r="E182" s="5"/>
      <c r="F182" s="5"/>
      <c r="G182" s="5"/>
      <c r="H182" s="5"/>
      <c r="I182" s="5"/>
      <c r="J182" s="5"/>
      <c r="K182" s="5"/>
      <c r="L182" s="5"/>
      <c r="M182" s="5"/>
      <c r="N182" s="5"/>
      <c r="O182" s="5"/>
    </row>
    <row r="183" spans="1:15">
      <c r="A183" s="4"/>
      <c r="B183" s="5"/>
      <c r="C183" s="5"/>
      <c r="D183" s="5"/>
      <c r="E183" s="5"/>
      <c r="F183" s="5"/>
      <c r="G183" s="5"/>
      <c r="H183" s="5"/>
      <c r="I183" s="5"/>
      <c r="J183" s="5"/>
      <c r="K183" s="5"/>
      <c r="L183" s="5"/>
      <c r="M183" s="5"/>
      <c r="N183" s="5"/>
      <c r="O183" s="5"/>
    </row>
    <row r="184" spans="1:15">
      <c r="A184" s="4"/>
      <c r="B184" s="5"/>
      <c r="C184" s="5"/>
      <c r="D184" s="5"/>
      <c r="E184" s="5"/>
      <c r="F184" s="5"/>
      <c r="G184" s="5"/>
      <c r="H184" s="5"/>
      <c r="I184" s="5"/>
      <c r="J184" s="5"/>
      <c r="K184" s="5"/>
      <c r="L184" s="5"/>
      <c r="M184" s="5"/>
      <c r="N184" s="5"/>
      <c r="O184" s="5"/>
    </row>
    <row r="185" spans="1:15">
      <c r="A185" s="4"/>
      <c r="B185" s="5"/>
      <c r="C185" s="5"/>
      <c r="D185" s="5"/>
      <c r="E185" s="5"/>
      <c r="F185" s="5"/>
      <c r="G185" s="5"/>
      <c r="H185" s="5"/>
      <c r="I185" s="5"/>
      <c r="J185" s="5"/>
      <c r="K185" s="5"/>
      <c r="L185" s="5"/>
      <c r="M185" s="5"/>
      <c r="N185" s="5"/>
      <c r="O185" s="5"/>
    </row>
    <row r="186" spans="1:15">
      <c r="A186" s="4"/>
      <c r="B186" s="5"/>
      <c r="C186" s="5"/>
      <c r="D186" s="5"/>
      <c r="E186" s="5"/>
      <c r="F186" s="5"/>
      <c r="G186" s="5"/>
      <c r="H186" s="5"/>
      <c r="I186" s="5"/>
      <c r="J186" s="5"/>
      <c r="K186" s="5"/>
      <c r="L186" s="5"/>
      <c r="M186" s="5"/>
      <c r="N186" s="5"/>
      <c r="O186" s="5"/>
    </row>
    <row r="187" spans="1:15">
      <c r="A187" s="4"/>
      <c r="B187" s="5"/>
      <c r="C187" s="5"/>
      <c r="D187" s="5"/>
      <c r="E187" s="5"/>
      <c r="F187" s="5"/>
      <c r="G187" s="5"/>
      <c r="H187" s="5"/>
      <c r="I187" s="5"/>
      <c r="J187" s="5"/>
      <c r="K187" s="5"/>
      <c r="L187" s="5"/>
      <c r="M187" s="5"/>
      <c r="N187" s="5"/>
      <c r="O187" s="5"/>
    </row>
    <row r="188" spans="1:15">
      <c r="A188" s="4"/>
      <c r="B188" s="5"/>
      <c r="C188" s="5"/>
      <c r="D188" s="5"/>
      <c r="E188" s="5"/>
      <c r="F188" s="5"/>
      <c r="G188" s="5"/>
      <c r="H188" s="5"/>
      <c r="I188" s="5"/>
      <c r="J188" s="5"/>
      <c r="K188" s="5"/>
      <c r="L188" s="5"/>
      <c r="M188" s="5"/>
      <c r="N188" s="5"/>
      <c r="O188" s="5"/>
    </row>
    <row r="189" spans="1:15">
      <c r="A189" s="4"/>
      <c r="B189" s="5"/>
      <c r="C189" s="5"/>
      <c r="D189" s="5"/>
      <c r="E189" s="5"/>
      <c r="F189" s="5"/>
      <c r="G189" s="5"/>
      <c r="H189" s="5"/>
      <c r="I189" s="5"/>
      <c r="J189" s="5"/>
      <c r="K189" s="5"/>
      <c r="L189" s="5"/>
      <c r="M189" s="5"/>
      <c r="N189" s="5"/>
      <c r="O189" s="5"/>
    </row>
    <row r="190" spans="1:15">
      <c r="A190" s="4"/>
      <c r="B190" s="5"/>
      <c r="C190" s="5"/>
      <c r="D190" s="5"/>
      <c r="E190" s="5"/>
      <c r="F190" s="5"/>
      <c r="G190" s="5"/>
      <c r="H190" s="5"/>
      <c r="I190" s="5"/>
      <c r="J190" s="5"/>
      <c r="K190" s="5"/>
      <c r="L190" s="5"/>
      <c r="M190" s="5"/>
      <c r="N190" s="5"/>
      <c r="O190" s="5"/>
    </row>
    <row r="191" spans="1:15">
      <c r="A191" s="4"/>
      <c r="B191" s="5"/>
      <c r="C191" s="5"/>
      <c r="D191" s="5"/>
      <c r="E191" s="5"/>
      <c r="F191" s="5"/>
      <c r="G191" s="5"/>
      <c r="H191" s="5"/>
      <c r="I191" s="5"/>
      <c r="J191" s="5"/>
      <c r="K191" s="5"/>
      <c r="L191" s="5"/>
      <c r="M191" s="5"/>
      <c r="N191" s="5"/>
      <c r="O191" s="5"/>
    </row>
    <row r="192" spans="1:15">
      <c r="A192" s="4"/>
      <c r="B192" s="5"/>
      <c r="C192" s="5"/>
      <c r="D192" s="5"/>
      <c r="E192" s="5"/>
      <c r="F192" s="5"/>
      <c r="G192" s="5"/>
      <c r="H192" s="5"/>
      <c r="I192" s="5"/>
      <c r="J192" s="5"/>
      <c r="K192" s="5"/>
      <c r="L192" s="5"/>
      <c r="M192" s="5"/>
      <c r="N192" s="5"/>
      <c r="O192" s="5"/>
    </row>
    <row r="193" spans="1:15">
      <c r="A193" s="4"/>
      <c r="B193" s="5"/>
      <c r="C193" s="5"/>
      <c r="D193" s="5"/>
      <c r="E193" s="5"/>
      <c r="F193" s="5"/>
      <c r="G193" s="5"/>
      <c r="H193" s="5"/>
      <c r="I193" s="5"/>
      <c r="J193" s="5"/>
      <c r="K193" s="5"/>
      <c r="L193" s="5"/>
      <c r="M193" s="5"/>
      <c r="N193" s="5"/>
      <c r="O193" s="5"/>
    </row>
    <row r="194" spans="1:15">
      <c r="A194" s="4"/>
      <c r="B194" s="5"/>
      <c r="C194" s="5"/>
      <c r="D194" s="5"/>
      <c r="E194" s="5"/>
      <c r="F194" s="5"/>
      <c r="G194" s="5"/>
      <c r="H194" s="5"/>
      <c r="I194" s="5"/>
      <c r="J194" s="5"/>
      <c r="K194" s="5"/>
      <c r="L194" s="5"/>
      <c r="M194" s="5"/>
      <c r="N194" s="5"/>
      <c r="O194" s="5"/>
    </row>
    <row r="195" spans="1:15">
      <c r="A195" s="4"/>
      <c r="B195" s="5"/>
      <c r="C195" s="5"/>
      <c r="D195" s="5"/>
      <c r="E195" s="5"/>
      <c r="F195" s="5"/>
      <c r="G195" s="5"/>
      <c r="H195" s="5"/>
      <c r="I195" s="5"/>
      <c r="J195" s="5"/>
      <c r="K195" s="5"/>
      <c r="L195" s="5"/>
      <c r="M195" s="5"/>
      <c r="N195" s="5"/>
      <c r="O195" s="5"/>
    </row>
    <row r="196" spans="1:15">
      <c r="A196" s="4"/>
      <c r="B196" s="5"/>
      <c r="C196" s="5"/>
      <c r="D196" s="5"/>
      <c r="E196" s="5"/>
      <c r="F196" s="5"/>
      <c r="G196" s="5"/>
      <c r="H196" s="5"/>
      <c r="I196" s="5"/>
      <c r="J196" s="5"/>
      <c r="K196" s="5"/>
      <c r="L196" s="5"/>
      <c r="M196" s="5"/>
      <c r="N196" s="5"/>
      <c r="O196" s="5"/>
    </row>
    <row r="197" spans="1:15">
      <c r="A197" s="4"/>
      <c r="B197" s="5"/>
      <c r="C197" s="5"/>
      <c r="D197" s="5"/>
      <c r="E197" s="5"/>
      <c r="F197" s="5"/>
      <c r="G197" s="5"/>
      <c r="H197" s="5"/>
      <c r="I197" s="5"/>
      <c r="J197" s="5"/>
      <c r="K197" s="5"/>
      <c r="L197" s="5"/>
      <c r="M197" s="5"/>
      <c r="N197" s="5"/>
      <c r="O197" s="5"/>
    </row>
    <row r="198" spans="1:15">
      <c r="A198" s="4"/>
      <c r="B198" s="5"/>
      <c r="C198" s="5"/>
      <c r="D198" s="5"/>
      <c r="E198" s="5"/>
      <c r="F198" s="5"/>
      <c r="G198" s="5"/>
      <c r="H198" s="5"/>
      <c r="I198" s="5"/>
      <c r="J198" s="5"/>
      <c r="K198" s="5"/>
      <c r="L198" s="5"/>
      <c r="M198" s="5"/>
      <c r="N198" s="5"/>
      <c r="O198" s="5"/>
    </row>
    <row r="199" spans="1:15">
      <c r="A199" s="4"/>
      <c r="B199" s="5"/>
      <c r="C199" s="5"/>
      <c r="D199" s="5"/>
      <c r="E199" s="5"/>
      <c r="F199" s="5"/>
      <c r="G199" s="5"/>
      <c r="H199" s="5"/>
      <c r="I199" s="5"/>
      <c r="J199" s="5"/>
      <c r="K199" s="5"/>
      <c r="L199" s="5"/>
      <c r="M199" s="5"/>
      <c r="N199" s="5"/>
      <c r="O199" s="5"/>
    </row>
    <row r="200" spans="1:15">
      <c r="A200" s="4"/>
      <c r="B200" s="5"/>
      <c r="C200" s="5"/>
      <c r="D200" s="5"/>
      <c r="E200" s="5"/>
      <c r="F200" s="5"/>
      <c r="G200" s="5"/>
      <c r="H200" s="5"/>
      <c r="I200" s="5"/>
      <c r="J200" s="5"/>
      <c r="K200" s="5"/>
      <c r="L200" s="5"/>
      <c r="M200" s="5"/>
      <c r="N200" s="5"/>
      <c r="O200" s="5"/>
    </row>
    <row r="201" spans="1:15">
      <c r="A201" s="4"/>
      <c r="B201" s="5"/>
      <c r="C201" s="5"/>
      <c r="D201" s="5"/>
      <c r="E201" s="5"/>
      <c r="F201" s="5"/>
      <c r="G201" s="5"/>
      <c r="H201" s="5"/>
      <c r="I201" s="5"/>
      <c r="J201" s="5"/>
      <c r="K201" s="5"/>
      <c r="L201" s="5"/>
      <c r="M201" s="5"/>
      <c r="N201" s="5"/>
      <c r="O201" s="5"/>
    </row>
    <row r="202" spans="1:15">
      <c r="A202" s="4"/>
      <c r="B202" s="5"/>
      <c r="C202" s="5"/>
      <c r="D202" s="5"/>
      <c r="E202" s="5"/>
      <c r="F202" s="5"/>
      <c r="G202" s="5"/>
      <c r="H202" s="5"/>
      <c r="I202" s="5"/>
      <c r="J202" s="5"/>
      <c r="K202" s="5"/>
      <c r="L202" s="5"/>
      <c r="M202" s="5"/>
      <c r="N202" s="5"/>
      <c r="O202" s="5"/>
    </row>
    <row r="203" spans="1:15">
      <c r="A203" s="4"/>
      <c r="B203" s="5"/>
      <c r="C203" s="5"/>
      <c r="D203" s="5"/>
      <c r="E203" s="5"/>
      <c r="F203" s="5"/>
      <c r="G203" s="5"/>
      <c r="H203" s="5"/>
      <c r="I203" s="5"/>
      <c r="J203" s="5"/>
      <c r="K203" s="5"/>
      <c r="L203" s="5"/>
      <c r="M203" s="5"/>
      <c r="N203" s="5"/>
      <c r="O203" s="5"/>
    </row>
    <row r="204" spans="1:15">
      <c r="A204" s="4"/>
      <c r="B204" s="5"/>
      <c r="C204" s="5"/>
      <c r="D204" s="5"/>
      <c r="E204" s="5"/>
      <c r="F204" s="5"/>
      <c r="G204" s="5"/>
      <c r="H204" s="5"/>
      <c r="I204" s="5"/>
      <c r="J204" s="5"/>
      <c r="K204" s="5"/>
      <c r="L204" s="5"/>
      <c r="M204" s="5"/>
      <c r="N204" s="5"/>
      <c r="O204" s="5"/>
    </row>
    <row r="205" spans="1:15">
      <c r="A205" s="4"/>
      <c r="B205" s="5"/>
      <c r="C205" s="5"/>
      <c r="D205" s="5"/>
      <c r="E205" s="5"/>
      <c r="F205" s="5"/>
      <c r="G205" s="5"/>
      <c r="H205" s="5"/>
      <c r="I205" s="5"/>
      <c r="J205" s="5"/>
      <c r="K205" s="5"/>
      <c r="L205" s="5"/>
      <c r="M205" s="5"/>
      <c r="N205" s="5"/>
      <c r="O205" s="5"/>
    </row>
    <row r="206" spans="1:15">
      <c r="A206" s="4"/>
      <c r="B206" s="5"/>
      <c r="C206" s="5"/>
      <c r="D206" s="5"/>
      <c r="E206" s="5"/>
      <c r="F206" s="5"/>
      <c r="G206" s="5"/>
      <c r="H206" s="5"/>
      <c r="I206" s="5"/>
      <c r="J206" s="5"/>
      <c r="K206" s="5"/>
      <c r="L206" s="5"/>
      <c r="M206" s="5"/>
      <c r="N206" s="5"/>
      <c r="O206" s="5"/>
    </row>
    <row r="207" spans="1:15">
      <c r="A207" s="4"/>
      <c r="B207" s="5"/>
      <c r="C207" s="5"/>
      <c r="D207" s="5"/>
      <c r="E207" s="5"/>
      <c r="F207" s="5"/>
      <c r="G207" s="5"/>
      <c r="H207" s="5"/>
      <c r="I207" s="5"/>
      <c r="J207" s="5"/>
      <c r="K207" s="5"/>
      <c r="L207" s="5"/>
      <c r="M207" s="5"/>
      <c r="N207" s="5"/>
      <c r="O207" s="5"/>
    </row>
    <row r="208" spans="1:15">
      <c r="A208" s="4"/>
      <c r="B208" s="5"/>
      <c r="C208" s="5"/>
      <c r="D208" s="5"/>
      <c r="E208" s="5"/>
      <c r="F208" s="5"/>
      <c r="G208" s="5"/>
      <c r="H208" s="5"/>
      <c r="I208" s="5"/>
      <c r="J208" s="5"/>
      <c r="K208" s="5"/>
      <c r="L208" s="5"/>
      <c r="M208" s="5"/>
      <c r="N208" s="5"/>
      <c r="O208" s="5"/>
    </row>
    <row r="209" spans="1:15">
      <c r="A209" s="4"/>
      <c r="B209" s="5"/>
      <c r="C209" s="5"/>
      <c r="D209" s="5"/>
      <c r="E209" s="5"/>
      <c r="F209" s="5"/>
      <c r="G209" s="5"/>
      <c r="H209" s="5"/>
      <c r="I209" s="5"/>
      <c r="J209" s="5"/>
      <c r="K209" s="5"/>
      <c r="L209" s="5"/>
      <c r="M209" s="5"/>
      <c r="N209" s="5"/>
      <c r="O209" s="5"/>
    </row>
    <row r="210" spans="1:15">
      <c r="A210" s="4"/>
      <c r="B210" s="5"/>
      <c r="C210" s="5"/>
      <c r="D210" s="5"/>
      <c r="E210" s="5"/>
      <c r="F210" s="5"/>
      <c r="G210" s="5"/>
      <c r="H210" s="5"/>
      <c r="I210" s="5"/>
      <c r="J210" s="5"/>
      <c r="K210" s="5"/>
      <c r="L210" s="5"/>
      <c r="M210" s="5"/>
      <c r="N210" s="5"/>
      <c r="O210" s="5"/>
    </row>
    <row r="211" spans="1:15">
      <c r="A211" s="4"/>
      <c r="B211" s="5"/>
      <c r="C211" s="5"/>
      <c r="D211" s="5"/>
      <c r="E211" s="5"/>
      <c r="F211" s="5"/>
      <c r="G211" s="5"/>
      <c r="H211" s="5"/>
      <c r="I211" s="5"/>
      <c r="J211" s="5"/>
      <c r="K211" s="5"/>
      <c r="L211" s="5"/>
      <c r="M211" s="5"/>
      <c r="N211" s="5"/>
      <c r="O211" s="5"/>
    </row>
    <row r="212" spans="1:15">
      <c r="A212" s="4"/>
      <c r="B212" s="5"/>
      <c r="C212" s="5"/>
      <c r="D212" s="5"/>
      <c r="E212" s="5"/>
      <c r="F212" s="5"/>
      <c r="G212" s="5"/>
      <c r="H212" s="5"/>
      <c r="I212" s="5"/>
      <c r="J212" s="5"/>
      <c r="K212" s="5"/>
      <c r="L212" s="5"/>
      <c r="M212" s="5"/>
      <c r="N212" s="5"/>
      <c r="O212" s="5"/>
    </row>
    <row r="213" spans="1:15">
      <c r="A213" s="4"/>
      <c r="B213" s="5"/>
      <c r="C213" s="5"/>
      <c r="D213" s="5"/>
      <c r="E213" s="5"/>
      <c r="F213" s="5"/>
      <c r="G213" s="5"/>
      <c r="H213" s="5"/>
      <c r="I213" s="5"/>
      <c r="J213" s="5"/>
      <c r="K213" s="5"/>
      <c r="L213" s="5"/>
      <c r="M213" s="5"/>
      <c r="N213" s="5"/>
      <c r="O213" s="5"/>
    </row>
    <row r="214" spans="1:15">
      <c r="A214" s="4"/>
      <c r="B214" s="5"/>
      <c r="C214" s="5"/>
      <c r="D214" s="5"/>
      <c r="E214" s="5"/>
      <c r="F214" s="5"/>
      <c r="G214" s="5"/>
      <c r="H214" s="5"/>
      <c r="I214" s="5"/>
      <c r="J214" s="5"/>
      <c r="K214" s="5"/>
      <c r="L214" s="5"/>
      <c r="M214" s="5"/>
      <c r="N214" s="5"/>
      <c r="O214" s="5"/>
    </row>
    <row r="215" spans="1:15">
      <c r="A215" s="4"/>
      <c r="B215" s="5"/>
      <c r="C215" s="5"/>
      <c r="D215" s="5"/>
      <c r="E215" s="5"/>
      <c r="F215" s="5"/>
      <c r="G215" s="5"/>
      <c r="H215" s="5"/>
      <c r="I215" s="5"/>
      <c r="J215" s="5"/>
      <c r="K215" s="5"/>
      <c r="L215" s="5"/>
      <c r="M215" s="5"/>
      <c r="N215" s="5"/>
      <c r="O215" s="5"/>
    </row>
    <row r="216" spans="1:15">
      <c r="A216" s="4"/>
      <c r="B216" s="5"/>
      <c r="C216" s="5"/>
      <c r="D216" s="5"/>
      <c r="E216" s="5"/>
      <c r="F216" s="5"/>
      <c r="G216" s="5"/>
      <c r="H216" s="5"/>
      <c r="I216" s="5"/>
      <c r="J216" s="5"/>
      <c r="K216" s="5"/>
      <c r="L216" s="5"/>
      <c r="M216" s="5"/>
      <c r="N216" s="5"/>
      <c r="O216" s="5"/>
    </row>
    <row r="217" spans="1:15">
      <c r="A217" s="4"/>
      <c r="B217" s="5"/>
      <c r="C217" s="5"/>
      <c r="D217" s="5"/>
      <c r="E217" s="5"/>
      <c r="F217" s="5"/>
      <c r="G217" s="5"/>
      <c r="H217" s="5"/>
      <c r="I217" s="5"/>
      <c r="J217" s="5"/>
      <c r="K217" s="5"/>
      <c r="L217" s="5"/>
      <c r="M217" s="5"/>
      <c r="N217" s="5"/>
      <c r="O217" s="5"/>
    </row>
    <row r="218" spans="1:15">
      <c r="A218" s="4"/>
      <c r="B218" s="5"/>
      <c r="C218" s="5"/>
      <c r="D218" s="5"/>
      <c r="E218" s="5"/>
      <c r="F218" s="5"/>
      <c r="G218" s="5"/>
      <c r="H218" s="5"/>
      <c r="I218" s="5"/>
      <c r="J218" s="5"/>
      <c r="K218" s="5"/>
      <c r="L218" s="5"/>
      <c r="M218" s="5"/>
      <c r="N218" s="5"/>
      <c r="O218" s="5"/>
    </row>
    <row r="219" spans="1:15">
      <c r="A219" s="4"/>
      <c r="B219" s="5"/>
      <c r="C219" s="5"/>
      <c r="D219" s="5"/>
      <c r="E219" s="5"/>
      <c r="F219" s="5"/>
      <c r="G219" s="5"/>
      <c r="H219" s="5"/>
      <c r="I219" s="5"/>
      <c r="J219" s="5"/>
      <c r="K219" s="5"/>
      <c r="L219" s="5"/>
      <c r="M219" s="5"/>
      <c r="N219" s="5"/>
      <c r="O219" s="5"/>
    </row>
    <row r="220" spans="1:15">
      <c r="A220" s="4"/>
      <c r="B220" s="5"/>
      <c r="C220" s="5"/>
      <c r="D220" s="5"/>
      <c r="E220" s="5"/>
      <c r="F220" s="5"/>
      <c r="G220" s="5"/>
      <c r="H220" s="5"/>
      <c r="I220" s="5"/>
      <c r="J220" s="5"/>
      <c r="K220" s="5"/>
      <c r="L220" s="5"/>
      <c r="M220" s="5"/>
      <c r="N220" s="5"/>
      <c r="O220" s="5"/>
    </row>
    <row r="221" spans="1:15">
      <c r="A221" s="4"/>
      <c r="B221" s="5"/>
      <c r="C221" s="5"/>
      <c r="D221" s="5"/>
      <c r="E221" s="5"/>
      <c r="F221" s="5"/>
      <c r="G221" s="5"/>
      <c r="H221" s="5"/>
      <c r="I221" s="5"/>
      <c r="J221" s="5"/>
      <c r="K221" s="5"/>
      <c r="L221" s="5"/>
      <c r="M221" s="5"/>
      <c r="N221" s="5"/>
      <c r="O221" s="5"/>
    </row>
    <row r="222" spans="1:15">
      <c r="A222" s="4"/>
      <c r="B222" s="5"/>
      <c r="C222" s="5"/>
      <c r="D222" s="5"/>
      <c r="E222" s="5"/>
      <c r="F222" s="5"/>
      <c r="G222" s="5"/>
      <c r="H222" s="5"/>
      <c r="I222" s="5"/>
      <c r="J222" s="5"/>
      <c r="K222" s="5"/>
      <c r="L222" s="5"/>
      <c r="M222" s="5"/>
      <c r="N222" s="5"/>
      <c r="O222" s="5"/>
    </row>
    <row r="223" spans="1:15">
      <c r="A223" s="4"/>
      <c r="B223" s="5"/>
      <c r="C223" s="5"/>
      <c r="D223" s="5"/>
      <c r="E223" s="5"/>
      <c r="F223" s="5"/>
      <c r="G223" s="5"/>
      <c r="H223" s="5"/>
      <c r="I223" s="5"/>
      <c r="J223" s="5"/>
      <c r="K223" s="5"/>
      <c r="L223" s="5"/>
      <c r="M223" s="5"/>
      <c r="N223" s="5"/>
      <c r="O223" s="5"/>
    </row>
    <row r="224" spans="1:15">
      <c r="A224" s="4"/>
      <c r="B224" s="5"/>
      <c r="C224" s="5"/>
      <c r="D224" s="5"/>
      <c r="E224" s="5"/>
      <c r="F224" s="5"/>
      <c r="G224" s="5"/>
      <c r="H224" s="5"/>
      <c r="I224" s="5"/>
      <c r="J224" s="5"/>
      <c r="K224" s="5"/>
      <c r="L224" s="5"/>
      <c r="M224" s="5"/>
      <c r="N224" s="5"/>
      <c r="O224" s="5"/>
    </row>
    <row r="225" spans="1:15">
      <c r="A225" s="4"/>
      <c r="B225" s="5"/>
      <c r="C225" s="5"/>
      <c r="D225" s="5"/>
      <c r="E225" s="5"/>
      <c r="F225" s="5"/>
      <c r="G225" s="5"/>
      <c r="H225" s="5"/>
      <c r="I225" s="5"/>
      <c r="J225" s="5"/>
      <c r="K225" s="5"/>
      <c r="L225" s="5"/>
      <c r="M225" s="5"/>
      <c r="N225" s="5"/>
      <c r="O225" s="5"/>
    </row>
    <row r="226" spans="1:15">
      <c r="A226" s="4"/>
      <c r="B226" s="5"/>
      <c r="C226" s="5"/>
      <c r="D226" s="5"/>
      <c r="E226" s="5"/>
      <c r="F226" s="5"/>
      <c r="G226" s="5"/>
      <c r="H226" s="5"/>
      <c r="I226" s="5"/>
      <c r="J226" s="5"/>
      <c r="K226" s="5"/>
      <c r="L226" s="5"/>
      <c r="M226" s="5"/>
      <c r="N226" s="5"/>
      <c r="O226" s="5"/>
    </row>
    <row r="227" spans="1:15">
      <c r="A227" s="4"/>
      <c r="B227" s="5"/>
      <c r="C227" s="5"/>
      <c r="D227" s="5"/>
      <c r="E227" s="5"/>
      <c r="F227" s="5"/>
      <c r="G227" s="5"/>
      <c r="H227" s="5"/>
      <c r="I227" s="5"/>
      <c r="J227" s="5"/>
      <c r="K227" s="5"/>
      <c r="L227" s="5"/>
      <c r="M227" s="5"/>
      <c r="N227" s="5"/>
      <c r="O227" s="5"/>
    </row>
    <row r="228" spans="1:15">
      <c r="A228" s="4"/>
      <c r="B228" s="5"/>
      <c r="C228" s="5"/>
      <c r="D228" s="5"/>
      <c r="E228" s="5"/>
      <c r="F228" s="5"/>
      <c r="G228" s="5"/>
      <c r="H228" s="5"/>
      <c r="I228" s="5"/>
      <c r="J228" s="5"/>
      <c r="K228" s="5"/>
      <c r="L228" s="5"/>
      <c r="M228" s="5"/>
      <c r="N228" s="5"/>
      <c r="O228" s="5"/>
    </row>
    <row r="229" spans="1:15">
      <c r="A229" s="4"/>
      <c r="B229" s="5"/>
      <c r="C229" s="5"/>
      <c r="D229" s="5"/>
      <c r="E229" s="5"/>
      <c r="F229" s="5"/>
      <c r="G229" s="5"/>
      <c r="H229" s="5"/>
      <c r="I229" s="5"/>
      <c r="J229" s="5"/>
      <c r="K229" s="5"/>
      <c r="L229" s="5"/>
      <c r="M229" s="5"/>
      <c r="N229" s="5"/>
      <c r="O229" s="5"/>
    </row>
    <row r="230" spans="1:15">
      <c r="A230" s="4"/>
      <c r="B230" s="5"/>
      <c r="C230" s="5"/>
      <c r="D230" s="5"/>
      <c r="E230" s="5"/>
      <c r="F230" s="5"/>
      <c r="G230" s="5"/>
      <c r="H230" s="5"/>
      <c r="I230" s="5"/>
      <c r="J230" s="5"/>
      <c r="K230" s="5"/>
      <c r="L230" s="5"/>
      <c r="M230" s="5"/>
      <c r="N230" s="5"/>
      <c r="O230" s="5"/>
    </row>
    <row r="231" spans="1:15">
      <c r="A231" s="4"/>
      <c r="B231" s="5"/>
      <c r="C231" s="5"/>
      <c r="D231" s="5"/>
      <c r="E231" s="5"/>
      <c r="F231" s="5"/>
      <c r="G231" s="5"/>
      <c r="H231" s="5"/>
      <c r="I231" s="5"/>
      <c r="J231" s="5"/>
      <c r="K231" s="5"/>
      <c r="L231" s="5"/>
      <c r="M231" s="5"/>
      <c r="N231" s="5"/>
      <c r="O231" s="5"/>
    </row>
    <row r="232" spans="1:15">
      <c r="A232" s="4"/>
      <c r="B232" s="5"/>
      <c r="C232" s="5"/>
      <c r="D232" s="5"/>
      <c r="E232" s="5"/>
      <c r="F232" s="5"/>
      <c r="G232" s="5"/>
      <c r="H232" s="5"/>
      <c r="I232" s="5"/>
      <c r="J232" s="5"/>
      <c r="K232" s="5"/>
      <c r="L232" s="5"/>
      <c r="M232" s="5"/>
      <c r="N232" s="5"/>
      <c r="O232" s="5"/>
    </row>
    <row r="233" spans="1:15">
      <c r="A233" s="4"/>
      <c r="B233" s="5"/>
      <c r="C233" s="5"/>
      <c r="D233" s="5"/>
      <c r="E233" s="5"/>
      <c r="F233" s="5"/>
      <c r="G233" s="5"/>
      <c r="H233" s="5"/>
      <c r="I233" s="5"/>
      <c r="J233" s="5"/>
      <c r="K233" s="5"/>
      <c r="L233" s="5"/>
      <c r="M233" s="5"/>
      <c r="N233" s="5"/>
      <c r="O233" s="5"/>
    </row>
    <row r="234" spans="1:15">
      <c r="A234" s="4"/>
      <c r="B234" s="5"/>
      <c r="C234" s="5"/>
      <c r="D234" s="5"/>
      <c r="E234" s="5"/>
      <c r="F234" s="5"/>
      <c r="G234" s="5"/>
      <c r="H234" s="5"/>
      <c r="I234" s="5"/>
      <c r="J234" s="5"/>
      <c r="K234" s="5"/>
      <c r="L234" s="5"/>
      <c r="M234" s="5"/>
      <c r="N234" s="5"/>
      <c r="O234" s="5"/>
    </row>
    <row r="235" spans="1:15">
      <c r="A235" s="4"/>
      <c r="B235" s="5"/>
      <c r="C235" s="5"/>
      <c r="D235" s="5"/>
      <c r="E235" s="5"/>
      <c r="F235" s="5"/>
      <c r="G235" s="5"/>
      <c r="H235" s="5"/>
      <c r="I235" s="5"/>
      <c r="J235" s="5"/>
      <c r="K235" s="5"/>
      <c r="L235" s="5"/>
      <c r="M235" s="5"/>
      <c r="N235" s="5"/>
      <c r="O235" s="5"/>
    </row>
    <row r="236" spans="1:15">
      <c r="A236" s="4"/>
      <c r="B236" s="5"/>
      <c r="C236" s="5"/>
      <c r="D236" s="5"/>
      <c r="E236" s="5"/>
      <c r="F236" s="5"/>
      <c r="G236" s="5"/>
      <c r="H236" s="5"/>
      <c r="I236" s="5"/>
      <c r="J236" s="5"/>
      <c r="K236" s="5"/>
      <c r="L236" s="5"/>
      <c r="M236" s="5"/>
      <c r="N236" s="5"/>
      <c r="O236" s="5"/>
    </row>
    <row r="237" spans="1:15">
      <c r="A237" s="4"/>
      <c r="B237" s="5"/>
      <c r="C237" s="5"/>
      <c r="D237" s="5"/>
      <c r="E237" s="5"/>
      <c r="F237" s="5"/>
      <c r="G237" s="5"/>
      <c r="H237" s="5"/>
      <c r="I237" s="5"/>
      <c r="J237" s="5"/>
      <c r="K237" s="5"/>
      <c r="L237" s="5"/>
      <c r="M237" s="5"/>
      <c r="N237" s="5"/>
      <c r="O237" s="5"/>
    </row>
    <row r="238" spans="1:15">
      <c r="A238" s="4"/>
      <c r="B238" s="5"/>
      <c r="C238" s="5"/>
      <c r="D238" s="5"/>
      <c r="E238" s="5"/>
      <c r="F238" s="5"/>
      <c r="G238" s="5"/>
      <c r="H238" s="5"/>
      <c r="I238" s="5"/>
      <c r="J238" s="5"/>
      <c r="K238" s="5"/>
      <c r="L238" s="5"/>
      <c r="M238" s="5"/>
      <c r="N238" s="5"/>
      <c r="O238" s="5"/>
    </row>
    <row r="239" spans="1:15">
      <c r="A239" s="4"/>
      <c r="B239" s="5"/>
      <c r="C239" s="5"/>
      <c r="D239" s="5"/>
      <c r="E239" s="5"/>
      <c r="F239" s="5"/>
      <c r="G239" s="5"/>
      <c r="H239" s="5"/>
      <c r="I239" s="5"/>
      <c r="J239" s="5"/>
      <c r="K239" s="5"/>
      <c r="L239" s="5"/>
      <c r="M239" s="5"/>
      <c r="N239" s="5"/>
      <c r="O239" s="5"/>
    </row>
    <row r="240" spans="1:15">
      <c r="A240" s="4"/>
      <c r="B240" s="5"/>
      <c r="C240" s="5"/>
      <c r="D240" s="5"/>
      <c r="E240" s="5"/>
      <c r="F240" s="5"/>
      <c r="G240" s="5"/>
      <c r="H240" s="5"/>
      <c r="I240" s="5"/>
      <c r="J240" s="5"/>
      <c r="K240" s="5"/>
      <c r="L240" s="5"/>
      <c r="M240" s="5"/>
      <c r="N240" s="5"/>
      <c r="O240" s="5"/>
    </row>
    <row r="241" spans="1:15">
      <c r="A241" s="4"/>
      <c r="B241" s="5"/>
      <c r="C241" s="5"/>
      <c r="D241" s="5"/>
      <c r="E241" s="5"/>
      <c r="F241" s="5"/>
      <c r="G241" s="5"/>
      <c r="H241" s="5"/>
      <c r="I241" s="5"/>
      <c r="J241" s="5"/>
      <c r="K241" s="5"/>
      <c r="L241" s="5"/>
      <c r="M241" s="5"/>
      <c r="N241" s="5"/>
      <c r="O241" s="5"/>
    </row>
    <row r="242" spans="1:15">
      <c r="A242" s="4"/>
      <c r="B242" s="5"/>
      <c r="C242" s="5"/>
      <c r="D242" s="5"/>
      <c r="E242" s="5"/>
      <c r="F242" s="5"/>
      <c r="G242" s="5"/>
      <c r="H242" s="5"/>
      <c r="I242" s="5"/>
      <c r="J242" s="5"/>
      <c r="K242" s="5"/>
      <c r="L242" s="5"/>
      <c r="M242" s="5"/>
      <c r="N242" s="5"/>
      <c r="O242" s="5"/>
    </row>
    <row r="243" spans="1:15">
      <c r="A243" s="4"/>
      <c r="B243" s="5"/>
      <c r="C243" s="5"/>
      <c r="D243" s="5"/>
      <c r="E243" s="5"/>
      <c r="F243" s="5"/>
      <c r="G243" s="5"/>
      <c r="H243" s="5"/>
      <c r="I243" s="5"/>
      <c r="J243" s="5"/>
      <c r="K243" s="5"/>
      <c r="L243" s="5"/>
      <c r="M243" s="5"/>
      <c r="N243" s="5"/>
      <c r="O243" s="5"/>
    </row>
    <row r="244" spans="1:15">
      <c r="A244" s="4"/>
      <c r="B244" s="5"/>
      <c r="C244" s="5"/>
      <c r="D244" s="5"/>
      <c r="E244" s="5"/>
      <c r="F244" s="5"/>
      <c r="G244" s="5"/>
      <c r="H244" s="5"/>
      <c r="I244" s="5"/>
      <c r="J244" s="5"/>
      <c r="K244" s="5"/>
      <c r="L244" s="5"/>
      <c r="M244" s="5"/>
      <c r="N244" s="5"/>
      <c r="O244" s="5"/>
    </row>
    <row r="245" spans="1:15">
      <c r="A245" s="4"/>
      <c r="B245" s="5"/>
      <c r="C245" s="5"/>
      <c r="D245" s="5"/>
      <c r="E245" s="5"/>
      <c r="F245" s="5"/>
      <c r="G245" s="5"/>
      <c r="H245" s="5"/>
      <c r="I245" s="5"/>
      <c r="J245" s="5"/>
      <c r="K245" s="5"/>
      <c r="L245" s="5"/>
      <c r="M245" s="5"/>
      <c r="N245" s="5"/>
      <c r="O245" s="5"/>
    </row>
    <row r="246" spans="1:15">
      <c r="A246" s="4"/>
      <c r="B246" s="5"/>
      <c r="C246" s="5"/>
      <c r="D246" s="5"/>
      <c r="E246" s="5"/>
      <c r="F246" s="5"/>
      <c r="G246" s="5"/>
      <c r="H246" s="5"/>
      <c r="I246" s="5"/>
      <c r="J246" s="5"/>
      <c r="K246" s="5"/>
      <c r="L246" s="5"/>
      <c r="M246" s="5"/>
      <c r="N246" s="5"/>
      <c r="O246" s="5"/>
    </row>
    <row r="247" spans="1:15">
      <c r="A247" s="4"/>
      <c r="B247" s="5"/>
      <c r="C247" s="5"/>
      <c r="D247" s="5"/>
      <c r="E247" s="5"/>
      <c r="F247" s="5"/>
      <c r="G247" s="5"/>
      <c r="H247" s="5"/>
      <c r="I247" s="5"/>
      <c r="J247" s="5"/>
      <c r="K247" s="5"/>
      <c r="L247" s="5"/>
      <c r="M247" s="5"/>
      <c r="N247" s="5"/>
      <c r="O247" s="5"/>
    </row>
    <row r="248" spans="1:15">
      <c r="A248" s="4"/>
      <c r="B248" s="5"/>
      <c r="C248" s="5"/>
      <c r="D248" s="5"/>
      <c r="E248" s="5"/>
      <c r="F248" s="5"/>
      <c r="G248" s="5"/>
      <c r="H248" s="5"/>
      <c r="I248" s="5"/>
      <c r="J248" s="5"/>
      <c r="K248" s="5"/>
      <c r="L248" s="5"/>
      <c r="M248" s="5"/>
      <c r="N248" s="5"/>
      <c r="O248" s="5"/>
    </row>
    <row r="249" spans="1:15">
      <c r="A249" s="4"/>
      <c r="B249" s="5"/>
      <c r="C249" s="5"/>
      <c r="D249" s="5"/>
      <c r="E249" s="5"/>
      <c r="F249" s="5"/>
      <c r="G249" s="5"/>
      <c r="H249" s="5"/>
      <c r="I249" s="5"/>
      <c r="J249" s="5"/>
      <c r="K249" s="5"/>
      <c r="L249" s="5"/>
      <c r="M249" s="5"/>
      <c r="N249" s="5"/>
      <c r="O249" s="5"/>
    </row>
    <row r="250" spans="1:15">
      <c r="A250" s="4"/>
      <c r="B250" s="5"/>
      <c r="C250" s="5"/>
      <c r="D250" s="5"/>
      <c r="E250" s="5"/>
      <c r="F250" s="5"/>
      <c r="G250" s="5"/>
      <c r="H250" s="5"/>
      <c r="I250" s="5"/>
      <c r="J250" s="5"/>
      <c r="K250" s="5"/>
      <c r="L250" s="5"/>
      <c r="M250" s="5"/>
      <c r="N250" s="5"/>
      <c r="O250" s="5"/>
    </row>
    <row r="251" spans="1:15">
      <c r="A251" s="4"/>
      <c r="B251" s="5"/>
      <c r="C251" s="5"/>
      <c r="D251" s="5"/>
      <c r="E251" s="5"/>
      <c r="F251" s="5"/>
      <c r="G251" s="5"/>
      <c r="H251" s="5"/>
      <c r="I251" s="5"/>
      <c r="J251" s="5"/>
      <c r="K251" s="5"/>
      <c r="L251" s="5"/>
      <c r="M251" s="5"/>
      <c r="N251" s="5"/>
      <c r="O251" s="5"/>
    </row>
    <row r="252" spans="1:15">
      <c r="A252" s="4"/>
      <c r="B252" s="5"/>
      <c r="C252" s="5"/>
      <c r="D252" s="5"/>
      <c r="E252" s="5"/>
      <c r="F252" s="5"/>
      <c r="G252" s="5"/>
      <c r="H252" s="5"/>
      <c r="I252" s="5"/>
      <c r="J252" s="5"/>
      <c r="K252" s="5"/>
      <c r="L252" s="5"/>
      <c r="M252" s="5"/>
      <c r="N252" s="5"/>
      <c r="O252" s="5"/>
    </row>
    <row r="253" spans="1:15">
      <c r="A253" s="4"/>
      <c r="B253" s="5"/>
      <c r="C253" s="5"/>
      <c r="D253" s="5"/>
      <c r="E253" s="5"/>
      <c r="F253" s="5"/>
      <c r="G253" s="5"/>
      <c r="H253" s="5"/>
      <c r="I253" s="5"/>
      <c r="J253" s="5"/>
      <c r="K253" s="5"/>
      <c r="L253" s="5"/>
      <c r="M253" s="5"/>
      <c r="N253" s="5"/>
      <c r="O253" s="5"/>
    </row>
    <row r="254" spans="1:15">
      <c r="A254" s="4"/>
      <c r="B254" s="5"/>
      <c r="C254" s="5"/>
      <c r="D254" s="5"/>
      <c r="E254" s="5"/>
      <c r="F254" s="5"/>
      <c r="G254" s="5"/>
      <c r="H254" s="5"/>
      <c r="I254" s="5"/>
      <c r="J254" s="5"/>
      <c r="K254" s="5"/>
      <c r="L254" s="5"/>
      <c r="M254" s="5"/>
      <c r="N254" s="5"/>
      <c r="O254" s="5"/>
    </row>
    <row r="255" spans="1:15">
      <c r="A255" s="4"/>
      <c r="B255" s="5"/>
      <c r="C255" s="5"/>
      <c r="D255" s="5"/>
      <c r="E255" s="5"/>
      <c r="F255" s="5"/>
      <c r="G255" s="5"/>
      <c r="H255" s="5"/>
      <c r="I255" s="5"/>
      <c r="J255" s="5"/>
      <c r="K255" s="5"/>
      <c r="L255" s="5"/>
      <c r="M255" s="5"/>
      <c r="N255" s="5"/>
      <c r="O255" s="5"/>
    </row>
    <row r="256" spans="1:15">
      <c r="A256" s="4"/>
      <c r="B256" s="5"/>
      <c r="C256" s="5"/>
      <c r="D256" s="5"/>
      <c r="E256" s="5"/>
      <c r="F256" s="5"/>
      <c r="G256" s="5"/>
      <c r="H256" s="5"/>
      <c r="I256" s="5"/>
      <c r="J256" s="5"/>
      <c r="K256" s="5"/>
      <c r="L256" s="5"/>
      <c r="M256" s="5"/>
      <c r="N256" s="5"/>
      <c r="O256" s="5"/>
    </row>
    <row r="257" spans="1:15">
      <c r="A257" s="4"/>
      <c r="B257" s="5"/>
      <c r="C257" s="5"/>
      <c r="D257" s="5"/>
      <c r="E257" s="5"/>
      <c r="F257" s="5"/>
      <c r="G257" s="5"/>
      <c r="H257" s="5"/>
      <c r="I257" s="5"/>
      <c r="J257" s="5"/>
      <c r="K257" s="5"/>
      <c r="L257" s="5"/>
      <c r="M257" s="5"/>
      <c r="N257" s="5"/>
      <c r="O257" s="5"/>
    </row>
    <row r="258" spans="1:15">
      <c r="A258" s="4"/>
      <c r="B258" s="5"/>
      <c r="C258" s="5"/>
      <c r="D258" s="5"/>
      <c r="E258" s="5"/>
      <c r="F258" s="5"/>
      <c r="G258" s="5"/>
      <c r="H258" s="5"/>
      <c r="I258" s="5"/>
      <c r="J258" s="5"/>
      <c r="K258" s="5"/>
      <c r="L258" s="5"/>
      <c r="M258" s="5"/>
      <c r="N258" s="5"/>
      <c r="O258" s="5"/>
    </row>
    <row r="259" spans="1:15">
      <c r="A259" s="4"/>
      <c r="B259" s="5"/>
      <c r="C259" s="5"/>
      <c r="D259" s="5"/>
      <c r="E259" s="5"/>
      <c r="F259" s="5"/>
      <c r="G259" s="5"/>
      <c r="H259" s="5"/>
      <c r="I259" s="5"/>
      <c r="J259" s="5"/>
      <c r="K259" s="5"/>
      <c r="L259" s="5"/>
      <c r="M259" s="5"/>
      <c r="N259" s="5"/>
      <c r="O259" s="5"/>
    </row>
    <row r="260" spans="1:15">
      <c r="A260" s="4"/>
      <c r="B260" s="5"/>
      <c r="C260" s="5"/>
      <c r="D260" s="5"/>
      <c r="E260" s="5"/>
      <c r="F260" s="5"/>
      <c r="G260" s="5"/>
      <c r="H260" s="5"/>
      <c r="I260" s="5"/>
      <c r="J260" s="5"/>
      <c r="K260" s="5"/>
      <c r="L260" s="5"/>
      <c r="M260" s="5"/>
      <c r="N260" s="5"/>
      <c r="O260" s="5"/>
    </row>
    <row r="261" spans="1:15">
      <c r="A261" s="4"/>
      <c r="B261" s="5"/>
      <c r="C261" s="5"/>
      <c r="D261" s="5"/>
      <c r="E261" s="5"/>
      <c r="F261" s="5"/>
      <c r="G261" s="5"/>
      <c r="H261" s="5"/>
      <c r="I261" s="5"/>
      <c r="J261" s="5"/>
      <c r="K261" s="5"/>
      <c r="L261" s="5"/>
      <c r="M261" s="5"/>
      <c r="N261" s="5"/>
      <c r="O261" s="5"/>
    </row>
    <row r="262" spans="1:15">
      <c r="A262" s="4"/>
      <c r="B262" s="5"/>
      <c r="C262" s="5"/>
      <c r="D262" s="5"/>
      <c r="E262" s="5"/>
      <c r="F262" s="5"/>
      <c r="G262" s="5"/>
      <c r="H262" s="5"/>
      <c r="I262" s="5"/>
      <c r="J262" s="5"/>
      <c r="K262" s="5"/>
      <c r="L262" s="5"/>
      <c r="M262" s="5"/>
      <c r="N262" s="5"/>
      <c r="O262" s="5"/>
    </row>
    <row r="263" spans="1:15">
      <c r="A263" s="4"/>
      <c r="B263" s="5"/>
      <c r="C263" s="5"/>
      <c r="D263" s="5"/>
      <c r="E263" s="5"/>
      <c r="F263" s="5"/>
      <c r="G263" s="5"/>
      <c r="H263" s="5"/>
      <c r="I263" s="5"/>
      <c r="J263" s="5"/>
      <c r="K263" s="5"/>
      <c r="L263" s="5"/>
      <c r="M263" s="5"/>
      <c r="N263" s="5"/>
      <c r="O263" s="5"/>
    </row>
    <row r="264" spans="1:15">
      <c r="A264" s="4"/>
      <c r="B264" s="5"/>
      <c r="C264" s="5"/>
      <c r="D264" s="5"/>
      <c r="E264" s="5"/>
      <c r="F264" s="5"/>
      <c r="G264" s="5"/>
      <c r="H264" s="5"/>
      <c r="I264" s="5"/>
      <c r="J264" s="5"/>
      <c r="K264" s="5"/>
      <c r="L264" s="5"/>
      <c r="M264" s="5"/>
      <c r="N264" s="5"/>
      <c r="O264" s="5"/>
    </row>
    <row r="265" spans="1:15">
      <c r="A265" s="4"/>
      <c r="B265" s="5"/>
      <c r="C265" s="5"/>
      <c r="D265" s="5"/>
      <c r="E265" s="5"/>
      <c r="F265" s="5"/>
      <c r="G265" s="5"/>
      <c r="H265" s="5"/>
      <c r="I265" s="5"/>
      <c r="J265" s="5"/>
      <c r="K265" s="5"/>
      <c r="L265" s="5"/>
      <c r="M265" s="5"/>
      <c r="N265" s="5"/>
      <c r="O265" s="5"/>
    </row>
    <row r="266" spans="1:15">
      <c r="A266" s="4"/>
      <c r="B266" s="5"/>
      <c r="C266" s="5"/>
      <c r="D266" s="5"/>
      <c r="E266" s="5"/>
      <c r="F266" s="5"/>
      <c r="G266" s="5"/>
      <c r="H266" s="5"/>
      <c r="I266" s="5"/>
      <c r="J266" s="5"/>
      <c r="K266" s="5"/>
      <c r="L266" s="5"/>
      <c r="M266" s="5"/>
      <c r="N266" s="5"/>
      <c r="O266" s="5"/>
    </row>
    <row r="267" spans="1:15">
      <c r="A267" s="4"/>
      <c r="B267" s="5"/>
      <c r="C267" s="5"/>
      <c r="D267" s="5"/>
      <c r="E267" s="5"/>
      <c r="F267" s="5"/>
      <c r="G267" s="5"/>
      <c r="H267" s="5"/>
      <c r="I267" s="5"/>
      <c r="J267" s="5"/>
      <c r="K267" s="5"/>
      <c r="L267" s="5"/>
      <c r="M267" s="5"/>
      <c r="N267" s="5"/>
      <c r="O267" s="5"/>
    </row>
    <row r="268" spans="1:15">
      <c r="A268" s="4"/>
      <c r="B268" s="5"/>
      <c r="C268" s="5"/>
      <c r="D268" s="5"/>
      <c r="E268" s="5"/>
      <c r="F268" s="5"/>
      <c r="G268" s="5"/>
      <c r="H268" s="5"/>
      <c r="I268" s="5"/>
      <c r="J268" s="5"/>
      <c r="K268" s="5"/>
      <c r="L268" s="5"/>
      <c r="M268" s="5"/>
      <c r="N268" s="5"/>
      <c r="O268" s="5"/>
    </row>
    <row r="269" spans="1:15">
      <c r="A269" s="4"/>
      <c r="B269" s="5"/>
      <c r="C269" s="5"/>
      <c r="D269" s="5"/>
      <c r="E269" s="5"/>
      <c r="F269" s="5"/>
      <c r="G269" s="5"/>
      <c r="H269" s="5"/>
      <c r="I269" s="5"/>
      <c r="J269" s="5"/>
      <c r="K269" s="5"/>
      <c r="L269" s="5"/>
      <c r="M269" s="5"/>
      <c r="N269" s="5"/>
      <c r="O269" s="5"/>
    </row>
    <row r="270" spans="1:15">
      <c r="A270" s="4"/>
      <c r="B270" s="5"/>
      <c r="C270" s="5"/>
      <c r="D270" s="5"/>
      <c r="E270" s="5"/>
      <c r="F270" s="5"/>
      <c r="G270" s="5"/>
      <c r="H270" s="5"/>
      <c r="I270" s="5"/>
      <c r="J270" s="5"/>
      <c r="K270" s="5"/>
      <c r="L270" s="5"/>
      <c r="M270" s="5"/>
      <c r="N270" s="5"/>
      <c r="O270" s="5"/>
    </row>
    <row r="271" spans="1:15">
      <c r="A271" s="4"/>
      <c r="B271" s="5"/>
      <c r="C271" s="5"/>
      <c r="D271" s="5"/>
      <c r="E271" s="5"/>
      <c r="F271" s="5"/>
      <c r="G271" s="5"/>
      <c r="H271" s="5"/>
      <c r="I271" s="5"/>
      <c r="J271" s="5"/>
      <c r="K271" s="5"/>
      <c r="L271" s="5"/>
      <c r="M271" s="5"/>
      <c r="N271" s="5"/>
      <c r="O271" s="5"/>
    </row>
    <row r="272" spans="1:15">
      <c r="A272" s="4"/>
      <c r="B272" s="5"/>
      <c r="C272" s="5"/>
      <c r="D272" s="5"/>
      <c r="E272" s="5"/>
      <c r="F272" s="5"/>
      <c r="G272" s="5"/>
      <c r="H272" s="5"/>
      <c r="I272" s="5"/>
      <c r="J272" s="5"/>
      <c r="K272" s="5"/>
      <c r="L272" s="5"/>
      <c r="M272" s="5"/>
      <c r="N272" s="5"/>
      <c r="O272" s="5"/>
    </row>
    <row r="273" spans="1:15">
      <c r="A273" s="4"/>
      <c r="B273" s="5"/>
      <c r="C273" s="5"/>
      <c r="D273" s="5"/>
      <c r="E273" s="5"/>
      <c r="F273" s="5"/>
      <c r="G273" s="5"/>
      <c r="H273" s="5"/>
      <c r="I273" s="5"/>
      <c r="J273" s="5"/>
      <c r="K273" s="5"/>
      <c r="L273" s="5"/>
      <c r="M273" s="5"/>
      <c r="N273" s="5"/>
      <c r="O273" s="5"/>
    </row>
    <row r="274" spans="1:15">
      <c r="A274" s="4"/>
      <c r="B274" s="5"/>
      <c r="C274" s="5"/>
      <c r="D274" s="5"/>
      <c r="E274" s="5"/>
      <c r="F274" s="5"/>
      <c r="G274" s="5"/>
      <c r="H274" s="5"/>
      <c r="I274" s="5"/>
      <c r="J274" s="5"/>
      <c r="K274" s="5"/>
      <c r="L274" s="5"/>
      <c r="M274" s="5"/>
      <c r="N274" s="5"/>
      <c r="O274" s="5"/>
    </row>
    <row r="275" spans="1:15">
      <c r="A275" s="4"/>
      <c r="B275" s="5"/>
      <c r="C275" s="5"/>
      <c r="D275" s="5"/>
      <c r="E275" s="5"/>
      <c r="F275" s="5"/>
      <c r="G275" s="5"/>
      <c r="H275" s="5"/>
      <c r="I275" s="5"/>
      <c r="J275" s="5"/>
      <c r="K275" s="5"/>
      <c r="L275" s="5"/>
      <c r="M275" s="5"/>
      <c r="N275" s="5"/>
      <c r="O275" s="5"/>
    </row>
    <row r="276" spans="1:15">
      <c r="A276" s="4"/>
      <c r="B276" s="5"/>
      <c r="C276" s="5"/>
      <c r="D276" s="5"/>
      <c r="E276" s="5"/>
      <c r="F276" s="5"/>
      <c r="G276" s="5"/>
      <c r="H276" s="5"/>
      <c r="I276" s="5"/>
      <c r="J276" s="5"/>
      <c r="K276" s="5"/>
      <c r="L276" s="5"/>
      <c r="M276" s="5"/>
      <c r="N276" s="5"/>
      <c r="O276" s="5"/>
    </row>
    <row r="277" spans="1:15">
      <c r="A277" s="4"/>
      <c r="B277" s="5"/>
      <c r="C277" s="5"/>
      <c r="D277" s="5"/>
      <c r="E277" s="5"/>
      <c r="F277" s="5"/>
      <c r="G277" s="5"/>
      <c r="H277" s="5"/>
      <c r="I277" s="5"/>
      <c r="J277" s="5"/>
      <c r="K277" s="5"/>
      <c r="L277" s="5"/>
      <c r="M277" s="5"/>
      <c r="N277" s="5"/>
      <c r="O277" s="5"/>
    </row>
    <row r="278" spans="1:15">
      <c r="A278" s="4"/>
      <c r="B278" s="5"/>
      <c r="C278" s="5"/>
      <c r="D278" s="5"/>
      <c r="E278" s="5"/>
      <c r="F278" s="5"/>
      <c r="G278" s="5"/>
      <c r="H278" s="5"/>
      <c r="I278" s="5"/>
      <c r="J278" s="5"/>
      <c r="K278" s="5"/>
      <c r="L278" s="5"/>
      <c r="M278" s="5"/>
      <c r="N278" s="5"/>
      <c r="O278" s="5"/>
    </row>
    <row r="279" spans="1:15">
      <c r="A279" s="4"/>
      <c r="B279" s="5"/>
      <c r="C279" s="5"/>
      <c r="D279" s="5"/>
      <c r="E279" s="5"/>
      <c r="F279" s="5"/>
      <c r="G279" s="5"/>
      <c r="H279" s="5"/>
      <c r="I279" s="5"/>
      <c r="J279" s="5"/>
      <c r="K279" s="5"/>
      <c r="L279" s="5"/>
      <c r="M279" s="5"/>
      <c r="N279" s="5"/>
      <c r="O279" s="5"/>
    </row>
    <row r="280" spans="1:15">
      <c r="A280" s="4"/>
      <c r="B280" s="5"/>
      <c r="C280" s="5"/>
      <c r="D280" s="5"/>
      <c r="E280" s="5"/>
      <c r="F280" s="5"/>
      <c r="G280" s="5"/>
      <c r="H280" s="5"/>
      <c r="I280" s="5"/>
      <c r="J280" s="5"/>
      <c r="K280" s="5"/>
      <c r="L280" s="5"/>
      <c r="M280" s="5"/>
      <c r="N280" s="5"/>
      <c r="O280" s="5"/>
    </row>
    <row r="281" spans="1:15">
      <c r="A281" s="4"/>
      <c r="B281" s="5"/>
      <c r="C281" s="5"/>
      <c r="D281" s="5"/>
      <c r="E281" s="5"/>
      <c r="F281" s="5"/>
      <c r="G281" s="5"/>
      <c r="H281" s="5"/>
      <c r="I281" s="5"/>
      <c r="J281" s="5"/>
      <c r="K281" s="5"/>
      <c r="L281" s="5"/>
      <c r="M281" s="5"/>
      <c r="N281" s="5"/>
      <c r="O281" s="5"/>
    </row>
    <row r="282" spans="1:15">
      <c r="A282" s="4"/>
      <c r="B282" s="5"/>
      <c r="C282" s="5"/>
      <c r="D282" s="5"/>
      <c r="E282" s="5"/>
      <c r="F282" s="5"/>
      <c r="G282" s="5"/>
      <c r="H282" s="5"/>
      <c r="I282" s="5"/>
      <c r="J282" s="5"/>
      <c r="K282" s="5"/>
      <c r="L282" s="5"/>
      <c r="M282" s="5"/>
      <c r="N282" s="5"/>
      <c r="O282" s="5"/>
    </row>
    <row r="283" spans="1:15">
      <c r="A283" s="4"/>
      <c r="B283" s="5"/>
      <c r="C283" s="5"/>
      <c r="D283" s="5"/>
      <c r="E283" s="5"/>
      <c r="F283" s="5"/>
      <c r="G283" s="5"/>
      <c r="H283" s="5"/>
      <c r="I283" s="5"/>
      <c r="J283" s="5"/>
      <c r="K283" s="5"/>
      <c r="L283" s="5"/>
      <c r="M283" s="5"/>
      <c r="N283" s="5"/>
      <c r="O283" s="5"/>
    </row>
    <row r="284" spans="1:15">
      <c r="A284" s="4"/>
      <c r="B284" s="5"/>
      <c r="C284" s="5"/>
      <c r="D284" s="5"/>
      <c r="E284" s="5"/>
      <c r="F284" s="5"/>
      <c r="G284" s="5"/>
      <c r="H284" s="5"/>
      <c r="I284" s="5"/>
      <c r="J284" s="5"/>
      <c r="K284" s="5"/>
      <c r="L284" s="5"/>
      <c r="M284" s="5"/>
      <c r="N284" s="5"/>
      <c r="O284" s="5"/>
    </row>
    <row r="285" spans="1:15">
      <c r="A285" s="4"/>
      <c r="B285" s="5"/>
      <c r="C285" s="5"/>
      <c r="D285" s="5"/>
      <c r="E285" s="5"/>
      <c r="F285" s="5"/>
      <c r="G285" s="5"/>
      <c r="H285" s="5"/>
      <c r="I285" s="5"/>
      <c r="J285" s="5"/>
      <c r="K285" s="5"/>
      <c r="L285" s="5"/>
      <c r="M285" s="5"/>
      <c r="N285" s="5"/>
      <c r="O285" s="5"/>
    </row>
    <row r="286" spans="1:15">
      <c r="A286" s="4"/>
      <c r="B286" s="5"/>
      <c r="C286" s="5"/>
      <c r="D286" s="5"/>
      <c r="E286" s="5"/>
      <c r="F286" s="5"/>
      <c r="G286" s="5"/>
      <c r="H286" s="5"/>
      <c r="I286" s="5"/>
      <c r="J286" s="5"/>
      <c r="K286" s="5"/>
      <c r="L286" s="5"/>
      <c r="M286" s="5"/>
      <c r="N286" s="5"/>
      <c r="O286" s="5"/>
    </row>
    <row r="287" spans="1:15">
      <c r="A287" s="4"/>
      <c r="B287" s="5"/>
      <c r="C287" s="5"/>
      <c r="D287" s="5"/>
      <c r="E287" s="5"/>
      <c r="F287" s="5"/>
      <c r="G287" s="5"/>
      <c r="H287" s="5"/>
      <c r="I287" s="5"/>
      <c r="J287" s="5"/>
      <c r="K287" s="5"/>
      <c r="L287" s="5"/>
      <c r="M287" s="5"/>
      <c r="N287" s="5"/>
      <c r="O287" s="5"/>
    </row>
    <row r="288" spans="1:15">
      <c r="A288" s="4"/>
      <c r="B288" s="5"/>
      <c r="C288" s="5"/>
      <c r="D288" s="5"/>
      <c r="E288" s="5"/>
      <c r="F288" s="5"/>
      <c r="G288" s="5"/>
      <c r="H288" s="5"/>
      <c r="I288" s="5"/>
      <c r="J288" s="5"/>
      <c r="K288" s="5"/>
      <c r="L288" s="5"/>
      <c r="M288" s="5"/>
      <c r="N288" s="5"/>
      <c r="O288" s="5"/>
    </row>
    <row r="289" spans="1:15">
      <c r="A289" s="4"/>
      <c r="B289" s="5"/>
      <c r="C289" s="5"/>
      <c r="D289" s="5"/>
      <c r="E289" s="5"/>
      <c r="F289" s="5"/>
      <c r="G289" s="5"/>
      <c r="H289" s="5"/>
      <c r="I289" s="5"/>
      <c r="J289" s="5"/>
      <c r="K289" s="5"/>
      <c r="L289" s="5"/>
      <c r="M289" s="5"/>
      <c r="N289" s="5"/>
      <c r="O289" s="5"/>
    </row>
    <row r="290" spans="1:15">
      <c r="A290" s="4"/>
      <c r="B290" s="5"/>
      <c r="C290" s="5"/>
      <c r="D290" s="5"/>
      <c r="E290" s="5"/>
      <c r="F290" s="5"/>
      <c r="G290" s="5"/>
      <c r="H290" s="5"/>
      <c r="I290" s="5"/>
      <c r="J290" s="5"/>
      <c r="K290" s="5"/>
      <c r="L290" s="5"/>
      <c r="M290" s="5"/>
      <c r="N290" s="5"/>
      <c r="O290" s="5"/>
    </row>
    <row r="291" spans="1:15">
      <c r="A291" s="4"/>
      <c r="B291" s="5"/>
      <c r="C291" s="5"/>
      <c r="D291" s="5"/>
      <c r="E291" s="5"/>
      <c r="F291" s="5"/>
      <c r="G291" s="5"/>
      <c r="H291" s="5"/>
      <c r="I291" s="5"/>
      <c r="J291" s="5"/>
      <c r="K291" s="5"/>
      <c r="L291" s="5"/>
      <c r="M291" s="5"/>
      <c r="N291" s="5"/>
      <c r="O291" s="5"/>
    </row>
    <row r="292" spans="1:15">
      <c r="A292" s="4"/>
      <c r="B292" s="5"/>
      <c r="C292" s="5"/>
      <c r="D292" s="5"/>
      <c r="E292" s="5"/>
      <c r="F292" s="5"/>
      <c r="G292" s="5"/>
      <c r="H292" s="5"/>
      <c r="I292" s="5"/>
      <c r="J292" s="5"/>
      <c r="K292" s="5"/>
      <c r="L292" s="5"/>
      <c r="M292" s="5"/>
      <c r="N292" s="5"/>
      <c r="O292" s="5"/>
    </row>
    <row r="293" spans="1:15">
      <c r="A293" s="4"/>
      <c r="B293" s="5"/>
      <c r="C293" s="5"/>
      <c r="D293" s="5"/>
      <c r="E293" s="5"/>
      <c r="F293" s="5"/>
      <c r="G293" s="5"/>
      <c r="H293" s="5"/>
      <c r="I293" s="5"/>
      <c r="J293" s="5"/>
      <c r="K293" s="5"/>
      <c r="L293" s="5"/>
      <c r="M293" s="5"/>
      <c r="N293" s="5"/>
      <c r="O293" s="5"/>
    </row>
    <row r="294" spans="1:15">
      <c r="A294" s="4"/>
      <c r="B294" s="5"/>
      <c r="C294" s="5"/>
      <c r="D294" s="5"/>
      <c r="E294" s="5"/>
      <c r="F294" s="5"/>
      <c r="G294" s="5"/>
      <c r="H294" s="5"/>
      <c r="I294" s="5"/>
      <c r="J294" s="5"/>
      <c r="K294" s="5"/>
      <c r="L294" s="5"/>
      <c r="M294" s="5"/>
      <c r="N294" s="5"/>
      <c r="O294" s="5"/>
    </row>
    <row r="295" spans="1:15">
      <c r="A295" s="4"/>
      <c r="B295" s="5"/>
      <c r="C295" s="5"/>
      <c r="D295" s="5"/>
      <c r="E295" s="5"/>
      <c r="F295" s="5"/>
      <c r="G295" s="5"/>
      <c r="H295" s="5"/>
      <c r="I295" s="5"/>
      <c r="J295" s="5"/>
      <c r="K295" s="5"/>
      <c r="L295" s="5"/>
      <c r="M295" s="5"/>
      <c r="N295" s="5"/>
      <c r="O295" s="5"/>
    </row>
    <row r="296" spans="1:15">
      <c r="A296" s="4"/>
      <c r="B296" s="5"/>
      <c r="C296" s="5"/>
      <c r="D296" s="5"/>
      <c r="E296" s="5"/>
      <c r="F296" s="5"/>
      <c r="G296" s="5"/>
      <c r="H296" s="5"/>
      <c r="I296" s="5"/>
      <c r="J296" s="5"/>
      <c r="K296" s="5"/>
      <c r="L296" s="5"/>
      <c r="M296" s="5"/>
      <c r="N296" s="5"/>
      <c r="O296" s="5"/>
    </row>
    <row r="297" spans="1:15">
      <c r="A297" s="4"/>
      <c r="B297" s="5"/>
      <c r="C297" s="5"/>
      <c r="D297" s="5"/>
      <c r="E297" s="5"/>
      <c r="F297" s="5"/>
      <c r="G297" s="5"/>
      <c r="H297" s="5"/>
      <c r="I297" s="5"/>
      <c r="J297" s="5"/>
      <c r="K297" s="5"/>
      <c r="L297" s="5"/>
      <c r="M297" s="5"/>
      <c r="N297" s="5"/>
      <c r="O297" s="5"/>
    </row>
    <row r="298" spans="1:15">
      <c r="A298" s="4"/>
      <c r="B298" s="5"/>
      <c r="C298" s="5"/>
      <c r="D298" s="5"/>
      <c r="E298" s="5"/>
      <c r="F298" s="5"/>
      <c r="G298" s="5"/>
      <c r="H298" s="5"/>
      <c r="I298" s="5"/>
      <c r="J298" s="5"/>
      <c r="K298" s="5"/>
      <c r="L298" s="5"/>
      <c r="M298" s="5"/>
      <c r="N298" s="5"/>
      <c r="O298" s="5"/>
    </row>
    <row r="299" spans="1:15">
      <c r="A299" s="4"/>
      <c r="B299" s="5"/>
      <c r="C299" s="5"/>
      <c r="D299" s="5"/>
      <c r="E299" s="5"/>
      <c r="F299" s="5"/>
      <c r="G299" s="5"/>
      <c r="H299" s="5"/>
      <c r="I299" s="5"/>
      <c r="J299" s="5"/>
      <c r="K299" s="5"/>
      <c r="L299" s="5"/>
      <c r="M299" s="5"/>
      <c r="N299" s="5"/>
      <c r="O299" s="5"/>
    </row>
    <row r="300" spans="1:15">
      <c r="A300" s="4"/>
      <c r="B300" s="5"/>
      <c r="C300" s="5"/>
      <c r="D300" s="5"/>
      <c r="E300" s="5"/>
      <c r="F300" s="5"/>
      <c r="G300" s="5"/>
      <c r="H300" s="5"/>
      <c r="I300" s="5"/>
      <c r="J300" s="5"/>
      <c r="K300" s="5"/>
      <c r="L300" s="5"/>
      <c r="M300" s="5"/>
      <c r="N300" s="5"/>
      <c r="O300" s="5"/>
    </row>
    <row r="301" spans="1:15">
      <c r="A301" s="4"/>
      <c r="B301" s="5"/>
      <c r="C301" s="5"/>
      <c r="D301" s="5"/>
      <c r="E301" s="5"/>
      <c r="F301" s="5"/>
      <c r="G301" s="5"/>
      <c r="H301" s="5"/>
      <c r="I301" s="5"/>
      <c r="J301" s="5"/>
      <c r="K301" s="5"/>
      <c r="L301" s="5"/>
      <c r="M301" s="5"/>
      <c r="N301" s="5"/>
      <c r="O301" s="5"/>
    </row>
    <row r="302" spans="1:15">
      <c r="A302" s="4"/>
      <c r="B302" s="5"/>
      <c r="C302" s="5"/>
      <c r="D302" s="5"/>
      <c r="E302" s="5"/>
      <c r="F302" s="5"/>
      <c r="G302" s="5"/>
      <c r="H302" s="5"/>
      <c r="I302" s="5"/>
      <c r="J302" s="5"/>
      <c r="K302" s="5"/>
      <c r="L302" s="5"/>
      <c r="M302" s="5"/>
      <c r="N302" s="5"/>
      <c r="O302" s="5"/>
    </row>
    <row r="303" spans="1:15">
      <c r="A303" s="4"/>
      <c r="B303" s="5"/>
      <c r="C303" s="5"/>
      <c r="D303" s="5"/>
      <c r="E303" s="5"/>
      <c r="F303" s="5"/>
      <c r="G303" s="5"/>
      <c r="H303" s="5"/>
      <c r="I303" s="5"/>
      <c r="J303" s="5"/>
      <c r="K303" s="5"/>
      <c r="L303" s="5"/>
      <c r="M303" s="5"/>
      <c r="N303" s="5"/>
      <c r="O303" s="5"/>
    </row>
    <row r="304" spans="1:15">
      <c r="A304" s="4"/>
      <c r="B304" s="5"/>
      <c r="C304" s="5"/>
      <c r="D304" s="5"/>
      <c r="E304" s="5"/>
      <c r="F304" s="5"/>
      <c r="G304" s="5"/>
      <c r="H304" s="5"/>
      <c r="I304" s="5"/>
      <c r="J304" s="5"/>
      <c r="K304" s="5"/>
      <c r="L304" s="5"/>
      <c r="M304" s="5"/>
      <c r="N304" s="5"/>
      <c r="O304" s="5"/>
    </row>
    <row r="305" spans="1:15">
      <c r="A305" s="4"/>
      <c r="B305" s="5"/>
      <c r="C305" s="5"/>
      <c r="D305" s="5"/>
      <c r="E305" s="5"/>
      <c r="F305" s="5"/>
      <c r="G305" s="5"/>
      <c r="H305" s="5"/>
      <c r="I305" s="5"/>
      <c r="J305" s="5"/>
      <c r="K305" s="5"/>
      <c r="L305" s="5"/>
      <c r="M305" s="5"/>
      <c r="N305" s="5"/>
      <c r="O305" s="5"/>
    </row>
    <row r="306" spans="1:15">
      <c r="A306" s="4"/>
      <c r="B306" s="5"/>
      <c r="C306" s="5"/>
      <c r="D306" s="5"/>
      <c r="E306" s="5"/>
      <c r="F306" s="5"/>
      <c r="G306" s="5"/>
      <c r="H306" s="5"/>
      <c r="I306" s="5"/>
      <c r="J306" s="5"/>
      <c r="K306" s="5"/>
      <c r="L306" s="5"/>
      <c r="M306" s="5"/>
      <c r="N306" s="5"/>
      <c r="O306" s="5"/>
    </row>
    <row r="307" spans="1:15">
      <c r="A307" s="4"/>
      <c r="B307" s="5"/>
      <c r="C307" s="5"/>
      <c r="D307" s="5"/>
      <c r="E307" s="5"/>
      <c r="F307" s="5"/>
      <c r="G307" s="5"/>
      <c r="H307" s="5"/>
      <c r="I307" s="5"/>
      <c r="J307" s="5"/>
      <c r="K307" s="5"/>
      <c r="L307" s="5"/>
      <c r="M307" s="5"/>
      <c r="N307" s="5"/>
      <c r="O307" s="5"/>
    </row>
    <row r="308" spans="1:15">
      <c r="A308" s="4"/>
      <c r="B308" s="5"/>
      <c r="C308" s="5"/>
      <c r="D308" s="5"/>
      <c r="E308" s="5"/>
      <c r="F308" s="5"/>
      <c r="G308" s="5"/>
      <c r="H308" s="5"/>
      <c r="I308" s="5"/>
      <c r="J308" s="5"/>
      <c r="K308" s="5"/>
      <c r="L308" s="5"/>
      <c r="M308" s="5"/>
      <c r="N308" s="5"/>
      <c r="O308" s="5"/>
    </row>
    <row r="309" spans="1:15">
      <c r="A309" s="4"/>
      <c r="B309" s="5"/>
      <c r="C309" s="5"/>
      <c r="D309" s="5"/>
      <c r="E309" s="5"/>
      <c r="F309" s="5"/>
      <c r="G309" s="5"/>
      <c r="H309" s="5"/>
      <c r="I309" s="5"/>
      <c r="J309" s="5"/>
      <c r="K309" s="5"/>
      <c r="L309" s="5"/>
      <c r="M309" s="5"/>
      <c r="N309" s="5"/>
      <c r="O309" s="5"/>
    </row>
    <row r="310" spans="1:15">
      <c r="A310" s="4"/>
      <c r="B310" s="5"/>
      <c r="C310" s="5"/>
      <c r="D310" s="5"/>
      <c r="E310" s="5"/>
      <c r="F310" s="5"/>
      <c r="G310" s="5"/>
      <c r="H310" s="5"/>
      <c r="I310" s="5"/>
      <c r="J310" s="5"/>
      <c r="K310" s="5"/>
      <c r="L310" s="5"/>
      <c r="M310" s="5"/>
      <c r="N310" s="5"/>
      <c r="O310" s="5"/>
    </row>
    <row r="311" spans="1:15">
      <c r="A311" s="4"/>
      <c r="B311" s="5"/>
      <c r="C311" s="5"/>
      <c r="D311" s="5"/>
      <c r="E311" s="5"/>
      <c r="F311" s="5"/>
      <c r="G311" s="5"/>
      <c r="H311" s="5"/>
      <c r="I311" s="5"/>
      <c r="J311" s="5"/>
      <c r="K311" s="5"/>
      <c r="L311" s="5"/>
      <c r="M311" s="5"/>
      <c r="N311" s="5"/>
      <c r="O311" s="5"/>
    </row>
    <row r="312" spans="1:15">
      <c r="A312" s="4"/>
      <c r="B312" s="5"/>
      <c r="C312" s="5"/>
      <c r="D312" s="5"/>
      <c r="E312" s="5"/>
      <c r="F312" s="5"/>
      <c r="G312" s="5"/>
      <c r="H312" s="5"/>
      <c r="I312" s="5"/>
      <c r="J312" s="5"/>
      <c r="K312" s="5"/>
      <c r="L312" s="5"/>
      <c r="M312" s="5"/>
      <c r="N312" s="5"/>
      <c r="O312" s="5"/>
    </row>
    <row r="313" spans="1:15">
      <c r="A313" s="4"/>
      <c r="B313" s="5"/>
      <c r="C313" s="5"/>
      <c r="D313" s="5"/>
      <c r="E313" s="5"/>
      <c r="F313" s="5"/>
      <c r="G313" s="5"/>
      <c r="H313" s="5"/>
      <c r="I313" s="5"/>
      <c r="J313" s="5"/>
      <c r="K313" s="5"/>
      <c r="L313" s="5"/>
      <c r="M313" s="5"/>
      <c r="N313" s="5"/>
      <c r="O313" s="5"/>
    </row>
    <row r="314" spans="1:15">
      <c r="A314" s="4"/>
      <c r="B314" s="5"/>
      <c r="C314" s="5"/>
      <c r="D314" s="5"/>
      <c r="E314" s="5"/>
      <c r="F314" s="5"/>
      <c r="G314" s="5"/>
      <c r="H314" s="5"/>
      <c r="I314" s="5"/>
      <c r="J314" s="5"/>
      <c r="K314" s="5"/>
      <c r="L314" s="5"/>
      <c r="M314" s="5"/>
      <c r="N314" s="5"/>
      <c r="O314" s="5"/>
    </row>
    <row r="315" spans="1:15">
      <c r="A315" s="4"/>
      <c r="B315" s="5"/>
      <c r="C315" s="5"/>
      <c r="D315" s="5"/>
      <c r="E315" s="5"/>
      <c r="F315" s="5"/>
      <c r="G315" s="5"/>
      <c r="H315" s="5"/>
      <c r="I315" s="5"/>
      <c r="J315" s="5"/>
      <c r="K315" s="5"/>
      <c r="L315" s="5"/>
      <c r="M315" s="5"/>
      <c r="N315" s="5"/>
      <c r="O315" s="5"/>
    </row>
    <row r="316" spans="1:15">
      <c r="A316" s="4"/>
      <c r="B316" s="5"/>
      <c r="C316" s="5"/>
      <c r="D316" s="5"/>
      <c r="E316" s="5"/>
      <c r="F316" s="5"/>
      <c r="G316" s="5"/>
      <c r="H316" s="5"/>
      <c r="I316" s="5"/>
      <c r="J316" s="5"/>
      <c r="K316" s="5"/>
      <c r="L316" s="5"/>
      <c r="M316" s="5"/>
      <c r="N316" s="5"/>
      <c r="O316" s="5"/>
    </row>
    <row r="317" spans="1:15">
      <c r="A317" s="4"/>
      <c r="B317" s="5"/>
      <c r="C317" s="5"/>
      <c r="D317" s="5"/>
      <c r="E317" s="5"/>
      <c r="F317" s="5"/>
      <c r="G317" s="5"/>
      <c r="H317" s="5"/>
      <c r="I317" s="5"/>
      <c r="J317" s="5"/>
      <c r="K317" s="5"/>
      <c r="L317" s="5"/>
      <c r="M317" s="5"/>
      <c r="N317" s="5"/>
      <c r="O317" s="5"/>
    </row>
    <row r="318" spans="1:15">
      <c r="A318" s="4"/>
      <c r="B318" s="5"/>
      <c r="C318" s="5"/>
      <c r="D318" s="5"/>
      <c r="E318" s="5"/>
      <c r="F318" s="5"/>
      <c r="G318" s="5"/>
      <c r="H318" s="5"/>
      <c r="I318" s="5"/>
      <c r="J318" s="5"/>
      <c r="K318" s="5"/>
      <c r="L318" s="5"/>
      <c r="M318" s="5"/>
      <c r="N318" s="5"/>
      <c r="O318" s="5"/>
    </row>
    <row r="319" spans="1:15">
      <c r="A319" s="4"/>
      <c r="B319" s="5"/>
      <c r="C319" s="5"/>
      <c r="D319" s="5"/>
      <c r="E319" s="5"/>
      <c r="F319" s="5"/>
      <c r="G319" s="5"/>
      <c r="H319" s="5"/>
      <c r="I319" s="5"/>
      <c r="J319" s="5"/>
      <c r="K319" s="5"/>
      <c r="L319" s="5"/>
      <c r="M319" s="5"/>
      <c r="N319" s="5"/>
      <c r="O319" s="5"/>
    </row>
    <row r="320" spans="1:15">
      <c r="A320" s="4"/>
      <c r="B320" s="5"/>
      <c r="C320" s="5"/>
      <c r="D320" s="5"/>
      <c r="E320" s="5"/>
      <c r="F320" s="5"/>
      <c r="G320" s="5"/>
      <c r="H320" s="5"/>
      <c r="I320" s="5"/>
      <c r="J320" s="5"/>
      <c r="K320" s="5"/>
      <c r="L320" s="5"/>
      <c r="M320" s="5"/>
      <c r="N320" s="5"/>
      <c r="O320" s="5"/>
    </row>
    <row r="321" spans="1:15">
      <c r="A321" s="4"/>
      <c r="B321" s="5"/>
      <c r="C321" s="5"/>
      <c r="D321" s="5"/>
      <c r="E321" s="5"/>
      <c r="F321" s="5"/>
      <c r="G321" s="5"/>
      <c r="H321" s="5"/>
      <c r="I321" s="5"/>
      <c r="J321" s="5"/>
      <c r="K321" s="5"/>
      <c r="L321" s="5"/>
      <c r="M321" s="5"/>
      <c r="N321" s="5"/>
      <c r="O321" s="5"/>
    </row>
    <row r="322" spans="1:15">
      <c r="A322" s="4"/>
      <c r="B322" s="5"/>
      <c r="C322" s="5"/>
      <c r="D322" s="5"/>
      <c r="E322" s="5"/>
      <c r="F322" s="5"/>
      <c r="G322" s="5"/>
      <c r="H322" s="5"/>
      <c r="I322" s="5"/>
      <c r="J322" s="5"/>
      <c r="K322" s="5"/>
      <c r="L322" s="5"/>
      <c r="M322" s="5"/>
      <c r="N322" s="5"/>
      <c r="O322" s="5"/>
    </row>
    <row r="323" spans="1:15">
      <c r="A323" s="4"/>
      <c r="B323" s="5"/>
      <c r="C323" s="5"/>
      <c r="D323" s="5"/>
      <c r="E323" s="5"/>
      <c r="F323" s="5"/>
      <c r="G323" s="5"/>
      <c r="H323" s="5"/>
      <c r="I323" s="5"/>
      <c r="J323" s="5"/>
      <c r="K323" s="5"/>
      <c r="L323" s="5"/>
      <c r="M323" s="5"/>
      <c r="N323" s="5"/>
      <c r="O323" s="5"/>
    </row>
    <row r="324" spans="1:15">
      <c r="A324" s="4"/>
      <c r="B324" s="5"/>
      <c r="C324" s="5"/>
      <c r="D324" s="5"/>
      <c r="E324" s="5"/>
      <c r="F324" s="5"/>
      <c r="G324" s="5"/>
      <c r="H324" s="5"/>
      <c r="I324" s="5"/>
      <c r="J324" s="5"/>
      <c r="K324" s="5"/>
      <c r="L324" s="5"/>
      <c r="M324" s="5"/>
      <c r="N324" s="5"/>
      <c r="O324" s="5"/>
    </row>
    <row r="325" spans="1:15">
      <c r="A325" s="4"/>
      <c r="B325" s="5"/>
      <c r="C325" s="5"/>
      <c r="D325" s="5"/>
      <c r="E325" s="5"/>
      <c r="F325" s="5"/>
      <c r="G325" s="5"/>
      <c r="H325" s="5"/>
      <c r="I325" s="5"/>
      <c r="J325" s="5"/>
      <c r="K325" s="5"/>
      <c r="L325" s="5"/>
      <c r="M325" s="5"/>
      <c r="N325" s="5"/>
      <c r="O325" s="5"/>
    </row>
    <row r="326" spans="1:15">
      <c r="A326" s="4"/>
      <c r="B326" s="5"/>
      <c r="C326" s="5"/>
      <c r="D326" s="5"/>
      <c r="E326" s="5"/>
      <c r="F326" s="5"/>
      <c r="G326" s="5"/>
      <c r="H326" s="5"/>
      <c r="I326" s="5"/>
      <c r="J326" s="5"/>
      <c r="K326" s="5"/>
      <c r="L326" s="5"/>
      <c r="M326" s="5"/>
      <c r="N326" s="5"/>
      <c r="O326" s="5"/>
    </row>
    <row r="327" spans="1:15">
      <c r="A327" s="4"/>
      <c r="B327" s="5"/>
      <c r="C327" s="5"/>
      <c r="D327" s="5"/>
      <c r="E327" s="5"/>
      <c r="F327" s="5"/>
      <c r="G327" s="5"/>
      <c r="H327" s="5"/>
      <c r="I327" s="5"/>
      <c r="J327" s="5"/>
      <c r="K327" s="5"/>
      <c r="L327" s="5"/>
      <c r="M327" s="5"/>
      <c r="N327" s="5"/>
      <c r="O327" s="5"/>
    </row>
    <row r="328" spans="1:15">
      <c r="A328" s="4"/>
      <c r="B328" s="5"/>
      <c r="C328" s="5"/>
      <c r="D328" s="5"/>
      <c r="E328" s="5"/>
      <c r="F328" s="5"/>
      <c r="G328" s="5"/>
      <c r="H328" s="5"/>
      <c r="I328" s="5"/>
      <c r="J328" s="5"/>
      <c r="K328" s="5"/>
      <c r="L328" s="5"/>
      <c r="M328" s="5"/>
      <c r="N328" s="5"/>
      <c r="O328" s="5"/>
    </row>
    <row r="329" spans="1:15">
      <c r="A329" s="4"/>
      <c r="B329" s="5"/>
      <c r="C329" s="5"/>
      <c r="D329" s="5"/>
      <c r="E329" s="5"/>
      <c r="F329" s="5"/>
      <c r="G329" s="5"/>
      <c r="H329" s="5"/>
      <c r="I329" s="5"/>
      <c r="J329" s="5"/>
      <c r="K329" s="5"/>
      <c r="L329" s="5"/>
      <c r="M329" s="5"/>
      <c r="N329" s="5"/>
      <c r="O329" s="5"/>
    </row>
    <row r="330" spans="1:15">
      <c r="A330" s="4"/>
      <c r="B330" s="5"/>
      <c r="C330" s="5"/>
      <c r="D330" s="5"/>
      <c r="E330" s="5"/>
      <c r="F330" s="5"/>
      <c r="G330" s="5"/>
      <c r="H330" s="5"/>
      <c r="I330" s="5"/>
      <c r="J330" s="5"/>
      <c r="K330" s="5"/>
      <c r="L330" s="5"/>
      <c r="M330" s="5"/>
      <c r="N330" s="5"/>
      <c r="O330" s="5"/>
    </row>
    <row r="331" spans="1:15">
      <c r="A331" s="4"/>
      <c r="B331" s="5"/>
      <c r="C331" s="5"/>
      <c r="D331" s="5"/>
      <c r="E331" s="5"/>
      <c r="F331" s="5"/>
      <c r="G331" s="5"/>
      <c r="H331" s="5"/>
      <c r="I331" s="5"/>
      <c r="J331" s="5"/>
      <c r="K331" s="5"/>
      <c r="L331" s="5"/>
      <c r="M331" s="5"/>
      <c r="N331" s="5"/>
      <c r="O331" s="5"/>
    </row>
    <row r="332" spans="1:15">
      <c r="A332" s="4"/>
      <c r="B332" s="5"/>
      <c r="C332" s="5"/>
      <c r="D332" s="5"/>
      <c r="E332" s="5"/>
      <c r="F332" s="5"/>
      <c r="G332" s="5"/>
      <c r="H332" s="5"/>
      <c r="I332" s="5"/>
      <c r="J332" s="5"/>
      <c r="K332" s="5"/>
      <c r="L332" s="5"/>
      <c r="M332" s="5"/>
      <c r="N332" s="5"/>
      <c r="O332" s="5"/>
    </row>
    <row r="333" spans="1:15">
      <c r="A333" s="4"/>
      <c r="B333" s="5"/>
      <c r="C333" s="5"/>
      <c r="D333" s="5"/>
      <c r="E333" s="5"/>
      <c r="F333" s="5"/>
      <c r="G333" s="5"/>
      <c r="H333" s="5"/>
      <c r="I333" s="5"/>
      <c r="J333" s="5"/>
      <c r="K333" s="5"/>
      <c r="L333" s="5"/>
      <c r="M333" s="5"/>
      <c r="N333" s="5"/>
      <c r="O333" s="5"/>
    </row>
    <row r="334" spans="1:15">
      <c r="A334" s="4"/>
      <c r="B334" s="5"/>
      <c r="C334" s="5"/>
      <c r="D334" s="5"/>
      <c r="E334" s="5"/>
      <c r="F334" s="5"/>
      <c r="G334" s="5"/>
      <c r="H334" s="5"/>
      <c r="I334" s="5"/>
      <c r="J334" s="5"/>
      <c r="K334" s="5"/>
      <c r="L334" s="5"/>
      <c r="M334" s="5"/>
      <c r="N334" s="5"/>
      <c r="O334" s="5"/>
    </row>
    <row r="335" spans="1:15">
      <c r="A335" s="4"/>
      <c r="B335" s="5"/>
      <c r="C335" s="5"/>
      <c r="D335" s="5"/>
      <c r="E335" s="5"/>
      <c r="F335" s="5"/>
      <c r="G335" s="5"/>
      <c r="H335" s="5"/>
      <c r="I335" s="5"/>
      <c r="J335" s="5"/>
      <c r="K335" s="5"/>
      <c r="L335" s="5"/>
      <c r="M335" s="5"/>
      <c r="N335" s="5"/>
      <c r="O335" s="5"/>
    </row>
    <row r="336" spans="1:15">
      <c r="A336" s="4"/>
      <c r="B336" s="5"/>
      <c r="C336" s="5"/>
      <c r="D336" s="5"/>
      <c r="E336" s="5"/>
      <c r="F336" s="5"/>
      <c r="G336" s="5"/>
      <c r="H336" s="5"/>
      <c r="I336" s="5"/>
      <c r="J336" s="5"/>
      <c r="K336" s="5"/>
      <c r="L336" s="5"/>
      <c r="M336" s="5"/>
      <c r="N336" s="5"/>
      <c r="O336" s="5"/>
    </row>
    <row r="337" spans="1:15">
      <c r="A337" s="4"/>
      <c r="B337" s="5"/>
      <c r="C337" s="5"/>
      <c r="D337" s="5"/>
      <c r="E337" s="5"/>
      <c r="F337" s="5"/>
      <c r="G337" s="5"/>
      <c r="H337" s="5"/>
      <c r="I337" s="5"/>
      <c r="J337" s="5"/>
      <c r="K337" s="5"/>
      <c r="L337" s="5"/>
      <c r="M337" s="5"/>
      <c r="N337" s="5"/>
      <c r="O337" s="5"/>
    </row>
    <row r="338" spans="1:15">
      <c r="A338" s="4"/>
      <c r="B338" s="5"/>
      <c r="C338" s="5"/>
      <c r="D338" s="5"/>
      <c r="E338" s="5"/>
      <c r="F338" s="5"/>
      <c r="G338" s="5"/>
      <c r="H338" s="5"/>
      <c r="I338" s="5"/>
      <c r="J338" s="5"/>
      <c r="K338" s="5"/>
      <c r="L338" s="5"/>
      <c r="M338" s="5"/>
      <c r="N338" s="5"/>
      <c r="O338" s="5"/>
    </row>
    <row r="339" spans="1:15">
      <c r="A339" s="4"/>
      <c r="B339" s="5"/>
      <c r="C339" s="5"/>
      <c r="D339" s="5"/>
      <c r="E339" s="5"/>
      <c r="F339" s="5"/>
      <c r="G339" s="5"/>
      <c r="H339" s="5"/>
      <c r="I339" s="5"/>
      <c r="J339" s="5"/>
      <c r="K339" s="5"/>
      <c r="L339" s="5"/>
      <c r="M339" s="5"/>
      <c r="N339" s="5"/>
      <c r="O339" s="5"/>
    </row>
    <row r="340" spans="1:15">
      <c r="A340" s="4"/>
      <c r="B340" s="5"/>
      <c r="C340" s="5"/>
      <c r="D340" s="5"/>
      <c r="E340" s="5"/>
      <c r="F340" s="5"/>
      <c r="G340" s="5"/>
      <c r="H340" s="5"/>
      <c r="I340" s="5"/>
      <c r="J340" s="5"/>
      <c r="K340" s="5"/>
      <c r="L340" s="5"/>
      <c r="M340" s="5"/>
      <c r="N340" s="5"/>
      <c r="O340" s="5"/>
    </row>
    <row r="341" spans="1:15">
      <c r="A341" s="4"/>
      <c r="B341" s="5"/>
      <c r="C341" s="5"/>
      <c r="D341" s="5"/>
      <c r="E341" s="5"/>
      <c r="F341" s="5"/>
      <c r="G341" s="5"/>
      <c r="H341" s="5"/>
      <c r="I341" s="5"/>
      <c r="J341" s="5"/>
      <c r="K341" s="5"/>
      <c r="L341" s="5"/>
      <c r="M341" s="5"/>
      <c r="N341" s="5"/>
      <c r="O341" s="5"/>
    </row>
    <row r="342" spans="1:15">
      <c r="A342" s="4"/>
      <c r="B342" s="5"/>
      <c r="C342" s="5"/>
      <c r="D342" s="5"/>
      <c r="E342" s="5"/>
      <c r="F342" s="5"/>
      <c r="G342" s="5"/>
      <c r="H342" s="5"/>
      <c r="I342" s="5"/>
      <c r="J342" s="5"/>
      <c r="K342" s="5"/>
      <c r="L342" s="5"/>
      <c r="M342" s="5"/>
      <c r="N342" s="5"/>
      <c r="O342" s="5"/>
    </row>
    <row r="343" spans="1:15">
      <c r="A343" s="4"/>
      <c r="B343" s="5"/>
      <c r="C343" s="5"/>
      <c r="D343" s="5"/>
      <c r="E343" s="5"/>
      <c r="F343" s="5"/>
      <c r="G343" s="5"/>
      <c r="H343" s="5"/>
      <c r="I343" s="5"/>
      <c r="J343" s="5"/>
      <c r="K343" s="5"/>
      <c r="L343" s="5"/>
      <c r="M343" s="5"/>
      <c r="N343" s="5"/>
      <c r="O343" s="5"/>
    </row>
    <row r="344" spans="1:15">
      <c r="A344" s="4"/>
      <c r="B344" s="5"/>
      <c r="C344" s="5"/>
      <c r="D344" s="5"/>
      <c r="E344" s="5"/>
      <c r="F344" s="5"/>
      <c r="G344" s="5"/>
      <c r="H344" s="5"/>
      <c r="I344" s="5"/>
      <c r="J344" s="5"/>
      <c r="K344" s="5"/>
      <c r="L344" s="5"/>
      <c r="M344" s="5"/>
      <c r="N344" s="5"/>
      <c r="O344" s="5"/>
    </row>
    <row r="345" spans="1:15">
      <c r="A345" s="4"/>
      <c r="B345" s="5"/>
      <c r="C345" s="5"/>
      <c r="D345" s="5"/>
      <c r="E345" s="5"/>
      <c r="F345" s="5"/>
      <c r="G345" s="5"/>
      <c r="H345" s="5"/>
      <c r="I345" s="5"/>
      <c r="J345" s="5"/>
      <c r="K345" s="5"/>
      <c r="L345" s="5"/>
      <c r="M345" s="5"/>
      <c r="N345" s="5"/>
      <c r="O345" s="5"/>
    </row>
    <row r="346" spans="1:15">
      <c r="A346" s="4"/>
      <c r="B346" s="5"/>
      <c r="C346" s="5"/>
      <c r="D346" s="5"/>
      <c r="E346" s="5"/>
      <c r="F346" s="5"/>
      <c r="G346" s="5"/>
      <c r="H346" s="5"/>
      <c r="I346" s="5"/>
      <c r="J346" s="5"/>
      <c r="K346" s="5"/>
      <c r="L346" s="5"/>
      <c r="M346" s="5"/>
      <c r="N346" s="5"/>
      <c r="O346" s="5"/>
    </row>
    <row r="347" spans="1:15">
      <c r="A347" s="4"/>
      <c r="B347" s="5"/>
      <c r="C347" s="5"/>
      <c r="D347" s="5"/>
      <c r="E347" s="5"/>
      <c r="F347" s="5"/>
      <c r="G347" s="5"/>
      <c r="H347" s="5"/>
      <c r="I347" s="5"/>
      <c r="J347" s="5"/>
      <c r="K347" s="5"/>
      <c r="L347" s="5"/>
      <c r="M347" s="5"/>
      <c r="N347" s="5"/>
      <c r="O347" s="5"/>
    </row>
    <row r="348" spans="1:15">
      <c r="A348" s="4"/>
      <c r="B348" s="5"/>
      <c r="C348" s="5"/>
      <c r="D348" s="5"/>
      <c r="E348" s="5"/>
      <c r="F348" s="5"/>
      <c r="G348" s="5"/>
      <c r="H348" s="5"/>
      <c r="I348" s="5"/>
      <c r="J348" s="5"/>
      <c r="K348" s="5"/>
      <c r="L348" s="5"/>
      <c r="M348" s="5"/>
      <c r="N348" s="5"/>
      <c r="O348" s="5"/>
    </row>
    <row r="349" spans="1:15">
      <c r="A349" s="4"/>
      <c r="B349" s="5"/>
      <c r="C349" s="5"/>
      <c r="D349" s="5"/>
      <c r="E349" s="5"/>
      <c r="F349" s="5"/>
      <c r="G349" s="5"/>
      <c r="H349" s="5"/>
      <c r="I349" s="5"/>
      <c r="J349" s="5"/>
      <c r="K349" s="5"/>
      <c r="L349" s="5"/>
      <c r="M349" s="5"/>
      <c r="N349" s="5"/>
      <c r="O349" s="5"/>
    </row>
    <row r="350" spans="1:15">
      <c r="A350" s="4"/>
      <c r="B350" s="5"/>
      <c r="C350" s="5"/>
      <c r="D350" s="5"/>
      <c r="E350" s="5"/>
      <c r="F350" s="5"/>
      <c r="G350" s="5"/>
      <c r="H350" s="5"/>
      <c r="I350" s="5"/>
      <c r="J350" s="5"/>
      <c r="K350" s="5"/>
      <c r="L350" s="5"/>
      <c r="M350" s="5"/>
      <c r="N350" s="5"/>
      <c r="O350" s="5"/>
    </row>
    <row r="351" spans="1:15">
      <c r="A351" s="4"/>
      <c r="B351" s="5"/>
      <c r="C351" s="5"/>
      <c r="D351" s="5"/>
      <c r="E351" s="5"/>
      <c r="F351" s="5"/>
      <c r="G351" s="5"/>
      <c r="H351" s="5"/>
      <c r="I351" s="5"/>
      <c r="J351" s="5"/>
      <c r="K351" s="5"/>
      <c r="L351" s="5"/>
      <c r="M351" s="5"/>
      <c r="N351" s="5"/>
      <c r="O351" s="5"/>
    </row>
    <row r="352" spans="1:15">
      <c r="A352" s="4"/>
      <c r="B352" s="5"/>
      <c r="C352" s="5"/>
      <c r="D352" s="5"/>
      <c r="E352" s="5"/>
      <c r="F352" s="5"/>
      <c r="G352" s="5"/>
      <c r="H352" s="5"/>
      <c r="I352" s="5"/>
      <c r="J352" s="5"/>
      <c r="K352" s="5"/>
      <c r="L352" s="5"/>
      <c r="M352" s="5"/>
      <c r="N352" s="5"/>
      <c r="O352" s="5"/>
    </row>
    <row r="353" spans="1:15">
      <c r="A353" s="4"/>
      <c r="B353" s="5"/>
      <c r="C353" s="5"/>
      <c r="D353" s="5"/>
      <c r="E353" s="5"/>
      <c r="F353" s="5"/>
      <c r="G353" s="5"/>
      <c r="H353" s="5"/>
      <c r="I353" s="5"/>
      <c r="J353" s="5"/>
      <c r="K353" s="5"/>
      <c r="L353" s="5"/>
      <c r="M353" s="5"/>
      <c r="N353" s="5"/>
      <c r="O353" s="5"/>
    </row>
    <row r="354" spans="1:15">
      <c r="A354" s="4"/>
      <c r="B354" s="5"/>
      <c r="C354" s="5"/>
      <c r="D354" s="5"/>
      <c r="E354" s="5"/>
      <c r="F354" s="5"/>
      <c r="G354" s="5"/>
      <c r="H354" s="5"/>
      <c r="I354" s="5"/>
      <c r="J354" s="5"/>
      <c r="K354" s="5"/>
      <c r="L354" s="5"/>
      <c r="M354" s="5"/>
      <c r="N354" s="5"/>
      <c r="O354" s="5"/>
    </row>
    <row r="355" spans="1:15">
      <c r="A355" s="4"/>
      <c r="B355" s="5"/>
      <c r="C355" s="5"/>
      <c r="D355" s="5"/>
      <c r="E355" s="5"/>
      <c r="F355" s="5"/>
      <c r="G355" s="5"/>
      <c r="H355" s="5"/>
      <c r="I355" s="5"/>
      <c r="J355" s="5"/>
      <c r="K355" s="5"/>
      <c r="L355" s="5"/>
      <c r="M355" s="5"/>
      <c r="N355" s="5"/>
      <c r="O355" s="5"/>
    </row>
    <row r="356" spans="1:15">
      <c r="A356" s="4"/>
      <c r="B356" s="5"/>
      <c r="C356" s="5"/>
      <c r="D356" s="5"/>
      <c r="E356" s="5"/>
      <c r="F356" s="5"/>
      <c r="G356" s="5"/>
      <c r="H356" s="5"/>
      <c r="I356" s="5"/>
      <c r="J356" s="5"/>
      <c r="K356" s="5"/>
      <c r="L356" s="5"/>
      <c r="M356" s="5"/>
      <c r="N356" s="5"/>
      <c r="O356" s="5"/>
    </row>
    <row r="357" spans="1:15">
      <c r="A357" s="4"/>
      <c r="B357" s="5"/>
      <c r="C357" s="5"/>
      <c r="D357" s="5"/>
      <c r="E357" s="5"/>
      <c r="F357" s="5"/>
      <c r="G357" s="5"/>
      <c r="H357" s="5"/>
      <c r="I357" s="5"/>
      <c r="J357" s="5"/>
      <c r="K357" s="5"/>
      <c r="L357" s="5"/>
      <c r="M357" s="5"/>
      <c r="N357" s="5"/>
      <c r="O357" s="5"/>
    </row>
    <row r="358" spans="1:15">
      <c r="A358" s="4"/>
      <c r="B358" s="5"/>
      <c r="C358" s="5"/>
      <c r="D358" s="5"/>
      <c r="E358" s="5"/>
      <c r="F358" s="5"/>
      <c r="G358" s="5"/>
      <c r="H358" s="5"/>
      <c r="I358" s="5"/>
      <c r="J358" s="5"/>
      <c r="K358" s="5"/>
      <c r="L358" s="5"/>
      <c r="M358" s="5"/>
      <c r="N358" s="5"/>
      <c r="O358" s="5"/>
    </row>
    <row r="359" spans="1:15">
      <c r="A359" s="4"/>
      <c r="B359" s="5"/>
      <c r="C359" s="5"/>
      <c r="D359" s="5"/>
      <c r="E359" s="5"/>
      <c r="F359" s="5"/>
      <c r="G359" s="5"/>
      <c r="H359" s="5"/>
      <c r="I359" s="5"/>
      <c r="J359" s="5"/>
      <c r="K359" s="5"/>
      <c r="L359" s="5"/>
      <c r="M359" s="5"/>
      <c r="N359" s="5"/>
      <c r="O359" s="5"/>
    </row>
    <row r="360" spans="1:15">
      <c r="A360" s="4"/>
      <c r="B360" s="5"/>
      <c r="C360" s="5"/>
      <c r="D360" s="5"/>
      <c r="E360" s="5"/>
      <c r="F360" s="5"/>
      <c r="G360" s="5"/>
      <c r="H360" s="5"/>
      <c r="I360" s="5"/>
      <c r="J360" s="5"/>
      <c r="K360" s="5"/>
      <c r="L360" s="5"/>
      <c r="M360" s="5"/>
      <c r="N360" s="5"/>
      <c r="O360" s="5"/>
    </row>
    <row r="361" spans="1:15">
      <c r="A361" s="4"/>
      <c r="B361" s="5"/>
      <c r="C361" s="5"/>
      <c r="D361" s="5"/>
      <c r="E361" s="5"/>
      <c r="F361" s="5"/>
      <c r="G361" s="5"/>
      <c r="H361" s="5"/>
      <c r="I361" s="5"/>
      <c r="J361" s="5"/>
      <c r="K361" s="5"/>
      <c r="L361" s="5"/>
      <c r="M361" s="5"/>
      <c r="N361" s="5"/>
      <c r="O361" s="5"/>
    </row>
    <row r="362" spans="1:15">
      <c r="A362" s="4"/>
      <c r="B362" s="5"/>
      <c r="C362" s="5"/>
      <c r="D362" s="5"/>
      <c r="E362" s="5"/>
      <c r="F362" s="5"/>
      <c r="G362" s="5"/>
      <c r="H362" s="5"/>
      <c r="I362" s="5"/>
      <c r="J362" s="5"/>
      <c r="K362" s="5"/>
      <c r="L362" s="5"/>
      <c r="M362" s="5"/>
      <c r="N362" s="5"/>
      <c r="O362" s="5"/>
    </row>
    <row r="363" spans="1:15">
      <c r="A363" s="4"/>
      <c r="B363" s="5"/>
      <c r="C363" s="5"/>
      <c r="D363" s="5"/>
      <c r="E363" s="5"/>
      <c r="F363" s="5"/>
      <c r="G363" s="5"/>
      <c r="H363" s="5"/>
      <c r="I363" s="5"/>
      <c r="J363" s="5"/>
      <c r="K363" s="5"/>
      <c r="L363" s="5"/>
      <c r="M363" s="5"/>
      <c r="N363" s="5"/>
      <c r="O363" s="5"/>
    </row>
    <row r="364" spans="1:15">
      <c r="A364" s="4"/>
      <c r="B364" s="5"/>
      <c r="C364" s="5"/>
      <c r="D364" s="5"/>
      <c r="E364" s="5"/>
      <c r="F364" s="5"/>
      <c r="G364" s="5"/>
      <c r="H364" s="5"/>
      <c r="I364" s="5"/>
      <c r="J364" s="5"/>
      <c r="K364" s="5"/>
      <c r="L364" s="5"/>
      <c r="M364" s="5"/>
      <c r="N364" s="5"/>
      <c r="O364" s="5"/>
    </row>
    <row r="365" spans="1:15">
      <c r="A365" s="4"/>
      <c r="B365" s="5"/>
      <c r="C365" s="5"/>
      <c r="D365" s="5"/>
      <c r="E365" s="5"/>
      <c r="F365" s="5"/>
      <c r="G365" s="5"/>
      <c r="H365" s="5"/>
      <c r="I365" s="5"/>
      <c r="J365" s="5"/>
      <c r="K365" s="5"/>
      <c r="L365" s="5"/>
      <c r="M365" s="5"/>
      <c r="N365" s="5"/>
      <c r="O365" s="5"/>
    </row>
    <row r="366" spans="1:15">
      <c r="A366" s="4"/>
      <c r="B366" s="5"/>
      <c r="C366" s="5"/>
      <c r="D366" s="5"/>
      <c r="E366" s="5"/>
      <c r="F366" s="5"/>
      <c r="G366" s="5"/>
      <c r="H366" s="5"/>
      <c r="I366" s="5"/>
      <c r="J366" s="5"/>
      <c r="K366" s="5"/>
      <c r="L366" s="5"/>
      <c r="M366" s="5"/>
      <c r="N366" s="5"/>
      <c r="O366" s="5"/>
    </row>
    <row r="367" spans="1:15">
      <c r="A367" s="4"/>
      <c r="B367" s="5"/>
      <c r="C367" s="5"/>
      <c r="D367" s="5"/>
      <c r="E367" s="5"/>
      <c r="F367" s="5"/>
      <c r="G367" s="5"/>
      <c r="H367" s="5"/>
      <c r="I367" s="5"/>
      <c r="J367" s="5"/>
      <c r="K367" s="5"/>
      <c r="L367" s="5"/>
      <c r="M367" s="5"/>
      <c r="N367" s="5"/>
      <c r="O367" s="5"/>
    </row>
    <row r="368" spans="1:15">
      <c r="A368" s="4"/>
      <c r="B368" s="5"/>
      <c r="C368" s="5"/>
      <c r="D368" s="5"/>
      <c r="E368" s="5"/>
      <c r="F368" s="5"/>
      <c r="G368" s="5"/>
      <c r="H368" s="5"/>
      <c r="I368" s="5"/>
      <c r="J368" s="5"/>
      <c r="K368" s="5"/>
      <c r="L368" s="5"/>
      <c r="M368" s="5"/>
      <c r="N368" s="5"/>
      <c r="O368" s="5"/>
    </row>
    <row r="369" spans="1:15">
      <c r="A369" s="4"/>
      <c r="B369" s="5"/>
      <c r="C369" s="5"/>
      <c r="D369" s="5"/>
      <c r="E369" s="5"/>
      <c r="F369" s="5"/>
      <c r="G369" s="5"/>
      <c r="H369" s="5"/>
      <c r="I369" s="5"/>
      <c r="J369" s="5"/>
      <c r="K369" s="5"/>
      <c r="L369" s="5"/>
      <c r="M369" s="5"/>
      <c r="N369" s="5"/>
      <c r="O369" s="5"/>
    </row>
    <row r="370" spans="1:15">
      <c r="A370" s="4"/>
      <c r="B370" s="5"/>
      <c r="C370" s="5"/>
      <c r="D370" s="5"/>
      <c r="E370" s="5"/>
      <c r="F370" s="5"/>
      <c r="G370" s="5"/>
      <c r="H370" s="5"/>
      <c r="I370" s="5"/>
      <c r="J370" s="5"/>
      <c r="K370" s="5"/>
      <c r="L370" s="5"/>
      <c r="M370" s="5"/>
      <c r="N370" s="5"/>
      <c r="O370" s="5"/>
    </row>
    <row r="371" spans="1:15">
      <c r="A371" s="4"/>
      <c r="B371" s="5"/>
      <c r="C371" s="5"/>
      <c r="D371" s="5"/>
      <c r="E371" s="5"/>
      <c r="F371" s="5"/>
      <c r="G371" s="5"/>
      <c r="H371" s="5"/>
      <c r="I371" s="5"/>
      <c r="J371" s="5"/>
      <c r="K371" s="5"/>
      <c r="L371" s="5"/>
      <c r="M371" s="5"/>
      <c r="N371" s="5"/>
      <c r="O371" s="5"/>
    </row>
    <row r="372" spans="1:15">
      <c r="A372" s="4"/>
      <c r="B372" s="5"/>
      <c r="C372" s="5"/>
      <c r="D372" s="5"/>
      <c r="E372" s="5"/>
      <c r="F372" s="5"/>
      <c r="G372" s="5"/>
      <c r="H372" s="5"/>
      <c r="I372" s="5"/>
      <c r="J372" s="5"/>
      <c r="K372" s="5"/>
      <c r="L372" s="5"/>
      <c r="M372" s="5"/>
      <c r="N372" s="5"/>
      <c r="O372" s="5"/>
    </row>
    <row r="373" spans="1:15">
      <c r="A373" s="4"/>
      <c r="B373" s="5"/>
      <c r="C373" s="5"/>
      <c r="D373" s="5"/>
      <c r="E373" s="5"/>
      <c r="F373" s="5"/>
      <c r="G373" s="5"/>
      <c r="H373" s="5"/>
      <c r="I373" s="5"/>
      <c r="J373" s="5"/>
      <c r="K373" s="5"/>
      <c r="L373" s="5"/>
      <c r="M373" s="5"/>
      <c r="N373" s="5"/>
      <c r="O373" s="5"/>
    </row>
    <row r="374" spans="1:15">
      <c r="A374" s="4"/>
      <c r="B374" s="5"/>
      <c r="C374" s="5"/>
      <c r="D374" s="5"/>
      <c r="E374" s="5"/>
      <c r="F374" s="5"/>
      <c r="G374" s="5"/>
      <c r="H374" s="5"/>
      <c r="I374" s="5"/>
      <c r="J374" s="5"/>
      <c r="K374" s="5"/>
      <c r="L374" s="5"/>
      <c r="M374" s="5"/>
      <c r="N374" s="5"/>
      <c r="O374" s="5"/>
    </row>
    <row r="375" spans="1:15">
      <c r="A375" s="4"/>
      <c r="B375" s="5"/>
      <c r="C375" s="5"/>
      <c r="D375" s="5"/>
      <c r="E375" s="5"/>
      <c r="F375" s="5"/>
      <c r="G375" s="5"/>
      <c r="H375" s="5"/>
      <c r="I375" s="5"/>
      <c r="J375" s="5"/>
      <c r="K375" s="5"/>
      <c r="L375" s="5"/>
      <c r="M375" s="5"/>
      <c r="N375" s="5"/>
      <c r="O375" s="5"/>
    </row>
    <row r="376" spans="1:15">
      <c r="A376" s="4"/>
      <c r="B376" s="5"/>
      <c r="C376" s="5"/>
      <c r="D376" s="5"/>
      <c r="E376" s="5"/>
      <c r="F376" s="5"/>
      <c r="G376" s="5"/>
      <c r="H376" s="5"/>
      <c r="I376" s="5"/>
      <c r="J376" s="5"/>
      <c r="K376" s="5"/>
      <c r="L376" s="5"/>
      <c r="M376" s="5"/>
      <c r="N376" s="5"/>
      <c r="O376" s="5"/>
    </row>
    <row r="377" spans="1:15">
      <c r="A377" s="4"/>
      <c r="B377" s="5"/>
      <c r="C377" s="5"/>
      <c r="D377" s="5"/>
      <c r="E377" s="5"/>
      <c r="F377" s="5"/>
      <c r="G377" s="5"/>
      <c r="H377" s="5"/>
      <c r="I377" s="5"/>
      <c r="J377" s="5"/>
      <c r="K377" s="5"/>
      <c r="L377" s="5"/>
      <c r="M377" s="5"/>
      <c r="N377" s="5"/>
      <c r="O377" s="5"/>
    </row>
    <row r="378" spans="1:15">
      <c r="A378" s="4"/>
      <c r="B378" s="5"/>
      <c r="C378" s="5"/>
      <c r="D378" s="5"/>
      <c r="E378" s="5"/>
      <c r="F378" s="5"/>
      <c r="G378" s="5"/>
      <c r="H378" s="5"/>
      <c r="I378" s="5"/>
      <c r="J378" s="5"/>
      <c r="K378" s="5"/>
      <c r="L378" s="5"/>
      <c r="M378" s="5"/>
      <c r="N378" s="5"/>
      <c r="O378" s="5"/>
    </row>
    <row r="379" spans="1:15">
      <c r="A379" s="4"/>
      <c r="B379" s="5"/>
      <c r="C379" s="5"/>
      <c r="D379" s="5"/>
      <c r="E379" s="5"/>
      <c r="F379" s="5"/>
      <c r="G379" s="5"/>
      <c r="H379" s="5"/>
      <c r="I379" s="5"/>
      <c r="J379" s="5"/>
      <c r="K379" s="5"/>
      <c r="L379" s="5"/>
      <c r="M379" s="5"/>
      <c r="N379" s="5"/>
      <c r="O379" s="5"/>
    </row>
    <row r="380" spans="1:15">
      <c r="A380" s="4"/>
      <c r="B380" s="5"/>
      <c r="C380" s="5"/>
      <c r="D380" s="5"/>
      <c r="E380" s="5"/>
      <c r="F380" s="5"/>
      <c r="G380" s="5"/>
      <c r="H380" s="5"/>
      <c r="I380" s="5"/>
      <c r="J380" s="5"/>
      <c r="K380" s="5"/>
      <c r="L380" s="5"/>
      <c r="M380" s="5"/>
      <c r="N380" s="5"/>
      <c r="O380" s="5"/>
    </row>
    <row r="381" spans="1:15">
      <c r="A381" s="4"/>
      <c r="B381" s="5"/>
      <c r="C381" s="5"/>
      <c r="D381" s="5"/>
      <c r="E381" s="5"/>
      <c r="F381" s="5"/>
      <c r="G381" s="5"/>
      <c r="H381" s="5"/>
      <c r="I381" s="5"/>
      <c r="J381" s="5"/>
      <c r="K381" s="5"/>
      <c r="L381" s="5"/>
      <c r="M381" s="5"/>
      <c r="N381" s="5"/>
      <c r="O381" s="5"/>
    </row>
    <row r="382" spans="1:15">
      <c r="A382" s="4"/>
      <c r="B382" s="5"/>
      <c r="C382" s="5"/>
      <c r="D382" s="5"/>
      <c r="E382" s="5"/>
      <c r="F382" s="5"/>
      <c r="G382" s="5"/>
      <c r="H382" s="5"/>
      <c r="I382" s="5"/>
      <c r="J382" s="5"/>
      <c r="K382" s="5"/>
      <c r="L382" s="5"/>
      <c r="M382" s="5"/>
      <c r="N382" s="5"/>
      <c r="O382" s="5"/>
    </row>
    <row r="383" spans="1:15">
      <c r="A383" s="4"/>
      <c r="B383" s="5"/>
      <c r="C383" s="5"/>
      <c r="D383" s="5"/>
      <c r="E383" s="5"/>
      <c r="F383" s="5"/>
      <c r="G383" s="5"/>
      <c r="H383" s="5"/>
      <c r="I383" s="5"/>
      <c r="J383" s="5"/>
      <c r="K383" s="5"/>
      <c r="L383" s="5"/>
      <c r="M383" s="5"/>
      <c r="N383" s="5"/>
      <c r="O383" s="5"/>
    </row>
    <row r="384" spans="1:15">
      <c r="A384" s="4"/>
      <c r="B384" s="5"/>
      <c r="C384" s="5"/>
      <c r="D384" s="5"/>
      <c r="E384" s="5"/>
      <c r="F384" s="5"/>
      <c r="G384" s="5"/>
      <c r="H384" s="5"/>
      <c r="I384" s="5"/>
      <c r="J384" s="5"/>
      <c r="K384" s="5"/>
      <c r="L384" s="5"/>
      <c r="M384" s="5"/>
      <c r="N384" s="5"/>
      <c r="O384" s="5"/>
    </row>
    <row r="385" spans="1:15">
      <c r="A385" s="4"/>
      <c r="B385" s="5"/>
      <c r="C385" s="5"/>
      <c r="D385" s="5"/>
      <c r="E385" s="5"/>
      <c r="F385" s="5"/>
      <c r="G385" s="5"/>
      <c r="H385" s="5"/>
      <c r="I385" s="5"/>
      <c r="J385" s="5"/>
      <c r="K385" s="5"/>
      <c r="L385" s="5"/>
      <c r="M385" s="5"/>
      <c r="N385" s="5"/>
      <c r="O385" s="5"/>
    </row>
    <row r="386" spans="1:15">
      <c r="A386" s="4"/>
      <c r="B386" s="5"/>
      <c r="C386" s="5"/>
      <c r="D386" s="5"/>
      <c r="E386" s="5"/>
      <c r="F386" s="5"/>
      <c r="G386" s="5"/>
      <c r="H386" s="5"/>
      <c r="I386" s="5"/>
      <c r="J386" s="5"/>
      <c r="K386" s="5"/>
      <c r="L386" s="5"/>
      <c r="M386" s="5"/>
      <c r="N386" s="5"/>
      <c r="O386" s="5"/>
    </row>
    <row r="387" spans="1:15">
      <c r="A387" s="4"/>
      <c r="B387" s="5"/>
      <c r="C387" s="5"/>
      <c r="D387" s="5"/>
      <c r="E387" s="5"/>
      <c r="F387" s="5"/>
      <c r="G387" s="5"/>
      <c r="H387" s="5"/>
      <c r="I387" s="5"/>
      <c r="J387" s="5"/>
      <c r="K387" s="5"/>
      <c r="L387" s="5"/>
      <c r="M387" s="5"/>
      <c r="N387" s="5"/>
      <c r="O387" s="5"/>
    </row>
    <row r="388" spans="1:15">
      <c r="A388" s="4"/>
      <c r="B388" s="5"/>
      <c r="C388" s="5"/>
      <c r="D388" s="5"/>
      <c r="E388" s="5"/>
      <c r="F388" s="5"/>
      <c r="G388" s="5"/>
      <c r="H388" s="5"/>
      <c r="I388" s="5"/>
      <c r="J388" s="5"/>
      <c r="K388" s="5"/>
      <c r="L388" s="5"/>
      <c r="M388" s="5"/>
      <c r="N388" s="5"/>
      <c r="O388" s="5"/>
    </row>
    <row r="389" spans="1:15">
      <c r="A389" s="4"/>
      <c r="B389" s="5"/>
      <c r="C389" s="5"/>
      <c r="D389" s="5"/>
      <c r="E389" s="5"/>
      <c r="F389" s="5"/>
      <c r="G389" s="5"/>
      <c r="H389" s="5"/>
      <c r="I389" s="5"/>
      <c r="J389" s="5"/>
      <c r="K389" s="5"/>
      <c r="L389" s="5"/>
      <c r="M389" s="5"/>
      <c r="N389" s="5"/>
      <c r="O389" s="5"/>
    </row>
    <row r="390" spans="1:15">
      <c r="A390" s="4"/>
      <c r="B390" s="5"/>
      <c r="C390" s="5"/>
      <c r="D390" s="5"/>
      <c r="E390" s="5"/>
      <c r="F390" s="5"/>
      <c r="G390" s="5"/>
      <c r="H390" s="5"/>
      <c r="I390" s="5"/>
      <c r="J390" s="5"/>
      <c r="K390" s="5"/>
      <c r="L390" s="5"/>
      <c r="M390" s="5"/>
      <c r="N390" s="5"/>
      <c r="O390" s="5"/>
    </row>
    <row r="391" spans="1:15">
      <c r="A391" s="4"/>
      <c r="B391" s="5"/>
      <c r="C391" s="5"/>
      <c r="D391" s="5"/>
      <c r="E391" s="5"/>
      <c r="F391" s="5"/>
      <c r="G391" s="5"/>
      <c r="H391" s="5"/>
      <c r="I391" s="5"/>
      <c r="J391" s="5"/>
      <c r="K391" s="5"/>
      <c r="L391" s="5"/>
      <c r="M391" s="5"/>
      <c r="N391" s="5"/>
      <c r="O391" s="5"/>
    </row>
    <row r="392" spans="1:15">
      <c r="A392" s="4"/>
      <c r="B392" s="5"/>
      <c r="C392" s="5"/>
      <c r="D392" s="5"/>
      <c r="E392" s="5"/>
      <c r="F392" s="5"/>
      <c r="G392" s="5"/>
      <c r="H392" s="5"/>
      <c r="I392" s="5"/>
      <c r="J392" s="5"/>
      <c r="K392" s="5"/>
      <c r="L392" s="5"/>
      <c r="M392" s="5"/>
      <c r="N392" s="5"/>
      <c r="O392" s="5"/>
    </row>
    <row r="393" spans="1:15">
      <c r="A393" s="4"/>
      <c r="B393" s="5"/>
      <c r="C393" s="5"/>
      <c r="D393" s="5"/>
      <c r="E393" s="5"/>
      <c r="F393" s="5"/>
      <c r="G393" s="5"/>
      <c r="H393" s="5"/>
      <c r="I393" s="5"/>
      <c r="J393" s="5"/>
      <c r="K393" s="5"/>
      <c r="L393" s="5"/>
      <c r="M393" s="5"/>
      <c r="N393" s="5"/>
      <c r="O393" s="5"/>
    </row>
    <row r="394" spans="1:15">
      <c r="A394" s="4"/>
      <c r="B394" s="5"/>
      <c r="C394" s="5"/>
      <c r="D394" s="5"/>
      <c r="E394" s="5"/>
      <c r="F394" s="5"/>
      <c r="G394" s="5"/>
      <c r="H394" s="5"/>
      <c r="I394" s="5"/>
      <c r="J394" s="5"/>
      <c r="K394" s="5"/>
      <c r="L394" s="5"/>
      <c r="M394" s="5"/>
      <c r="N394" s="5"/>
      <c r="O394" s="5"/>
    </row>
    <row r="395" spans="1:15">
      <c r="A395" s="4"/>
      <c r="B395" s="5"/>
      <c r="C395" s="5"/>
      <c r="D395" s="5"/>
      <c r="E395" s="5"/>
      <c r="F395" s="5"/>
      <c r="G395" s="5"/>
      <c r="H395" s="5"/>
      <c r="I395" s="5"/>
      <c r="J395" s="5"/>
      <c r="K395" s="5"/>
      <c r="L395" s="5"/>
      <c r="M395" s="5"/>
      <c r="N395" s="5"/>
      <c r="O395" s="5"/>
    </row>
    <row r="396" spans="1:15">
      <c r="A396" s="4"/>
      <c r="B396" s="5"/>
      <c r="C396" s="5"/>
      <c r="D396" s="5"/>
      <c r="E396" s="5"/>
      <c r="F396" s="5"/>
      <c r="G396" s="5"/>
      <c r="H396" s="5"/>
      <c r="I396" s="5"/>
      <c r="J396" s="5"/>
      <c r="K396" s="5"/>
      <c r="L396" s="5"/>
      <c r="M396" s="5"/>
      <c r="N396" s="5"/>
      <c r="O396" s="5"/>
    </row>
    <row r="397" spans="1:15">
      <c r="A397" s="4"/>
      <c r="B397" s="5"/>
      <c r="C397" s="5"/>
      <c r="D397" s="5"/>
      <c r="E397" s="5"/>
      <c r="F397" s="5"/>
      <c r="G397" s="5"/>
      <c r="H397" s="5"/>
      <c r="I397" s="5"/>
      <c r="J397" s="5"/>
      <c r="K397" s="5"/>
      <c r="L397" s="5"/>
      <c r="M397" s="5"/>
      <c r="N397" s="5"/>
      <c r="O397" s="5"/>
    </row>
    <row r="398" spans="1:15">
      <c r="A398" s="4"/>
      <c r="B398" s="5"/>
      <c r="C398" s="5"/>
      <c r="D398" s="5"/>
      <c r="E398" s="5"/>
      <c r="F398" s="5"/>
      <c r="G398" s="5"/>
      <c r="H398" s="5"/>
      <c r="I398" s="5"/>
      <c r="J398" s="5"/>
      <c r="K398" s="5"/>
      <c r="L398" s="5"/>
      <c r="M398" s="5"/>
      <c r="N398" s="5"/>
      <c r="O398" s="5"/>
    </row>
    <row r="399" spans="1:15">
      <c r="A399" s="4"/>
      <c r="B399" s="5"/>
      <c r="C399" s="5"/>
      <c r="D399" s="5"/>
      <c r="E399" s="5"/>
      <c r="F399" s="5"/>
      <c r="G399" s="5"/>
      <c r="H399" s="5"/>
      <c r="I399" s="5"/>
      <c r="J399" s="5"/>
      <c r="K399" s="5"/>
      <c r="L399" s="5"/>
      <c r="M399" s="5"/>
      <c r="N399" s="5"/>
      <c r="O399" s="5"/>
    </row>
    <row r="400" spans="1:15">
      <c r="A400" s="4"/>
      <c r="B400" s="5"/>
      <c r="C400" s="5"/>
      <c r="D400" s="5"/>
      <c r="E400" s="5"/>
      <c r="F400" s="5"/>
      <c r="G400" s="5"/>
      <c r="H400" s="5"/>
      <c r="I400" s="5"/>
      <c r="J400" s="5"/>
      <c r="K400" s="5"/>
      <c r="L400" s="5"/>
      <c r="M400" s="5"/>
      <c r="N400" s="5"/>
      <c r="O400" s="5"/>
    </row>
    <row r="401" spans="1:15">
      <c r="A401" s="4"/>
      <c r="B401" s="5"/>
      <c r="C401" s="5"/>
      <c r="D401" s="5"/>
      <c r="E401" s="5"/>
      <c r="F401" s="5"/>
      <c r="G401" s="5"/>
      <c r="H401" s="5"/>
      <c r="I401" s="5"/>
      <c r="J401" s="5"/>
      <c r="K401" s="5"/>
      <c r="L401" s="5"/>
      <c r="M401" s="5"/>
      <c r="N401" s="5"/>
      <c r="O401" s="5"/>
    </row>
    <row r="402" spans="1:15">
      <c r="A402" s="4"/>
      <c r="B402" s="5"/>
      <c r="C402" s="5"/>
      <c r="D402" s="5"/>
      <c r="E402" s="5"/>
      <c r="F402" s="5"/>
      <c r="G402" s="5"/>
      <c r="H402" s="5"/>
      <c r="I402" s="5"/>
      <c r="J402" s="5"/>
      <c r="K402" s="5"/>
      <c r="L402" s="5"/>
      <c r="M402" s="5"/>
      <c r="N402" s="5"/>
      <c r="O402" s="5"/>
    </row>
    <row r="403" spans="1:15">
      <c r="A403" s="4"/>
      <c r="B403" s="5"/>
      <c r="C403" s="5"/>
      <c r="D403" s="5"/>
      <c r="E403" s="5"/>
      <c r="F403" s="5"/>
      <c r="G403" s="5"/>
      <c r="H403" s="5"/>
      <c r="I403" s="5"/>
      <c r="J403" s="5"/>
      <c r="K403" s="5"/>
      <c r="L403" s="5"/>
      <c r="M403" s="5"/>
      <c r="N403" s="5"/>
      <c r="O403" s="5"/>
    </row>
    <row r="404" spans="1:15">
      <c r="A404" s="4"/>
      <c r="B404" s="5"/>
      <c r="C404" s="5"/>
      <c r="D404" s="5"/>
      <c r="E404" s="5"/>
      <c r="F404" s="5"/>
      <c r="G404" s="5"/>
      <c r="H404" s="5"/>
      <c r="I404" s="5"/>
      <c r="J404" s="5"/>
      <c r="K404" s="5"/>
      <c r="L404" s="5"/>
      <c r="M404" s="5"/>
      <c r="N404" s="5"/>
      <c r="O404" s="5"/>
    </row>
    <row r="405" spans="1:15">
      <c r="A405" s="4"/>
      <c r="B405" s="5"/>
      <c r="C405" s="5"/>
      <c r="D405" s="5"/>
      <c r="E405" s="5"/>
      <c r="F405" s="5"/>
      <c r="G405" s="5"/>
      <c r="H405" s="5"/>
      <c r="I405" s="5"/>
      <c r="J405" s="5"/>
      <c r="K405" s="5"/>
      <c r="L405" s="5"/>
      <c r="M405" s="5"/>
      <c r="N405" s="5"/>
      <c r="O405" s="5"/>
    </row>
    <row r="406" spans="1:15">
      <c r="A406" s="4"/>
      <c r="B406" s="5"/>
      <c r="C406" s="5"/>
      <c r="D406" s="5"/>
      <c r="E406" s="5"/>
      <c r="F406" s="5"/>
      <c r="G406" s="5"/>
      <c r="H406" s="5"/>
      <c r="I406" s="5"/>
      <c r="J406" s="5"/>
      <c r="K406" s="5"/>
      <c r="L406" s="5"/>
      <c r="M406" s="5"/>
      <c r="N406" s="5"/>
      <c r="O406" s="5"/>
    </row>
    <row r="407" spans="1:15">
      <c r="A407" s="4"/>
      <c r="B407" s="5"/>
      <c r="C407" s="5"/>
      <c r="D407" s="5"/>
      <c r="E407" s="5"/>
      <c r="F407" s="5"/>
      <c r="G407" s="5"/>
      <c r="H407" s="5"/>
      <c r="I407" s="5"/>
      <c r="J407" s="5"/>
      <c r="K407" s="5"/>
      <c r="L407" s="5"/>
      <c r="M407" s="5"/>
      <c r="N407" s="5"/>
      <c r="O407" s="5"/>
    </row>
    <row r="408" spans="1:15">
      <c r="A408" s="4"/>
      <c r="B408" s="5"/>
      <c r="C408" s="5"/>
      <c r="D408" s="5"/>
      <c r="E408" s="5"/>
      <c r="F408" s="5"/>
      <c r="G408" s="5"/>
      <c r="H408" s="5"/>
      <c r="I408" s="5"/>
      <c r="J408" s="5"/>
      <c r="K408" s="5"/>
      <c r="L408" s="5"/>
      <c r="M408" s="5"/>
      <c r="N408" s="5"/>
      <c r="O408" s="5"/>
    </row>
    <row r="409" spans="1:15">
      <c r="A409" s="4"/>
      <c r="B409" s="5"/>
      <c r="C409" s="5"/>
      <c r="D409" s="5"/>
      <c r="E409" s="5"/>
      <c r="F409" s="5"/>
      <c r="G409" s="5"/>
      <c r="H409" s="5"/>
      <c r="I409" s="5"/>
      <c r="J409" s="5"/>
      <c r="K409" s="5"/>
      <c r="L409" s="5"/>
      <c r="M409" s="5"/>
      <c r="N409" s="5"/>
      <c r="O409" s="5"/>
    </row>
    <row r="410" spans="1:15">
      <c r="A410" s="4"/>
      <c r="B410" s="5"/>
      <c r="C410" s="5"/>
      <c r="D410" s="5"/>
      <c r="E410" s="5"/>
      <c r="F410" s="5"/>
      <c r="G410" s="5"/>
      <c r="H410" s="5"/>
      <c r="I410" s="5"/>
      <c r="J410" s="5"/>
      <c r="K410" s="5"/>
      <c r="L410" s="5"/>
      <c r="M410" s="5"/>
      <c r="N410" s="5"/>
      <c r="O410" s="5"/>
    </row>
    <row r="411" spans="1:15">
      <c r="A411" s="4"/>
      <c r="B411" s="5"/>
      <c r="C411" s="5"/>
      <c r="D411" s="5"/>
      <c r="E411" s="5"/>
      <c r="F411" s="5"/>
      <c r="G411" s="5"/>
      <c r="H411" s="5"/>
      <c r="I411" s="5"/>
      <c r="J411" s="5"/>
      <c r="K411" s="5"/>
      <c r="L411" s="5"/>
      <c r="M411" s="5"/>
      <c r="N411" s="5"/>
      <c r="O411" s="5"/>
    </row>
    <row r="412" spans="1:15">
      <c r="A412" s="4"/>
      <c r="B412" s="5"/>
      <c r="C412" s="5"/>
      <c r="D412" s="5"/>
      <c r="E412" s="5"/>
      <c r="F412" s="5"/>
      <c r="G412" s="5"/>
      <c r="H412" s="5"/>
      <c r="I412" s="5"/>
      <c r="J412" s="5"/>
      <c r="K412" s="5"/>
      <c r="L412" s="5"/>
      <c r="M412" s="5"/>
      <c r="N412" s="5"/>
      <c r="O412" s="5"/>
    </row>
    <row r="413" spans="1:15">
      <c r="A413" s="4"/>
      <c r="B413" s="5"/>
      <c r="C413" s="5"/>
      <c r="D413" s="5"/>
      <c r="E413" s="5"/>
      <c r="F413" s="5"/>
      <c r="G413" s="5"/>
      <c r="H413" s="5"/>
      <c r="I413" s="5"/>
      <c r="J413" s="5"/>
      <c r="K413" s="5"/>
      <c r="L413" s="5"/>
      <c r="M413" s="5"/>
      <c r="N413" s="5"/>
      <c r="O413" s="5"/>
    </row>
    <row r="414" spans="1:15">
      <c r="A414" s="4"/>
      <c r="B414" s="5"/>
      <c r="C414" s="5"/>
      <c r="D414" s="5"/>
      <c r="E414" s="5"/>
      <c r="F414" s="5"/>
      <c r="G414" s="5"/>
      <c r="H414" s="5"/>
      <c r="I414" s="5"/>
      <c r="J414" s="5"/>
      <c r="K414" s="5"/>
      <c r="L414" s="5"/>
      <c r="M414" s="5"/>
      <c r="N414" s="5"/>
      <c r="O414" s="5"/>
    </row>
    <row r="415" spans="1:15">
      <c r="A415" s="4"/>
      <c r="B415" s="5"/>
      <c r="C415" s="5"/>
      <c r="D415" s="5"/>
      <c r="E415" s="5"/>
      <c r="F415" s="5"/>
      <c r="G415" s="5"/>
      <c r="H415" s="5"/>
      <c r="I415" s="5"/>
      <c r="J415" s="5"/>
      <c r="K415" s="5"/>
      <c r="L415" s="5"/>
      <c r="M415" s="5"/>
      <c r="N415" s="5"/>
      <c r="O415" s="5"/>
    </row>
    <row r="416" spans="1:15">
      <c r="A416" s="4"/>
      <c r="B416" s="5"/>
      <c r="C416" s="5"/>
      <c r="D416" s="5"/>
      <c r="E416" s="5"/>
      <c r="F416" s="5"/>
      <c r="G416" s="5"/>
      <c r="H416" s="5"/>
      <c r="I416" s="5"/>
      <c r="J416" s="5"/>
      <c r="K416" s="5"/>
      <c r="L416" s="5"/>
      <c r="M416" s="5"/>
      <c r="N416" s="5"/>
      <c r="O416" s="5"/>
    </row>
    <row r="417" spans="1:15">
      <c r="A417" s="4"/>
      <c r="B417" s="5"/>
      <c r="C417" s="5"/>
      <c r="D417" s="5"/>
      <c r="E417" s="5"/>
      <c r="F417" s="5"/>
      <c r="G417" s="5"/>
      <c r="H417" s="5"/>
      <c r="I417" s="5"/>
      <c r="J417" s="5"/>
      <c r="K417" s="5"/>
      <c r="L417" s="5"/>
      <c r="M417" s="5"/>
      <c r="N417" s="5"/>
      <c r="O417" s="5"/>
    </row>
    <row r="418" spans="1:15">
      <c r="A418" s="4"/>
      <c r="B418" s="5"/>
      <c r="C418" s="5"/>
      <c r="D418" s="5"/>
      <c r="E418" s="5"/>
      <c r="F418" s="5"/>
      <c r="G418" s="5"/>
      <c r="H418" s="5"/>
      <c r="I418" s="5"/>
      <c r="J418" s="5"/>
      <c r="K418" s="5"/>
      <c r="L418" s="5"/>
      <c r="M418" s="5"/>
      <c r="N418" s="5"/>
      <c r="O418" s="5"/>
    </row>
    <row r="419" spans="1:15">
      <c r="A419" s="4"/>
      <c r="B419" s="5"/>
      <c r="C419" s="5"/>
      <c r="D419" s="5"/>
      <c r="E419" s="5"/>
      <c r="F419" s="5"/>
      <c r="G419" s="5"/>
      <c r="H419" s="5"/>
      <c r="I419" s="5"/>
      <c r="J419" s="5"/>
      <c r="K419" s="5"/>
      <c r="L419" s="5"/>
      <c r="M419" s="5"/>
      <c r="N419" s="5"/>
      <c r="O419" s="5"/>
    </row>
    <row r="420" spans="1:15">
      <c r="A420" s="4"/>
      <c r="B420" s="5"/>
      <c r="C420" s="5"/>
      <c r="D420" s="5"/>
      <c r="E420" s="5"/>
      <c r="F420" s="5"/>
      <c r="G420" s="5"/>
      <c r="H420" s="5"/>
      <c r="I420" s="5"/>
      <c r="J420" s="5"/>
      <c r="K420" s="5"/>
      <c r="L420" s="5"/>
      <c r="M420" s="5"/>
      <c r="N420" s="5"/>
      <c r="O420" s="5"/>
    </row>
    <row r="421" spans="1:15">
      <c r="A421" s="4"/>
      <c r="B421" s="5"/>
      <c r="C421" s="5"/>
      <c r="D421" s="5"/>
      <c r="E421" s="5"/>
      <c r="F421" s="5"/>
      <c r="G421" s="5"/>
      <c r="H421" s="5"/>
      <c r="I421" s="5"/>
      <c r="J421" s="5"/>
      <c r="K421" s="5"/>
      <c r="L421" s="5"/>
      <c r="M421" s="5"/>
      <c r="N421" s="5"/>
      <c r="O421" s="5"/>
    </row>
    <row r="422" spans="1:15">
      <c r="A422" s="4"/>
      <c r="B422" s="5"/>
      <c r="C422" s="5"/>
      <c r="D422" s="5"/>
      <c r="E422" s="5"/>
      <c r="F422" s="5"/>
      <c r="G422" s="5"/>
      <c r="H422" s="5"/>
      <c r="I422" s="5"/>
      <c r="J422" s="5"/>
      <c r="K422" s="5"/>
      <c r="L422" s="5"/>
      <c r="M422" s="5"/>
      <c r="N422" s="5"/>
      <c r="O422" s="5"/>
    </row>
    <row r="423" spans="1:15">
      <c r="A423" s="4"/>
      <c r="B423" s="5"/>
      <c r="C423" s="5"/>
      <c r="D423" s="5"/>
      <c r="E423" s="5"/>
      <c r="F423" s="5"/>
      <c r="G423" s="5"/>
      <c r="H423" s="5"/>
      <c r="I423" s="5"/>
      <c r="J423" s="5"/>
      <c r="K423" s="5"/>
      <c r="L423" s="5"/>
      <c r="M423" s="5"/>
      <c r="N423" s="5"/>
      <c r="O423" s="5"/>
    </row>
    <row r="424" spans="1:15">
      <c r="A424" s="4"/>
      <c r="B424" s="5"/>
      <c r="C424" s="5"/>
      <c r="D424" s="5"/>
      <c r="E424" s="5"/>
      <c r="F424" s="5"/>
      <c r="G424" s="5"/>
      <c r="H424" s="5"/>
      <c r="I424" s="5"/>
      <c r="J424" s="5"/>
      <c r="K424" s="5"/>
      <c r="L424" s="5"/>
      <c r="M424" s="5"/>
      <c r="N424" s="5"/>
      <c r="O424" s="5"/>
    </row>
    <row r="425" spans="1:15">
      <c r="A425" s="4"/>
      <c r="B425" s="5"/>
      <c r="C425" s="5"/>
      <c r="D425" s="5"/>
      <c r="E425" s="5"/>
      <c r="F425" s="5"/>
      <c r="G425" s="5"/>
      <c r="H425" s="5"/>
      <c r="I425" s="5"/>
      <c r="J425" s="5"/>
      <c r="K425" s="5"/>
      <c r="L425" s="5"/>
      <c r="M425" s="5"/>
      <c r="N425" s="5"/>
      <c r="O425" s="5"/>
    </row>
    <row r="426" spans="1:15">
      <c r="A426" s="4"/>
      <c r="B426" s="5"/>
      <c r="C426" s="5"/>
      <c r="D426" s="5"/>
      <c r="E426" s="5"/>
      <c r="F426" s="5"/>
      <c r="G426" s="5"/>
      <c r="H426" s="5"/>
      <c r="I426" s="5"/>
      <c r="J426" s="5"/>
      <c r="K426" s="5"/>
      <c r="L426" s="5"/>
      <c r="M426" s="5"/>
      <c r="N426" s="5"/>
      <c r="O426" s="5"/>
    </row>
    <row r="427" spans="1:15">
      <c r="A427" s="4"/>
      <c r="B427" s="5"/>
      <c r="C427" s="5"/>
      <c r="D427" s="5"/>
      <c r="E427" s="5"/>
      <c r="F427" s="5"/>
      <c r="G427" s="5"/>
      <c r="H427" s="5"/>
      <c r="I427" s="5"/>
      <c r="J427" s="5"/>
      <c r="K427" s="5"/>
      <c r="L427" s="5"/>
      <c r="M427" s="5"/>
      <c r="N427" s="5"/>
      <c r="O427" s="5"/>
    </row>
    <row r="428" spans="1:15">
      <c r="A428" s="4"/>
      <c r="B428" s="5"/>
      <c r="C428" s="5"/>
      <c r="D428" s="5"/>
      <c r="E428" s="5"/>
      <c r="F428" s="5"/>
      <c r="G428" s="5"/>
      <c r="H428" s="5"/>
      <c r="I428" s="5"/>
      <c r="J428" s="5"/>
      <c r="K428" s="5"/>
      <c r="L428" s="5"/>
      <c r="M428" s="5"/>
      <c r="N428" s="5"/>
      <c r="O428" s="5"/>
    </row>
    <row r="429" spans="1:15">
      <c r="A429" s="4"/>
      <c r="B429" s="5"/>
      <c r="C429" s="5"/>
      <c r="D429" s="5"/>
      <c r="E429" s="5"/>
      <c r="F429" s="5"/>
      <c r="G429" s="5"/>
      <c r="H429" s="5"/>
      <c r="I429" s="5"/>
      <c r="J429" s="5"/>
      <c r="K429" s="5"/>
      <c r="L429" s="5"/>
      <c r="M429" s="5"/>
      <c r="N429" s="5"/>
      <c r="O429" s="5"/>
    </row>
    <row r="430" spans="1:15">
      <c r="A430" s="4"/>
      <c r="B430" s="5"/>
      <c r="C430" s="5"/>
      <c r="D430" s="5"/>
      <c r="E430" s="5"/>
      <c r="F430" s="5"/>
      <c r="G430" s="5"/>
      <c r="H430" s="5"/>
      <c r="I430" s="5"/>
      <c r="J430" s="5"/>
      <c r="K430" s="5"/>
      <c r="L430" s="5"/>
      <c r="M430" s="5"/>
      <c r="N430" s="5"/>
      <c r="O430" s="5"/>
    </row>
    <row r="431" spans="1:15">
      <c r="A431" s="4"/>
      <c r="B431" s="5"/>
      <c r="C431" s="5"/>
      <c r="D431" s="5"/>
      <c r="E431" s="5"/>
      <c r="F431" s="5"/>
      <c r="G431" s="5"/>
      <c r="H431" s="5"/>
      <c r="I431" s="5"/>
      <c r="J431" s="5"/>
      <c r="K431" s="5"/>
      <c r="L431" s="5"/>
      <c r="M431" s="5"/>
      <c r="N431" s="5"/>
      <c r="O431" s="5"/>
    </row>
    <row r="432" spans="1:15">
      <c r="A432" s="4"/>
      <c r="B432" s="5"/>
      <c r="C432" s="5"/>
      <c r="D432" s="5"/>
      <c r="E432" s="5"/>
      <c r="F432" s="5"/>
      <c r="G432" s="5"/>
      <c r="H432" s="5"/>
      <c r="I432" s="5"/>
      <c r="J432" s="5"/>
      <c r="K432" s="5"/>
      <c r="L432" s="5"/>
      <c r="M432" s="5"/>
      <c r="N432" s="5"/>
      <c r="O432" s="5"/>
    </row>
    <row r="433" spans="1:15">
      <c r="A433" s="4"/>
      <c r="B433" s="5"/>
      <c r="C433" s="5"/>
      <c r="D433" s="5"/>
      <c r="E433" s="5"/>
      <c r="F433" s="5"/>
      <c r="G433" s="5"/>
      <c r="H433" s="5"/>
      <c r="I433" s="5"/>
      <c r="J433" s="5"/>
      <c r="K433" s="5"/>
      <c r="L433" s="5"/>
      <c r="M433" s="5"/>
      <c r="N433" s="5"/>
      <c r="O433" s="5"/>
    </row>
    <row r="434" spans="1:15">
      <c r="A434" s="4"/>
      <c r="B434" s="5"/>
      <c r="C434" s="5"/>
      <c r="D434" s="5"/>
      <c r="E434" s="5"/>
      <c r="F434" s="5"/>
      <c r="G434" s="5"/>
      <c r="H434" s="5"/>
      <c r="I434" s="5"/>
      <c r="J434" s="5"/>
      <c r="K434" s="5"/>
      <c r="L434" s="5"/>
      <c r="M434" s="5"/>
      <c r="N434" s="5"/>
      <c r="O434" s="5"/>
    </row>
    <row r="435" spans="1:15">
      <c r="A435" s="4"/>
      <c r="B435" s="5"/>
      <c r="C435" s="5"/>
      <c r="D435" s="5"/>
      <c r="E435" s="5"/>
      <c r="F435" s="5"/>
      <c r="G435" s="5"/>
      <c r="H435" s="5"/>
      <c r="I435" s="5"/>
      <c r="J435" s="5"/>
      <c r="K435" s="5"/>
      <c r="L435" s="5"/>
      <c r="M435" s="5"/>
      <c r="N435" s="5"/>
      <c r="O435" s="5"/>
    </row>
    <row r="436" spans="1:15">
      <c r="A436" s="4"/>
      <c r="B436" s="5"/>
      <c r="C436" s="5"/>
      <c r="D436" s="5"/>
      <c r="E436" s="5"/>
      <c r="F436" s="5"/>
      <c r="G436" s="5"/>
      <c r="H436" s="5"/>
      <c r="I436" s="5"/>
      <c r="J436" s="5"/>
      <c r="K436" s="5"/>
      <c r="L436" s="5"/>
      <c r="M436" s="5"/>
      <c r="N436" s="5"/>
      <c r="O436" s="5"/>
    </row>
    <row r="437" spans="1:15">
      <c r="A437" s="4"/>
      <c r="B437" s="5"/>
      <c r="C437" s="5"/>
      <c r="D437" s="5"/>
      <c r="E437" s="5"/>
      <c r="F437" s="5"/>
      <c r="G437" s="5"/>
      <c r="H437" s="5"/>
      <c r="I437" s="5"/>
      <c r="J437" s="5"/>
      <c r="K437" s="5"/>
      <c r="L437" s="5"/>
      <c r="M437" s="5"/>
      <c r="N437" s="5"/>
      <c r="O437" s="5"/>
    </row>
    <row r="438" spans="1:15">
      <c r="A438" s="4"/>
      <c r="B438" s="5"/>
      <c r="C438" s="5"/>
      <c r="D438" s="5"/>
      <c r="E438" s="5"/>
      <c r="F438" s="5"/>
      <c r="G438" s="5"/>
      <c r="H438" s="5"/>
      <c r="I438" s="5"/>
      <c r="J438" s="5"/>
      <c r="K438" s="5"/>
      <c r="L438" s="5"/>
      <c r="M438" s="5"/>
      <c r="N438" s="5"/>
      <c r="O438" s="5"/>
    </row>
    <row r="439" spans="1:15">
      <c r="A439" s="4"/>
      <c r="B439" s="5"/>
      <c r="C439" s="5"/>
      <c r="D439" s="5"/>
      <c r="E439" s="5"/>
      <c r="F439" s="5"/>
      <c r="G439" s="5"/>
      <c r="H439" s="5"/>
      <c r="I439" s="5"/>
      <c r="J439" s="5"/>
      <c r="K439" s="5"/>
      <c r="L439" s="5"/>
      <c r="M439" s="5"/>
      <c r="N439" s="5"/>
      <c r="O439" s="5"/>
    </row>
    <row r="440" spans="1:15">
      <c r="A440" s="4"/>
      <c r="B440" s="5"/>
      <c r="C440" s="5"/>
      <c r="D440" s="5"/>
      <c r="E440" s="5"/>
      <c r="F440" s="5"/>
      <c r="G440" s="5"/>
      <c r="H440" s="5"/>
      <c r="I440" s="5"/>
      <c r="J440" s="5"/>
      <c r="K440" s="5"/>
      <c r="L440" s="5"/>
      <c r="M440" s="5"/>
      <c r="N440" s="5"/>
      <c r="O440" s="5"/>
    </row>
    <row r="441" spans="1:15">
      <c r="A441" s="4"/>
      <c r="B441" s="5"/>
      <c r="C441" s="5"/>
      <c r="D441" s="5"/>
      <c r="E441" s="5"/>
      <c r="F441" s="5"/>
      <c r="G441" s="5"/>
      <c r="H441" s="5"/>
      <c r="I441" s="5"/>
      <c r="J441" s="5"/>
      <c r="K441" s="5"/>
      <c r="L441" s="5"/>
      <c r="M441" s="5"/>
      <c r="N441" s="5"/>
      <c r="O441" s="5"/>
    </row>
    <row r="442" spans="1:15">
      <c r="A442" s="4"/>
      <c r="B442" s="5"/>
      <c r="C442" s="5"/>
      <c r="D442" s="5"/>
      <c r="E442" s="5"/>
      <c r="F442" s="5"/>
      <c r="G442" s="5"/>
      <c r="H442" s="5"/>
      <c r="I442" s="5"/>
      <c r="J442" s="5"/>
      <c r="K442" s="5"/>
      <c r="L442" s="5"/>
      <c r="M442" s="5"/>
      <c r="N442" s="5"/>
      <c r="O442" s="5"/>
    </row>
    <row r="443" spans="1:15">
      <c r="A443" s="4"/>
      <c r="B443" s="5"/>
      <c r="C443" s="5"/>
      <c r="D443" s="5"/>
      <c r="E443" s="5"/>
      <c r="F443" s="5"/>
      <c r="G443" s="5"/>
      <c r="H443" s="5"/>
      <c r="I443" s="5"/>
      <c r="J443" s="5"/>
      <c r="K443" s="5"/>
      <c r="L443" s="5"/>
      <c r="M443" s="5"/>
      <c r="N443" s="5"/>
      <c r="O443" s="5"/>
    </row>
    <row r="444" spans="1:15">
      <c r="A444" s="4"/>
      <c r="B444" s="5"/>
      <c r="C444" s="5"/>
      <c r="D444" s="5"/>
      <c r="E444" s="5"/>
      <c r="F444" s="5"/>
      <c r="G444" s="5"/>
      <c r="H444" s="5"/>
      <c r="I444" s="5"/>
      <c r="J444" s="5"/>
      <c r="K444" s="5"/>
      <c r="L444" s="5"/>
      <c r="M444" s="5"/>
      <c r="N444" s="5"/>
      <c r="O444" s="5"/>
    </row>
    <row r="445" spans="1:15">
      <c r="A445" s="4"/>
      <c r="B445" s="5"/>
      <c r="C445" s="5"/>
      <c r="D445" s="5"/>
      <c r="E445" s="5"/>
      <c r="F445" s="5"/>
      <c r="G445" s="5"/>
      <c r="H445" s="5"/>
      <c r="I445" s="5"/>
      <c r="J445" s="5"/>
      <c r="K445" s="5"/>
      <c r="L445" s="5"/>
      <c r="M445" s="5"/>
      <c r="N445" s="5"/>
      <c r="O445" s="5"/>
    </row>
    <row r="446" spans="1:15">
      <c r="A446" s="4"/>
      <c r="B446" s="5"/>
      <c r="C446" s="5"/>
      <c r="D446" s="5"/>
      <c r="E446" s="5"/>
      <c r="F446" s="5"/>
      <c r="G446" s="5"/>
      <c r="H446" s="5"/>
      <c r="I446" s="5"/>
      <c r="J446" s="5"/>
      <c r="K446" s="5"/>
      <c r="L446" s="5"/>
      <c r="M446" s="5"/>
      <c r="N446" s="5"/>
      <c r="O446" s="5"/>
    </row>
    <row r="447" spans="1:15">
      <c r="A447" s="4"/>
      <c r="B447" s="5"/>
      <c r="C447" s="5"/>
      <c r="D447" s="5"/>
      <c r="E447" s="5"/>
      <c r="F447" s="5"/>
      <c r="G447" s="5"/>
      <c r="H447" s="5"/>
      <c r="I447" s="5"/>
      <c r="J447" s="5"/>
      <c r="K447" s="5"/>
      <c r="L447" s="5"/>
      <c r="M447" s="5"/>
      <c r="N447" s="5"/>
      <c r="O447" s="5"/>
    </row>
    <row r="448" spans="1:15">
      <c r="A448" s="4"/>
      <c r="B448" s="5"/>
      <c r="C448" s="5"/>
      <c r="D448" s="5"/>
      <c r="E448" s="5"/>
      <c r="F448" s="5"/>
      <c r="G448" s="5"/>
      <c r="H448" s="5"/>
      <c r="I448" s="5"/>
      <c r="J448" s="5"/>
      <c r="K448" s="5"/>
      <c r="L448" s="5"/>
      <c r="M448" s="5"/>
      <c r="N448" s="5"/>
      <c r="O448" s="5"/>
    </row>
    <row r="449" spans="1:15">
      <c r="A449" s="4"/>
      <c r="B449" s="5"/>
      <c r="C449" s="5"/>
      <c r="D449" s="5"/>
      <c r="E449" s="5"/>
      <c r="F449" s="5"/>
      <c r="G449" s="5"/>
      <c r="H449" s="5"/>
      <c r="I449" s="5"/>
      <c r="J449" s="5"/>
      <c r="K449" s="5"/>
      <c r="L449" s="5"/>
      <c r="M449" s="5"/>
      <c r="N449" s="5"/>
      <c r="O449" s="5"/>
    </row>
    <row r="450" spans="1:15">
      <c r="A450" s="4"/>
      <c r="B450" s="5"/>
      <c r="C450" s="5"/>
      <c r="D450" s="5"/>
      <c r="E450" s="5"/>
      <c r="F450" s="5"/>
      <c r="G450" s="5"/>
      <c r="H450" s="5"/>
      <c r="I450" s="5"/>
      <c r="J450" s="5"/>
      <c r="K450" s="5"/>
      <c r="L450" s="5"/>
      <c r="M450" s="5"/>
      <c r="N450" s="5"/>
      <c r="O450" s="5"/>
    </row>
    <row r="451" spans="1:15">
      <c r="A451" s="4"/>
      <c r="B451" s="5"/>
      <c r="C451" s="5"/>
      <c r="D451" s="5"/>
      <c r="E451" s="5"/>
      <c r="F451" s="5"/>
      <c r="G451" s="5"/>
      <c r="H451" s="5"/>
      <c r="I451" s="5"/>
      <c r="J451" s="5"/>
      <c r="K451" s="5"/>
      <c r="L451" s="5"/>
      <c r="M451" s="5"/>
      <c r="N451" s="5"/>
      <c r="O451" s="5"/>
    </row>
    <row r="452" spans="1:15">
      <c r="A452" s="4"/>
      <c r="B452" s="5"/>
      <c r="C452" s="5"/>
      <c r="D452" s="5"/>
      <c r="E452" s="5"/>
      <c r="F452" s="5"/>
      <c r="G452" s="5"/>
      <c r="H452" s="5"/>
      <c r="I452" s="5"/>
      <c r="J452" s="5"/>
      <c r="K452" s="5"/>
      <c r="L452" s="5"/>
      <c r="M452" s="5"/>
      <c r="N452" s="5"/>
      <c r="O452" s="5"/>
    </row>
    <row r="453" spans="1:15">
      <c r="A453" s="4"/>
      <c r="B453" s="5"/>
      <c r="C453" s="5"/>
      <c r="D453" s="5"/>
      <c r="E453" s="5"/>
      <c r="F453" s="5"/>
      <c r="G453" s="5"/>
      <c r="H453" s="5"/>
      <c r="I453" s="5"/>
      <c r="J453" s="5"/>
      <c r="K453" s="5"/>
      <c r="L453" s="5"/>
      <c r="M453" s="5"/>
      <c r="N453" s="5"/>
      <c r="O453" s="5"/>
    </row>
    <row r="454" spans="1:15">
      <c r="A454" s="4"/>
      <c r="B454" s="5"/>
      <c r="C454" s="5"/>
      <c r="D454" s="5"/>
      <c r="E454" s="5"/>
      <c r="F454" s="5"/>
      <c r="G454" s="5"/>
      <c r="H454" s="5"/>
      <c r="I454" s="5"/>
      <c r="J454" s="5"/>
      <c r="K454" s="5"/>
      <c r="L454" s="5"/>
      <c r="M454" s="5"/>
      <c r="N454" s="5"/>
      <c r="O454" s="5"/>
    </row>
    <row r="455" spans="1:15">
      <c r="A455" s="4"/>
      <c r="B455" s="5"/>
      <c r="C455" s="5"/>
      <c r="D455" s="5"/>
      <c r="E455" s="5"/>
      <c r="F455" s="5"/>
      <c r="G455" s="5"/>
      <c r="H455" s="5"/>
      <c r="I455" s="5"/>
      <c r="J455" s="5"/>
      <c r="K455" s="5"/>
      <c r="L455" s="5"/>
      <c r="M455" s="5"/>
      <c r="N455" s="5"/>
      <c r="O455" s="5"/>
    </row>
    <row r="456" spans="1:15">
      <c r="A456" s="4"/>
      <c r="B456" s="5"/>
      <c r="C456" s="5"/>
      <c r="D456" s="5"/>
      <c r="E456" s="5"/>
      <c r="F456" s="5"/>
      <c r="G456" s="5"/>
      <c r="H456" s="5"/>
      <c r="I456" s="5"/>
      <c r="J456" s="5"/>
      <c r="K456" s="5"/>
      <c r="L456" s="5"/>
      <c r="M456" s="5"/>
      <c r="N456" s="5"/>
      <c r="O456" s="5"/>
    </row>
    <row r="457" spans="1:15">
      <c r="A457" s="4"/>
      <c r="B457" s="5"/>
      <c r="C457" s="5"/>
      <c r="D457" s="5"/>
      <c r="E457" s="5"/>
      <c r="F457" s="5"/>
      <c r="G457" s="5"/>
      <c r="H457" s="5"/>
      <c r="I457" s="5"/>
      <c r="J457" s="5"/>
      <c r="K457" s="5"/>
      <c r="L457" s="5"/>
      <c r="M457" s="5"/>
      <c r="N457" s="5"/>
      <c r="O457" s="5"/>
    </row>
    <row r="458" spans="1:15">
      <c r="A458" s="4"/>
      <c r="B458" s="5"/>
      <c r="C458" s="5"/>
      <c r="D458" s="5"/>
      <c r="E458" s="5"/>
      <c r="F458" s="5"/>
      <c r="G458" s="5"/>
      <c r="H458" s="5"/>
      <c r="I458" s="5"/>
      <c r="J458" s="5"/>
      <c r="K458" s="5"/>
      <c r="L458" s="5"/>
      <c r="M458" s="5"/>
      <c r="N458" s="5"/>
      <c r="O458" s="5"/>
    </row>
    <row r="459" spans="1:15">
      <c r="A459" s="4"/>
      <c r="B459" s="5"/>
      <c r="C459" s="5"/>
      <c r="D459" s="5"/>
      <c r="E459" s="5"/>
      <c r="F459" s="5"/>
      <c r="G459" s="5"/>
      <c r="H459" s="5"/>
      <c r="I459" s="5"/>
      <c r="J459" s="5"/>
      <c r="K459" s="5"/>
      <c r="L459" s="5"/>
      <c r="M459" s="5"/>
      <c r="N459" s="5"/>
      <c r="O459" s="5"/>
    </row>
    <row r="460" spans="1:15">
      <c r="A460" s="4"/>
      <c r="B460" s="5"/>
      <c r="C460" s="5"/>
      <c r="D460" s="5"/>
      <c r="E460" s="5"/>
      <c r="F460" s="5"/>
      <c r="G460" s="5"/>
      <c r="H460" s="5"/>
      <c r="I460" s="5"/>
      <c r="J460" s="5"/>
      <c r="K460" s="5"/>
      <c r="L460" s="5"/>
      <c r="M460" s="5"/>
      <c r="N460" s="5"/>
      <c r="O460" s="5"/>
    </row>
    <row r="461" spans="1:15">
      <c r="A461" s="4"/>
      <c r="B461" s="5"/>
      <c r="C461" s="5"/>
      <c r="D461" s="5"/>
      <c r="E461" s="5"/>
      <c r="F461" s="5"/>
      <c r="G461" s="5"/>
      <c r="H461" s="5"/>
      <c r="I461" s="5"/>
      <c r="J461" s="5"/>
      <c r="K461" s="5"/>
      <c r="L461" s="5"/>
      <c r="M461" s="5"/>
      <c r="N461" s="5"/>
      <c r="O461" s="5"/>
    </row>
    <row r="462" spans="1:15">
      <c r="A462" s="4"/>
      <c r="B462" s="5"/>
      <c r="C462" s="5"/>
      <c r="D462" s="5"/>
      <c r="E462" s="5"/>
      <c r="F462" s="5"/>
      <c r="G462" s="5"/>
      <c r="H462" s="5"/>
      <c r="I462" s="5"/>
      <c r="J462" s="5"/>
      <c r="K462" s="5"/>
      <c r="L462" s="5"/>
      <c r="M462" s="5"/>
      <c r="N462" s="5"/>
      <c r="O462" s="5"/>
    </row>
    <row r="463" spans="1:15">
      <c r="A463" s="4"/>
      <c r="B463" s="5"/>
      <c r="C463" s="5"/>
      <c r="D463" s="5"/>
      <c r="E463" s="5"/>
      <c r="F463" s="5"/>
      <c r="G463" s="5"/>
      <c r="H463" s="5"/>
      <c r="I463" s="5"/>
      <c r="J463" s="5"/>
      <c r="K463" s="5"/>
      <c r="L463" s="5"/>
      <c r="M463" s="5"/>
      <c r="N463" s="5"/>
      <c r="O463" s="5"/>
    </row>
    <row r="464" spans="1:15">
      <c r="A464" s="4"/>
      <c r="B464" s="5"/>
      <c r="C464" s="5"/>
      <c r="D464" s="5"/>
      <c r="E464" s="5"/>
      <c r="F464" s="5"/>
      <c r="G464" s="5"/>
      <c r="H464" s="5"/>
      <c r="I464" s="5"/>
      <c r="J464" s="5"/>
      <c r="K464" s="5"/>
      <c r="L464" s="5"/>
      <c r="M464" s="5"/>
      <c r="N464" s="5"/>
      <c r="O464" s="5"/>
    </row>
    <row r="465" spans="1:15">
      <c r="A465" s="4"/>
      <c r="B465" s="5"/>
      <c r="C465" s="5"/>
      <c r="D465" s="5"/>
      <c r="E465" s="5"/>
      <c r="F465" s="5"/>
      <c r="G465" s="5"/>
      <c r="H465" s="5"/>
      <c r="I465" s="5"/>
      <c r="J465" s="5"/>
      <c r="K465" s="5"/>
      <c r="L465" s="5"/>
      <c r="M465" s="5"/>
      <c r="N465" s="5"/>
      <c r="O465" s="5"/>
    </row>
    <row r="466" spans="1:15">
      <c r="A466" s="4"/>
      <c r="B466" s="5"/>
      <c r="C466" s="5"/>
      <c r="D466" s="5"/>
      <c r="E466" s="5"/>
      <c r="F466" s="5"/>
      <c r="G466" s="5"/>
      <c r="H466" s="5"/>
      <c r="I466" s="5"/>
      <c r="J466" s="5"/>
      <c r="K466" s="5"/>
      <c r="L466" s="5"/>
      <c r="M466" s="5"/>
      <c r="N466" s="5"/>
      <c r="O466" s="5"/>
    </row>
    <row r="467" spans="1:15">
      <c r="A467" s="4"/>
      <c r="B467" s="5"/>
      <c r="C467" s="5"/>
      <c r="D467" s="5"/>
      <c r="E467" s="5"/>
      <c r="F467" s="5"/>
      <c r="G467" s="5"/>
      <c r="H467" s="5"/>
      <c r="I467" s="5"/>
      <c r="J467" s="5"/>
      <c r="K467" s="5"/>
      <c r="L467" s="5"/>
      <c r="M467" s="5"/>
      <c r="N467" s="5"/>
      <c r="O467" s="5"/>
    </row>
    <row r="468" spans="1:15">
      <c r="A468" s="4"/>
      <c r="B468" s="5"/>
      <c r="C468" s="5"/>
      <c r="D468" s="5"/>
      <c r="E468" s="5"/>
      <c r="F468" s="5"/>
      <c r="G468" s="5"/>
      <c r="H468" s="5"/>
      <c r="I468" s="5"/>
      <c r="J468" s="5"/>
      <c r="K468" s="5"/>
      <c r="L468" s="5"/>
      <c r="M468" s="5"/>
      <c r="N468" s="5"/>
      <c r="O468" s="5"/>
    </row>
    <row r="469" spans="1:15">
      <c r="A469" s="4"/>
      <c r="B469" s="5"/>
      <c r="C469" s="5"/>
      <c r="D469" s="5"/>
      <c r="E469" s="5"/>
      <c r="F469" s="5"/>
      <c r="G469" s="5"/>
      <c r="H469" s="5"/>
      <c r="I469" s="5"/>
      <c r="J469" s="5"/>
      <c r="K469" s="5"/>
      <c r="L469" s="5"/>
      <c r="M469" s="5"/>
      <c r="N469" s="5"/>
      <c r="O469" s="5"/>
    </row>
    <row r="470" spans="1:15">
      <c r="A470" s="4"/>
      <c r="B470" s="5"/>
      <c r="C470" s="5"/>
      <c r="D470" s="5"/>
      <c r="E470" s="5"/>
      <c r="F470" s="5"/>
      <c r="G470" s="5"/>
      <c r="H470" s="5"/>
      <c r="I470" s="5"/>
      <c r="J470" s="5"/>
      <c r="K470" s="5"/>
      <c r="L470" s="5"/>
      <c r="M470" s="5"/>
      <c r="N470" s="5"/>
      <c r="O470" s="5"/>
    </row>
    <row r="471" spans="1:15">
      <c r="A471" s="4"/>
      <c r="B471" s="5"/>
      <c r="C471" s="5"/>
      <c r="D471" s="5"/>
      <c r="E471" s="5"/>
      <c r="F471" s="5"/>
      <c r="G471" s="5"/>
      <c r="H471" s="5"/>
      <c r="I471" s="5"/>
      <c r="J471" s="5"/>
      <c r="K471" s="5"/>
      <c r="L471" s="5"/>
      <c r="M471" s="5"/>
      <c r="N471" s="5"/>
      <c r="O471" s="5"/>
    </row>
    <row r="472" spans="1:15">
      <c r="A472" s="4"/>
      <c r="B472" s="5"/>
      <c r="C472" s="5"/>
      <c r="D472" s="5"/>
      <c r="E472" s="5"/>
      <c r="F472" s="5"/>
      <c r="G472" s="5"/>
      <c r="H472" s="5"/>
      <c r="I472" s="5"/>
      <c r="J472" s="5"/>
      <c r="K472" s="5"/>
      <c r="L472" s="5"/>
      <c r="M472" s="5"/>
      <c r="N472" s="5"/>
      <c r="O472" s="5"/>
    </row>
    <row r="473" spans="1:15">
      <c r="A473" s="4"/>
      <c r="B473" s="5"/>
      <c r="C473" s="5"/>
      <c r="D473" s="5"/>
      <c r="E473" s="5"/>
      <c r="F473" s="5"/>
      <c r="G473" s="5"/>
      <c r="H473" s="5"/>
      <c r="I473" s="5"/>
      <c r="J473" s="5"/>
      <c r="K473" s="5"/>
      <c r="L473" s="5"/>
      <c r="M473" s="5"/>
      <c r="N473" s="5"/>
      <c r="O473" s="5"/>
    </row>
    <row r="474" spans="1:15">
      <c r="A474" s="4"/>
      <c r="B474" s="5"/>
      <c r="C474" s="5"/>
      <c r="D474" s="5"/>
      <c r="E474" s="5"/>
      <c r="F474" s="5"/>
      <c r="G474" s="5"/>
      <c r="H474" s="5"/>
      <c r="I474" s="5"/>
      <c r="J474" s="5"/>
      <c r="K474" s="5"/>
      <c r="L474" s="5"/>
      <c r="M474" s="5"/>
      <c r="N474" s="5"/>
      <c r="O474" s="5"/>
    </row>
    <row r="475" spans="1:15">
      <c r="A475" s="4"/>
      <c r="B475" s="5"/>
      <c r="C475" s="5"/>
      <c r="D475" s="5"/>
      <c r="E475" s="5"/>
      <c r="F475" s="5"/>
      <c r="G475" s="5"/>
      <c r="H475" s="5"/>
      <c r="I475" s="5"/>
      <c r="J475" s="5"/>
      <c r="K475" s="5"/>
      <c r="L475" s="5"/>
      <c r="M475" s="5"/>
      <c r="N475" s="5"/>
      <c r="O475" s="5"/>
    </row>
    <row r="476" spans="1:15">
      <c r="A476" s="4"/>
      <c r="B476" s="5"/>
      <c r="C476" s="5"/>
      <c r="D476" s="5"/>
      <c r="E476" s="5"/>
      <c r="F476" s="5"/>
      <c r="G476" s="5"/>
      <c r="H476" s="5"/>
      <c r="I476" s="5"/>
      <c r="J476" s="5"/>
      <c r="K476" s="5"/>
      <c r="L476" s="5"/>
      <c r="M476" s="5"/>
      <c r="N476" s="5"/>
      <c r="O476" s="5"/>
    </row>
    <row r="477" spans="1:15">
      <c r="A477" s="4"/>
      <c r="B477" s="5"/>
      <c r="C477" s="5"/>
      <c r="D477" s="5"/>
      <c r="E477" s="5"/>
      <c r="F477" s="5"/>
      <c r="G477" s="5"/>
      <c r="H477" s="5"/>
      <c r="I477" s="5"/>
      <c r="J477" s="5"/>
      <c r="K477" s="5"/>
      <c r="L477" s="5"/>
      <c r="M477" s="5"/>
      <c r="N477" s="5"/>
      <c r="O477" s="5"/>
    </row>
    <row r="478" spans="1:15">
      <c r="A478" s="4"/>
      <c r="B478" s="5"/>
      <c r="C478" s="5"/>
      <c r="D478" s="5"/>
      <c r="E478" s="5"/>
      <c r="F478" s="5"/>
      <c r="G478" s="5"/>
      <c r="H478" s="5"/>
      <c r="I478" s="5"/>
      <c r="J478" s="5"/>
      <c r="K478" s="5"/>
      <c r="L478" s="5"/>
      <c r="M478" s="5"/>
      <c r="N478" s="5"/>
      <c r="O478" s="5"/>
    </row>
    <row r="479" spans="1:15">
      <c r="A479" s="4"/>
      <c r="B479" s="5"/>
      <c r="C479" s="5"/>
      <c r="D479" s="5"/>
      <c r="E479" s="5"/>
      <c r="F479" s="5"/>
      <c r="G479" s="5"/>
      <c r="H479" s="5"/>
      <c r="I479" s="5"/>
      <c r="J479" s="5"/>
      <c r="K479" s="5"/>
      <c r="L479" s="5"/>
      <c r="M479" s="5"/>
      <c r="N479" s="5"/>
      <c r="O479" s="5"/>
    </row>
    <row r="480" spans="1:15">
      <c r="A480" s="4"/>
      <c r="B480" s="5"/>
      <c r="C480" s="5"/>
      <c r="D480" s="5"/>
      <c r="E480" s="5"/>
      <c r="F480" s="5"/>
      <c r="G480" s="5"/>
      <c r="H480" s="5"/>
      <c r="I480" s="5"/>
      <c r="J480" s="5"/>
      <c r="K480" s="5"/>
      <c r="L480" s="5"/>
      <c r="M480" s="5"/>
      <c r="N480" s="5"/>
      <c r="O480" s="5"/>
    </row>
    <row r="481" spans="1:15">
      <c r="A481" s="4"/>
      <c r="B481" s="5"/>
      <c r="C481" s="5"/>
      <c r="D481" s="5"/>
      <c r="E481" s="5"/>
      <c r="F481" s="5"/>
      <c r="G481" s="5"/>
      <c r="H481" s="5"/>
      <c r="I481" s="5"/>
      <c r="J481" s="5"/>
      <c r="K481" s="5"/>
      <c r="L481" s="5"/>
      <c r="M481" s="5"/>
      <c r="N481" s="5"/>
      <c r="O481" s="5"/>
    </row>
    <row r="482" spans="1:15">
      <c r="A482" s="4"/>
      <c r="B482" s="5"/>
      <c r="C482" s="5"/>
      <c r="D482" s="5"/>
      <c r="E482" s="5"/>
      <c r="F482" s="5"/>
      <c r="G482" s="5"/>
      <c r="H482" s="5"/>
      <c r="I482" s="5"/>
      <c r="J482" s="5"/>
      <c r="K482" s="5"/>
      <c r="L482" s="5"/>
      <c r="M482" s="5"/>
      <c r="N482" s="5"/>
      <c r="O482" s="5"/>
    </row>
    <row r="483" spans="1:15">
      <c r="A483" s="4"/>
      <c r="B483" s="5"/>
      <c r="C483" s="5"/>
      <c r="D483" s="5"/>
      <c r="E483" s="5"/>
      <c r="F483" s="5"/>
      <c r="G483" s="5"/>
      <c r="H483" s="5"/>
      <c r="I483" s="5"/>
      <c r="J483" s="5"/>
      <c r="K483" s="5"/>
      <c r="L483" s="5"/>
      <c r="M483" s="5"/>
      <c r="N483" s="5"/>
      <c r="O483" s="5"/>
    </row>
    <row r="484" spans="1:15">
      <c r="A484" s="4"/>
      <c r="B484" s="5"/>
      <c r="C484" s="5"/>
      <c r="D484" s="5"/>
      <c r="E484" s="5"/>
      <c r="F484" s="5"/>
      <c r="G484" s="5"/>
      <c r="H484" s="5"/>
      <c r="I484" s="5"/>
      <c r="J484" s="5"/>
      <c r="K484" s="5"/>
      <c r="L484" s="5"/>
      <c r="M484" s="5"/>
      <c r="N484" s="5"/>
      <c r="O484" s="5"/>
    </row>
    <row r="485" spans="1:15">
      <c r="A485" s="4"/>
      <c r="B485" s="5"/>
      <c r="C485" s="5"/>
      <c r="D485" s="5"/>
      <c r="E485" s="5"/>
      <c r="F485" s="5"/>
      <c r="G485" s="5"/>
      <c r="H485" s="5"/>
      <c r="I485" s="5"/>
      <c r="J485" s="5"/>
      <c r="K485" s="5"/>
      <c r="L485" s="5"/>
      <c r="M485" s="5"/>
      <c r="N485" s="5"/>
      <c r="O485" s="5"/>
    </row>
    <row r="486" spans="1:15">
      <c r="A486" s="4"/>
      <c r="B486" s="5"/>
      <c r="C486" s="5"/>
      <c r="D486" s="5"/>
      <c r="E486" s="5"/>
      <c r="F486" s="5"/>
      <c r="G486" s="5"/>
      <c r="H486" s="5"/>
      <c r="I486" s="5"/>
      <c r="J486" s="5"/>
      <c r="K486" s="5"/>
      <c r="L486" s="5"/>
      <c r="M486" s="5"/>
      <c r="N486" s="5"/>
      <c r="O486" s="5"/>
    </row>
    <row r="487" spans="1:15">
      <c r="A487" s="4"/>
      <c r="B487" s="5"/>
      <c r="C487" s="5"/>
      <c r="D487" s="5"/>
      <c r="E487" s="5"/>
      <c r="F487" s="5"/>
      <c r="G487" s="5"/>
      <c r="H487" s="5"/>
      <c r="I487" s="5"/>
      <c r="J487" s="5"/>
      <c r="K487" s="5"/>
      <c r="L487" s="5"/>
      <c r="M487" s="5"/>
      <c r="N487" s="5"/>
      <c r="O487" s="5"/>
    </row>
    <row r="488" spans="1:15">
      <c r="A488" s="4"/>
      <c r="B488" s="5"/>
      <c r="C488" s="5"/>
      <c r="D488" s="5"/>
      <c r="E488" s="5"/>
      <c r="F488" s="5"/>
      <c r="G488" s="5"/>
      <c r="H488" s="5"/>
      <c r="I488" s="5"/>
      <c r="J488" s="5"/>
      <c r="K488" s="5"/>
      <c r="L488" s="5"/>
      <c r="M488" s="5"/>
      <c r="N488" s="5"/>
      <c r="O488" s="5"/>
    </row>
    <row r="489" spans="1:15">
      <c r="A489" s="4"/>
      <c r="B489" s="5"/>
      <c r="C489" s="5"/>
      <c r="D489" s="5"/>
      <c r="E489" s="5"/>
      <c r="F489" s="5"/>
      <c r="G489" s="5"/>
      <c r="H489" s="5"/>
      <c r="I489" s="5"/>
      <c r="J489" s="5"/>
      <c r="K489" s="5"/>
      <c r="L489" s="5"/>
      <c r="M489" s="5"/>
      <c r="N489" s="5"/>
      <c r="O489" s="5"/>
    </row>
    <row r="490" spans="1:15">
      <c r="A490" s="4"/>
      <c r="B490" s="5"/>
      <c r="C490" s="5"/>
      <c r="D490" s="5"/>
      <c r="E490" s="5"/>
      <c r="F490" s="5"/>
      <c r="G490" s="5"/>
      <c r="H490" s="5"/>
      <c r="I490" s="5"/>
      <c r="J490" s="5"/>
      <c r="K490" s="5"/>
      <c r="L490" s="5"/>
      <c r="M490" s="5"/>
      <c r="N490" s="5"/>
      <c r="O490" s="5"/>
    </row>
    <row r="491" spans="1:15">
      <c r="A491" s="4"/>
      <c r="B491" s="5"/>
      <c r="C491" s="5"/>
      <c r="D491" s="5"/>
      <c r="E491" s="5"/>
      <c r="F491" s="5"/>
      <c r="G491" s="5"/>
      <c r="H491" s="5"/>
      <c r="I491" s="5"/>
      <c r="J491" s="5"/>
      <c r="K491" s="5"/>
      <c r="L491" s="5"/>
      <c r="M491" s="5"/>
      <c r="N491" s="5"/>
      <c r="O491" s="5"/>
    </row>
    <row r="492" spans="1:15">
      <c r="A492" s="4"/>
      <c r="B492" s="5"/>
      <c r="C492" s="5"/>
      <c r="D492" s="5"/>
      <c r="E492" s="5"/>
      <c r="F492" s="5"/>
      <c r="G492" s="5"/>
      <c r="H492" s="5"/>
      <c r="I492" s="5"/>
      <c r="J492" s="5"/>
      <c r="K492" s="5"/>
      <c r="L492" s="5"/>
      <c r="M492" s="5"/>
      <c r="N492" s="5"/>
      <c r="O492" s="5"/>
    </row>
    <row r="493" spans="1:15">
      <c r="A493" s="4"/>
      <c r="B493" s="5"/>
      <c r="C493" s="5"/>
      <c r="D493" s="5"/>
      <c r="E493" s="5"/>
      <c r="F493" s="5"/>
      <c r="G493" s="5"/>
      <c r="H493" s="5"/>
      <c r="I493" s="5"/>
      <c r="J493" s="5"/>
      <c r="K493" s="5"/>
      <c r="L493" s="5"/>
      <c r="M493" s="5"/>
      <c r="N493" s="5"/>
      <c r="O493" s="5"/>
    </row>
    <row r="494" spans="1:15">
      <c r="A494" s="4"/>
      <c r="B494" s="5"/>
      <c r="C494" s="5"/>
      <c r="D494" s="5"/>
      <c r="E494" s="5"/>
      <c r="F494" s="5"/>
      <c r="G494" s="5"/>
      <c r="H494" s="5"/>
      <c r="I494" s="5"/>
      <c r="J494" s="5"/>
      <c r="K494" s="5"/>
      <c r="L494" s="5"/>
      <c r="M494" s="5"/>
      <c r="N494" s="5"/>
      <c r="O494" s="5"/>
    </row>
    <row r="495" spans="1:15">
      <c r="A495" s="4"/>
      <c r="B495" s="5"/>
      <c r="C495" s="5"/>
      <c r="D495" s="5"/>
      <c r="E495" s="5"/>
      <c r="F495" s="5"/>
      <c r="G495" s="5"/>
      <c r="H495" s="5"/>
      <c r="I495" s="5"/>
      <c r="J495" s="5"/>
      <c r="K495" s="5"/>
      <c r="L495" s="5"/>
      <c r="M495" s="5"/>
      <c r="N495" s="5"/>
      <c r="O495" s="5"/>
    </row>
    <row r="496" spans="1:15">
      <c r="A496" s="4"/>
      <c r="B496" s="5"/>
      <c r="C496" s="5"/>
      <c r="D496" s="5"/>
      <c r="E496" s="5"/>
      <c r="F496" s="5"/>
      <c r="G496" s="5"/>
      <c r="H496" s="5"/>
      <c r="I496" s="5"/>
      <c r="J496" s="5"/>
      <c r="K496" s="5"/>
      <c r="L496" s="5"/>
      <c r="M496" s="5"/>
      <c r="N496" s="5"/>
      <c r="O496" s="5"/>
    </row>
    <row r="497" spans="1:15">
      <c r="A497" s="4"/>
      <c r="B497" s="5"/>
      <c r="C497" s="5"/>
      <c r="D497" s="5"/>
      <c r="E497" s="5"/>
      <c r="F497" s="5"/>
      <c r="G497" s="5"/>
      <c r="H497" s="5"/>
      <c r="I497" s="5"/>
      <c r="J497" s="5"/>
      <c r="K497" s="5"/>
      <c r="L497" s="5"/>
      <c r="M497" s="5"/>
      <c r="N497" s="5"/>
      <c r="O497" s="5"/>
    </row>
    <row r="498" spans="1:15">
      <c r="A498" s="4"/>
      <c r="B498" s="5"/>
      <c r="C498" s="5"/>
      <c r="D498" s="5"/>
      <c r="E498" s="5"/>
      <c r="F498" s="5"/>
      <c r="G498" s="5"/>
      <c r="H498" s="5"/>
      <c r="I498" s="5"/>
      <c r="J498" s="5"/>
      <c r="K498" s="5"/>
      <c r="L498" s="5"/>
      <c r="M498" s="5"/>
      <c r="N498" s="5"/>
      <c r="O498" s="5"/>
    </row>
    <row r="499" spans="1:15">
      <c r="A499" s="4"/>
      <c r="B499" s="5"/>
      <c r="C499" s="5"/>
      <c r="D499" s="5"/>
      <c r="E499" s="5"/>
      <c r="F499" s="5"/>
      <c r="G499" s="5"/>
      <c r="H499" s="5"/>
      <c r="I499" s="5"/>
      <c r="J499" s="5"/>
      <c r="K499" s="5"/>
      <c r="L499" s="5"/>
      <c r="M499" s="5"/>
      <c r="N499" s="5"/>
      <c r="O499" s="5"/>
    </row>
    <row r="500" spans="1:15">
      <c r="A500" s="4"/>
      <c r="B500" s="5"/>
      <c r="C500" s="5"/>
      <c r="D500" s="5"/>
      <c r="E500" s="5"/>
      <c r="F500" s="5"/>
      <c r="G500" s="5"/>
      <c r="H500" s="5"/>
      <c r="I500" s="5"/>
      <c r="J500" s="5"/>
      <c r="K500" s="5"/>
      <c r="L500" s="5"/>
      <c r="M500" s="5"/>
      <c r="N500" s="5"/>
      <c r="O500" s="5"/>
    </row>
    <row r="501" spans="1:15">
      <c r="A501" s="4"/>
      <c r="B501" s="5"/>
      <c r="C501" s="5"/>
      <c r="D501" s="5"/>
      <c r="E501" s="5"/>
      <c r="F501" s="5"/>
      <c r="G501" s="5"/>
      <c r="H501" s="5"/>
      <c r="I501" s="5"/>
      <c r="J501" s="5"/>
      <c r="K501" s="5"/>
      <c r="L501" s="5"/>
      <c r="M501" s="5"/>
      <c r="N501" s="5"/>
      <c r="O501" s="5"/>
    </row>
    <row r="502" spans="1:15">
      <c r="A502" s="4"/>
      <c r="B502" s="5"/>
      <c r="C502" s="5"/>
      <c r="D502" s="5"/>
      <c r="E502" s="5"/>
      <c r="F502" s="5"/>
      <c r="G502" s="5"/>
      <c r="H502" s="5"/>
      <c r="I502" s="5"/>
      <c r="J502" s="5"/>
      <c r="K502" s="5"/>
      <c r="L502" s="5"/>
      <c r="M502" s="5"/>
      <c r="N502" s="5"/>
      <c r="O502" s="5"/>
    </row>
    <row r="503" spans="1:15">
      <c r="A503" s="4"/>
      <c r="B503" s="5"/>
      <c r="C503" s="5"/>
      <c r="D503" s="5"/>
      <c r="E503" s="5"/>
      <c r="F503" s="5"/>
      <c r="G503" s="5"/>
      <c r="H503" s="5"/>
      <c r="I503" s="5"/>
      <c r="J503" s="5"/>
      <c r="K503" s="5"/>
      <c r="L503" s="5"/>
      <c r="M503" s="5"/>
      <c r="N503" s="5"/>
      <c r="O503" s="5"/>
    </row>
    <row r="504" spans="1:15">
      <c r="A504" s="4"/>
      <c r="B504" s="5"/>
      <c r="C504" s="5"/>
      <c r="D504" s="5"/>
      <c r="E504" s="5"/>
      <c r="F504" s="5"/>
      <c r="G504" s="5"/>
      <c r="H504" s="5"/>
      <c r="I504" s="5"/>
      <c r="J504" s="5"/>
      <c r="K504" s="5"/>
      <c r="L504" s="5"/>
      <c r="M504" s="5"/>
      <c r="N504" s="5"/>
      <c r="O504" s="5"/>
    </row>
    <row r="505" spans="1:15">
      <c r="A505" s="4"/>
      <c r="B505" s="5"/>
      <c r="C505" s="5"/>
      <c r="D505" s="5"/>
      <c r="E505" s="5"/>
      <c r="F505" s="5"/>
      <c r="G505" s="5"/>
      <c r="H505" s="5"/>
      <c r="I505" s="5"/>
      <c r="J505" s="5"/>
      <c r="K505" s="5"/>
      <c r="L505" s="5"/>
      <c r="M505" s="5"/>
      <c r="N505" s="5"/>
      <c r="O505" s="5"/>
    </row>
    <row r="506" spans="1:15">
      <c r="A506" s="4"/>
      <c r="B506" s="5"/>
      <c r="C506" s="5"/>
      <c r="D506" s="5"/>
      <c r="E506" s="5"/>
      <c r="F506" s="5"/>
      <c r="G506" s="5"/>
      <c r="H506" s="5"/>
      <c r="I506" s="5"/>
      <c r="J506" s="5"/>
      <c r="K506" s="5"/>
      <c r="L506" s="5"/>
      <c r="M506" s="5"/>
      <c r="N506" s="5"/>
      <c r="O506" s="5"/>
    </row>
    <row r="507" spans="1:15">
      <c r="A507" s="4"/>
      <c r="B507" s="5"/>
      <c r="C507" s="5"/>
      <c r="D507" s="5"/>
      <c r="E507" s="5"/>
      <c r="F507" s="5"/>
      <c r="G507" s="5"/>
      <c r="H507" s="5"/>
      <c r="I507" s="5"/>
      <c r="J507" s="5"/>
      <c r="K507" s="5"/>
      <c r="L507" s="5"/>
      <c r="M507" s="5"/>
      <c r="N507" s="5"/>
      <c r="O507" s="5"/>
    </row>
    <row r="508" spans="1:15">
      <c r="A508" s="4"/>
      <c r="B508" s="5"/>
      <c r="C508" s="5"/>
      <c r="D508" s="5"/>
      <c r="E508" s="5"/>
      <c r="F508" s="5"/>
      <c r="G508" s="5"/>
      <c r="H508" s="5"/>
      <c r="I508" s="5"/>
      <c r="J508" s="5"/>
      <c r="K508" s="5"/>
      <c r="L508" s="5"/>
      <c r="M508" s="5"/>
      <c r="N508" s="5"/>
      <c r="O508" s="5"/>
    </row>
    <row r="509" spans="1:15">
      <c r="A509" s="4"/>
      <c r="B509" s="5"/>
      <c r="C509" s="5"/>
      <c r="D509" s="5"/>
      <c r="E509" s="5"/>
      <c r="F509" s="5"/>
      <c r="G509" s="5"/>
      <c r="H509" s="5"/>
      <c r="I509" s="5"/>
      <c r="J509" s="5"/>
      <c r="K509" s="5"/>
      <c r="L509" s="5"/>
      <c r="M509" s="5"/>
      <c r="N509" s="5"/>
      <c r="O509" s="5"/>
    </row>
    <row r="510" spans="1:15">
      <c r="A510" s="4"/>
      <c r="B510" s="5"/>
      <c r="C510" s="5"/>
      <c r="D510" s="5"/>
      <c r="E510" s="5"/>
      <c r="F510" s="5"/>
      <c r="G510" s="5"/>
      <c r="H510" s="5"/>
      <c r="I510" s="5"/>
      <c r="J510" s="5"/>
      <c r="K510" s="5"/>
      <c r="L510" s="5"/>
      <c r="M510" s="5"/>
      <c r="N510" s="5"/>
      <c r="O510" s="5"/>
    </row>
    <row r="511" spans="1:15">
      <c r="A511" s="4"/>
      <c r="B511" s="5"/>
      <c r="C511" s="5"/>
      <c r="D511" s="5"/>
      <c r="E511" s="5"/>
      <c r="F511" s="5"/>
      <c r="G511" s="5"/>
      <c r="H511" s="5"/>
      <c r="I511" s="5"/>
      <c r="J511" s="5"/>
      <c r="K511" s="5"/>
      <c r="L511" s="5"/>
      <c r="M511" s="5"/>
      <c r="N511" s="5"/>
      <c r="O511" s="5"/>
    </row>
    <row r="512" spans="1:15">
      <c r="A512" s="4"/>
      <c r="B512" s="5"/>
      <c r="C512" s="5"/>
      <c r="D512" s="5"/>
      <c r="E512" s="5"/>
      <c r="F512" s="5"/>
      <c r="G512" s="5"/>
      <c r="H512" s="5"/>
      <c r="I512" s="5"/>
      <c r="J512" s="5"/>
      <c r="K512" s="5"/>
      <c r="L512" s="5"/>
      <c r="M512" s="5"/>
      <c r="N512" s="5"/>
      <c r="O512" s="5"/>
    </row>
    <row r="513" spans="1:15">
      <c r="A513" s="4"/>
      <c r="B513" s="5"/>
      <c r="C513" s="5"/>
      <c r="D513" s="5"/>
      <c r="E513" s="5"/>
      <c r="F513" s="5"/>
      <c r="G513" s="5"/>
      <c r="H513" s="5"/>
      <c r="I513" s="5"/>
      <c r="J513" s="5"/>
      <c r="K513" s="5"/>
      <c r="L513" s="5"/>
      <c r="M513" s="5"/>
      <c r="N513" s="5"/>
      <c r="O513" s="5"/>
    </row>
    <row r="514" spans="1:15">
      <c r="A514" s="4"/>
      <c r="B514" s="5"/>
      <c r="C514" s="5"/>
      <c r="D514" s="5"/>
      <c r="E514" s="5"/>
      <c r="F514" s="5"/>
      <c r="G514" s="5"/>
      <c r="H514" s="5"/>
      <c r="I514" s="5"/>
      <c r="J514" s="5"/>
      <c r="K514" s="5"/>
      <c r="L514" s="5"/>
      <c r="M514" s="5"/>
      <c r="N514" s="5"/>
      <c r="O514" s="5"/>
    </row>
    <row r="515" spans="1:15">
      <c r="A515" s="4"/>
      <c r="B515" s="5"/>
      <c r="C515" s="5"/>
      <c r="D515" s="5"/>
      <c r="E515" s="5"/>
      <c r="F515" s="5"/>
      <c r="G515" s="5"/>
      <c r="H515" s="5"/>
      <c r="I515" s="5"/>
      <c r="J515" s="5"/>
      <c r="K515" s="5"/>
      <c r="L515" s="5"/>
      <c r="M515" s="5"/>
      <c r="N515" s="5"/>
      <c r="O515" s="5"/>
    </row>
    <row r="516" spans="1:15">
      <c r="A516" s="4"/>
      <c r="B516" s="5"/>
      <c r="C516" s="5"/>
      <c r="D516" s="5"/>
      <c r="E516" s="5"/>
      <c r="F516" s="5"/>
      <c r="G516" s="5"/>
      <c r="H516" s="5"/>
      <c r="I516" s="5"/>
      <c r="J516" s="5"/>
      <c r="K516" s="5"/>
      <c r="L516" s="5"/>
      <c r="M516" s="5"/>
      <c r="N516" s="5"/>
      <c r="O516" s="5"/>
    </row>
    <row r="517" spans="1:15">
      <c r="A517" s="4"/>
      <c r="B517" s="5"/>
      <c r="C517" s="5"/>
      <c r="D517" s="5"/>
      <c r="E517" s="5"/>
      <c r="F517" s="5"/>
      <c r="G517" s="5"/>
      <c r="H517" s="5"/>
      <c r="I517" s="5"/>
      <c r="J517" s="5"/>
      <c r="K517" s="5"/>
      <c r="L517" s="5"/>
      <c r="M517" s="5"/>
      <c r="N517" s="5"/>
      <c r="O517" s="5"/>
    </row>
    <row r="518" spans="1:15">
      <c r="A518" s="4"/>
      <c r="B518" s="5"/>
      <c r="C518" s="5"/>
      <c r="D518" s="5"/>
      <c r="E518" s="5"/>
      <c r="F518" s="5"/>
      <c r="G518" s="5"/>
      <c r="H518" s="5"/>
      <c r="I518" s="5"/>
      <c r="J518" s="5"/>
      <c r="K518" s="5"/>
      <c r="L518" s="5"/>
      <c r="M518" s="5"/>
      <c r="N518" s="5"/>
      <c r="O518" s="5"/>
    </row>
    <row r="519" spans="1:15">
      <c r="A519" s="4"/>
      <c r="B519" s="5"/>
      <c r="C519" s="5"/>
      <c r="D519" s="5"/>
      <c r="E519" s="5"/>
      <c r="F519" s="5"/>
      <c r="G519" s="5"/>
      <c r="H519" s="5"/>
      <c r="I519" s="5"/>
      <c r="J519" s="5"/>
      <c r="K519" s="5"/>
      <c r="L519" s="5"/>
      <c r="M519" s="5"/>
      <c r="N519" s="5"/>
      <c r="O519" s="5"/>
    </row>
    <row r="520" spans="1:15">
      <c r="A520" s="4"/>
      <c r="B520" s="5"/>
      <c r="C520" s="5"/>
      <c r="D520" s="5"/>
      <c r="E520" s="5"/>
      <c r="F520" s="5"/>
      <c r="G520" s="5"/>
      <c r="H520" s="5"/>
      <c r="I520" s="5"/>
      <c r="J520" s="5"/>
      <c r="K520" s="5"/>
      <c r="L520" s="5"/>
      <c r="M520" s="5"/>
      <c r="N520" s="5"/>
      <c r="O520" s="5"/>
    </row>
    <row r="521" spans="1:15">
      <c r="A521" s="4"/>
      <c r="B521" s="5"/>
      <c r="C521" s="5"/>
      <c r="D521" s="5"/>
      <c r="E521" s="5"/>
      <c r="F521" s="5"/>
      <c r="G521" s="5"/>
      <c r="H521" s="5"/>
      <c r="I521" s="5"/>
      <c r="J521" s="5"/>
      <c r="K521" s="5"/>
      <c r="L521" s="5"/>
      <c r="M521" s="5"/>
      <c r="N521" s="5"/>
      <c r="O521" s="5"/>
    </row>
    <row r="522" spans="1:15">
      <c r="A522" s="4"/>
      <c r="B522" s="5"/>
      <c r="C522" s="5"/>
      <c r="D522" s="5"/>
      <c r="E522" s="5"/>
      <c r="F522" s="5"/>
      <c r="G522" s="5"/>
      <c r="H522" s="5"/>
      <c r="I522" s="5"/>
      <c r="J522" s="5"/>
      <c r="K522" s="5"/>
      <c r="L522" s="5"/>
      <c r="M522" s="5"/>
      <c r="N522" s="5"/>
      <c r="O522" s="5"/>
    </row>
    <row r="523" spans="1:15">
      <c r="A523" s="4"/>
      <c r="B523" s="5"/>
      <c r="C523" s="5"/>
      <c r="D523" s="5"/>
      <c r="E523" s="5"/>
      <c r="F523" s="5"/>
      <c r="G523" s="5"/>
      <c r="H523" s="5"/>
      <c r="I523" s="5"/>
      <c r="J523" s="5"/>
      <c r="K523" s="5"/>
      <c r="L523" s="5"/>
      <c r="M523" s="5"/>
      <c r="N523" s="5"/>
      <c r="O523" s="5"/>
    </row>
    <row r="524" spans="1:15">
      <c r="A524" s="4"/>
      <c r="B524" s="5"/>
      <c r="C524" s="5"/>
      <c r="D524" s="5"/>
      <c r="E524" s="5"/>
      <c r="F524" s="5"/>
      <c r="G524" s="5"/>
      <c r="H524" s="5"/>
      <c r="I524" s="5"/>
      <c r="J524" s="5"/>
      <c r="K524" s="5"/>
      <c r="L524" s="5"/>
      <c r="M524" s="5"/>
      <c r="N524" s="5"/>
      <c r="O524" s="5"/>
    </row>
    <row r="525" spans="1:15">
      <c r="A525" s="4"/>
      <c r="B525" s="5"/>
      <c r="C525" s="5"/>
      <c r="D525" s="5"/>
      <c r="E525" s="5"/>
      <c r="F525" s="5"/>
      <c r="G525" s="5"/>
      <c r="H525" s="5"/>
      <c r="I525" s="5"/>
      <c r="J525" s="5"/>
      <c r="K525" s="5"/>
      <c r="L525" s="5"/>
      <c r="M525" s="5"/>
      <c r="N525" s="5"/>
      <c r="O525" s="5"/>
    </row>
    <row r="526" spans="1:15">
      <c r="A526" s="4"/>
      <c r="B526" s="5"/>
      <c r="C526" s="5"/>
      <c r="D526" s="5"/>
      <c r="E526" s="5"/>
      <c r="F526" s="5"/>
      <c r="G526" s="5"/>
      <c r="H526" s="5"/>
      <c r="I526" s="5"/>
      <c r="J526" s="5"/>
      <c r="K526" s="5"/>
      <c r="L526" s="5"/>
      <c r="M526" s="5"/>
      <c r="N526" s="5"/>
      <c r="O526" s="5"/>
    </row>
    <row r="527" spans="1:15">
      <c r="A527" s="4"/>
      <c r="B527" s="5"/>
      <c r="C527" s="5"/>
      <c r="D527" s="5"/>
      <c r="E527" s="5"/>
      <c r="F527" s="5"/>
      <c r="G527" s="5"/>
      <c r="H527" s="5"/>
      <c r="I527" s="5"/>
      <c r="J527" s="5"/>
      <c r="K527" s="5"/>
      <c r="L527" s="5"/>
      <c r="M527" s="5"/>
      <c r="N527" s="5"/>
      <c r="O527" s="5"/>
    </row>
    <row r="528" spans="1:15">
      <c r="A528" s="4"/>
      <c r="B528" s="5"/>
      <c r="C528" s="5"/>
      <c r="D528" s="5"/>
      <c r="E528" s="5"/>
      <c r="F528" s="5"/>
      <c r="G528" s="5"/>
      <c r="H528" s="5"/>
      <c r="I528" s="5"/>
      <c r="J528" s="5"/>
      <c r="K528" s="5"/>
      <c r="L528" s="5"/>
      <c r="M528" s="5"/>
      <c r="N528" s="5"/>
      <c r="O528" s="5"/>
    </row>
    <row r="529" spans="1:15">
      <c r="A529" s="4"/>
      <c r="B529" s="5"/>
      <c r="C529" s="5"/>
      <c r="D529" s="5"/>
      <c r="E529" s="5"/>
      <c r="F529" s="5"/>
      <c r="G529" s="5"/>
      <c r="H529" s="5"/>
      <c r="I529" s="5"/>
      <c r="J529" s="5"/>
      <c r="K529" s="5"/>
      <c r="L529" s="5"/>
      <c r="M529" s="5"/>
      <c r="N529" s="5"/>
      <c r="O529" s="5"/>
    </row>
    <row r="530" spans="1:15">
      <c r="A530" s="4"/>
      <c r="B530" s="5"/>
      <c r="C530" s="5"/>
      <c r="D530" s="5"/>
      <c r="E530" s="5"/>
      <c r="F530" s="5"/>
      <c r="G530" s="5"/>
      <c r="H530" s="5"/>
      <c r="I530" s="5"/>
      <c r="J530" s="5"/>
      <c r="K530" s="5"/>
      <c r="L530" s="5"/>
      <c r="M530" s="5"/>
      <c r="N530" s="5"/>
      <c r="O530" s="5"/>
    </row>
    <row r="531" spans="1:15">
      <c r="A531" s="4"/>
      <c r="B531" s="5"/>
      <c r="C531" s="5"/>
      <c r="D531" s="5"/>
      <c r="E531" s="5"/>
      <c r="F531" s="5"/>
      <c r="G531" s="5"/>
      <c r="H531" s="5"/>
      <c r="I531" s="5"/>
      <c r="J531" s="5"/>
      <c r="K531" s="5"/>
      <c r="L531" s="5"/>
      <c r="M531" s="5"/>
      <c r="N531" s="5"/>
      <c r="O531" s="5"/>
    </row>
    <row r="532" spans="1:15">
      <c r="A532" s="4"/>
      <c r="B532" s="5"/>
      <c r="C532" s="5"/>
      <c r="D532" s="5"/>
      <c r="E532" s="5"/>
      <c r="F532" s="5"/>
      <c r="G532" s="5"/>
      <c r="H532" s="5"/>
      <c r="I532" s="5"/>
      <c r="J532" s="5"/>
      <c r="K532" s="5"/>
      <c r="L532" s="5"/>
      <c r="M532" s="5"/>
      <c r="N532" s="5"/>
      <c r="O532" s="5"/>
    </row>
    <row r="533" spans="1:15">
      <c r="A533" s="4"/>
      <c r="B533" s="5"/>
      <c r="C533" s="5"/>
      <c r="D533" s="5"/>
      <c r="E533" s="5"/>
      <c r="F533" s="5"/>
      <c r="G533" s="5"/>
      <c r="H533" s="5"/>
      <c r="I533" s="5"/>
      <c r="J533" s="5"/>
      <c r="K533" s="5"/>
      <c r="L533" s="5"/>
      <c r="M533" s="5"/>
      <c r="N533" s="5"/>
      <c r="O533" s="5"/>
    </row>
    <row r="534" spans="1:15">
      <c r="A534" s="4"/>
      <c r="B534" s="5"/>
      <c r="C534" s="5"/>
      <c r="D534" s="5"/>
      <c r="E534" s="5"/>
      <c r="F534" s="5"/>
      <c r="G534" s="5"/>
      <c r="H534" s="5"/>
      <c r="I534" s="5"/>
      <c r="J534" s="5"/>
      <c r="K534" s="5"/>
      <c r="L534" s="5"/>
      <c r="M534" s="5"/>
      <c r="N534" s="5"/>
      <c r="O534" s="5"/>
    </row>
    <row r="535" spans="1:15">
      <c r="A535" s="4"/>
      <c r="B535" s="5"/>
      <c r="C535" s="5"/>
      <c r="D535" s="5"/>
      <c r="E535" s="5"/>
      <c r="F535" s="5"/>
      <c r="G535" s="5"/>
      <c r="H535" s="5"/>
      <c r="I535" s="5"/>
      <c r="J535" s="5"/>
      <c r="K535" s="5"/>
      <c r="L535" s="5"/>
      <c r="M535" s="5"/>
      <c r="N535" s="5"/>
      <c r="O535" s="5"/>
    </row>
    <row r="536" spans="1:15">
      <c r="A536" s="4"/>
      <c r="B536" s="5"/>
      <c r="C536" s="5"/>
      <c r="D536" s="5"/>
      <c r="E536" s="5"/>
      <c r="F536" s="5"/>
      <c r="G536" s="5"/>
      <c r="H536" s="5"/>
      <c r="I536" s="5"/>
      <c r="J536" s="5"/>
      <c r="K536" s="5"/>
      <c r="L536" s="5"/>
      <c r="M536" s="5"/>
      <c r="N536" s="5"/>
      <c r="O536" s="5"/>
    </row>
    <row r="537" spans="1:15">
      <c r="A537" s="4"/>
      <c r="B537" s="5"/>
      <c r="C537" s="5"/>
      <c r="D537" s="5"/>
      <c r="E537" s="5"/>
      <c r="F537" s="5"/>
      <c r="G537" s="5"/>
      <c r="H537" s="5"/>
      <c r="I537" s="5"/>
      <c r="J537" s="5"/>
      <c r="K537" s="5"/>
      <c r="L537" s="5"/>
      <c r="M537" s="5"/>
      <c r="N537" s="5"/>
      <c r="O537" s="5"/>
    </row>
    <row r="538" spans="1:15">
      <c r="A538" s="4"/>
      <c r="B538" s="5"/>
      <c r="C538" s="5"/>
      <c r="D538" s="5"/>
      <c r="E538" s="5"/>
      <c r="F538" s="5"/>
      <c r="G538" s="5"/>
      <c r="H538" s="5"/>
      <c r="I538" s="5"/>
      <c r="J538" s="5"/>
      <c r="K538" s="5"/>
      <c r="L538" s="5"/>
      <c r="M538" s="5"/>
      <c r="N538" s="5"/>
      <c r="O538" s="5"/>
    </row>
    <row r="539" spans="1:15">
      <c r="A539" s="4"/>
      <c r="B539" s="5"/>
      <c r="C539" s="5"/>
      <c r="D539" s="5"/>
      <c r="E539" s="5"/>
      <c r="F539" s="5"/>
      <c r="G539" s="5"/>
      <c r="H539" s="5"/>
      <c r="I539" s="5"/>
      <c r="J539" s="5"/>
      <c r="K539" s="5"/>
      <c r="L539" s="5"/>
      <c r="M539" s="5"/>
      <c r="N539" s="5"/>
      <c r="O539" s="5"/>
    </row>
    <row r="540" spans="1:15">
      <c r="A540" s="4"/>
      <c r="B540" s="5"/>
      <c r="C540" s="5"/>
      <c r="D540" s="5"/>
      <c r="E540" s="5"/>
      <c r="F540" s="5"/>
      <c r="G540" s="5"/>
      <c r="H540" s="5"/>
      <c r="I540" s="5"/>
      <c r="J540" s="5"/>
      <c r="K540" s="5"/>
      <c r="L540" s="5"/>
      <c r="M540" s="5"/>
      <c r="N540" s="5"/>
      <c r="O540" s="5"/>
    </row>
    <row r="541" spans="1:15">
      <c r="A541" s="4"/>
      <c r="B541" s="5"/>
      <c r="C541" s="5"/>
      <c r="D541" s="5"/>
      <c r="E541" s="5"/>
      <c r="F541" s="5"/>
      <c r="G541" s="5"/>
      <c r="H541" s="5"/>
      <c r="I541" s="5"/>
      <c r="J541" s="5"/>
      <c r="K541" s="5"/>
      <c r="L541" s="5"/>
      <c r="M541" s="5"/>
      <c r="N541" s="5"/>
      <c r="O541" s="5"/>
    </row>
    <row r="542" spans="1:15">
      <c r="A542" s="4"/>
      <c r="B542" s="5"/>
      <c r="C542" s="5"/>
      <c r="D542" s="5"/>
      <c r="E542" s="5"/>
      <c r="F542" s="5"/>
      <c r="G542" s="5"/>
      <c r="H542" s="5"/>
      <c r="I542" s="5"/>
      <c r="J542" s="5"/>
      <c r="K542" s="5"/>
      <c r="L542" s="5"/>
      <c r="M542" s="5"/>
      <c r="N542" s="5"/>
      <c r="O542" s="5"/>
    </row>
    <row r="543" spans="1:15">
      <c r="A543" s="4"/>
      <c r="B543" s="5"/>
      <c r="C543" s="5"/>
      <c r="D543" s="5"/>
      <c r="E543" s="5"/>
      <c r="F543" s="5"/>
      <c r="G543" s="5"/>
      <c r="H543" s="5"/>
      <c r="I543" s="5"/>
      <c r="J543" s="5"/>
      <c r="K543" s="5"/>
      <c r="L543" s="5"/>
      <c r="M543" s="5"/>
      <c r="N543" s="5"/>
      <c r="O543" s="5"/>
    </row>
    <row r="544" spans="1:15">
      <c r="A544" s="4"/>
      <c r="B544" s="5"/>
      <c r="C544" s="5"/>
      <c r="D544" s="5"/>
      <c r="E544" s="5"/>
      <c r="F544" s="5"/>
      <c r="G544" s="5"/>
      <c r="H544" s="5"/>
      <c r="I544" s="5"/>
      <c r="J544" s="5"/>
      <c r="K544" s="5"/>
      <c r="L544" s="5"/>
      <c r="M544" s="5"/>
      <c r="N544" s="5"/>
      <c r="O544" s="5"/>
    </row>
    <row r="545" spans="1:15">
      <c r="A545" s="4"/>
      <c r="B545" s="5"/>
      <c r="C545" s="5"/>
      <c r="D545" s="5"/>
      <c r="E545" s="5"/>
      <c r="F545" s="5"/>
      <c r="G545" s="5"/>
      <c r="H545" s="5"/>
      <c r="I545" s="5"/>
      <c r="J545" s="5"/>
      <c r="K545" s="5"/>
      <c r="L545" s="5"/>
      <c r="M545" s="5"/>
      <c r="N545" s="5"/>
      <c r="O545" s="5"/>
    </row>
    <row r="546" spans="1:15">
      <c r="A546" s="4"/>
      <c r="B546" s="5"/>
      <c r="C546" s="5"/>
      <c r="D546" s="5"/>
      <c r="E546" s="5"/>
      <c r="F546" s="5"/>
      <c r="G546" s="5"/>
      <c r="H546" s="5"/>
      <c r="I546" s="5"/>
      <c r="J546" s="5"/>
      <c r="K546" s="5"/>
      <c r="L546" s="5"/>
      <c r="M546" s="5"/>
      <c r="N546" s="5"/>
      <c r="O546" s="5"/>
    </row>
    <row r="547" spans="1:15">
      <c r="A547" s="4"/>
      <c r="B547" s="5"/>
      <c r="C547" s="5"/>
      <c r="D547" s="5"/>
      <c r="E547" s="5"/>
      <c r="F547" s="5"/>
      <c r="G547" s="5"/>
      <c r="H547" s="5"/>
      <c r="I547" s="5"/>
      <c r="J547" s="5"/>
      <c r="K547" s="5"/>
      <c r="L547" s="5"/>
      <c r="M547" s="5"/>
      <c r="N547" s="5"/>
      <c r="O547" s="5"/>
    </row>
    <row r="548" spans="1:15">
      <c r="A548" s="4"/>
      <c r="B548" s="5"/>
      <c r="C548" s="5"/>
      <c r="D548" s="5"/>
      <c r="E548" s="5"/>
      <c r="F548" s="5"/>
      <c r="G548" s="5"/>
      <c r="H548" s="5"/>
      <c r="I548" s="5"/>
      <c r="J548" s="5"/>
      <c r="K548" s="5"/>
      <c r="L548" s="5"/>
      <c r="M548" s="5"/>
      <c r="N548" s="5"/>
      <c r="O548" s="5"/>
    </row>
    <row r="549" spans="1:15">
      <c r="A549" s="4"/>
      <c r="B549" s="5"/>
      <c r="C549" s="5"/>
      <c r="D549" s="5"/>
      <c r="E549" s="5"/>
      <c r="F549" s="5"/>
      <c r="G549" s="5"/>
      <c r="H549" s="5"/>
      <c r="I549" s="5"/>
      <c r="J549" s="5"/>
      <c r="K549" s="5"/>
      <c r="L549" s="5"/>
      <c r="M549" s="5"/>
      <c r="N549" s="5"/>
      <c r="O549" s="5"/>
    </row>
    <row r="550" spans="1:15">
      <c r="A550" s="4"/>
      <c r="B550" s="5"/>
      <c r="C550" s="5"/>
      <c r="D550" s="5"/>
      <c r="E550" s="5"/>
      <c r="F550" s="5"/>
      <c r="G550" s="5"/>
      <c r="H550" s="5"/>
      <c r="I550" s="5"/>
      <c r="J550" s="5"/>
      <c r="K550" s="5"/>
      <c r="L550" s="5"/>
      <c r="M550" s="5"/>
      <c r="N550" s="5"/>
      <c r="O550" s="5"/>
    </row>
    <row r="551" spans="1:15">
      <c r="A551" s="4"/>
      <c r="B551" s="5"/>
      <c r="C551" s="5"/>
      <c r="D551" s="5"/>
      <c r="E551" s="5"/>
      <c r="F551" s="5"/>
      <c r="G551" s="5"/>
      <c r="H551" s="5"/>
      <c r="I551" s="5"/>
      <c r="J551" s="5"/>
      <c r="K551" s="5"/>
      <c r="L551" s="5"/>
      <c r="M551" s="5"/>
      <c r="N551" s="5"/>
      <c r="O551" s="5"/>
    </row>
    <row r="552" spans="1:15">
      <c r="A552" s="4"/>
      <c r="B552" s="5"/>
      <c r="C552" s="5"/>
      <c r="D552" s="5"/>
      <c r="E552" s="5"/>
      <c r="F552" s="5"/>
      <c r="G552" s="5"/>
      <c r="H552" s="5"/>
      <c r="I552" s="5"/>
      <c r="J552" s="5"/>
      <c r="K552" s="5"/>
      <c r="L552" s="5"/>
      <c r="M552" s="5"/>
      <c r="N552" s="5"/>
      <c r="O552" s="5"/>
    </row>
    <row r="553" spans="1:15">
      <c r="A553" s="4"/>
      <c r="B553" s="5"/>
      <c r="C553" s="5"/>
      <c r="D553" s="5"/>
      <c r="E553" s="5"/>
      <c r="F553" s="5"/>
      <c r="G553" s="5"/>
      <c r="H553" s="5"/>
      <c r="I553" s="5"/>
      <c r="J553" s="5"/>
      <c r="K553" s="5"/>
      <c r="L553" s="5"/>
      <c r="M553" s="5"/>
      <c r="N553" s="5"/>
      <c r="O553" s="5"/>
    </row>
    <row r="554" spans="1:15">
      <c r="A554" s="4"/>
      <c r="B554" s="5"/>
      <c r="C554" s="5"/>
      <c r="D554" s="5"/>
      <c r="E554" s="5"/>
      <c r="F554" s="5"/>
      <c r="G554" s="5"/>
      <c r="H554" s="5"/>
      <c r="I554" s="5"/>
      <c r="J554" s="5"/>
      <c r="K554" s="5"/>
      <c r="L554" s="5"/>
      <c r="M554" s="5"/>
      <c r="N554" s="5"/>
      <c r="O554" s="5"/>
    </row>
    <row r="555" spans="1:15">
      <c r="A555" s="4"/>
      <c r="B555" s="5"/>
      <c r="C555" s="5"/>
      <c r="D555" s="5"/>
      <c r="E555" s="5"/>
      <c r="F555" s="5"/>
      <c r="G555" s="5"/>
      <c r="H555" s="5"/>
      <c r="I555" s="5"/>
      <c r="J555" s="5"/>
      <c r="K555" s="5"/>
      <c r="L555" s="5"/>
      <c r="M555" s="5"/>
      <c r="N555" s="5"/>
      <c r="O555" s="5"/>
    </row>
    <row r="556" spans="1:15">
      <c r="A556" s="4"/>
      <c r="B556" s="5"/>
      <c r="C556" s="5"/>
      <c r="D556" s="5"/>
      <c r="E556" s="5"/>
      <c r="F556" s="5"/>
      <c r="G556" s="5"/>
      <c r="H556" s="5"/>
      <c r="I556" s="5"/>
      <c r="J556" s="5"/>
      <c r="K556" s="5"/>
      <c r="L556" s="5"/>
      <c r="M556" s="5"/>
      <c r="N556" s="5"/>
      <c r="O556" s="5"/>
    </row>
    <row r="557" spans="1:15">
      <c r="A557" s="4"/>
      <c r="B557" s="5"/>
      <c r="C557" s="5"/>
      <c r="D557" s="5"/>
      <c r="E557" s="5"/>
      <c r="F557" s="5"/>
      <c r="G557" s="5"/>
      <c r="H557" s="5"/>
      <c r="I557" s="5"/>
      <c r="J557" s="5"/>
      <c r="K557" s="5"/>
      <c r="L557" s="5"/>
      <c r="M557" s="5"/>
      <c r="N557" s="5"/>
      <c r="O557" s="5"/>
    </row>
    <row r="558" spans="1:15">
      <c r="A558" s="4"/>
      <c r="B558" s="5"/>
      <c r="C558" s="5"/>
      <c r="D558" s="5"/>
      <c r="E558" s="5"/>
      <c r="F558" s="5"/>
      <c r="G558" s="5"/>
      <c r="H558" s="5"/>
      <c r="I558" s="5"/>
      <c r="J558" s="5"/>
      <c r="K558" s="5"/>
      <c r="L558" s="5"/>
      <c r="M558" s="5"/>
      <c r="N558" s="5"/>
      <c r="O558" s="5"/>
    </row>
    <row r="559" spans="1:15">
      <c r="A559" s="4"/>
      <c r="B559" s="5"/>
      <c r="C559" s="5"/>
      <c r="D559" s="5"/>
      <c r="E559" s="5"/>
      <c r="F559" s="5"/>
      <c r="G559" s="5"/>
      <c r="H559" s="5"/>
      <c r="I559" s="5"/>
      <c r="J559" s="5"/>
      <c r="K559" s="5"/>
      <c r="L559" s="5"/>
      <c r="M559" s="5"/>
      <c r="N559" s="5"/>
      <c r="O559" s="5"/>
    </row>
    <row r="560" spans="1:15">
      <c r="A560" s="4"/>
      <c r="B560" s="5"/>
      <c r="C560" s="5"/>
      <c r="D560" s="5"/>
      <c r="E560" s="5"/>
      <c r="F560" s="5"/>
      <c r="G560" s="5"/>
      <c r="H560" s="5"/>
      <c r="I560" s="5"/>
      <c r="J560" s="5"/>
      <c r="K560" s="5"/>
      <c r="L560" s="5"/>
      <c r="M560" s="5"/>
      <c r="N560" s="5"/>
      <c r="O560" s="5"/>
    </row>
    <row r="561" spans="1:15">
      <c r="A561" s="4"/>
      <c r="B561" s="5"/>
      <c r="C561" s="5"/>
      <c r="D561" s="5"/>
      <c r="E561" s="5"/>
      <c r="F561" s="5"/>
      <c r="G561" s="5"/>
      <c r="H561" s="5"/>
      <c r="I561" s="5"/>
      <c r="J561" s="5"/>
      <c r="K561" s="5"/>
      <c r="L561" s="5"/>
      <c r="M561" s="5"/>
      <c r="N561" s="5"/>
      <c r="O561" s="5"/>
    </row>
    <row r="562" spans="1:15">
      <c r="A562" s="4"/>
      <c r="B562" s="5"/>
      <c r="C562" s="5"/>
      <c r="D562" s="5"/>
      <c r="E562" s="5"/>
      <c r="F562" s="5"/>
      <c r="G562" s="5"/>
      <c r="H562" s="5"/>
      <c r="I562" s="5"/>
      <c r="J562" s="5"/>
      <c r="K562" s="5"/>
      <c r="L562" s="5"/>
      <c r="M562" s="5"/>
      <c r="N562" s="5"/>
      <c r="O562" s="5"/>
    </row>
    <row r="563" spans="1:15">
      <c r="A563" s="4"/>
      <c r="B563" s="5"/>
      <c r="C563" s="5"/>
      <c r="D563" s="5"/>
      <c r="E563" s="5"/>
      <c r="F563" s="5"/>
      <c r="G563" s="5"/>
      <c r="H563" s="5"/>
      <c r="I563" s="5"/>
      <c r="J563" s="5"/>
      <c r="K563" s="5"/>
      <c r="L563" s="5"/>
      <c r="M563" s="5"/>
      <c r="N563" s="5"/>
      <c r="O563" s="5"/>
    </row>
    <row r="564" spans="1:15">
      <c r="A564" s="4"/>
      <c r="B564" s="5"/>
      <c r="C564" s="5"/>
      <c r="D564" s="5"/>
      <c r="E564" s="5"/>
      <c r="F564" s="5"/>
      <c r="G564" s="5"/>
      <c r="H564" s="5"/>
      <c r="I564" s="5"/>
      <c r="J564" s="5"/>
      <c r="K564" s="5"/>
      <c r="L564" s="5"/>
      <c r="M564" s="5"/>
      <c r="N564" s="5"/>
      <c r="O564" s="5"/>
    </row>
    <row r="565" spans="1:15">
      <c r="A565" s="4"/>
      <c r="B565" s="5"/>
      <c r="C565" s="5"/>
      <c r="D565" s="5"/>
      <c r="E565" s="5"/>
      <c r="F565" s="5"/>
      <c r="G565" s="5"/>
      <c r="H565" s="5"/>
      <c r="I565" s="5"/>
      <c r="J565" s="5"/>
      <c r="K565" s="5"/>
      <c r="L565" s="5"/>
      <c r="M565" s="5"/>
      <c r="N565" s="5"/>
      <c r="O565" s="5"/>
    </row>
    <row r="566" spans="1:15">
      <c r="A566" s="4"/>
      <c r="B566" s="5"/>
      <c r="C566" s="5"/>
      <c r="D566" s="5"/>
      <c r="E566" s="5"/>
      <c r="F566" s="5"/>
      <c r="G566" s="5"/>
      <c r="H566" s="5"/>
      <c r="I566" s="5"/>
      <c r="J566" s="5"/>
      <c r="K566" s="5"/>
      <c r="L566" s="5"/>
      <c r="M566" s="5"/>
      <c r="N566" s="5"/>
      <c r="O566" s="5"/>
    </row>
    <row r="567" spans="1:15">
      <c r="A567" s="4"/>
      <c r="B567" s="5"/>
      <c r="C567" s="5"/>
      <c r="D567" s="5"/>
      <c r="E567" s="5"/>
      <c r="F567" s="5"/>
      <c r="G567" s="5"/>
      <c r="H567" s="5"/>
      <c r="I567" s="5"/>
      <c r="J567" s="5"/>
      <c r="K567" s="5"/>
      <c r="L567" s="5"/>
      <c r="M567" s="5"/>
      <c r="N567" s="5"/>
      <c r="O567" s="5"/>
    </row>
    <row r="568" spans="1:15">
      <c r="A568" s="4"/>
      <c r="B568" s="5"/>
      <c r="C568" s="5"/>
      <c r="D568" s="5"/>
      <c r="E568" s="5"/>
      <c r="F568" s="5"/>
      <c r="G568" s="5"/>
      <c r="H568" s="5"/>
      <c r="I568" s="5"/>
      <c r="J568" s="5"/>
      <c r="K568" s="5"/>
      <c r="L568" s="5"/>
      <c r="M568" s="5"/>
      <c r="N568" s="5"/>
      <c r="O568" s="5"/>
    </row>
    <row r="569" spans="1:15">
      <c r="A569" s="4"/>
      <c r="B569" s="5"/>
      <c r="C569" s="5"/>
      <c r="D569" s="5"/>
      <c r="E569" s="5"/>
      <c r="F569" s="5"/>
      <c r="G569" s="5"/>
      <c r="H569" s="5"/>
      <c r="I569" s="5"/>
      <c r="J569" s="5"/>
      <c r="K569" s="5"/>
      <c r="L569" s="5"/>
      <c r="M569" s="5"/>
      <c r="N569" s="5"/>
      <c r="O569" s="5"/>
    </row>
    <row r="570" spans="1:15">
      <c r="A570" s="4"/>
      <c r="B570" s="5"/>
      <c r="C570" s="5"/>
      <c r="D570" s="5"/>
      <c r="E570" s="5"/>
      <c r="F570" s="5"/>
      <c r="G570" s="5"/>
      <c r="H570" s="5"/>
      <c r="I570" s="5"/>
      <c r="J570" s="5"/>
      <c r="K570" s="5"/>
      <c r="L570" s="5"/>
      <c r="M570" s="5"/>
      <c r="N570" s="5"/>
      <c r="O570" s="5"/>
    </row>
    <row r="571" spans="1:15">
      <c r="A571" s="4"/>
      <c r="B571" s="5"/>
      <c r="C571" s="5"/>
      <c r="D571" s="5"/>
      <c r="E571" s="5"/>
      <c r="F571" s="5"/>
      <c r="G571" s="5"/>
      <c r="H571" s="5"/>
      <c r="I571" s="5"/>
      <c r="J571" s="5"/>
      <c r="K571" s="5"/>
      <c r="L571" s="5"/>
      <c r="M571" s="5"/>
      <c r="N571" s="5"/>
      <c r="O571" s="5"/>
    </row>
    <row r="572" spans="1:15">
      <c r="A572" s="4"/>
      <c r="B572" s="5"/>
      <c r="C572" s="5"/>
      <c r="D572" s="5"/>
      <c r="E572" s="5"/>
      <c r="F572" s="5"/>
      <c r="G572" s="5"/>
      <c r="H572" s="5"/>
      <c r="I572" s="5"/>
      <c r="J572" s="5"/>
      <c r="K572" s="5"/>
      <c r="L572" s="5"/>
      <c r="M572" s="5"/>
      <c r="N572" s="5"/>
      <c r="O572" s="5"/>
    </row>
    <row r="573" spans="1:15">
      <c r="A573" s="4"/>
      <c r="B573" s="5"/>
      <c r="C573" s="5"/>
      <c r="D573" s="5"/>
      <c r="E573" s="5"/>
      <c r="F573" s="5"/>
      <c r="G573" s="5"/>
      <c r="H573" s="5"/>
      <c r="I573" s="5"/>
      <c r="J573" s="5"/>
      <c r="K573" s="5"/>
      <c r="L573" s="5"/>
      <c r="M573" s="5"/>
      <c r="N573" s="5"/>
      <c r="O573" s="5"/>
    </row>
    <row r="574" spans="1:15">
      <c r="A574" s="4"/>
      <c r="B574" s="5"/>
      <c r="C574" s="5"/>
      <c r="D574" s="5"/>
      <c r="E574" s="5"/>
      <c r="F574" s="5"/>
      <c r="G574" s="5"/>
      <c r="H574" s="5"/>
      <c r="I574" s="5"/>
      <c r="J574" s="5"/>
      <c r="K574" s="5"/>
      <c r="L574" s="5"/>
      <c r="M574" s="5"/>
      <c r="N574" s="5"/>
      <c r="O574" s="5"/>
    </row>
    <row r="575" spans="1:15">
      <c r="A575" s="4"/>
      <c r="B575" s="5"/>
      <c r="C575" s="5"/>
      <c r="D575" s="5"/>
      <c r="E575" s="5"/>
      <c r="F575" s="5"/>
      <c r="G575" s="5"/>
      <c r="H575" s="5"/>
      <c r="I575" s="5"/>
      <c r="J575" s="5"/>
      <c r="K575" s="5"/>
      <c r="L575" s="5"/>
      <c r="M575" s="5"/>
      <c r="N575" s="5"/>
      <c r="O575" s="5"/>
    </row>
    <row r="576" spans="1:15">
      <c r="A576" s="4"/>
      <c r="B576" s="5"/>
      <c r="C576" s="5"/>
      <c r="D576" s="5"/>
      <c r="E576" s="5"/>
      <c r="F576" s="5"/>
      <c r="G576" s="5"/>
      <c r="H576" s="5"/>
      <c r="I576" s="5"/>
      <c r="J576" s="5"/>
      <c r="K576" s="5"/>
      <c r="L576" s="5"/>
      <c r="M576" s="5"/>
      <c r="N576" s="5"/>
      <c r="O576" s="5"/>
    </row>
    <row r="577" spans="1:15">
      <c r="A577" s="4"/>
      <c r="B577" s="5"/>
      <c r="C577" s="5"/>
      <c r="D577" s="5"/>
      <c r="E577" s="5"/>
      <c r="F577" s="5"/>
      <c r="G577" s="5"/>
      <c r="H577" s="5"/>
      <c r="I577" s="5"/>
      <c r="J577" s="5"/>
      <c r="K577" s="5"/>
      <c r="L577" s="5"/>
      <c r="M577" s="5"/>
      <c r="N577" s="5"/>
      <c r="O577" s="5"/>
    </row>
    <row r="578" spans="1:15">
      <c r="A578" s="4"/>
      <c r="B578" s="5"/>
      <c r="C578" s="5"/>
      <c r="D578" s="5"/>
      <c r="E578" s="5"/>
      <c r="F578" s="5"/>
      <c r="G578" s="5"/>
      <c r="H578" s="5"/>
      <c r="I578" s="5"/>
      <c r="J578" s="5"/>
      <c r="K578" s="5"/>
      <c r="L578" s="5"/>
      <c r="M578" s="5"/>
      <c r="N578" s="5"/>
      <c r="O578" s="5"/>
    </row>
    <row r="579" spans="1:15">
      <c r="A579" s="4"/>
      <c r="B579" s="5"/>
      <c r="C579" s="5"/>
      <c r="D579" s="5"/>
      <c r="E579" s="5"/>
      <c r="F579" s="5"/>
      <c r="G579" s="5"/>
      <c r="H579" s="5"/>
      <c r="I579" s="5"/>
      <c r="J579" s="5"/>
      <c r="K579" s="5"/>
      <c r="L579" s="5"/>
      <c r="M579" s="5"/>
      <c r="N579" s="5"/>
      <c r="O579" s="5"/>
    </row>
    <row r="580" spans="1:15">
      <c r="A580" s="4"/>
      <c r="B580" s="5"/>
      <c r="C580" s="5"/>
      <c r="D580" s="5"/>
      <c r="E580" s="5"/>
      <c r="F580" s="5"/>
      <c r="G580" s="5"/>
      <c r="H580" s="5"/>
      <c r="I580" s="5"/>
      <c r="J580" s="5"/>
      <c r="K580" s="5"/>
      <c r="L580" s="5"/>
      <c r="M580" s="5"/>
      <c r="N580" s="5"/>
      <c r="O580" s="5"/>
    </row>
    <row r="581" spans="1:15">
      <c r="A581" s="4"/>
      <c r="B581" s="5"/>
      <c r="C581" s="5"/>
      <c r="D581" s="5"/>
      <c r="E581" s="5"/>
      <c r="F581" s="5"/>
      <c r="G581" s="5"/>
      <c r="H581" s="5"/>
      <c r="I581" s="5"/>
      <c r="J581" s="5"/>
      <c r="K581" s="5"/>
      <c r="L581" s="5"/>
      <c r="M581" s="5"/>
      <c r="N581" s="5"/>
      <c r="O581" s="5"/>
    </row>
    <row r="582" spans="1:15">
      <c r="A582" s="4"/>
      <c r="B582" s="5"/>
      <c r="C582" s="5"/>
      <c r="D582" s="5"/>
      <c r="E582" s="5"/>
      <c r="F582" s="5"/>
      <c r="G582" s="5"/>
      <c r="H582" s="5"/>
      <c r="I582" s="5"/>
      <c r="J582" s="5"/>
      <c r="K582" s="5"/>
      <c r="L582" s="5"/>
      <c r="M582" s="5"/>
      <c r="N582" s="5"/>
      <c r="O582" s="5"/>
    </row>
    <row r="583" spans="1:15">
      <c r="A583" s="4"/>
      <c r="B583" s="5"/>
      <c r="C583" s="5"/>
      <c r="D583" s="5"/>
      <c r="E583" s="5"/>
      <c r="F583" s="5"/>
      <c r="G583" s="5"/>
      <c r="H583" s="5"/>
      <c r="I583" s="5"/>
      <c r="J583" s="5"/>
      <c r="K583" s="5"/>
      <c r="L583" s="5"/>
      <c r="M583" s="5"/>
      <c r="N583" s="5"/>
      <c r="O583" s="5"/>
    </row>
    <row r="584" spans="1:15">
      <c r="A584" s="4"/>
      <c r="B584" s="5"/>
      <c r="C584" s="5"/>
      <c r="D584" s="5"/>
      <c r="E584" s="5"/>
      <c r="F584" s="5"/>
      <c r="G584" s="5"/>
      <c r="H584" s="5"/>
      <c r="I584" s="5"/>
      <c r="J584" s="5"/>
      <c r="K584" s="5"/>
      <c r="L584" s="5"/>
      <c r="M584" s="5"/>
      <c r="N584" s="5"/>
      <c r="O584" s="5"/>
    </row>
    <row r="585" spans="1:15">
      <c r="A585" s="4"/>
      <c r="B585" s="5"/>
      <c r="C585" s="5"/>
      <c r="D585" s="5"/>
      <c r="E585" s="5"/>
      <c r="F585" s="5"/>
      <c r="G585" s="5"/>
      <c r="H585" s="5"/>
      <c r="I585" s="5"/>
      <c r="J585" s="5"/>
      <c r="K585" s="5"/>
      <c r="L585" s="5"/>
      <c r="M585" s="5"/>
      <c r="N585" s="5"/>
      <c r="O585" s="5"/>
    </row>
    <row r="586" spans="1:15">
      <c r="A586" s="4"/>
      <c r="B586" s="5"/>
      <c r="C586" s="5"/>
      <c r="D586" s="5"/>
      <c r="E586" s="5"/>
      <c r="F586" s="5"/>
      <c r="G586" s="5"/>
      <c r="H586" s="5"/>
      <c r="I586" s="5"/>
      <c r="J586" s="5"/>
      <c r="K586" s="5"/>
      <c r="L586" s="5"/>
      <c r="M586" s="5"/>
      <c r="N586" s="5"/>
      <c r="O586" s="5"/>
    </row>
    <row r="587" spans="1:15">
      <c r="A587" s="4"/>
      <c r="B587" s="5"/>
      <c r="C587" s="5"/>
      <c r="D587" s="5"/>
      <c r="E587" s="5"/>
      <c r="F587" s="5"/>
      <c r="G587" s="5"/>
      <c r="H587" s="5"/>
      <c r="I587" s="5"/>
      <c r="J587" s="5"/>
      <c r="K587" s="5"/>
      <c r="L587" s="5"/>
      <c r="M587" s="5"/>
      <c r="N587" s="5"/>
      <c r="O587" s="5"/>
    </row>
    <row r="588" spans="1:15">
      <c r="A588" s="4"/>
      <c r="B588" s="5"/>
      <c r="C588" s="5"/>
      <c r="D588" s="5"/>
      <c r="E588" s="5"/>
      <c r="F588" s="5"/>
      <c r="G588" s="5"/>
      <c r="H588" s="5"/>
      <c r="I588" s="5"/>
      <c r="J588" s="5"/>
      <c r="K588" s="5"/>
      <c r="L588" s="5"/>
      <c r="M588" s="5"/>
      <c r="N588" s="5"/>
      <c r="O588" s="5"/>
    </row>
    <row r="589" spans="1:15">
      <c r="A589" s="4"/>
      <c r="B589" s="5"/>
      <c r="C589" s="5"/>
      <c r="D589" s="5"/>
      <c r="E589" s="5"/>
      <c r="F589" s="5"/>
      <c r="G589" s="5"/>
      <c r="H589" s="5"/>
      <c r="I589" s="5"/>
      <c r="J589" s="5"/>
      <c r="K589" s="5"/>
      <c r="L589" s="5"/>
      <c r="M589" s="5"/>
      <c r="N589" s="5"/>
      <c r="O589" s="5"/>
    </row>
    <row r="590" spans="1:15">
      <c r="A590" s="4"/>
      <c r="B590" s="5"/>
      <c r="C590" s="5"/>
      <c r="D590" s="5"/>
      <c r="E590" s="5"/>
      <c r="F590" s="5"/>
      <c r="G590" s="5"/>
      <c r="H590" s="5"/>
      <c r="I590" s="5"/>
      <c r="J590" s="5"/>
      <c r="K590" s="5"/>
      <c r="L590" s="5"/>
      <c r="M590" s="5"/>
      <c r="N590" s="5"/>
      <c r="O590" s="5"/>
    </row>
    <row r="591" spans="1:15">
      <c r="A591" s="4"/>
      <c r="B591" s="5"/>
      <c r="C591" s="5"/>
      <c r="D591" s="5"/>
      <c r="E591" s="5"/>
      <c r="F591" s="5"/>
      <c r="G591" s="5"/>
      <c r="H591" s="5"/>
      <c r="I591" s="5"/>
      <c r="J591" s="5"/>
      <c r="K591" s="5"/>
      <c r="L591" s="5"/>
      <c r="M591" s="5"/>
      <c r="N591" s="5"/>
      <c r="O591" s="5"/>
    </row>
    <row r="592" spans="1:15">
      <c r="A592" s="4"/>
      <c r="B592" s="5"/>
      <c r="C592" s="5"/>
      <c r="D592" s="5"/>
      <c r="E592" s="5"/>
      <c r="F592" s="5"/>
      <c r="G592" s="5"/>
      <c r="H592" s="5"/>
      <c r="I592" s="5"/>
      <c r="J592" s="5"/>
      <c r="K592" s="5"/>
      <c r="L592" s="5"/>
      <c r="M592" s="5"/>
      <c r="N592" s="5"/>
      <c r="O592" s="5"/>
    </row>
    <row r="593" spans="1:15">
      <c r="A593" s="4"/>
      <c r="B593" s="5"/>
      <c r="C593" s="5"/>
      <c r="D593" s="5"/>
      <c r="E593" s="5"/>
      <c r="F593" s="5"/>
      <c r="G593" s="5"/>
      <c r="H593" s="5"/>
      <c r="I593" s="5"/>
      <c r="J593" s="5"/>
      <c r="K593" s="5"/>
      <c r="L593" s="5"/>
      <c r="M593" s="5"/>
      <c r="N593" s="5"/>
      <c r="O593" s="5"/>
    </row>
    <row r="594" spans="1:15">
      <c r="A594" s="4"/>
      <c r="B594" s="5"/>
      <c r="C594" s="5"/>
      <c r="D594" s="5"/>
      <c r="E594" s="5"/>
      <c r="F594" s="5"/>
      <c r="G594" s="5"/>
      <c r="H594" s="5"/>
      <c r="I594" s="5"/>
      <c r="J594" s="5"/>
      <c r="K594" s="5"/>
      <c r="L594" s="5"/>
      <c r="M594" s="5"/>
      <c r="N594" s="5"/>
      <c r="O594" s="5"/>
    </row>
    <row r="595" spans="1:15">
      <c r="A595" s="4"/>
      <c r="B595" s="5"/>
      <c r="C595" s="5"/>
      <c r="D595" s="5"/>
      <c r="E595" s="5"/>
      <c r="F595" s="5"/>
      <c r="G595" s="5"/>
      <c r="H595" s="5"/>
      <c r="I595" s="5"/>
      <c r="J595" s="5"/>
      <c r="K595" s="5"/>
      <c r="L595" s="5"/>
      <c r="M595" s="5"/>
      <c r="N595" s="5"/>
      <c r="O595" s="5"/>
    </row>
    <row r="596" spans="1:15">
      <c r="A596" s="4"/>
      <c r="B596" s="5"/>
      <c r="C596" s="5"/>
      <c r="D596" s="5"/>
      <c r="E596" s="5"/>
      <c r="F596" s="5"/>
      <c r="G596" s="5"/>
      <c r="H596" s="5"/>
      <c r="I596" s="5"/>
      <c r="J596" s="5"/>
      <c r="K596" s="5"/>
      <c r="L596" s="5"/>
      <c r="M596" s="5"/>
      <c r="N596" s="5"/>
      <c r="O596" s="5"/>
    </row>
    <row r="597" spans="1:15">
      <c r="A597" s="4"/>
      <c r="B597" s="5"/>
      <c r="C597" s="5"/>
      <c r="D597" s="5"/>
      <c r="E597" s="5"/>
      <c r="F597" s="5"/>
      <c r="G597" s="5"/>
      <c r="H597" s="5"/>
      <c r="I597" s="5"/>
      <c r="J597" s="5"/>
      <c r="K597" s="5"/>
      <c r="L597" s="5"/>
      <c r="M597" s="5"/>
      <c r="N597" s="5"/>
      <c r="O597" s="5"/>
    </row>
    <row r="598" spans="1:15">
      <c r="A598" s="4"/>
      <c r="B598" s="5"/>
      <c r="C598" s="5"/>
      <c r="D598" s="5"/>
      <c r="E598" s="5"/>
      <c r="F598" s="5"/>
      <c r="G598" s="5"/>
      <c r="H598" s="5"/>
      <c r="I598" s="5"/>
      <c r="J598" s="5"/>
      <c r="K598" s="5"/>
      <c r="L598" s="5"/>
      <c r="M598" s="5"/>
      <c r="N598" s="5"/>
      <c r="O598" s="5"/>
    </row>
    <row r="599" spans="1:15">
      <c r="A599" s="4"/>
      <c r="B599" s="5"/>
      <c r="C599" s="5"/>
      <c r="D599" s="5"/>
      <c r="E599" s="5"/>
      <c r="F599" s="5"/>
      <c r="G599" s="5"/>
      <c r="H599" s="5"/>
      <c r="I599" s="5"/>
      <c r="J599" s="5"/>
      <c r="K599" s="5"/>
      <c r="L599" s="5"/>
      <c r="M599" s="5"/>
      <c r="N599" s="5"/>
      <c r="O599" s="5"/>
    </row>
    <row r="600" spans="1:15">
      <c r="A600" s="4"/>
      <c r="B600" s="5"/>
      <c r="C600" s="5"/>
      <c r="D600" s="5"/>
      <c r="E600" s="5"/>
      <c r="F600" s="5"/>
      <c r="G600" s="5"/>
      <c r="H600" s="5"/>
      <c r="I600" s="5"/>
      <c r="J600" s="5"/>
      <c r="K600" s="5"/>
      <c r="L600" s="5"/>
      <c r="M600" s="5"/>
      <c r="N600" s="5"/>
      <c r="O600" s="5"/>
    </row>
    <row r="601" spans="1:15">
      <c r="A601" s="4"/>
      <c r="B601" s="5"/>
      <c r="C601" s="5"/>
      <c r="D601" s="5"/>
      <c r="E601" s="5"/>
      <c r="F601" s="5"/>
      <c r="G601" s="5"/>
      <c r="H601" s="5"/>
      <c r="I601" s="5"/>
      <c r="J601" s="5"/>
      <c r="K601" s="5"/>
      <c r="L601" s="5"/>
      <c r="M601" s="5"/>
      <c r="N601" s="5"/>
      <c r="O601" s="5"/>
    </row>
    <row r="602" spans="1:15">
      <c r="A602" s="4"/>
      <c r="B602" s="5"/>
      <c r="C602" s="5"/>
      <c r="D602" s="5"/>
      <c r="E602" s="5"/>
      <c r="F602" s="5"/>
      <c r="G602" s="5"/>
      <c r="H602" s="5"/>
      <c r="I602" s="5"/>
      <c r="J602" s="5"/>
      <c r="K602" s="5"/>
      <c r="L602" s="5"/>
      <c r="M602" s="5"/>
      <c r="N602" s="5"/>
      <c r="O602" s="5"/>
    </row>
    <row r="603" spans="1:15">
      <c r="A603" s="4"/>
      <c r="B603" s="5"/>
      <c r="C603" s="5"/>
      <c r="D603" s="5"/>
      <c r="E603" s="5"/>
      <c r="F603" s="5"/>
      <c r="G603" s="5"/>
      <c r="H603" s="5"/>
      <c r="I603" s="5"/>
      <c r="J603" s="5"/>
      <c r="K603" s="5"/>
      <c r="L603" s="5"/>
      <c r="M603" s="5"/>
      <c r="N603" s="5"/>
      <c r="O603" s="5"/>
    </row>
    <row r="604" spans="1:15">
      <c r="A604" s="4"/>
      <c r="B604" s="5"/>
      <c r="C604" s="5"/>
      <c r="D604" s="5"/>
      <c r="E604" s="5"/>
      <c r="F604" s="5"/>
      <c r="G604" s="5"/>
      <c r="H604" s="5"/>
      <c r="I604" s="5"/>
      <c r="J604" s="5"/>
      <c r="K604" s="5"/>
      <c r="L604" s="5"/>
      <c r="M604" s="5"/>
      <c r="N604" s="5"/>
      <c r="O604" s="5"/>
    </row>
    <row r="605" spans="1:15">
      <c r="A605" s="4"/>
      <c r="B605" s="5"/>
      <c r="C605" s="5"/>
      <c r="D605" s="5"/>
      <c r="E605" s="5"/>
      <c r="F605" s="5"/>
      <c r="G605" s="5"/>
      <c r="H605" s="5"/>
      <c r="I605" s="5"/>
      <c r="J605" s="5"/>
      <c r="K605" s="5"/>
      <c r="L605" s="5"/>
      <c r="M605" s="5"/>
      <c r="N605" s="5"/>
      <c r="O605" s="5"/>
    </row>
    <row r="606" spans="1:15">
      <c r="A606" s="4"/>
      <c r="B606" s="5"/>
      <c r="C606" s="5"/>
      <c r="D606" s="5"/>
      <c r="E606" s="5"/>
      <c r="F606" s="5"/>
      <c r="G606" s="5"/>
      <c r="H606" s="5"/>
      <c r="I606" s="5"/>
      <c r="J606" s="5"/>
      <c r="K606" s="5"/>
      <c r="L606" s="5"/>
      <c r="M606" s="5"/>
      <c r="N606" s="5"/>
      <c r="O606" s="5"/>
    </row>
    <row r="607" spans="1:15">
      <c r="A607" s="4"/>
      <c r="B607" s="5"/>
      <c r="C607" s="5"/>
      <c r="D607" s="5"/>
      <c r="E607" s="5"/>
      <c r="F607" s="5"/>
      <c r="G607" s="5"/>
      <c r="H607" s="5"/>
      <c r="I607" s="5"/>
      <c r="J607" s="5"/>
      <c r="K607" s="5"/>
      <c r="L607" s="5"/>
      <c r="M607" s="5"/>
      <c r="N607" s="5"/>
      <c r="O607" s="5"/>
    </row>
    <row r="608" spans="1:15">
      <c r="A608" s="4"/>
      <c r="B608" s="5"/>
      <c r="C608" s="5"/>
      <c r="D608" s="5"/>
      <c r="E608" s="5"/>
      <c r="F608" s="5"/>
      <c r="G608" s="5"/>
      <c r="H608" s="5"/>
      <c r="I608" s="5"/>
      <c r="J608" s="5"/>
      <c r="K608" s="5"/>
      <c r="L608" s="5"/>
      <c r="M608" s="5"/>
      <c r="N608" s="5"/>
      <c r="O608" s="5"/>
    </row>
    <row r="609" spans="1:15">
      <c r="A609" s="4"/>
      <c r="B609" s="5"/>
      <c r="C609" s="5"/>
      <c r="D609" s="5"/>
      <c r="E609" s="5"/>
      <c r="F609" s="5"/>
      <c r="G609" s="5"/>
      <c r="H609" s="5"/>
      <c r="I609" s="5"/>
      <c r="J609" s="5"/>
      <c r="K609" s="5"/>
      <c r="L609" s="5"/>
      <c r="M609" s="5"/>
      <c r="N609" s="5"/>
      <c r="O609" s="5"/>
    </row>
    <row r="610" spans="1:15">
      <c r="A610" s="4"/>
      <c r="B610" s="5"/>
      <c r="C610" s="5"/>
      <c r="D610" s="5"/>
      <c r="E610" s="5"/>
      <c r="F610" s="5"/>
      <c r="G610" s="5"/>
      <c r="H610" s="5"/>
      <c r="I610" s="5"/>
      <c r="J610" s="5"/>
      <c r="K610" s="5"/>
      <c r="L610" s="5"/>
      <c r="M610" s="5"/>
      <c r="N610" s="5"/>
      <c r="O610" s="5"/>
    </row>
    <row r="611" spans="1:15">
      <c r="A611" s="4"/>
      <c r="B611" s="5"/>
      <c r="C611" s="5"/>
      <c r="D611" s="5"/>
      <c r="E611" s="5"/>
      <c r="F611" s="5"/>
      <c r="G611" s="5"/>
      <c r="H611" s="5"/>
      <c r="I611" s="5"/>
      <c r="J611" s="5"/>
      <c r="K611" s="5"/>
      <c r="L611" s="5"/>
      <c r="M611" s="5"/>
      <c r="N611" s="5"/>
      <c r="O611" s="5"/>
    </row>
    <row r="612" spans="1:15">
      <c r="A612" s="4"/>
      <c r="B612" s="5"/>
      <c r="C612" s="5"/>
      <c r="D612" s="5"/>
      <c r="E612" s="5"/>
      <c r="F612" s="5"/>
      <c r="G612" s="5"/>
      <c r="H612" s="5"/>
      <c r="I612" s="5"/>
      <c r="J612" s="5"/>
      <c r="K612" s="5"/>
      <c r="L612" s="5"/>
      <c r="M612" s="5"/>
      <c r="N612" s="5"/>
      <c r="O612" s="5"/>
    </row>
    <row r="613" spans="1:15">
      <c r="A613" s="4"/>
      <c r="B613" s="5"/>
      <c r="C613" s="5"/>
      <c r="D613" s="5"/>
      <c r="E613" s="5"/>
      <c r="F613" s="5"/>
      <c r="G613" s="5"/>
      <c r="H613" s="5"/>
      <c r="I613" s="5"/>
      <c r="J613" s="5"/>
      <c r="K613" s="5"/>
      <c r="L613" s="5"/>
      <c r="M613" s="5"/>
      <c r="N613" s="5"/>
      <c r="O613" s="5"/>
    </row>
    <row r="614" spans="1:15">
      <c r="A614" s="4"/>
      <c r="B614" s="5"/>
      <c r="C614" s="5"/>
      <c r="D614" s="5"/>
      <c r="E614" s="5"/>
      <c r="F614" s="5"/>
      <c r="G614" s="5"/>
      <c r="H614" s="5"/>
      <c r="I614" s="5"/>
      <c r="J614" s="5"/>
      <c r="K614" s="5"/>
      <c r="L614" s="5"/>
      <c r="M614" s="5"/>
      <c r="N614" s="5"/>
      <c r="O614" s="5"/>
    </row>
    <row r="615" spans="1:15">
      <c r="A615" s="4"/>
      <c r="B615" s="5"/>
      <c r="C615" s="5"/>
      <c r="D615" s="5"/>
      <c r="E615" s="5"/>
      <c r="F615" s="5"/>
      <c r="G615" s="5"/>
      <c r="H615" s="5"/>
      <c r="I615" s="5"/>
      <c r="J615" s="5"/>
      <c r="K615" s="5"/>
      <c r="L615" s="5"/>
      <c r="M615" s="5"/>
      <c r="N615" s="5"/>
      <c r="O615" s="5"/>
    </row>
    <row r="616" spans="1:15">
      <c r="A616" s="4"/>
      <c r="B616" s="5"/>
      <c r="C616" s="5"/>
      <c r="D616" s="5"/>
      <c r="E616" s="5"/>
      <c r="F616" s="5"/>
      <c r="G616" s="5"/>
      <c r="H616" s="5"/>
      <c r="I616" s="5"/>
      <c r="J616" s="5"/>
      <c r="K616" s="5"/>
      <c r="L616" s="5"/>
      <c r="M616" s="5"/>
      <c r="N616" s="5"/>
      <c r="O616" s="5"/>
    </row>
    <row r="617" spans="1:15">
      <c r="A617" s="4"/>
      <c r="B617" s="5"/>
      <c r="C617" s="5"/>
      <c r="D617" s="5"/>
      <c r="E617" s="5"/>
      <c r="F617" s="5"/>
      <c r="G617" s="5"/>
      <c r="H617" s="5"/>
      <c r="I617" s="5"/>
      <c r="J617" s="5"/>
      <c r="K617" s="5"/>
      <c r="L617" s="5"/>
      <c r="M617" s="5"/>
      <c r="N617" s="5"/>
      <c r="O617" s="5"/>
    </row>
    <row r="618" spans="1:15">
      <c r="A618" s="4"/>
      <c r="B618" s="5"/>
      <c r="C618" s="5"/>
      <c r="D618" s="5"/>
      <c r="E618" s="5"/>
      <c r="F618" s="5"/>
      <c r="G618" s="5"/>
      <c r="H618" s="5"/>
      <c r="I618" s="5"/>
      <c r="J618" s="5"/>
      <c r="K618" s="5"/>
      <c r="L618" s="5"/>
      <c r="M618" s="5"/>
      <c r="N618" s="5"/>
      <c r="O618" s="5"/>
    </row>
    <row r="619" spans="1:15">
      <c r="A619" s="4"/>
      <c r="B619" s="5"/>
      <c r="C619" s="5"/>
      <c r="D619" s="5"/>
      <c r="E619" s="5"/>
      <c r="F619" s="5"/>
      <c r="G619" s="5"/>
      <c r="H619" s="5"/>
      <c r="I619" s="5"/>
      <c r="J619" s="5"/>
      <c r="K619" s="5"/>
      <c r="L619" s="5"/>
      <c r="M619" s="5"/>
      <c r="N619" s="5"/>
      <c r="O619" s="5"/>
    </row>
    <row r="620" spans="1:15">
      <c r="A620" s="4"/>
      <c r="B620" s="5"/>
      <c r="C620" s="5"/>
      <c r="D620" s="5"/>
      <c r="E620" s="5"/>
      <c r="F620" s="5"/>
      <c r="G620" s="5"/>
      <c r="H620" s="5"/>
      <c r="I620" s="5"/>
      <c r="J620" s="5"/>
      <c r="K620" s="5"/>
      <c r="L620" s="5"/>
      <c r="M620" s="5"/>
      <c r="N620" s="5"/>
      <c r="O620" s="5"/>
    </row>
    <row r="621" spans="1:15">
      <c r="A621" s="4"/>
      <c r="B621" s="5"/>
      <c r="C621" s="5"/>
      <c r="D621" s="5"/>
      <c r="E621" s="5"/>
      <c r="F621" s="5"/>
      <c r="G621" s="5"/>
      <c r="H621" s="5"/>
      <c r="I621" s="5"/>
      <c r="J621" s="5"/>
      <c r="K621" s="5"/>
      <c r="L621" s="5"/>
      <c r="M621" s="5"/>
      <c r="N621" s="5"/>
      <c r="O621" s="5"/>
    </row>
    <row r="622" spans="1:15">
      <c r="A622" s="4"/>
      <c r="B622" s="5"/>
      <c r="C622" s="5"/>
      <c r="D622" s="5"/>
      <c r="E622" s="5"/>
      <c r="F622" s="5"/>
      <c r="G622" s="5"/>
      <c r="H622" s="5"/>
      <c r="I622" s="5"/>
      <c r="J622" s="5"/>
      <c r="K622" s="5"/>
      <c r="L622" s="5"/>
      <c r="M622" s="5"/>
      <c r="N622" s="5"/>
      <c r="O622" s="5"/>
    </row>
    <row r="623" spans="1:15">
      <c r="A623" s="4"/>
      <c r="B623" s="5"/>
      <c r="C623" s="5"/>
      <c r="D623" s="5"/>
      <c r="E623" s="5"/>
      <c r="F623" s="5"/>
      <c r="G623" s="5"/>
      <c r="H623" s="5"/>
      <c r="I623" s="5"/>
      <c r="J623" s="5"/>
      <c r="K623" s="5"/>
      <c r="L623" s="5"/>
      <c r="M623" s="5"/>
      <c r="N623" s="5"/>
      <c r="O623" s="5"/>
    </row>
    <row r="624" spans="1:15">
      <c r="A624" s="4"/>
      <c r="B624" s="5"/>
      <c r="C624" s="5"/>
      <c r="D624" s="5"/>
      <c r="E624" s="5"/>
      <c r="F624" s="5"/>
      <c r="G624" s="5"/>
      <c r="H624" s="5"/>
      <c r="I624" s="5"/>
      <c r="J624" s="5"/>
      <c r="K624" s="5"/>
      <c r="L624" s="5"/>
      <c r="M624" s="5"/>
      <c r="N624" s="5"/>
      <c r="O624" s="5"/>
    </row>
    <row r="625" spans="1:15">
      <c r="A625" s="4"/>
      <c r="B625" s="5"/>
      <c r="C625" s="5"/>
      <c r="D625" s="5"/>
      <c r="E625" s="5"/>
      <c r="F625" s="5"/>
      <c r="G625" s="5"/>
      <c r="H625" s="5"/>
      <c r="I625" s="5"/>
      <c r="J625" s="5"/>
      <c r="K625" s="5"/>
      <c r="L625" s="5"/>
      <c r="M625" s="5"/>
      <c r="N625" s="5"/>
      <c r="O625" s="5"/>
    </row>
    <row r="626" spans="1:15">
      <c r="A626" s="4"/>
      <c r="B626" s="5"/>
      <c r="C626" s="5"/>
      <c r="D626" s="5"/>
      <c r="E626" s="5"/>
      <c r="F626" s="5"/>
      <c r="G626" s="5"/>
      <c r="H626" s="5"/>
      <c r="I626" s="5"/>
      <c r="J626" s="5"/>
      <c r="K626" s="5"/>
      <c r="L626" s="5"/>
      <c r="M626" s="5"/>
      <c r="N626" s="5"/>
      <c r="O626" s="5"/>
    </row>
    <row r="627" spans="1:15">
      <c r="A627" s="4"/>
      <c r="B627" s="5"/>
      <c r="C627" s="5"/>
      <c r="D627" s="5"/>
      <c r="E627" s="5"/>
      <c r="F627" s="5"/>
      <c r="G627" s="5"/>
      <c r="H627" s="5"/>
      <c r="I627" s="5"/>
      <c r="J627" s="5"/>
      <c r="K627" s="5"/>
      <c r="L627" s="5"/>
      <c r="M627" s="5"/>
      <c r="N627" s="5"/>
      <c r="O627" s="5"/>
    </row>
    <row r="628" spans="1:15">
      <c r="A628" s="4"/>
      <c r="B628" s="5"/>
      <c r="C628" s="5"/>
      <c r="D628" s="5"/>
      <c r="E628" s="5"/>
      <c r="F628" s="5"/>
      <c r="G628" s="5"/>
      <c r="H628" s="5"/>
      <c r="I628" s="5"/>
      <c r="J628" s="5"/>
      <c r="K628" s="5"/>
      <c r="L628" s="5"/>
      <c r="M628" s="5"/>
      <c r="N628" s="5"/>
      <c r="O628" s="5"/>
    </row>
    <row r="629" spans="1:15">
      <c r="A629" s="4"/>
      <c r="B629" s="5"/>
      <c r="C629" s="5"/>
      <c r="D629" s="5"/>
      <c r="E629" s="5"/>
      <c r="F629" s="5"/>
      <c r="G629" s="5"/>
      <c r="H629" s="5"/>
      <c r="I629" s="5"/>
      <c r="J629" s="5"/>
      <c r="K629" s="5"/>
      <c r="L629" s="5"/>
      <c r="M629" s="5"/>
      <c r="N629" s="5"/>
      <c r="O629" s="5"/>
    </row>
    <row r="630" spans="1:15">
      <c r="A630" s="4"/>
      <c r="B630" s="5"/>
      <c r="C630" s="5"/>
      <c r="D630" s="5"/>
      <c r="E630" s="5"/>
      <c r="F630" s="5"/>
      <c r="G630" s="5"/>
      <c r="H630" s="5"/>
      <c r="I630" s="5"/>
      <c r="J630" s="5"/>
      <c r="K630" s="5"/>
      <c r="L630" s="5"/>
      <c r="M630" s="5"/>
      <c r="N630" s="5"/>
      <c r="O630" s="5"/>
    </row>
    <row r="631" spans="1:15">
      <c r="A631" s="4"/>
      <c r="B631" s="5"/>
      <c r="C631" s="5"/>
      <c r="D631" s="5"/>
      <c r="E631" s="5"/>
      <c r="F631" s="5"/>
      <c r="G631" s="5"/>
      <c r="H631" s="5"/>
      <c r="I631" s="5"/>
      <c r="J631" s="5"/>
      <c r="K631" s="5"/>
      <c r="L631" s="5"/>
      <c r="M631" s="5"/>
      <c r="N631" s="5"/>
      <c r="O631" s="5"/>
    </row>
    <row r="632" spans="1:15">
      <c r="A632" s="4"/>
      <c r="B632" s="5"/>
      <c r="C632" s="5"/>
      <c r="D632" s="5"/>
      <c r="E632" s="5"/>
      <c r="F632" s="5"/>
      <c r="G632" s="5"/>
      <c r="H632" s="5"/>
      <c r="I632" s="5"/>
      <c r="J632" s="5"/>
      <c r="K632" s="5"/>
      <c r="L632" s="5"/>
      <c r="M632" s="5"/>
      <c r="N632" s="5"/>
      <c r="O632" s="5"/>
    </row>
    <row r="633" spans="1:15">
      <c r="A633" s="4"/>
      <c r="B633" s="5"/>
      <c r="C633" s="5"/>
      <c r="D633" s="5"/>
      <c r="E633" s="5"/>
      <c r="F633" s="5"/>
      <c r="G633" s="5"/>
      <c r="H633" s="5"/>
      <c r="I633" s="5"/>
      <c r="J633" s="5"/>
      <c r="K633" s="5"/>
      <c r="L633" s="5"/>
      <c r="M633" s="5"/>
      <c r="N633" s="5"/>
      <c r="O633" s="5"/>
    </row>
    <row r="634" spans="1:15">
      <c r="A634" s="4"/>
      <c r="B634" s="5"/>
      <c r="C634" s="5"/>
      <c r="D634" s="5"/>
      <c r="E634" s="5"/>
      <c r="F634" s="5"/>
      <c r="G634" s="5"/>
      <c r="H634" s="5"/>
      <c r="I634" s="5"/>
      <c r="J634" s="5"/>
      <c r="K634" s="5"/>
      <c r="L634" s="5"/>
      <c r="M634" s="5"/>
      <c r="N634" s="5"/>
      <c r="O634" s="5"/>
    </row>
    <row r="635" spans="1:15">
      <c r="A635" s="4"/>
      <c r="B635" s="5"/>
      <c r="C635" s="5"/>
      <c r="D635" s="5"/>
      <c r="E635" s="5"/>
      <c r="F635" s="5"/>
      <c r="G635" s="5"/>
      <c r="H635" s="5"/>
      <c r="I635" s="5"/>
      <c r="J635" s="5"/>
      <c r="K635" s="5"/>
      <c r="L635" s="5"/>
      <c r="M635" s="5"/>
      <c r="N635" s="5"/>
      <c r="O635" s="5"/>
    </row>
    <row r="636" spans="1:15">
      <c r="A636" s="4"/>
      <c r="B636" s="5"/>
      <c r="C636" s="5"/>
      <c r="D636" s="5"/>
      <c r="E636" s="5"/>
      <c r="F636" s="5"/>
      <c r="G636" s="5"/>
      <c r="H636" s="5"/>
      <c r="I636" s="5"/>
      <c r="J636" s="5"/>
      <c r="K636" s="5"/>
      <c r="L636" s="5"/>
      <c r="M636" s="5"/>
      <c r="N636" s="5"/>
      <c r="O636" s="5"/>
    </row>
    <row r="637" spans="1:15">
      <c r="A637" s="4"/>
      <c r="B637" s="5"/>
      <c r="C637" s="5"/>
      <c r="D637" s="5"/>
      <c r="E637" s="5"/>
      <c r="F637" s="5"/>
      <c r="G637" s="5"/>
      <c r="H637" s="5"/>
      <c r="I637" s="5"/>
      <c r="J637" s="5"/>
      <c r="K637" s="5"/>
      <c r="L637" s="5"/>
      <c r="M637" s="5"/>
      <c r="N637" s="5"/>
      <c r="O637" s="5"/>
    </row>
    <row r="638" spans="1:15">
      <c r="A638" s="4"/>
      <c r="B638" s="5"/>
      <c r="C638" s="5"/>
      <c r="D638" s="5"/>
      <c r="E638" s="5"/>
      <c r="F638" s="5"/>
      <c r="G638" s="5"/>
      <c r="H638" s="5"/>
      <c r="I638" s="5"/>
      <c r="J638" s="5"/>
      <c r="K638" s="5"/>
      <c r="L638" s="5"/>
      <c r="M638" s="5"/>
      <c r="N638" s="5"/>
      <c r="O638" s="5"/>
    </row>
    <row r="639" spans="1:15">
      <c r="A639" s="4"/>
      <c r="B639" s="5"/>
      <c r="C639" s="5"/>
      <c r="D639" s="5"/>
      <c r="E639" s="5"/>
      <c r="F639" s="5"/>
      <c r="G639" s="5"/>
      <c r="H639" s="5"/>
      <c r="I639" s="5"/>
      <c r="J639" s="5"/>
      <c r="K639" s="5"/>
      <c r="L639" s="5"/>
      <c r="M639" s="5"/>
      <c r="N639" s="5"/>
      <c r="O639" s="5"/>
    </row>
    <row r="640" spans="1:15">
      <c r="A640" s="4"/>
      <c r="B640" s="5"/>
      <c r="C640" s="5"/>
      <c r="D640" s="5"/>
      <c r="E640" s="5"/>
      <c r="F640" s="5"/>
      <c r="G640" s="5"/>
      <c r="H640" s="5"/>
      <c r="I640" s="5"/>
      <c r="J640" s="5"/>
      <c r="K640" s="5"/>
      <c r="L640" s="5"/>
      <c r="M640" s="5"/>
      <c r="N640" s="5"/>
      <c r="O640" s="5"/>
    </row>
    <row r="641" spans="1:15">
      <c r="A641" s="4"/>
      <c r="B641" s="5"/>
      <c r="C641" s="5"/>
      <c r="D641" s="5"/>
      <c r="E641" s="5"/>
      <c r="F641" s="5"/>
      <c r="G641" s="5"/>
      <c r="H641" s="5"/>
      <c r="I641" s="5"/>
      <c r="J641" s="5"/>
      <c r="K641" s="5"/>
      <c r="L641" s="5"/>
      <c r="M641" s="5"/>
      <c r="N641" s="5"/>
      <c r="O641" s="5"/>
    </row>
    <row r="642" spans="1:15">
      <c r="A642" s="4"/>
      <c r="B642" s="5"/>
      <c r="C642" s="5"/>
      <c r="D642" s="5"/>
      <c r="E642" s="5"/>
      <c r="F642" s="5"/>
      <c r="G642" s="5"/>
      <c r="H642" s="5"/>
      <c r="I642" s="5"/>
      <c r="J642" s="5"/>
      <c r="K642" s="5"/>
      <c r="L642" s="5"/>
      <c r="M642" s="5"/>
      <c r="N642" s="5"/>
      <c r="O642" s="5"/>
    </row>
    <row r="643" spans="1:15">
      <c r="A643" s="4"/>
      <c r="B643" s="5"/>
      <c r="C643" s="5"/>
      <c r="D643" s="5"/>
      <c r="E643" s="5"/>
      <c r="F643" s="5"/>
      <c r="G643" s="5"/>
      <c r="H643" s="5"/>
      <c r="I643" s="5"/>
      <c r="J643" s="5"/>
      <c r="K643" s="5"/>
      <c r="L643" s="5"/>
      <c r="M643" s="5"/>
      <c r="N643" s="5"/>
      <c r="O643" s="5"/>
    </row>
    <row r="644" spans="1:15">
      <c r="A644" s="4"/>
      <c r="B644" s="5"/>
      <c r="C644" s="5"/>
      <c r="D644" s="5"/>
      <c r="E644" s="5"/>
      <c r="F644" s="5"/>
      <c r="G644" s="5"/>
      <c r="H644" s="5"/>
      <c r="I644" s="5"/>
      <c r="J644" s="5"/>
      <c r="K644" s="5"/>
      <c r="L644" s="5"/>
      <c r="M644" s="5"/>
      <c r="N644" s="5"/>
      <c r="O644" s="5"/>
    </row>
    <row r="645" spans="1:15">
      <c r="A645" s="4"/>
      <c r="B645" s="5"/>
      <c r="C645" s="5"/>
      <c r="D645" s="5"/>
      <c r="E645" s="5"/>
      <c r="F645" s="5"/>
      <c r="G645" s="5"/>
      <c r="H645" s="5"/>
      <c r="I645" s="5"/>
      <c r="J645" s="5"/>
      <c r="K645" s="5"/>
      <c r="L645" s="5"/>
      <c r="M645" s="5"/>
      <c r="N645" s="5"/>
      <c r="O645" s="5"/>
    </row>
    <row r="646" spans="1:15">
      <c r="A646" s="4"/>
      <c r="B646" s="5"/>
      <c r="C646" s="5"/>
      <c r="D646" s="5"/>
      <c r="E646" s="5"/>
      <c r="F646" s="5"/>
      <c r="G646" s="5"/>
      <c r="H646" s="5"/>
      <c r="I646" s="5"/>
      <c r="J646" s="5"/>
      <c r="K646" s="5"/>
      <c r="L646" s="5"/>
      <c r="M646" s="5"/>
      <c r="N646" s="5"/>
      <c r="O646" s="5"/>
    </row>
    <row r="647" spans="1:15">
      <c r="A647" s="4"/>
      <c r="B647" s="5"/>
      <c r="C647" s="5"/>
      <c r="D647" s="5"/>
      <c r="E647" s="5"/>
      <c r="F647" s="5"/>
      <c r="G647" s="5"/>
      <c r="H647" s="5"/>
      <c r="I647" s="5"/>
      <c r="J647" s="5"/>
      <c r="K647" s="5"/>
      <c r="L647" s="5"/>
      <c r="M647" s="5"/>
      <c r="N647" s="5"/>
      <c r="O647" s="5"/>
    </row>
    <row r="648" spans="1:15">
      <c r="A648" s="4"/>
      <c r="B648" s="5"/>
      <c r="C648" s="5"/>
      <c r="D648" s="5"/>
      <c r="E648" s="5"/>
      <c r="F648" s="5"/>
      <c r="G648" s="5"/>
      <c r="H648" s="5"/>
      <c r="I648" s="5"/>
      <c r="J648" s="5"/>
      <c r="K648" s="5"/>
      <c r="L648" s="5"/>
      <c r="M648" s="5"/>
      <c r="N648" s="5"/>
      <c r="O648" s="5"/>
    </row>
    <row r="649" spans="1:15">
      <c r="A649" s="4"/>
      <c r="B649" s="5"/>
      <c r="C649" s="5"/>
      <c r="D649" s="5"/>
      <c r="E649" s="5"/>
      <c r="F649" s="5"/>
      <c r="G649" s="5"/>
      <c r="H649" s="5"/>
      <c r="I649" s="5"/>
      <c r="J649" s="5"/>
      <c r="K649" s="5"/>
      <c r="L649" s="5"/>
      <c r="M649" s="5"/>
      <c r="N649" s="5"/>
      <c r="O649" s="5"/>
    </row>
    <row r="650" spans="1:15">
      <c r="A650" s="4"/>
      <c r="B650" s="5"/>
      <c r="C650" s="5"/>
      <c r="D650" s="5"/>
      <c r="E650" s="5"/>
      <c r="F650" s="5"/>
      <c r="G650" s="5"/>
      <c r="H650" s="5"/>
      <c r="I650" s="5"/>
      <c r="J650" s="5"/>
      <c r="K650" s="5"/>
      <c r="L650" s="5"/>
      <c r="M650" s="5"/>
      <c r="N650" s="5"/>
      <c r="O650" s="5"/>
    </row>
    <row r="651" spans="1:15">
      <c r="A651" s="4"/>
      <c r="B651" s="5"/>
      <c r="C651" s="5"/>
      <c r="D651" s="5"/>
      <c r="E651" s="5"/>
      <c r="F651" s="5"/>
      <c r="G651" s="5"/>
      <c r="H651" s="5"/>
      <c r="I651" s="5"/>
      <c r="J651" s="5"/>
      <c r="K651" s="5"/>
      <c r="L651" s="5"/>
      <c r="M651" s="5"/>
      <c r="N651" s="5"/>
      <c r="O651" s="5"/>
    </row>
    <row r="652" spans="1:15">
      <c r="A652" s="4"/>
      <c r="B652" s="5"/>
      <c r="C652" s="5"/>
      <c r="D652" s="5"/>
      <c r="E652" s="5"/>
      <c r="F652" s="5"/>
      <c r="G652" s="5"/>
      <c r="H652" s="5"/>
      <c r="I652" s="5"/>
      <c r="J652" s="5"/>
      <c r="K652" s="5"/>
      <c r="L652" s="5"/>
      <c r="M652" s="5"/>
      <c r="N652" s="5"/>
      <c r="O652" s="5"/>
    </row>
    <row r="653" spans="1:15">
      <c r="A653" s="4"/>
      <c r="B653" s="5"/>
      <c r="C653" s="5"/>
      <c r="D653" s="5"/>
      <c r="E653" s="5"/>
      <c r="F653" s="5"/>
      <c r="G653" s="5"/>
      <c r="H653" s="5"/>
      <c r="I653" s="5"/>
      <c r="J653" s="5"/>
      <c r="K653" s="5"/>
      <c r="L653" s="5"/>
      <c r="M653" s="5"/>
      <c r="N653" s="5"/>
      <c r="O653" s="5"/>
    </row>
    <row r="654" spans="1:15">
      <c r="A654" s="4"/>
      <c r="B654" s="5"/>
      <c r="C654" s="5"/>
      <c r="D654" s="5"/>
      <c r="E654" s="5"/>
      <c r="F654" s="5"/>
      <c r="G654" s="5"/>
      <c r="H654" s="5"/>
      <c r="I654" s="5"/>
      <c r="J654" s="5"/>
      <c r="K654" s="5"/>
      <c r="L654" s="5"/>
      <c r="M654" s="5"/>
      <c r="N654" s="5"/>
      <c r="O654" s="5"/>
    </row>
    <row r="655" spans="1:15">
      <c r="A655" s="4"/>
      <c r="B655" s="5"/>
      <c r="C655" s="5"/>
      <c r="D655" s="5"/>
      <c r="E655" s="5"/>
      <c r="F655" s="5"/>
      <c r="G655" s="5"/>
      <c r="H655" s="5"/>
      <c r="I655" s="5"/>
      <c r="J655" s="5"/>
      <c r="K655" s="5"/>
      <c r="L655" s="5"/>
      <c r="M655" s="5"/>
      <c r="N655" s="5"/>
      <c r="O655" s="5"/>
    </row>
    <row r="656" spans="1:15">
      <c r="A656" s="4"/>
      <c r="B656" s="5"/>
      <c r="C656" s="5"/>
      <c r="D656" s="5"/>
      <c r="E656" s="5"/>
      <c r="F656" s="5"/>
      <c r="G656" s="5"/>
      <c r="H656" s="5"/>
      <c r="I656" s="5"/>
      <c r="J656" s="5"/>
      <c r="K656" s="5"/>
      <c r="L656" s="5"/>
      <c r="M656" s="5"/>
      <c r="N656" s="5"/>
      <c r="O656" s="5"/>
    </row>
    <row r="657" spans="1:15">
      <c r="A657" s="4"/>
      <c r="B657" s="5"/>
      <c r="C657" s="5"/>
      <c r="D657" s="5"/>
      <c r="E657" s="5"/>
      <c r="F657" s="5"/>
      <c r="G657" s="5"/>
      <c r="H657" s="5"/>
      <c r="I657" s="5"/>
      <c r="J657" s="5"/>
      <c r="K657" s="5"/>
      <c r="L657" s="5"/>
      <c r="M657" s="5"/>
      <c r="N657" s="5"/>
      <c r="O657" s="5"/>
    </row>
    <row r="658" spans="1:15">
      <c r="A658" s="4"/>
      <c r="B658" s="5"/>
      <c r="C658" s="5"/>
      <c r="D658" s="5"/>
      <c r="E658" s="5"/>
      <c r="F658" s="5"/>
      <c r="G658" s="5"/>
      <c r="H658" s="5"/>
      <c r="I658" s="5"/>
      <c r="J658" s="5"/>
      <c r="K658" s="5"/>
      <c r="L658" s="5"/>
      <c r="M658" s="5"/>
      <c r="N658" s="5"/>
      <c r="O658" s="5"/>
    </row>
    <row r="659" spans="1:15">
      <c r="A659" s="4"/>
      <c r="B659" s="5"/>
      <c r="C659" s="5"/>
      <c r="D659" s="5"/>
      <c r="E659" s="5"/>
      <c r="F659" s="5"/>
      <c r="G659" s="5"/>
      <c r="H659" s="5"/>
      <c r="I659" s="5"/>
      <c r="J659" s="5"/>
      <c r="K659" s="5"/>
      <c r="L659" s="5"/>
      <c r="M659" s="5"/>
      <c r="N659" s="5"/>
      <c r="O659" s="5"/>
    </row>
    <row r="660" spans="1:15">
      <c r="A660" s="4"/>
      <c r="B660" s="5"/>
      <c r="C660" s="5"/>
      <c r="D660" s="5"/>
      <c r="E660" s="5"/>
      <c r="F660" s="5"/>
      <c r="G660" s="5"/>
      <c r="H660" s="5"/>
      <c r="I660" s="5"/>
      <c r="J660" s="5"/>
      <c r="K660" s="5"/>
      <c r="L660" s="5"/>
      <c r="M660" s="5"/>
      <c r="N660" s="5"/>
      <c r="O660" s="5"/>
    </row>
    <row r="661" spans="1:15">
      <c r="A661" s="4"/>
      <c r="B661" s="5"/>
      <c r="C661" s="5"/>
      <c r="D661" s="5"/>
      <c r="E661" s="5"/>
      <c r="F661" s="5"/>
      <c r="G661" s="5"/>
      <c r="H661" s="5"/>
      <c r="I661" s="5"/>
      <c r="J661" s="5"/>
      <c r="K661" s="5"/>
      <c r="L661" s="5"/>
      <c r="M661" s="5"/>
      <c r="N661" s="5"/>
      <c r="O661" s="5"/>
    </row>
    <row r="662" spans="1:15">
      <c r="A662" s="4"/>
      <c r="B662" s="5"/>
      <c r="C662" s="5"/>
      <c r="D662" s="5"/>
      <c r="E662" s="5"/>
      <c r="F662" s="5"/>
      <c r="G662" s="5"/>
      <c r="H662" s="5"/>
      <c r="I662" s="5"/>
      <c r="J662" s="5"/>
      <c r="K662" s="5"/>
      <c r="L662" s="5"/>
      <c r="M662" s="5"/>
      <c r="N662" s="5"/>
      <c r="O662" s="5"/>
    </row>
    <row r="663" spans="1:15">
      <c r="A663" s="4"/>
      <c r="B663" s="5"/>
      <c r="C663" s="5"/>
      <c r="D663" s="5"/>
      <c r="E663" s="5"/>
      <c r="F663" s="5"/>
      <c r="G663" s="5"/>
      <c r="H663" s="5"/>
      <c r="I663" s="5"/>
      <c r="J663" s="5"/>
      <c r="K663" s="5"/>
      <c r="L663" s="5"/>
      <c r="M663" s="5"/>
      <c r="N663" s="5"/>
      <c r="O663" s="5"/>
    </row>
    <row r="664" spans="1:15">
      <c r="A664" s="4"/>
      <c r="B664" s="5"/>
      <c r="C664" s="5"/>
      <c r="D664" s="5"/>
      <c r="E664" s="5"/>
      <c r="F664" s="5"/>
      <c r="G664" s="5"/>
      <c r="H664" s="5"/>
      <c r="I664" s="5"/>
      <c r="J664" s="5"/>
      <c r="K664" s="5"/>
      <c r="L664" s="5"/>
      <c r="M664" s="5"/>
      <c r="N664" s="5"/>
      <c r="O664" s="5"/>
    </row>
    <row r="665" spans="1:15">
      <c r="A665" s="4"/>
      <c r="B665" s="5"/>
      <c r="C665" s="5"/>
      <c r="D665" s="5"/>
      <c r="E665" s="5"/>
      <c r="F665" s="5"/>
      <c r="G665" s="5"/>
      <c r="H665" s="5"/>
      <c r="I665" s="5"/>
      <c r="J665" s="5"/>
      <c r="K665" s="5"/>
      <c r="L665" s="5"/>
      <c r="M665" s="5"/>
      <c r="N665" s="5"/>
      <c r="O665" s="5"/>
    </row>
    <row r="666" spans="1:15">
      <c r="A666" s="4"/>
      <c r="B666" s="5"/>
      <c r="C666" s="5"/>
      <c r="D666" s="5"/>
      <c r="E666" s="5"/>
      <c r="F666" s="5"/>
      <c r="G666" s="5"/>
      <c r="H666" s="5"/>
      <c r="I666" s="5"/>
      <c r="J666" s="5"/>
      <c r="K666" s="5"/>
      <c r="L666" s="5"/>
      <c r="M666" s="5"/>
      <c r="N666" s="5"/>
      <c r="O666" s="5"/>
    </row>
    <row r="667" spans="1:15">
      <c r="A667" s="4"/>
      <c r="B667" s="5"/>
      <c r="C667" s="5"/>
      <c r="D667" s="5"/>
      <c r="E667" s="5"/>
      <c r="F667" s="5"/>
      <c r="G667" s="5"/>
      <c r="H667" s="5"/>
      <c r="I667" s="5"/>
      <c r="J667" s="5"/>
      <c r="K667" s="5"/>
      <c r="L667" s="5"/>
      <c r="M667" s="5"/>
      <c r="N667" s="5"/>
      <c r="O667" s="5"/>
    </row>
    <row r="668" spans="1:15">
      <c r="A668" s="4"/>
      <c r="B668" s="5"/>
      <c r="C668" s="5"/>
      <c r="D668" s="5"/>
      <c r="E668" s="5"/>
      <c r="F668" s="5"/>
      <c r="G668" s="5"/>
      <c r="H668" s="5"/>
      <c r="I668" s="5"/>
      <c r="J668" s="5"/>
      <c r="K668" s="5"/>
      <c r="L668" s="5"/>
      <c r="M668" s="5"/>
      <c r="N668" s="5"/>
      <c r="O668" s="5"/>
    </row>
    <row r="669" spans="1:15">
      <c r="A669" s="4"/>
      <c r="B669" s="5"/>
      <c r="C669" s="5"/>
      <c r="D669" s="5"/>
      <c r="E669" s="5"/>
      <c r="F669" s="5"/>
      <c r="G669" s="5"/>
      <c r="H669" s="5"/>
      <c r="I669" s="5"/>
      <c r="J669" s="5"/>
      <c r="K669" s="5"/>
      <c r="L669" s="5"/>
      <c r="M669" s="5"/>
      <c r="N669" s="5"/>
      <c r="O669" s="5"/>
    </row>
    <row r="670" spans="1:15">
      <c r="A670" s="4"/>
      <c r="B670" s="5"/>
      <c r="C670" s="5"/>
      <c r="D670" s="5"/>
      <c r="E670" s="5"/>
      <c r="F670" s="5"/>
      <c r="G670" s="5"/>
      <c r="H670" s="5"/>
      <c r="I670" s="5"/>
      <c r="J670" s="5"/>
      <c r="K670" s="5"/>
      <c r="L670" s="5"/>
      <c r="M670" s="5"/>
      <c r="N670" s="5"/>
      <c r="O670" s="5"/>
    </row>
    <row r="671" spans="1:15">
      <c r="A671" s="4"/>
      <c r="B671" s="5"/>
      <c r="C671" s="5"/>
      <c r="D671" s="5"/>
      <c r="E671" s="5"/>
      <c r="F671" s="5"/>
      <c r="G671" s="5"/>
      <c r="H671" s="5"/>
      <c r="I671" s="5"/>
      <c r="J671" s="5"/>
      <c r="K671" s="5"/>
      <c r="L671" s="5"/>
      <c r="M671" s="5"/>
      <c r="N671" s="5"/>
      <c r="O671" s="5"/>
    </row>
    <row r="672" spans="1:15">
      <c r="A672" s="4"/>
      <c r="B672" s="5"/>
      <c r="C672" s="5"/>
      <c r="D672" s="5"/>
      <c r="E672" s="5"/>
      <c r="F672" s="5"/>
      <c r="G672" s="5"/>
      <c r="H672" s="5"/>
      <c r="I672" s="5"/>
      <c r="J672" s="5"/>
      <c r="K672" s="5"/>
      <c r="L672" s="5"/>
      <c r="M672" s="5"/>
      <c r="N672" s="5"/>
      <c r="O672" s="5"/>
    </row>
    <row r="673" spans="1:15">
      <c r="A673" s="4"/>
      <c r="B673" s="5"/>
      <c r="C673" s="5"/>
      <c r="D673" s="5"/>
      <c r="E673" s="5"/>
      <c r="F673" s="5"/>
      <c r="G673" s="5"/>
      <c r="H673" s="5"/>
      <c r="I673" s="5"/>
      <c r="J673" s="5"/>
      <c r="K673" s="5"/>
      <c r="L673" s="5"/>
      <c r="M673" s="5"/>
      <c r="N673" s="5"/>
      <c r="O673" s="5"/>
    </row>
    <row r="674" spans="1:15">
      <c r="A674" s="4"/>
      <c r="B674" s="5"/>
      <c r="C674" s="5"/>
      <c r="D674" s="5"/>
      <c r="E674" s="5"/>
      <c r="F674" s="5"/>
      <c r="G674" s="5"/>
      <c r="H674" s="5"/>
      <c r="I674" s="5"/>
      <c r="J674" s="5"/>
      <c r="K674" s="5"/>
      <c r="L674" s="5"/>
      <c r="M674" s="5"/>
      <c r="N674" s="5"/>
      <c r="O674" s="5"/>
    </row>
    <row r="675" spans="1:15">
      <c r="A675" s="4"/>
      <c r="B675" s="5"/>
      <c r="C675" s="5"/>
      <c r="D675" s="5"/>
      <c r="E675" s="5"/>
      <c r="F675" s="5"/>
      <c r="G675" s="5"/>
      <c r="H675" s="5"/>
      <c r="I675" s="5"/>
      <c r="J675" s="5"/>
      <c r="K675" s="5"/>
      <c r="L675" s="5"/>
      <c r="M675" s="5"/>
      <c r="N675" s="5"/>
      <c r="O675" s="5"/>
    </row>
    <row r="676" spans="1:15">
      <c r="A676" s="4"/>
      <c r="B676" s="5"/>
      <c r="C676" s="5"/>
      <c r="D676" s="5"/>
      <c r="E676" s="5"/>
      <c r="F676" s="5"/>
      <c r="G676" s="5"/>
      <c r="H676" s="5"/>
      <c r="I676" s="5"/>
      <c r="J676" s="5"/>
      <c r="K676" s="5"/>
      <c r="L676" s="5"/>
      <c r="M676" s="5"/>
      <c r="N676" s="5"/>
      <c r="O676" s="5"/>
    </row>
    <row r="677" spans="1:15">
      <c r="A677" s="4"/>
      <c r="B677" s="5"/>
      <c r="C677" s="5"/>
      <c r="D677" s="5"/>
      <c r="E677" s="5"/>
      <c r="F677" s="5"/>
      <c r="G677" s="5"/>
      <c r="H677" s="5"/>
      <c r="I677" s="5"/>
      <c r="J677" s="5"/>
      <c r="K677" s="5"/>
      <c r="L677" s="5"/>
      <c r="M677" s="5"/>
      <c r="N677" s="5"/>
      <c r="O677" s="5"/>
    </row>
    <row r="678" spans="1:15">
      <c r="A678" s="4"/>
      <c r="B678" s="5"/>
      <c r="C678" s="5"/>
      <c r="D678" s="5"/>
      <c r="E678" s="5"/>
      <c r="F678" s="5"/>
      <c r="G678" s="5"/>
      <c r="H678" s="5"/>
      <c r="I678" s="5"/>
      <c r="J678" s="5"/>
      <c r="K678" s="5"/>
      <c r="L678" s="5"/>
      <c r="M678" s="5"/>
      <c r="N678" s="5"/>
      <c r="O678" s="5"/>
    </row>
    <row r="679" spans="1:15">
      <c r="A679" s="4"/>
      <c r="B679" s="5"/>
      <c r="C679" s="5"/>
      <c r="D679" s="5"/>
      <c r="E679" s="5"/>
      <c r="F679" s="5"/>
      <c r="G679" s="5"/>
      <c r="H679" s="5"/>
      <c r="I679" s="5"/>
      <c r="J679" s="5"/>
      <c r="K679" s="5"/>
      <c r="L679" s="5"/>
      <c r="M679" s="5"/>
      <c r="N679" s="5"/>
      <c r="O679" s="5"/>
    </row>
    <row r="680" spans="1:15">
      <c r="A680" s="4"/>
      <c r="B680" s="5"/>
      <c r="C680" s="5"/>
      <c r="D680" s="5"/>
      <c r="E680" s="5"/>
      <c r="F680" s="5"/>
      <c r="G680" s="5"/>
      <c r="H680" s="5"/>
      <c r="I680" s="5"/>
      <c r="J680" s="5"/>
      <c r="K680" s="5"/>
      <c r="L680" s="5"/>
      <c r="M680" s="5"/>
      <c r="N680" s="5"/>
      <c r="O680" s="5"/>
    </row>
    <row r="681" spans="1:15">
      <c r="A681" s="4"/>
      <c r="B681" s="5"/>
      <c r="C681" s="5"/>
      <c r="D681" s="5"/>
      <c r="E681" s="5"/>
      <c r="F681" s="5"/>
      <c r="G681" s="5"/>
      <c r="H681" s="5"/>
      <c r="I681" s="5"/>
      <c r="J681" s="5"/>
      <c r="K681" s="5"/>
      <c r="L681" s="5"/>
      <c r="M681" s="5"/>
      <c r="N681" s="5"/>
      <c r="O681" s="5"/>
    </row>
    <row r="682" spans="1:15">
      <c r="A682" s="4"/>
      <c r="B682" s="5"/>
      <c r="C682" s="5"/>
      <c r="D682" s="5"/>
      <c r="E682" s="5"/>
      <c r="F682" s="5"/>
      <c r="G682" s="5"/>
      <c r="H682" s="5"/>
      <c r="I682" s="5"/>
      <c r="J682" s="5"/>
      <c r="K682" s="5"/>
      <c r="L682" s="5"/>
      <c r="M682" s="5"/>
      <c r="N682" s="5"/>
      <c r="O682" s="5"/>
    </row>
    <row r="683" spans="1:15">
      <c r="A683" s="4"/>
      <c r="B683" s="5"/>
      <c r="C683" s="5"/>
      <c r="D683" s="5"/>
      <c r="E683" s="5"/>
      <c r="F683" s="5"/>
      <c r="G683" s="5"/>
      <c r="H683" s="5"/>
      <c r="I683" s="5"/>
      <c r="J683" s="5"/>
      <c r="K683" s="5"/>
      <c r="L683" s="5"/>
      <c r="M683" s="5"/>
      <c r="N683" s="5"/>
      <c r="O683" s="5"/>
    </row>
    <row r="684" spans="1:15">
      <c r="A684" s="4"/>
      <c r="B684" s="5"/>
      <c r="C684" s="5"/>
      <c r="D684" s="5"/>
      <c r="E684" s="5"/>
      <c r="F684" s="5"/>
      <c r="G684" s="5"/>
      <c r="H684" s="5"/>
      <c r="I684" s="5"/>
      <c r="J684" s="5"/>
      <c r="K684" s="5"/>
      <c r="L684" s="5"/>
      <c r="M684" s="5"/>
      <c r="N684" s="5"/>
      <c r="O684" s="5"/>
    </row>
    <row r="685" spans="1:15">
      <c r="A685" s="4"/>
      <c r="B685" s="5"/>
      <c r="C685" s="5"/>
      <c r="D685" s="5"/>
      <c r="E685" s="5"/>
      <c r="F685" s="5"/>
      <c r="G685" s="5"/>
      <c r="H685" s="5"/>
      <c r="I685" s="5"/>
      <c r="J685" s="5"/>
      <c r="K685" s="5"/>
      <c r="L685" s="5"/>
      <c r="M685" s="5"/>
      <c r="N685" s="5"/>
      <c r="O685" s="5"/>
    </row>
    <row r="686" spans="1:15">
      <c r="A686" s="4"/>
      <c r="B686" s="5"/>
      <c r="C686" s="5"/>
      <c r="D686" s="5"/>
      <c r="E686" s="5"/>
      <c r="F686" s="5"/>
      <c r="G686" s="5"/>
      <c r="H686" s="5"/>
      <c r="I686" s="5"/>
      <c r="J686" s="5"/>
      <c r="K686" s="5"/>
      <c r="L686" s="5"/>
      <c r="M686" s="5"/>
      <c r="N686" s="5"/>
      <c r="O686" s="5"/>
    </row>
    <row r="687" spans="1:15">
      <c r="A687" s="4"/>
      <c r="B687" s="5"/>
      <c r="C687" s="5"/>
      <c r="D687" s="5"/>
      <c r="E687" s="5"/>
      <c r="F687" s="5"/>
      <c r="G687" s="5"/>
      <c r="H687" s="5"/>
      <c r="I687" s="5"/>
      <c r="J687" s="5"/>
      <c r="K687" s="5"/>
      <c r="L687" s="5"/>
      <c r="M687" s="5"/>
      <c r="N687" s="5"/>
      <c r="O687" s="5"/>
    </row>
    <row r="688" spans="1:15">
      <c r="A688" s="4"/>
      <c r="B688" s="5"/>
      <c r="C688" s="5"/>
      <c r="D688" s="5"/>
      <c r="E688" s="5"/>
      <c r="F688" s="5"/>
      <c r="G688" s="5"/>
      <c r="H688" s="5"/>
      <c r="I688" s="5"/>
      <c r="J688" s="5"/>
      <c r="K688" s="5"/>
      <c r="L688" s="5"/>
      <c r="M688" s="5"/>
      <c r="N688" s="5"/>
      <c r="O688" s="5"/>
    </row>
    <row r="689" spans="1:15">
      <c r="A689" s="4"/>
      <c r="B689" s="5"/>
      <c r="C689" s="5"/>
      <c r="D689" s="5"/>
      <c r="E689" s="5"/>
      <c r="F689" s="5"/>
      <c r="G689" s="5"/>
      <c r="H689" s="5"/>
      <c r="I689" s="5"/>
      <c r="J689" s="5"/>
      <c r="K689" s="5"/>
      <c r="L689" s="5"/>
      <c r="M689" s="5"/>
      <c r="N689" s="5"/>
      <c r="O689" s="5"/>
    </row>
    <row r="690" spans="1:15">
      <c r="A690" s="4"/>
      <c r="B690" s="5"/>
      <c r="C690" s="5"/>
      <c r="D690" s="5"/>
      <c r="E690" s="5"/>
      <c r="F690" s="5"/>
      <c r="G690" s="5"/>
      <c r="H690" s="5"/>
      <c r="I690" s="5"/>
      <c r="J690" s="5"/>
      <c r="K690" s="5"/>
      <c r="L690" s="5"/>
      <c r="M690" s="5"/>
      <c r="N690" s="5"/>
      <c r="O690" s="5"/>
    </row>
    <row r="691" spans="1:15">
      <c r="A691" s="4"/>
      <c r="B691" s="5"/>
      <c r="C691" s="5"/>
      <c r="D691" s="5"/>
      <c r="E691" s="5"/>
      <c r="F691" s="5"/>
      <c r="G691" s="5"/>
      <c r="H691" s="5"/>
      <c r="I691" s="5"/>
      <c r="J691" s="5"/>
      <c r="K691" s="5"/>
      <c r="L691" s="5"/>
      <c r="M691" s="5"/>
      <c r="N691" s="5"/>
      <c r="O691" s="5"/>
    </row>
    <row r="692" spans="1:15">
      <c r="A692" s="4"/>
      <c r="B692" s="5"/>
      <c r="C692" s="5"/>
      <c r="D692" s="5"/>
      <c r="E692" s="5"/>
      <c r="F692" s="5"/>
      <c r="G692" s="5"/>
      <c r="H692" s="5"/>
      <c r="I692" s="5"/>
      <c r="J692" s="5"/>
      <c r="K692" s="5"/>
      <c r="L692" s="5"/>
      <c r="M692" s="5"/>
      <c r="N692" s="5"/>
      <c r="O692" s="5"/>
    </row>
    <row r="693" spans="1:15">
      <c r="A693" s="4"/>
      <c r="B693" s="5"/>
      <c r="C693" s="5"/>
      <c r="D693" s="5"/>
      <c r="E693" s="5"/>
      <c r="F693" s="5"/>
      <c r="G693" s="5"/>
      <c r="H693" s="5"/>
      <c r="I693" s="5"/>
      <c r="J693" s="5"/>
      <c r="K693" s="5"/>
      <c r="L693" s="5"/>
      <c r="M693" s="5"/>
      <c r="N693" s="5"/>
      <c r="O693" s="5"/>
    </row>
    <row r="694" spans="1:15">
      <c r="A694" s="4"/>
      <c r="B694" s="5"/>
      <c r="C694" s="5"/>
      <c r="D694" s="5"/>
      <c r="E694" s="5"/>
      <c r="F694" s="5"/>
      <c r="G694" s="5"/>
      <c r="H694" s="5"/>
      <c r="I694" s="5"/>
      <c r="J694" s="5"/>
      <c r="K694" s="5"/>
      <c r="L694" s="5"/>
      <c r="M694" s="5"/>
      <c r="N694" s="5"/>
      <c r="O694" s="5"/>
    </row>
    <row r="695" spans="1:15">
      <c r="A695" s="4"/>
      <c r="B695" s="5"/>
      <c r="C695" s="5"/>
      <c r="D695" s="5"/>
      <c r="E695" s="5"/>
      <c r="F695" s="5"/>
      <c r="G695" s="5"/>
      <c r="H695" s="5"/>
      <c r="I695" s="5"/>
      <c r="J695" s="5"/>
      <c r="K695" s="5"/>
      <c r="L695" s="5"/>
      <c r="M695" s="5"/>
      <c r="N695" s="5"/>
      <c r="O695" s="5"/>
    </row>
    <row r="696" spans="1:15">
      <c r="A696" s="4"/>
      <c r="B696" s="5"/>
      <c r="C696" s="5"/>
      <c r="D696" s="5"/>
      <c r="E696" s="5"/>
      <c r="F696" s="5"/>
      <c r="G696" s="5"/>
      <c r="H696" s="5"/>
      <c r="I696" s="5"/>
      <c r="J696" s="5"/>
      <c r="K696" s="5"/>
      <c r="L696" s="5"/>
      <c r="M696" s="5"/>
      <c r="N696" s="5"/>
      <c r="O696" s="5"/>
    </row>
    <row r="697" spans="1:15">
      <c r="A697" s="4"/>
      <c r="B697" s="5"/>
      <c r="C697" s="5"/>
      <c r="D697" s="5"/>
      <c r="E697" s="5"/>
      <c r="F697" s="5"/>
      <c r="G697" s="5"/>
      <c r="H697" s="5"/>
      <c r="I697" s="5"/>
      <c r="J697" s="5"/>
      <c r="K697" s="5"/>
      <c r="L697" s="5"/>
      <c r="M697" s="5"/>
      <c r="N697" s="5"/>
      <c r="O697" s="5"/>
    </row>
    <row r="698" spans="1:15">
      <c r="A698" s="4"/>
      <c r="B698" s="5"/>
      <c r="C698" s="5"/>
      <c r="D698" s="5"/>
      <c r="E698" s="5"/>
      <c r="F698" s="5"/>
      <c r="G698" s="5"/>
      <c r="H698" s="5"/>
      <c r="I698" s="5"/>
      <c r="J698" s="5"/>
      <c r="K698" s="5"/>
      <c r="L698" s="5"/>
      <c r="M698" s="5"/>
      <c r="N698" s="5"/>
      <c r="O698" s="5"/>
    </row>
    <row r="699" spans="1:15">
      <c r="A699" s="4"/>
      <c r="B699" s="5"/>
      <c r="C699" s="5"/>
      <c r="D699" s="5"/>
      <c r="E699" s="5"/>
      <c r="F699" s="5"/>
      <c r="G699" s="5"/>
      <c r="H699" s="5"/>
      <c r="I699" s="5"/>
      <c r="J699" s="5"/>
      <c r="K699" s="5"/>
      <c r="L699" s="5"/>
      <c r="M699" s="5"/>
      <c r="N699" s="5"/>
      <c r="O699" s="5"/>
    </row>
    <row r="700" spans="1:15">
      <c r="A700" s="4"/>
      <c r="B700" s="5"/>
      <c r="C700" s="5"/>
      <c r="D700" s="5"/>
      <c r="E700" s="5"/>
      <c r="F700" s="5"/>
      <c r="G700" s="5"/>
      <c r="H700" s="5"/>
      <c r="I700" s="5"/>
      <c r="J700" s="5"/>
      <c r="K700" s="5"/>
      <c r="L700" s="5"/>
      <c r="M700" s="5"/>
      <c r="N700" s="5"/>
      <c r="O700" s="5"/>
    </row>
    <row r="701" spans="1:15">
      <c r="A701" s="4"/>
      <c r="B701" s="5"/>
      <c r="C701" s="5"/>
      <c r="D701" s="5"/>
      <c r="E701" s="5"/>
      <c r="F701" s="5"/>
      <c r="G701" s="5"/>
      <c r="H701" s="5"/>
      <c r="I701" s="5"/>
      <c r="J701" s="5"/>
      <c r="K701" s="5"/>
      <c r="L701" s="5"/>
      <c r="M701" s="5"/>
      <c r="N701" s="5"/>
      <c r="O701" s="5"/>
    </row>
    <row r="702" spans="1:15">
      <c r="A702" s="4"/>
      <c r="B702" s="5"/>
      <c r="C702" s="5"/>
      <c r="D702" s="5"/>
      <c r="E702" s="5"/>
      <c r="F702" s="5"/>
      <c r="G702" s="5"/>
      <c r="H702" s="5"/>
      <c r="I702" s="5"/>
      <c r="J702" s="5"/>
      <c r="K702" s="5"/>
      <c r="L702" s="5"/>
      <c r="M702" s="5"/>
      <c r="N702" s="5"/>
      <c r="O702" s="5"/>
    </row>
    <row r="703" spans="1:15">
      <c r="A703" s="4"/>
      <c r="B703" s="5"/>
      <c r="C703" s="5"/>
      <c r="D703" s="5"/>
      <c r="E703" s="5"/>
      <c r="F703" s="5"/>
      <c r="G703" s="5"/>
      <c r="H703" s="5"/>
      <c r="I703" s="5"/>
      <c r="J703" s="5"/>
      <c r="K703" s="5"/>
      <c r="L703" s="5"/>
      <c r="M703" s="5"/>
      <c r="N703" s="5"/>
      <c r="O703" s="5"/>
    </row>
    <row r="704" spans="1:15">
      <c r="A704" s="4"/>
      <c r="B704" s="5"/>
      <c r="C704" s="5"/>
      <c r="D704" s="5"/>
      <c r="E704" s="5"/>
      <c r="F704" s="5"/>
      <c r="G704" s="5"/>
      <c r="H704" s="5"/>
      <c r="I704" s="5"/>
      <c r="J704" s="5"/>
      <c r="K704" s="5"/>
      <c r="L704" s="5"/>
      <c r="M704" s="5"/>
      <c r="N704" s="5"/>
      <c r="O704" s="5"/>
    </row>
    <row r="705" spans="1:15">
      <c r="A705" s="4"/>
      <c r="B705" s="5"/>
      <c r="C705" s="5"/>
      <c r="D705" s="5"/>
      <c r="E705" s="5"/>
      <c r="F705" s="5"/>
      <c r="G705" s="5"/>
      <c r="H705" s="5"/>
      <c r="I705" s="5"/>
      <c r="J705" s="5"/>
      <c r="K705" s="5"/>
      <c r="L705" s="5"/>
      <c r="M705" s="5"/>
      <c r="N705" s="5"/>
      <c r="O705" s="5"/>
    </row>
    <row r="706" spans="1:15">
      <c r="A706" s="4"/>
      <c r="B706" s="5"/>
      <c r="C706" s="5"/>
      <c r="D706" s="5"/>
      <c r="E706" s="5"/>
      <c r="F706" s="5"/>
      <c r="G706" s="5"/>
      <c r="H706" s="5"/>
      <c r="I706" s="5"/>
      <c r="J706" s="5"/>
      <c r="K706" s="5"/>
      <c r="L706" s="5"/>
      <c r="M706" s="5"/>
      <c r="N706" s="5"/>
      <c r="O706" s="5"/>
    </row>
    <row r="707" spans="1:15">
      <c r="A707" s="4"/>
      <c r="B707" s="5"/>
      <c r="C707" s="5"/>
      <c r="D707" s="5"/>
      <c r="E707" s="5"/>
      <c r="F707" s="5"/>
      <c r="G707" s="5"/>
      <c r="H707" s="5"/>
      <c r="I707" s="5"/>
      <c r="J707" s="5"/>
      <c r="K707" s="5"/>
      <c r="L707" s="5"/>
      <c r="M707" s="5"/>
      <c r="N707" s="5"/>
      <c r="O707" s="5"/>
    </row>
    <row r="708" spans="1:15">
      <c r="A708" s="4"/>
      <c r="B708" s="5"/>
      <c r="C708" s="5"/>
      <c r="D708" s="5"/>
      <c r="E708" s="5"/>
      <c r="F708" s="5"/>
      <c r="G708" s="5"/>
      <c r="H708" s="5"/>
      <c r="I708" s="5"/>
      <c r="J708" s="5"/>
      <c r="K708" s="5"/>
      <c r="L708" s="5"/>
      <c r="M708" s="5"/>
      <c r="N708" s="5"/>
      <c r="O708" s="5"/>
    </row>
    <row r="709" spans="1:15">
      <c r="A709" s="4"/>
      <c r="B709" s="5"/>
      <c r="C709" s="5"/>
      <c r="D709" s="5"/>
      <c r="E709" s="5"/>
      <c r="F709" s="5"/>
      <c r="G709" s="5"/>
      <c r="H709" s="5"/>
      <c r="I709" s="5"/>
      <c r="J709" s="5"/>
      <c r="K709" s="5"/>
      <c r="L709" s="5"/>
      <c r="M709" s="5"/>
      <c r="N709" s="5"/>
      <c r="O709" s="5"/>
    </row>
    <row r="710" spans="1:15">
      <c r="A710" s="4"/>
      <c r="B710" s="5"/>
      <c r="C710" s="5"/>
      <c r="D710" s="5"/>
      <c r="E710" s="5"/>
      <c r="F710" s="5"/>
      <c r="G710" s="5"/>
      <c r="H710" s="5"/>
      <c r="I710" s="5"/>
      <c r="J710" s="5"/>
      <c r="K710" s="5"/>
      <c r="L710" s="5"/>
      <c r="M710" s="5"/>
      <c r="N710" s="5"/>
      <c r="O710" s="5"/>
    </row>
    <row r="711" spans="1:15">
      <c r="A711" s="4"/>
      <c r="B711" s="5"/>
      <c r="C711" s="5"/>
      <c r="D711" s="5"/>
      <c r="E711" s="5"/>
      <c r="F711" s="5"/>
      <c r="G711" s="5"/>
      <c r="H711" s="5"/>
      <c r="I711" s="5"/>
      <c r="J711" s="5"/>
      <c r="K711" s="5"/>
      <c r="L711" s="5"/>
      <c r="M711" s="5"/>
      <c r="N711" s="5"/>
      <c r="O711" s="5"/>
    </row>
    <row r="712" spans="1:15">
      <c r="A712" s="4"/>
      <c r="B712" s="5"/>
      <c r="C712" s="5"/>
      <c r="D712" s="5"/>
      <c r="E712" s="5"/>
      <c r="F712" s="5"/>
      <c r="G712" s="5"/>
      <c r="H712" s="5"/>
      <c r="I712" s="5"/>
      <c r="J712" s="5"/>
      <c r="K712" s="5"/>
      <c r="L712" s="5"/>
      <c r="M712" s="5"/>
      <c r="N712" s="5"/>
      <c r="O712" s="5"/>
    </row>
    <row r="713" spans="1:15">
      <c r="A713" s="4"/>
      <c r="B713" s="5"/>
      <c r="C713" s="5"/>
      <c r="D713" s="5"/>
      <c r="E713" s="5"/>
      <c r="F713" s="5"/>
      <c r="G713" s="5"/>
      <c r="H713" s="5"/>
      <c r="I713" s="5"/>
      <c r="J713" s="5"/>
      <c r="K713" s="5"/>
      <c r="L713" s="5"/>
      <c r="M713" s="5"/>
      <c r="N713" s="5"/>
      <c r="O713" s="5"/>
    </row>
    <row r="714" spans="1:15">
      <c r="A714" s="4"/>
      <c r="B714" s="5"/>
      <c r="C714" s="5"/>
      <c r="D714" s="5"/>
      <c r="E714" s="5"/>
      <c r="F714" s="5"/>
      <c r="G714" s="5"/>
      <c r="H714" s="5"/>
      <c r="I714" s="5"/>
      <c r="J714" s="5"/>
      <c r="K714" s="5"/>
      <c r="L714" s="5"/>
      <c r="M714" s="5"/>
      <c r="N714" s="5"/>
      <c r="O714" s="5"/>
    </row>
    <row r="715" spans="1:15">
      <c r="A715" s="4"/>
      <c r="B715" s="5"/>
      <c r="C715" s="5"/>
      <c r="D715" s="5"/>
      <c r="E715" s="5"/>
      <c r="F715" s="5"/>
      <c r="G715" s="5"/>
      <c r="H715" s="5"/>
      <c r="I715" s="5"/>
      <c r="J715" s="5"/>
      <c r="K715" s="5"/>
      <c r="L715" s="5"/>
      <c r="M715" s="5"/>
      <c r="N715" s="5"/>
      <c r="O715" s="5"/>
    </row>
    <row r="716" spans="1:15">
      <c r="A716" s="4"/>
      <c r="B716" s="5"/>
      <c r="C716" s="5"/>
      <c r="D716" s="5"/>
      <c r="E716" s="5"/>
      <c r="F716" s="5"/>
      <c r="G716" s="5"/>
      <c r="H716" s="5"/>
      <c r="I716" s="5"/>
      <c r="J716" s="5"/>
      <c r="K716" s="5"/>
      <c r="L716" s="5"/>
      <c r="M716" s="5"/>
      <c r="N716" s="5"/>
      <c r="O716" s="5"/>
    </row>
    <row r="717" spans="1:15">
      <c r="A717" s="4"/>
      <c r="B717" s="5"/>
      <c r="C717" s="5"/>
      <c r="D717" s="5"/>
      <c r="E717" s="5"/>
      <c r="F717" s="5"/>
      <c r="G717" s="5"/>
      <c r="H717" s="5"/>
      <c r="I717" s="5"/>
      <c r="J717" s="5"/>
      <c r="K717" s="5"/>
      <c r="L717" s="5"/>
      <c r="M717" s="5"/>
      <c r="N717" s="5"/>
      <c r="O717" s="5"/>
    </row>
    <row r="718" spans="1:15">
      <c r="A718" s="4"/>
      <c r="B718" s="5"/>
      <c r="C718" s="5"/>
      <c r="D718" s="5"/>
      <c r="E718" s="5"/>
      <c r="F718" s="5"/>
      <c r="G718" s="5"/>
      <c r="H718" s="5"/>
      <c r="I718" s="5"/>
      <c r="J718" s="5"/>
      <c r="K718" s="5"/>
      <c r="L718" s="5"/>
      <c r="M718" s="5"/>
      <c r="N718" s="5"/>
      <c r="O718" s="5"/>
    </row>
    <row r="719" spans="1:15">
      <c r="A719" s="4"/>
      <c r="B719" s="5"/>
      <c r="C719" s="5"/>
      <c r="D719" s="5"/>
      <c r="E719" s="5"/>
      <c r="F719" s="5"/>
      <c r="G719" s="5"/>
      <c r="H719" s="5"/>
      <c r="I719" s="5"/>
      <c r="J719" s="5"/>
      <c r="K719" s="5"/>
      <c r="L719" s="5"/>
      <c r="M719" s="5"/>
      <c r="N719" s="5"/>
      <c r="O719" s="5"/>
    </row>
    <row r="720" spans="1:15">
      <c r="A720" s="4"/>
      <c r="B720" s="5"/>
      <c r="C720" s="5"/>
      <c r="D720" s="5"/>
      <c r="E720" s="5"/>
      <c r="F720" s="5"/>
      <c r="G720" s="5"/>
      <c r="H720" s="5"/>
      <c r="I720" s="5"/>
      <c r="J720" s="5"/>
      <c r="K720" s="5"/>
      <c r="L720" s="5"/>
      <c r="M720" s="5"/>
      <c r="N720" s="5"/>
      <c r="O720" s="5"/>
    </row>
    <row r="721" spans="1:15">
      <c r="A721" s="4"/>
      <c r="B721" s="5"/>
      <c r="C721" s="5"/>
      <c r="D721" s="5"/>
      <c r="E721" s="5"/>
      <c r="F721" s="5"/>
      <c r="G721" s="5"/>
      <c r="H721" s="5"/>
      <c r="I721" s="5"/>
      <c r="J721" s="5"/>
      <c r="K721" s="5"/>
      <c r="L721" s="5"/>
      <c r="M721" s="5"/>
      <c r="N721" s="5"/>
      <c r="O721" s="5"/>
    </row>
    <row r="722" spans="1:15">
      <c r="A722" s="4"/>
      <c r="B722" s="5"/>
      <c r="C722" s="5"/>
      <c r="D722" s="5"/>
      <c r="E722" s="5"/>
      <c r="F722" s="5"/>
      <c r="G722" s="5"/>
      <c r="H722" s="5"/>
      <c r="I722" s="5"/>
      <c r="J722" s="5"/>
      <c r="K722" s="5"/>
      <c r="L722" s="5"/>
      <c r="M722" s="5"/>
      <c r="N722" s="5"/>
      <c r="O722" s="5"/>
    </row>
    <row r="723" spans="1:15">
      <c r="A723" s="4"/>
      <c r="B723" s="5"/>
      <c r="C723" s="5"/>
      <c r="D723" s="5"/>
      <c r="E723" s="5"/>
      <c r="F723" s="5"/>
      <c r="G723" s="5"/>
      <c r="H723" s="5"/>
      <c r="I723" s="5"/>
      <c r="J723" s="5"/>
      <c r="K723" s="5"/>
      <c r="L723" s="5"/>
      <c r="M723" s="5"/>
      <c r="N723" s="5"/>
      <c r="O723" s="5"/>
    </row>
    <row r="724" spans="1:15">
      <c r="A724" s="4"/>
      <c r="B724" s="5"/>
      <c r="C724" s="5"/>
      <c r="D724" s="5"/>
      <c r="E724" s="5"/>
      <c r="F724" s="5"/>
      <c r="G724" s="5"/>
      <c r="H724" s="5"/>
      <c r="I724" s="5"/>
      <c r="J724" s="5"/>
      <c r="K724" s="5"/>
      <c r="L724" s="5"/>
      <c r="M724" s="5"/>
      <c r="N724" s="5"/>
      <c r="O724" s="5"/>
    </row>
    <row r="725" spans="1:15">
      <c r="A725" s="4"/>
      <c r="B725" s="5"/>
      <c r="C725" s="5"/>
      <c r="D725" s="5"/>
      <c r="E725" s="5"/>
      <c r="F725" s="5"/>
      <c r="G725" s="5"/>
      <c r="H725" s="5"/>
      <c r="I725" s="5"/>
      <c r="J725" s="5"/>
      <c r="K725" s="5"/>
      <c r="L725" s="5"/>
      <c r="M725" s="5"/>
      <c r="N725" s="5"/>
      <c r="O725" s="5"/>
    </row>
    <row r="726" spans="1:15">
      <c r="A726" s="4"/>
      <c r="B726" s="5"/>
      <c r="C726" s="5"/>
      <c r="D726" s="5"/>
      <c r="E726" s="5"/>
      <c r="F726" s="5"/>
      <c r="G726" s="5"/>
      <c r="H726" s="5"/>
      <c r="I726" s="5"/>
      <c r="J726" s="5"/>
      <c r="K726" s="5"/>
      <c r="L726" s="5"/>
      <c r="M726" s="5"/>
      <c r="N726" s="5"/>
      <c r="O726" s="5"/>
    </row>
    <row r="727" spans="1:15">
      <c r="A727" s="4"/>
      <c r="B727" s="5"/>
      <c r="C727" s="5"/>
      <c r="D727" s="5"/>
      <c r="E727" s="5"/>
      <c r="F727" s="5"/>
      <c r="G727" s="5"/>
      <c r="H727" s="5"/>
      <c r="I727" s="5"/>
      <c r="J727" s="5"/>
      <c r="K727" s="5"/>
      <c r="L727" s="5"/>
      <c r="M727" s="5"/>
      <c r="N727" s="5"/>
      <c r="O727" s="5"/>
    </row>
    <row r="728" spans="1:15">
      <c r="A728" s="4"/>
      <c r="B728" s="5"/>
      <c r="C728" s="5"/>
      <c r="D728" s="5"/>
      <c r="E728" s="5"/>
      <c r="F728" s="5"/>
      <c r="G728" s="5"/>
      <c r="H728" s="5"/>
      <c r="I728" s="5"/>
      <c r="J728" s="5"/>
      <c r="K728" s="5"/>
      <c r="L728" s="5"/>
      <c r="M728" s="5"/>
      <c r="N728" s="5"/>
      <c r="O728" s="5"/>
    </row>
    <row r="729" spans="1:15">
      <c r="A729" s="4"/>
      <c r="B729" s="5"/>
      <c r="C729" s="5"/>
      <c r="D729" s="5"/>
      <c r="E729" s="5"/>
      <c r="F729" s="5"/>
      <c r="G729" s="5"/>
      <c r="H729" s="5"/>
      <c r="I729" s="5"/>
      <c r="J729" s="5"/>
      <c r="K729" s="5"/>
      <c r="L729" s="5"/>
      <c r="M729" s="5"/>
      <c r="N729" s="5"/>
      <c r="O729" s="5"/>
    </row>
    <row r="730" spans="1:15">
      <c r="A730" s="4"/>
      <c r="B730" s="5"/>
      <c r="C730" s="5"/>
      <c r="D730" s="5"/>
      <c r="E730" s="5"/>
      <c r="F730" s="5"/>
      <c r="G730" s="5"/>
      <c r="H730" s="5"/>
      <c r="I730" s="5"/>
      <c r="J730" s="5"/>
      <c r="K730" s="5"/>
      <c r="L730" s="5"/>
      <c r="M730" s="5"/>
      <c r="N730" s="5"/>
      <c r="O730" s="5"/>
    </row>
    <row r="731" spans="1:15">
      <c r="A731" s="4"/>
      <c r="B731" s="5"/>
      <c r="C731" s="5"/>
      <c r="D731" s="5"/>
      <c r="E731" s="5"/>
      <c r="F731" s="5"/>
      <c r="G731" s="5"/>
      <c r="H731" s="5"/>
      <c r="I731" s="5"/>
      <c r="J731" s="5"/>
      <c r="K731" s="5"/>
      <c r="L731" s="5"/>
      <c r="M731" s="5"/>
      <c r="N731" s="5"/>
      <c r="O731" s="5"/>
    </row>
    <row r="732" spans="1:15">
      <c r="A732" s="4"/>
      <c r="B732" s="5"/>
      <c r="C732" s="5"/>
      <c r="D732" s="5"/>
      <c r="E732" s="5"/>
      <c r="F732" s="5"/>
      <c r="G732" s="5"/>
      <c r="H732" s="5"/>
      <c r="I732" s="5"/>
      <c r="J732" s="5"/>
      <c r="K732" s="5"/>
      <c r="L732" s="5"/>
      <c r="M732" s="5"/>
      <c r="N732" s="5"/>
      <c r="O732" s="5"/>
    </row>
    <row r="733" spans="1:15">
      <c r="A733" s="4"/>
      <c r="B733" s="5"/>
      <c r="C733" s="5"/>
      <c r="D733" s="5"/>
      <c r="E733" s="5"/>
      <c r="F733" s="5"/>
      <c r="G733" s="5"/>
      <c r="H733" s="5"/>
      <c r="I733" s="5"/>
      <c r="J733" s="5"/>
      <c r="K733" s="5"/>
      <c r="L733" s="5"/>
      <c r="M733" s="5"/>
      <c r="N733" s="5"/>
      <c r="O733" s="5"/>
    </row>
    <row r="734" spans="1:15">
      <c r="A734" s="4"/>
      <c r="B734" s="5"/>
      <c r="C734" s="5"/>
      <c r="D734" s="5"/>
      <c r="E734" s="5"/>
      <c r="F734" s="5"/>
      <c r="G734" s="5"/>
      <c r="H734" s="5"/>
      <c r="I734" s="5"/>
      <c r="J734" s="5"/>
      <c r="K734" s="5"/>
      <c r="L734" s="5"/>
      <c r="M734" s="5"/>
      <c r="N734" s="5"/>
      <c r="O734" s="5"/>
    </row>
    <row r="735" spans="1:15">
      <c r="A735" s="4"/>
      <c r="B735" s="5"/>
      <c r="C735" s="5"/>
      <c r="D735" s="5"/>
      <c r="E735" s="5"/>
      <c r="F735" s="5"/>
      <c r="G735" s="5"/>
      <c r="H735" s="5"/>
      <c r="I735" s="5"/>
      <c r="J735" s="5"/>
      <c r="K735" s="5"/>
      <c r="L735" s="5"/>
      <c r="M735" s="5"/>
      <c r="N735" s="5"/>
      <c r="O735" s="5"/>
    </row>
    <row r="736" spans="1:15">
      <c r="A736" s="4"/>
      <c r="B736" s="5"/>
      <c r="C736" s="5"/>
      <c r="D736" s="5"/>
      <c r="E736" s="5"/>
      <c r="F736" s="5"/>
      <c r="G736" s="5"/>
      <c r="H736" s="5"/>
      <c r="I736" s="5"/>
      <c r="J736" s="5"/>
      <c r="K736" s="5"/>
      <c r="L736" s="5"/>
      <c r="M736" s="5"/>
      <c r="N736" s="5"/>
      <c r="O736" s="5"/>
    </row>
    <row r="737" spans="1:15">
      <c r="A737" s="4"/>
      <c r="B737" s="5"/>
      <c r="C737" s="5"/>
      <c r="D737" s="5"/>
      <c r="E737" s="5"/>
      <c r="F737" s="5"/>
      <c r="G737" s="5"/>
      <c r="H737" s="5"/>
      <c r="I737" s="5"/>
      <c r="J737" s="5"/>
      <c r="K737" s="5"/>
      <c r="L737" s="5"/>
      <c r="M737" s="5"/>
      <c r="N737" s="5"/>
      <c r="O737" s="5"/>
    </row>
    <row r="738" spans="1:15">
      <c r="A738" s="4"/>
      <c r="B738" s="5"/>
      <c r="C738" s="5"/>
      <c r="D738" s="5"/>
      <c r="E738" s="5"/>
      <c r="F738" s="5"/>
      <c r="G738" s="5"/>
      <c r="H738" s="5"/>
      <c r="I738" s="5"/>
      <c r="J738" s="5"/>
      <c r="K738" s="5"/>
      <c r="L738" s="5"/>
      <c r="M738" s="5"/>
      <c r="N738" s="5"/>
      <c r="O738" s="5"/>
    </row>
    <row r="739" spans="1:15">
      <c r="A739" s="4"/>
      <c r="B739" s="5"/>
      <c r="C739" s="5"/>
      <c r="D739" s="5"/>
      <c r="E739" s="5"/>
      <c r="F739" s="5"/>
      <c r="G739" s="5"/>
      <c r="H739" s="5"/>
      <c r="I739" s="5"/>
      <c r="J739" s="5"/>
      <c r="K739" s="5"/>
      <c r="L739" s="5"/>
      <c r="M739" s="5"/>
      <c r="N739" s="5"/>
      <c r="O739" s="5"/>
    </row>
    <row r="740" spans="1:15">
      <c r="A740" s="4"/>
      <c r="B740" s="5"/>
      <c r="C740" s="5"/>
      <c r="D740" s="5"/>
      <c r="E740" s="5"/>
      <c r="F740" s="5"/>
      <c r="G740" s="5"/>
      <c r="H740" s="5"/>
      <c r="I740" s="5"/>
      <c r="J740" s="5"/>
      <c r="K740" s="5"/>
      <c r="L740" s="5"/>
      <c r="M740" s="5"/>
      <c r="N740" s="5"/>
      <c r="O740" s="5"/>
    </row>
    <row r="741" spans="1:15">
      <c r="A741" s="4"/>
      <c r="B741" s="5"/>
      <c r="C741" s="5"/>
      <c r="D741" s="5"/>
      <c r="E741" s="5"/>
      <c r="F741" s="5"/>
      <c r="G741" s="5"/>
      <c r="H741" s="5"/>
      <c r="I741" s="5"/>
      <c r="J741" s="5"/>
      <c r="K741" s="5"/>
      <c r="L741" s="5"/>
      <c r="M741" s="5"/>
      <c r="N741" s="5"/>
      <c r="O741" s="5"/>
    </row>
    <row r="742" spans="1:15">
      <c r="A742" s="4"/>
      <c r="B742" s="5"/>
      <c r="C742" s="5"/>
      <c r="D742" s="5"/>
      <c r="E742" s="5"/>
      <c r="F742" s="5"/>
      <c r="G742" s="5"/>
      <c r="H742" s="5"/>
      <c r="I742" s="5"/>
      <c r="J742" s="5"/>
      <c r="K742" s="5"/>
      <c r="L742" s="5"/>
      <c r="M742" s="5"/>
      <c r="N742" s="5"/>
      <c r="O742" s="5"/>
    </row>
    <row r="743" spans="1:15">
      <c r="A743" s="4"/>
      <c r="B743" s="5"/>
      <c r="C743" s="5"/>
      <c r="D743" s="5"/>
      <c r="E743" s="5"/>
      <c r="F743" s="5"/>
      <c r="G743" s="5"/>
      <c r="H743" s="5"/>
      <c r="I743" s="5"/>
      <c r="J743" s="5"/>
      <c r="K743" s="5"/>
      <c r="L743" s="5"/>
      <c r="M743" s="5"/>
      <c r="N743" s="5"/>
      <c r="O743" s="5"/>
    </row>
    <row r="744" spans="1:15">
      <c r="A744" s="4"/>
      <c r="B744" s="5"/>
      <c r="C744" s="5"/>
      <c r="D744" s="5"/>
      <c r="E744" s="5"/>
      <c r="F744" s="5"/>
      <c r="G744" s="5"/>
      <c r="H744" s="5"/>
      <c r="I744" s="5"/>
      <c r="J744" s="5"/>
      <c r="K744" s="5"/>
      <c r="L744" s="5"/>
      <c r="M744" s="5"/>
      <c r="N744" s="5"/>
      <c r="O744" s="5"/>
    </row>
    <row r="745" spans="1:15">
      <c r="A745" s="4"/>
      <c r="B745" s="5"/>
      <c r="C745" s="5"/>
      <c r="D745" s="5"/>
      <c r="E745" s="5"/>
      <c r="F745" s="5"/>
      <c r="G745" s="5"/>
      <c r="H745" s="5"/>
      <c r="I745" s="5"/>
      <c r="J745" s="5"/>
      <c r="K745" s="5"/>
      <c r="L745" s="5"/>
      <c r="M745" s="5"/>
      <c r="N745" s="5"/>
      <c r="O745" s="5"/>
    </row>
    <row r="746" spans="1:15">
      <c r="A746" s="4"/>
      <c r="B746" s="5"/>
      <c r="C746" s="5"/>
      <c r="D746" s="5"/>
      <c r="E746" s="5"/>
      <c r="F746" s="5"/>
      <c r="G746" s="5"/>
      <c r="H746" s="5"/>
      <c r="I746" s="5"/>
      <c r="J746" s="5"/>
      <c r="K746" s="5"/>
      <c r="L746" s="5"/>
      <c r="M746" s="5"/>
      <c r="N746" s="5"/>
      <c r="O746" s="5"/>
    </row>
    <row r="747" spans="1:15">
      <c r="A747" s="4"/>
      <c r="B747" s="5"/>
      <c r="C747" s="5"/>
      <c r="D747" s="5"/>
      <c r="E747" s="5"/>
      <c r="F747" s="5"/>
      <c r="G747" s="5"/>
      <c r="H747" s="5"/>
      <c r="I747" s="5"/>
      <c r="J747" s="5"/>
      <c r="K747" s="5"/>
      <c r="L747" s="5"/>
      <c r="M747" s="5"/>
      <c r="N747" s="5"/>
      <c r="O747" s="5"/>
    </row>
    <row r="748" spans="1:15">
      <c r="A748" s="4"/>
      <c r="B748" s="5"/>
      <c r="C748" s="5"/>
      <c r="D748" s="5"/>
      <c r="E748" s="5"/>
      <c r="F748" s="5"/>
      <c r="G748" s="5"/>
      <c r="H748" s="5"/>
      <c r="I748" s="5"/>
      <c r="J748" s="5"/>
      <c r="K748" s="5"/>
      <c r="L748" s="5"/>
      <c r="M748" s="5"/>
      <c r="N748" s="5"/>
      <c r="O748" s="5"/>
    </row>
    <row r="749" spans="1:15">
      <c r="A749" s="4"/>
      <c r="B749" s="5"/>
      <c r="C749" s="5"/>
      <c r="D749" s="5"/>
      <c r="E749" s="5"/>
      <c r="F749" s="5"/>
      <c r="G749" s="5"/>
      <c r="H749" s="5"/>
      <c r="I749" s="5"/>
      <c r="J749" s="5"/>
      <c r="K749" s="5"/>
      <c r="L749" s="5"/>
      <c r="M749" s="5"/>
      <c r="N749" s="5"/>
      <c r="O749" s="5"/>
    </row>
    <row r="750" spans="1:15">
      <c r="A750" s="4"/>
      <c r="B750" s="5"/>
      <c r="C750" s="5"/>
      <c r="D750" s="5"/>
      <c r="E750" s="5"/>
      <c r="F750" s="5"/>
      <c r="G750" s="5"/>
      <c r="H750" s="5"/>
      <c r="I750" s="5"/>
      <c r="J750" s="5"/>
      <c r="K750" s="5"/>
      <c r="L750" s="5"/>
      <c r="M750" s="5"/>
      <c r="N750" s="5"/>
      <c r="O750" s="5"/>
    </row>
    <row r="751" spans="1:15">
      <c r="A751" s="4"/>
      <c r="B751" s="5"/>
      <c r="C751" s="5"/>
      <c r="D751" s="5"/>
      <c r="E751" s="5"/>
      <c r="F751" s="5"/>
      <c r="G751" s="5"/>
      <c r="H751" s="5"/>
      <c r="I751" s="5"/>
      <c r="J751" s="5"/>
      <c r="K751" s="5"/>
      <c r="L751" s="5"/>
      <c r="M751" s="5"/>
      <c r="N751" s="5"/>
      <c r="O751" s="5"/>
    </row>
    <row r="752" spans="1:15">
      <c r="A752" s="4"/>
      <c r="B752" s="5"/>
      <c r="C752" s="5"/>
      <c r="D752" s="5"/>
      <c r="E752" s="5"/>
      <c r="F752" s="5"/>
      <c r="G752" s="5"/>
      <c r="H752" s="5"/>
      <c r="I752" s="5"/>
      <c r="J752" s="5"/>
      <c r="K752" s="5"/>
      <c r="L752" s="5"/>
      <c r="M752" s="5"/>
      <c r="N752" s="5"/>
      <c r="O752" s="5"/>
    </row>
    <row r="753" spans="1:15">
      <c r="A753" s="4"/>
      <c r="B753" s="5"/>
      <c r="C753" s="5"/>
      <c r="D753" s="5"/>
      <c r="E753" s="5"/>
      <c r="F753" s="5"/>
      <c r="G753" s="5"/>
      <c r="H753" s="5"/>
      <c r="I753" s="5"/>
      <c r="J753" s="5"/>
      <c r="K753" s="5"/>
      <c r="L753" s="5"/>
      <c r="M753" s="5"/>
      <c r="N753" s="5"/>
      <c r="O753" s="5"/>
    </row>
    <row r="754" spans="1:15">
      <c r="A754" s="4"/>
      <c r="B754" s="5"/>
      <c r="C754" s="5"/>
      <c r="D754" s="5"/>
      <c r="E754" s="5"/>
      <c r="F754" s="5"/>
      <c r="G754" s="5"/>
      <c r="H754" s="5"/>
      <c r="I754" s="5"/>
      <c r="J754" s="5"/>
      <c r="K754" s="5"/>
      <c r="L754" s="5"/>
      <c r="M754" s="5"/>
      <c r="N754" s="5"/>
      <c r="O754" s="5"/>
    </row>
    <row r="755" spans="1:15">
      <c r="A755" s="4"/>
      <c r="B755" s="5"/>
      <c r="C755" s="5"/>
      <c r="D755" s="5"/>
      <c r="E755" s="5"/>
      <c r="F755" s="5"/>
      <c r="G755" s="5"/>
      <c r="H755" s="5"/>
      <c r="I755" s="5"/>
      <c r="J755" s="5"/>
      <c r="K755" s="5"/>
      <c r="L755" s="5"/>
      <c r="M755" s="5"/>
      <c r="N755" s="5"/>
      <c r="O755" s="5"/>
    </row>
    <row r="756" spans="1:15">
      <c r="A756" s="4"/>
      <c r="B756" s="5"/>
      <c r="C756" s="5"/>
      <c r="D756" s="5"/>
      <c r="E756" s="5"/>
      <c r="F756" s="5"/>
      <c r="G756" s="5"/>
      <c r="H756" s="5"/>
      <c r="I756" s="5"/>
      <c r="J756" s="5"/>
      <c r="K756" s="5"/>
      <c r="L756" s="5"/>
      <c r="M756" s="5"/>
      <c r="N756" s="5"/>
      <c r="O756" s="5"/>
    </row>
    <row r="757" spans="1:15">
      <c r="A757" s="4"/>
      <c r="B757" s="5"/>
      <c r="C757" s="5"/>
      <c r="D757" s="5"/>
      <c r="E757" s="5"/>
      <c r="F757" s="5"/>
      <c r="G757" s="5"/>
      <c r="H757" s="5"/>
      <c r="I757" s="5"/>
      <c r="J757" s="5"/>
      <c r="K757" s="5"/>
      <c r="L757" s="5"/>
      <c r="M757" s="5"/>
      <c r="N757" s="5"/>
      <c r="O757" s="5"/>
    </row>
    <row r="758" spans="1:15">
      <c r="A758" s="4"/>
      <c r="B758" s="5"/>
      <c r="C758" s="5"/>
      <c r="D758" s="5"/>
      <c r="E758" s="5"/>
      <c r="F758" s="5"/>
      <c r="G758" s="5"/>
      <c r="H758" s="5"/>
      <c r="I758" s="5"/>
      <c r="J758" s="5"/>
      <c r="K758" s="5"/>
      <c r="L758" s="5"/>
      <c r="M758" s="5"/>
      <c r="N758" s="5"/>
      <c r="O758" s="5"/>
    </row>
    <row r="759" spans="1:15">
      <c r="A759" s="4"/>
      <c r="B759" s="5"/>
      <c r="C759" s="5"/>
      <c r="D759" s="5"/>
      <c r="E759" s="5"/>
      <c r="F759" s="5"/>
      <c r="G759" s="5"/>
      <c r="H759" s="5"/>
      <c r="I759" s="5"/>
      <c r="J759" s="5"/>
      <c r="K759" s="5"/>
      <c r="L759" s="5"/>
      <c r="M759" s="5"/>
      <c r="N759" s="5"/>
      <c r="O759" s="5"/>
    </row>
    <row r="760" spans="1:15">
      <c r="A760" s="4"/>
      <c r="B760" s="5"/>
      <c r="C760" s="5"/>
      <c r="D760" s="5"/>
      <c r="E760" s="5"/>
      <c r="F760" s="5"/>
      <c r="G760" s="5"/>
      <c r="H760" s="5"/>
      <c r="I760" s="5"/>
      <c r="J760" s="5"/>
      <c r="K760" s="5"/>
      <c r="L760" s="5"/>
      <c r="M760" s="5"/>
      <c r="N760" s="5"/>
      <c r="O760" s="5"/>
    </row>
    <row r="761" spans="1:15">
      <c r="A761" s="4"/>
      <c r="B761" s="5"/>
      <c r="C761" s="5"/>
      <c r="D761" s="5"/>
      <c r="E761" s="5"/>
      <c r="F761" s="5"/>
      <c r="G761" s="5"/>
      <c r="H761" s="5"/>
      <c r="I761" s="5"/>
      <c r="J761" s="5"/>
      <c r="K761" s="5"/>
      <c r="L761" s="5"/>
      <c r="M761" s="5"/>
      <c r="N761" s="5"/>
      <c r="O761" s="5"/>
    </row>
    <row r="762" spans="1:15">
      <c r="A762" s="4"/>
      <c r="B762" s="5"/>
      <c r="C762" s="5"/>
      <c r="D762" s="5"/>
      <c r="E762" s="5"/>
      <c r="F762" s="5"/>
      <c r="G762" s="5"/>
      <c r="H762" s="5"/>
      <c r="I762" s="5"/>
      <c r="J762" s="5"/>
      <c r="K762" s="5"/>
      <c r="L762" s="5"/>
      <c r="M762" s="5"/>
      <c r="N762" s="5"/>
      <c r="O762" s="5"/>
    </row>
    <row r="763" spans="1:15">
      <c r="A763" s="4"/>
      <c r="B763" s="5"/>
      <c r="C763" s="5"/>
      <c r="D763" s="5"/>
      <c r="E763" s="5"/>
      <c r="F763" s="5"/>
      <c r="G763" s="5"/>
      <c r="H763" s="5"/>
      <c r="I763" s="5"/>
      <c r="J763" s="5"/>
      <c r="K763" s="5"/>
      <c r="L763" s="5"/>
      <c r="M763" s="5"/>
      <c r="N763" s="5"/>
      <c r="O763" s="5"/>
    </row>
    <row r="764" spans="1:15">
      <c r="A764" s="4"/>
      <c r="B764" s="5"/>
      <c r="C764" s="5"/>
      <c r="D764" s="5"/>
      <c r="E764" s="5"/>
      <c r="F764" s="5"/>
      <c r="G764" s="5"/>
      <c r="H764" s="5"/>
      <c r="I764" s="5"/>
      <c r="J764" s="5"/>
      <c r="K764" s="5"/>
      <c r="L764" s="5"/>
      <c r="M764" s="5"/>
      <c r="N764" s="5"/>
      <c r="O764" s="5"/>
    </row>
    <row r="765" spans="1:15">
      <c r="A765" s="4"/>
      <c r="B765" s="5"/>
      <c r="C765" s="5"/>
      <c r="D765" s="5"/>
      <c r="E765" s="5"/>
      <c r="F765" s="5"/>
      <c r="G765" s="5"/>
      <c r="H765" s="5"/>
      <c r="I765" s="5"/>
      <c r="J765" s="5"/>
      <c r="K765" s="5"/>
      <c r="L765" s="5"/>
      <c r="M765" s="5"/>
      <c r="N765" s="5"/>
      <c r="O765" s="5"/>
    </row>
    <row r="766" spans="1:15">
      <c r="A766" s="4"/>
      <c r="B766" s="5"/>
      <c r="C766" s="5"/>
      <c r="D766" s="5"/>
      <c r="E766" s="5"/>
      <c r="F766" s="5"/>
      <c r="G766" s="5"/>
      <c r="H766" s="5"/>
      <c r="I766" s="5"/>
      <c r="J766" s="5"/>
      <c r="K766" s="5"/>
      <c r="L766" s="5"/>
      <c r="M766" s="5"/>
      <c r="N766" s="5"/>
      <c r="O766" s="5"/>
    </row>
    <row r="767" spans="1:15">
      <c r="A767" s="4"/>
      <c r="B767" s="5"/>
      <c r="C767" s="5"/>
      <c r="D767" s="5"/>
      <c r="E767" s="5"/>
      <c r="F767" s="5"/>
      <c r="G767" s="5"/>
      <c r="H767" s="5"/>
      <c r="I767" s="5"/>
      <c r="J767" s="5"/>
      <c r="K767" s="5"/>
      <c r="L767" s="5"/>
      <c r="M767" s="5"/>
      <c r="N767" s="5"/>
      <c r="O767" s="5"/>
    </row>
    <row r="768" spans="1:15">
      <c r="A768" s="4"/>
      <c r="B768" s="5"/>
      <c r="C768" s="5"/>
      <c r="D768" s="5"/>
      <c r="E768" s="5"/>
      <c r="F768" s="5"/>
      <c r="G768" s="5"/>
      <c r="H768" s="5"/>
      <c r="I768" s="5"/>
      <c r="J768" s="5"/>
      <c r="K768" s="5"/>
      <c r="L768" s="5"/>
      <c r="M768" s="5"/>
      <c r="N768" s="5"/>
      <c r="O768" s="5"/>
    </row>
    <row r="769" spans="1:15">
      <c r="A769" s="4"/>
      <c r="B769" s="5"/>
      <c r="C769" s="5"/>
      <c r="D769" s="5"/>
      <c r="E769" s="5"/>
      <c r="F769" s="5"/>
      <c r="G769" s="5"/>
      <c r="H769" s="5"/>
      <c r="I769" s="5"/>
      <c r="J769" s="5"/>
      <c r="K769" s="5"/>
      <c r="L769" s="5"/>
      <c r="M769" s="5"/>
      <c r="N769" s="5"/>
      <c r="O769" s="5"/>
    </row>
    <row r="770" spans="1:15">
      <c r="A770" s="4"/>
      <c r="B770" s="5"/>
      <c r="C770" s="5"/>
      <c r="D770" s="5"/>
      <c r="E770" s="5"/>
      <c r="F770" s="5"/>
      <c r="G770" s="5"/>
      <c r="H770" s="5"/>
      <c r="I770" s="5"/>
      <c r="J770" s="5"/>
      <c r="K770" s="5"/>
      <c r="L770" s="5"/>
      <c r="M770" s="5"/>
      <c r="N770" s="5"/>
      <c r="O770" s="5"/>
    </row>
    <row r="771" spans="1:15">
      <c r="A771" s="4"/>
      <c r="B771" s="5"/>
      <c r="C771" s="5"/>
      <c r="D771" s="5"/>
      <c r="E771" s="5"/>
      <c r="F771" s="5"/>
      <c r="G771" s="5"/>
      <c r="H771" s="5"/>
      <c r="I771" s="5"/>
      <c r="J771" s="5"/>
      <c r="K771" s="5"/>
      <c r="L771" s="5"/>
      <c r="M771" s="5"/>
      <c r="N771" s="5"/>
      <c r="O771" s="5"/>
    </row>
    <row r="772" spans="1:15">
      <c r="A772" s="4"/>
      <c r="B772" s="5"/>
      <c r="C772" s="5"/>
      <c r="D772" s="5"/>
      <c r="E772" s="5"/>
      <c r="F772" s="5"/>
      <c r="G772" s="5"/>
      <c r="H772" s="5"/>
      <c r="I772" s="5"/>
      <c r="J772" s="5"/>
      <c r="K772" s="5"/>
      <c r="L772" s="5"/>
      <c r="M772" s="5"/>
      <c r="N772" s="5"/>
      <c r="O772" s="5"/>
    </row>
    <row r="773" spans="1:15">
      <c r="A773" s="4"/>
      <c r="B773" s="5"/>
      <c r="C773" s="5"/>
      <c r="D773" s="5"/>
      <c r="E773" s="5"/>
      <c r="F773" s="5"/>
      <c r="G773" s="5"/>
      <c r="H773" s="5"/>
      <c r="I773" s="5"/>
      <c r="J773" s="5"/>
      <c r="K773" s="5"/>
      <c r="L773" s="5"/>
      <c r="M773" s="5"/>
      <c r="N773" s="5"/>
      <c r="O773" s="5"/>
    </row>
    <row r="774" spans="1:15">
      <c r="A774" s="4"/>
      <c r="B774" s="5"/>
      <c r="C774" s="5"/>
      <c r="D774" s="5"/>
      <c r="E774" s="5"/>
      <c r="F774" s="5"/>
      <c r="G774" s="5"/>
      <c r="H774" s="5"/>
      <c r="I774" s="5"/>
      <c r="J774" s="5"/>
      <c r="K774" s="5"/>
      <c r="L774" s="5"/>
      <c r="M774" s="5"/>
      <c r="N774" s="5"/>
      <c r="O774" s="5"/>
    </row>
    <row r="775" spans="1:15">
      <c r="A775" s="4"/>
      <c r="B775" s="5"/>
      <c r="C775" s="5"/>
      <c r="D775" s="5"/>
      <c r="E775" s="5"/>
      <c r="F775" s="5"/>
      <c r="G775" s="5"/>
      <c r="H775" s="5"/>
      <c r="I775" s="5"/>
      <c r="J775" s="5"/>
      <c r="K775" s="5"/>
      <c r="L775" s="5"/>
      <c r="M775" s="5"/>
      <c r="N775" s="5"/>
      <c r="O775" s="5"/>
    </row>
    <row r="776" spans="1:15">
      <c r="A776" s="4"/>
      <c r="B776" s="5"/>
      <c r="C776" s="5"/>
      <c r="D776" s="5"/>
      <c r="E776" s="5"/>
      <c r="F776" s="5"/>
      <c r="G776" s="5"/>
      <c r="H776" s="5"/>
      <c r="I776" s="5"/>
      <c r="J776" s="5"/>
      <c r="K776" s="5"/>
      <c r="L776" s="5"/>
      <c r="M776" s="5"/>
      <c r="N776" s="5"/>
      <c r="O776" s="5"/>
    </row>
    <row r="777" spans="1:15">
      <c r="A777" s="4"/>
      <c r="B777" s="5"/>
      <c r="C777" s="5"/>
      <c r="D777" s="5"/>
      <c r="E777" s="5"/>
      <c r="F777" s="5"/>
      <c r="G777" s="5"/>
      <c r="H777" s="5"/>
      <c r="I777" s="5"/>
      <c r="J777" s="5"/>
      <c r="K777" s="5"/>
      <c r="L777" s="5"/>
      <c r="M777" s="5"/>
      <c r="N777" s="5"/>
      <c r="O777" s="5"/>
    </row>
    <row r="778" spans="1:15">
      <c r="A778" s="4"/>
      <c r="B778" s="5"/>
      <c r="C778" s="5"/>
      <c r="D778" s="5"/>
      <c r="E778" s="5"/>
      <c r="F778" s="5"/>
      <c r="G778" s="5"/>
      <c r="H778" s="5"/>
      <c r="I778" s="5"/>
      <c r="J778" s="5"/>
      <c r="K778" s="5"/>
      <c r="L778" s="5"/>
      <c r="M778" s="5"/>
      <c r="N778" s="5"/>
      <c r="O778" s="5"/>
    </row>
    <row r="779" spans="1:15">
      <c r="A779" s="4"/>
      <c r="B779" s="5"/>
      <c r="C779" s="5"/>
      <c r="D779" s="5"/>
      <c r="E779" s="5"/>
      <c r="F779" s="5"/>
      <c r="G779" s="5"/>
      <c r="H779" s="5"/>
      <c r="I779" s="5"/>
      <c r="J779" s="5"/>
      <c r="K779" s="5"/>
      <c r="L779" s="5"/>
      <c r="M779" s="5"/>
      <c r="N779" s="5"/>
      <c r="O779" s="5"/>
    </row>
    <row r="780" spans="1:15">
      <c r="A780" s="4"/>
      <c r="B780" s="5"/>
      <c r="C780" s="5"/>
      <c r="D780" s="5"/>
      <c r="E780" s="5"/>
      <c r="F780" s="5"/>
      <c r="G780" s="5"/>
      <c r="H780" s="5"/>
      <c r="I780" s="5"/>
      <c r="J780" s="5"/>
      <c r="K780" s="5"/>
      <c r="L780" s="5"/>
      <c r="M780" s="5"/>
      <c r="N780" s="5"/>
      <c r="O780" s="5"/>
    </row>
    <row r="781" spans="1:15">
      <c r="A781" s="4"/>
      <c r="B781" s="5"/>
      <c r="C781" s="5"/>
      <c r="D781" s="5"/>
      <c r="E781" s="5"/>
      <c r="F781" s="5"/>
      <c r="G781" s="5"/>
      <c r="H781" s="5"/>
      <c r="I781" s="5"/>
      <c r="J781" s="5"/>
      <c r="K781" s="5"/>
      <c r="L781" s="5"/>
      <c r="M781" s="5"/>
      <c r="N781" s="5"/>
      <c r="O781" s="5"/>
    </row>
    <row r="782" spans="1:15">
      <c r="A782" s="4"/>
      <c r="B782" s="5"/>
      <c r="C782" s="5"/>
      <c r="D782" s="5"/>
      <c r="E782" s="5"/>
      <c r="F782" s="5"/>
      <c r="G782" s="5"/>
      <c r="H782" s="5"/>
      <c r="I782" s="5"/>
      <c r="J782" s="5"/>
      <c r="K782" s="5"/>
      <c r="L782" s="5"/>
      <c r="M782" s="5"/>
      <c r="N782" s="5"/>
      <c r="O782" s="5"/>
    </row>
    <row r="783" spans="1:15">
      <c r="A783" s="4"/>
      <c r="B783" s="5"/>
      <c r="C783" s="5"/>
      <c r="D783" s="5"/>
      <c r="E783" s="5"/>
      <c r="F783" s="5"/>
      <c r="G783" s="5"/>
      <c r="H783" s="5"/>
      <c r="I783" s="5"/>
      <c r="J783" s="5"/>
      <c r="K783" s="5"/>
      <c r="L783" s="5"/>
      <c r="M783" s="5"/>
      <c r="N783" s="5"/>
      <c r="O783" s="5"/>
    </row>
    <row r="784" spans="1:15">
      <c r="A784" s="4"/>
      <c r="B784" s="5"/>
      <c r="C784" s="5"/>
      <c r="D784" s="5"/>
      <c r="E784" s="5"/>
      <c r="F784" s="5"/>
      <c r="G784" s="5"/>
      <c r="H784" s="5"/>
      <c r="I784" s="5"/>
      <c r="J784" s="5"/>
      <c r="K784" s="5"/>
      <c r="L784" s="5"/>
      <c r="M784" s="5"/>
      <c r="N784" s="5"/>
      <c r="O784" s="5"/>
    </row>
    <row r="785" spans="1:15">
      <c r="A785" s="4"/>
      <c r="B785" s="5"/>
      <c r="C785" s="5"/>
      <c r="D785" s="5"/>
      <c r="E785" s="5"/>
      <c r="F785" s="5"/>
      <c r="G785" s="5"/>
      <c r="H785" s="5"/>
      <c r="I785" s="5"/>
      <c r="J785" s="5"/>
      <c r="K785" s="5"/>
      <c r="L785" s="5"/>
      <c r="M785" s="5"/>
      <c r="N785" s="5"/>
      <c r="O785" s="5"/>
    </row>
    <row r="786" spans="1:15">
      <c r="A786" s="4"/>
      <c r="B786" s="5"/>
      <c r="C786" s="5"/>
      <c r="D786" s="5"/>
      <c r="E786" s="5"/>
      <c r="F786" s="5"/>
      <c r="G786" s="5"/>
      <c r="H786" s="5"/>
      <c r="I786" s="5"/>
      <c r="J786" s="5"/>
      <c r="K786" s="5"/>
      <c r="L786" s="5"/>
      <c r="M786" s="5"/>
      <c r="N786" s="5"/>
      <c r="O786" s="5"/>
    </row>
    <row r="787" spans="1:15">
      <c r="A787" s="4"/>
      <c r="B787" s="5"/>
      <c r="C787" s="5"/>
      <c r="D787" s="5"/>
      <c r="E787" s="5"/>
      <c r="F787" s="5"/>
      <c r="G787" s="5"/>
      <c r="H787" s="5"/>
      <c r="I787" s="5"/>
      <c r="J787" s="5"/>
      <c r="K787" s="5"/>
      <c r="L787" s="5"/>
      <c r="M787" s="5"/>
      <c r="N787" s="5"/>
      <c r="O787" s="5"/>
    </row>
    <row r="788" spans="1:15">
      <c r="A788" s="4"/>
      <c r="B788" s="5"/>
      <c r="C788" s="5"/>
      <c r="D788" s="5"/>
      <c r="E788" s="5"/>
      <c r="F788" s="5"/>
      <c r="G788" s="5"/>
      <c r="H788" s="5"/>
      <c r="I788" s="5"/>
      <c r="J788" s="5"/>
      <c r="K788" s="5"/>
      <c r="L788" s="5"/>
      <c r="M788" s="5"/>
      <c r="N788" s="5"/>
      <c r="O788" s="5"/>
    </row>
    <row r="789" spans="1:15">
      <c r="A789" s="4"/>
      <c r="B789" s="5"/>
      <c r="C789" s="5"/>
      <c r="D789" s="5"/>
      <c r="E789" s="5"/>
      <c r="F789" s="5"/>
      <c r="G789" s="5"/>
      <c r="H789" s="5"/>
      <c r="I789" s="5"/>
      <c r="J789" s="5"/>
      <c r="K789" s="5"/>
      <c r="L789" s="5"/>
      <c r="M789" s="5"/>
      <c r="N789" s="5"/>
      <c r="O789" s="5"/>
    </row>
    <row r="790" spans="1:15">
      <c r="A790" s="4"/>
      <c r="B790" s="5"/>
      <c r="C790" s="5"/>
      <c r="D790" s="5"/>
      <c r="E790" s="5"/>
      <c r="F790" s="5"/>
      <c r="G790" s="5"/>
      <c r="H790" s="5"/>
      <c r="I790" s="5"/>
      <c r="J790" s="5"/>
      <c r="K790" s="5"/>
      <c r="L790" s="5"/>
      <c r="M790" s="5"/>
      <c r="N790" s="5"/>
      <c r="O790" s="5"/>
    </row>
    <row r="791" spans="1:15">
      <c r="A791" s="4"/>
      <c r="B791" s="5"/>
      <c r="C791" s="5"/>
      <c r="D791" s="5"/>
      <c r="E791" s="5"/>
      <c r="F791" s="5"/>
      <c r="G791" s="5"/>
      <c r="H791" s="5"/>
      <c r="I791" s="5"/>
      <c r="J791" s="5"/>
      <c r="K791" s="5"/>
      <c r="L791" s="5"/>
      <c r="M791" s="5"/>
      <c r="N791" s="5"/>
      <c r="O791" s="5"/>
    </row>
    <row r="792" spans="1:15">
      <c r="A792" s="4"/>
      <c r="B792" s="5"/>
      <c r="C792" s="5"/>
      <c r="D792" s="5"/>
      <c r="E792" s="5"/>
      <c r="F792" s="5"/>
      <c r="G792" s="5"/>
      <c r="H792" s="5"/>
      <c r="I792" s="5"/>
      <c r="J792" s="5"/>
      <c r="K792" s="5"/>
      <c r="L792" s="5"/>
      <c r="M792" s="5"/>
      <c r="N792" s="5"/>
      <c r="O792" s="5"/>
    </row>
    <row r="793" spans="1:15">
      <c r="A793" s="4"/>
      <c r="B793" s="5"/>
      <c r="C793" s="5"/>
      <c r="D793" s="5"/>
      <c r="E793" s="5"/>
      <c r="F793" s="5"/>
      <c r="G793" s="5"/>
      <c r="H793" s="5"/>
      <c r="I793" s="5"/>
      <c r="J793" s="5"/>
      <c r="K793" s="5"/>
      <c r="L793" s="5"/>
      <c r="M793" s="5"/>
      <c r="N793" s="5"/>
      <c r="O793" s="5"/>
    </row>
    <row r="794" spans="1:15">
      <c r="A794" s="4"/>
      <c r="B794" s="5"/>
      <c r="C794" s="5"/>
      <c r="D794" s="5"/>
      <c r="E794" s="5"/>
      <c r="F794" s="5"/>
      <c r="G794" s="5"/>
      <c r="H794" s="5"/>
      <c r="I794" s="5"/>
      <c r="J794" s="5"/>
      <c r="K794" s="5"/>
      <c r="L794" s="5"/>
      <c r="M794" s="5"/>
      <c r="N794" s="5"/>
      <c r="O794" s="5"/>
    </row>
    <row r="795" spans="1:15">
      <c r="A795" s="4"/>
      <c r="B795" s="5"/>
      <c r="C795" s="5"/>
      <c r="D795" s="5"/>
      <c r="E795" s="5"/>
      <c r="F795" s="5"/>
      <c r="G795" s="5"/>
      <c r="H795" s="5"/>
      <c r="I795" s="5"/>
      <c r="J795" s="5"/>
      <c r="K795" s="5"/>
      <c r="L795" s="5"/>
      <c r="M795" s="5"/>
      <c r="N795" s="5"/>
      <c r="O795" s="5"/>
    </row>
    <row r="796" spans="1:15">
      <c r="A796" s="4"/>
      <c r="B796" s="5"/>
      <c r="C796" s="5"/>
      <c r="D796" s="5"/>
      <c r="E796" s="5"/>
      <c r="F796" s="5"/>
      <c r="G796" s="5"/>
      <c r="H796" s="5"/>
      <c r="I796" s="5"/>
      <c r="J796" s="5"/>
      <c r="K796" s="5"/>
      <c r="L796" s="5"/>
      <c r="M796" s="5"/>
      <c r="N796" s="5"/>
      <c r="O796" s="5"/>
    </row>
    <row r="797" spans="1:15">
      <c r="A797" s="4"/>
      <c r="B797" s="5"/>
      <c r="C797" s="5"/>
      <c r="D797" s="5"/>
      <c r="E797" s="5"/>
      <c r="F797" s="5"/>
      <c r="G797" s="5"/>
      <c r="H797" s="5"/>
      <c r="I797" s="5"/>
      <c r="J797" s="5"/>
      <c r="K797" s="5"/>
      <c r="L797" s="5"/>
      <c r="M797" s="5"/>
      <c r="N797" s="5"/>
      <c r="O797" s="5"/>
    </row>
    <row r="798" spans="1:15">
      <c r="A798" s="4"/>
      <c r="B798" s="5"/>
      <c r="C798" s="5"/>
      <c r="D798" s="5"/>
      <c r="E798" s="5"/>
      <c r="F798" s="5"/>
      <c r="G798" s="5"/>
      <c r="H798" s="5"/>
      <c r="I798" s="5"/>
      <c r="J798" s="5"/>
      <c r="K798" s="5"/>
      <c r="L798" s="5"/>
      <c r="M798" s="5"/>
      <c r="N798" s="5"/>
      <c r="O798" s="5"/>
    </row>
    <row r="799" spans="1:15">
      <c r="A799" s="4"/>
      <c r="B799" s="5"/>
      <c r="C799" s="5"/>
      <c r="D799" s="5"/>
      <c r="E799" s="5"/>
      <c r="F799" s="5"/>
      <c r="G799" s="5"/>
      <c r="H799" s="5"/>
      <c r="I799" s="5"/>
      <c r="J799" s="5"/>
      <c r="K799" s="5"/>
      <c r="L799" s="5"/>
      <c r="M799" s="5"/>
      <c r="N799" s="5"/>
      <c r="O799" s="5"/>
    </row>
    <row r="800" spans="1:15">
      <c r="A800" s="4"/>
      <c r="B800" s="5"/>
      <c r="C800" s="5"/>
      <c r="D800" s="5"/>
      <c r="E800" s="5"/>
      <c r="F800" s="5"/>
      <c r="G800" s="5"/>
      <c r="H800" s="5"/>
      <c r="I800" s="5"/>
      <c r="J800" s="5"/>
      <c r="K800" s="5"/>
      <c r="L800" s="5"/>
      <c r="M800" s="5"/>
      <c r="N800" s="5"/>
      <c r="O800" s="5"/>
    </row>
    <row r="801" spans="1:15">
      <c r="A801" s="4"/>
      <c r="B801" s="5"/>
      <c r="C801" s="5"/>
      <c r="D801" s="5"/>
      <c r="E801" s="5"/>
      <c r="F801" s="5"/>
      <c r="G801" s="5"/>
      <c r="H801" s="5"/>
      <c r="I801" s="5"/>
      <c r="J801" s="5"/>
      <c r="K801" s="5"/>
      <c r="L801" s="5"/>
      <c r="M801" s="5"/>
      <c r="N801" s="5"/>
      <c r="O801" s="5"/>
    </row>
    <row r="802" spans="1:15">
      <c r="A802" s="4"/>
      <c r="B802" s="5"/>
      <c r="C802" s="5"/>
      <c r="D802" s="5"/>
      <c r="E802" s="5"/>
      <c r="F802" s="5"/>
      <c r="G802" s="5"/>
      <c r="H802" s="5"/>
      <c r="I802" s="5"/>
      <c r="J802" s="5"/>
      <c r="K802" s="5"/>
      <c r="L802" s="5"/>
      <c r="M802" s="5"/>
      <c r="N802" s="5"/>
      <c r="O802" s="5"/>
    </row>
    <row r="803" spans="1:15">
      <c r="A803" s="4"/>
      <c r="B803" s="5"/>
      <c r="C803" s="5"/>
      <c r="D803" s="5"/>
      <c r="E803" s="5"/>
      <c r="F803" s="5"/>
      <c r="G803" s="5"/>
      <c r="H803" s="5"/>
      <c r="I803" s="5"/>
      <c r="J803" s="5"/>
      <c r="K803" s="5"/>
      <c r="L803" s="5"/>
      <c r="M803" s="5"/>
      <c r="N803" s="5"/>
      <c r="O803" s="5"/>
    </row>
    <row r="804" spans="1:15">
      <c r="A804" s="4"/>
      <c r="B804" s="5"/>
      <c r="C804" s="5"/>
      <c r="D804" s="5"/>
      <c r="E804" s="5"/>
      <c r="F804" s="5"/>
      <c r="G804" s="5"/>
      <c r="H804" s="5"/>
      <c r="I804" s="5"/>
      <c r="J804" s="5"/>
      <c r="K804" s="5"/>
      <c r="L804" s="5"/>
      <c r="M804" s="5"/>
      <c r="N804" s="5"/>
      <c r="O804" s="5"/>
    </row>
    <row r="805" spans="1:15">
      <c r="A805" s="4"/>
      <c r="B805" s="5"/>
      <c r="C805" s="5"/>
      <c r="D805" s="5"/>
      <c r="E805" s="5"/>
      <c r="F805" s="5"/>
      <c r="G805" s="5"/>
      <c r="H805" s="5"/>
      <c r="I805" s="5"/>
      <c r="J805" s="5"/>
      <c r="K805" s="5"/>
      <c r="L805" s="5"/>
      <c r="M805" s="5"/>
      <c r="N805" s="5"/>
      <c r="O805" s="5"/>
    </row>
    <row r="806" spans="1:15">
      <c r="A806" s="4"/>
      <c r="B806" s="5"/>
      <c r="C806" s="5"/>
      <c r="D806" s="5"/>
      <c r="E806" s="5"/>
      <c r="F806" s="5"/>
      <c r="G806" s="5"/>
      <c r="H806" s="5"/>
      <c r="I806" s="5"/>
      <c r="J806" s="5"/>
      <c r="K806" s="5"/>
      <c r="L806" s="5"/>
      <c r="M806" s="5"/>
      <c r="N806" s="5"/>
      <c r="O806" s="5"/>
    </row>
    <row r="807" spans="1:15">
      <c r="A807" s="4"/>
      <c r="B807" s="5"/>
      <c r="C807" s="5"/>
      <c r="D807" s="5"/>
      <c r="E807" s="5"/>
      <c r="F807" s="5"/>
      <c r="G807" s="5"/>
      <c r="H807" s="5"/>
      <c r="I807" s="5"/>
      <c r="J807" s="5"/>
      <c r="K807" s="5"/>
      <c r="L807" s="5"/>
      <c r="M807" s="5"/>
      <c r="N807" s="5"/>
      <c r="O807" s="5"/>
    </row>
    <row r="808" spans="1:15">
      <c r="A808" s="4"/>
      <c r="B808" s="5"/>
      <c r="C808" s="5"/>
      <c r="D808" s="5"/>
      <c r="E808" s="5"/>
      <c r="F808" s="5"/>
      <c r="G808" s="5"/>
      <c r="H808" s="5"/>
      <c r="I808" s="5"/>
      <c r="J808" s="5"/>
      <c r="K808" s="5"/>
      <c r="L808" s="5"/>
      <c r="M808" s="5"/>
      <c r="N808" s="5"/>
      <c r="O808" s="5"/>
    </row>
    <row r="809" spans="1:15">
      <c r="A809" s="4"/>
      <c r="B809" s="5"/>
      <c r="C809" s="5"/>
      <c r="D809" s="5"/>
      <c r="E809" s="5"/>
      <c r="F809" s="5"/>
      <c r="G809" s="5"/>
      <c r="H809" s="5"/>
      <c r="I809" s="5"/>
      <c r="J809" s="5"/>
      <c r="K809" s="5"/>
      <c r="L809" s="5"/>
      <c r="M809" s="5"/>
      <c r="N809" s="5"/>
      <c r="O809" s="5"/>
    </row>
    <row r="810" spans="1:15">
      <c r="A810" s="4"/>
      <c r="B810" s="5"/>
      <c r="C810" s="5"/>
      <c r="D810" s="5"/>
      <c r="E810" s="5"/>
      <c r="F810" s="5"/>
      <c r="G810" s="5"/>
      <c r="H810" s="5"/>
      <c r="I810" s="5"/>
      <c r="J810" s="5"/>
      <c r="K810" s="5"/>
      <c r="L810" s="5"/>
      <c r="M810" s="5"/>
      <c r="N810" s="5"/>
      <c r="O810" s="5"/>
    </row>
    <row r="811" spans="1:15">
      <c r="A811" s="4"/>
      <c r="B811" s="5"/>
      <c r="C811" s="5"/>
      <c r="D811" s="5"/>
      <c r="E811" s="5"/>
      <c r="F811" s="5"/>
      <c r="G811" s="5"/>
      <c r="H811" s="5"/>
      <c r="I811" s="5"/>
      <c r="J811" s="5"/>
      <c r="K811" s="5"/>
      <c r="L811" s="5"/>
      <c r="M811" s="5"/>
      <c r="N811" s="5"/>
      <c r="O811" s="5"/>
    </row>
    <row r="812" spans="1:15">
      <c r="A812" s="4"/>
      <c r="B812" s="5"/>
      <c r="C812" s="5"/>
      <c r="D812" s="5"/>
      <c r="E812" s="5"/>
      <c r="F812" s="5"/>
      <c r="G812" s="5"/>
      <c r="H812" s="5"/>
      <c r="I812" s="5"/>
      <c r="J812" s="5"/>
      <c r="K812" s="5"/>
      <c r="L812" s="5"/>
      <c r="M812" s="5"/>
      <c r="N812" s="5"/>
      <c r="O812" s="5"/>
    </row>
    <row r="813" spans="1:15">
      <c r="A813" s="4"/>
      <c r="B813" s="5"/>
      <c r="C813" s="5"/>
      <c r="D813" s="5"/>
      <c r="E813" s="5"/>
      <c r="F813" s="5"/>
      <c r="G813" s="5"/>
      <c r="H813" s="5"/>
      <c r="I813" s="5"/>
      <c r="J813" s="5"/>
      <c r="K813" s="5"/>
      <c r="L813" s="5"/>
      <c r="M813" s="5"/>
      <c r="N813" s="5"/>
      <c r="O813" s="5"/>
    </row>
    <row r="814" spans="1:15">
      <c r="A814" s="4"/>
      <c r="B814" s="5"/>
      <c r="C814" s="5"/>
      <c r="D814" s="5"/>
      <c r="E814" s="5"/>
      <c r="F814" s="5"/>
      <c r="G814" s="5"/>
      <c r="H814" s="5"/>
      <c r="I814" s="5"/>
      <c r="J814" s="5"/>
      <c r="K814" s="5"/>
      <c r="L814" s="5"/>
      <c r="M814" s="5"/>
      <c r="N814" s="5"/>
      <c r="O814" s="5"/>
    </row>
    <row r="815" spans="1:15">
      <c r="A815" s="4"/>
      <c r="B815" s="5"/>
      <c r="C815" s="5"/>
      <c r="D815" s="5"/>
      <c r="E815" s="5"/>
      <c r="F815" s="5"/>
      <c r="G815" s="5"/>
      <c r="H815" s="5"/>
      <c r="I815" s="5"/>
      <c r="J815" s="5"/>
      <c r="K815" s="5"/>
      <c r="L815" s="5"/>
      <c r="M815" s="5"/>
      <c r="N815" s="5"/>
      <c r="O815" s="5"/>
    </row>
    <row r="816" spans="1:15">
      <c r="A816" s="4"/>
      <c r="B816" s="5"/>
      <c r="C816" s="5"/>
      <c r="D816" s="5"/>
      <c r="E816" s="5"/>
      <c r="F816" s="5"/>
      <c r="G816" s="5"/>
      <c r="H816" s="5"/>
      <c r="I816" s="5"/>
      <c r="J816" s="5"/>
      <c r="K816" s="5"/>
      <c r="L816" s="5"/>
      <c r="M816" s="5"/>
      <c r="N816" s="5"/>
      <c r="O816" s="5"/>
    </row>
    <row r="817" spans="1:15">
      <c r="A817" s="4"/>
      <c r="B817" s="5"/>
      <c r="C817" s="5"/>
      <c r="D817" s="5"/>
      <c r="E817" s="5"/>
      <c r="F817" s="5"/>
      <c r="G817" s="5"/>
      <c r="H817" s="5"/>
      <c r="I817" s="5"/>
      <c r="J817" s="5"/>
      <c r="K817" s="5"/>
      <c r="L817" s="5"/>
      <c r="M817" s="5"/>
      <c r="N817" s="5"/>
      <c r="O817" s="5"/>
    </row>
    <row r="818" spans="1:15">
      <c r="A818" s="4"/>
      <c r="B818" s="5"/>
      <c r="C818" s="5"/>
      <c r="D818" s="5"/>
      <c r="E818" s="5"/>
      <c r="F818" s="5"/>
      <c r="G818" s="5"/>
      <c r="H818" s="5"/>
      <c r="I818" s="5"/>
      <c r="J818" s="5"/>
      <c r="K818" s="5"/>
      <c r="L818" s="5"/>
      <c r="M818" s="5"/>
      <c r="N818" s="5"/>
      <c r="O818" s="5"/>
    </row>
    <row r="819" spans="1:15">
      <c r="A819" s="4"/>
      <c r="B819" s="5"/>
      <c r="C819" s="5"/>
      <c r="D819" s="5"/>
      <c r="E819" s="5"/>
      <c r="F819" s="5"/>
      <c r="G819" s="5"/>
      <c r="H819" s="5"/>
      <c r="I819" s="5"/>
      <c r="J819" s="5"/>
      <c r="K819" s="5"/>
      <c r="L819" s="5"/>
      <c r="M819" s="5"/>
      <c r="N819" s="5"/>
      <c r="O819" s="5"/>
    </row>
    <row r="820" spans="1:15">
      <c r="A820" s="4"/>
      <c r="B820" s="5"/>
      <c r="C820" s="5"/>
      <c r="D820" s="5"/>
      <c r="E820" s="5"/>
      <c r="F820" s="5"/>
      <c r="G820" s="5"/>
      <c r="H820" s="5"/>
      <c r="I820" s="5"/>
      <c r="J820" s="5"/>
      <c r="K820" s="5"/>
      <c r="L820" s="5"/>
      <c r="M820" s="5"/>
      <c r="N820" s="5"/>
      <c r="O820" s="5"/>
    </row>
    <row r="821" spans="1:15">
      <c r="A821" s="4"/>
      <c r="B821" s="5"/>
      <c r="C821" s="5"/>
      <c r="D821" s="5"/>
      <c r="E821" s="5"/>
      <c r="F821" s="5"/>
      <c r="G821" s="5"/>
      <c r="H821" s="5"/>
      <c r="I821" s="5"/>
      <c r="J821" s="5"/>
      <c r="K821" s="5"/>
      <c r="L821" s="5"/>
      <c r="M821" s="5"/>
      <c r="N821" s="5"/>
      <c r="O821" s="5"/>
    </row>
    <row r="822" spans="1:15">
      <c r="A822" s="4"/>
      <c r="B822" s="5"/>
      <c r="C822" s="5"/>
      <c r="D822" s="5"/>
      <c r="E822" s="5"/>
      <c r="F822" s="5"/>
      <c r="G822" s="5"/>
      <c r="H822" s="5"/>
      <c r="I822" s="5"/>
      <c r="J822" s="5"/>
      <c r="K822" s="5"/>
      <c r="L822" s="5"/>
      <c r="M822" s="5"/>
      <c r="N822" s="5"/>
      <c r="O822" s="5"/>
    </row>
    <row r="823" spans="1:15">
      <c r="A823" s="4"/>
      <c r="B823" s="5"/>
      <c r="C823" s="5"/>
      <c r="D823" s="5"/>
      <c r="E823" s="5"/>
      <c r="F823" s="5"/>
      <c r="G823" s="5"/>
      <c r="H823" s="5"/>
      <c r="I823" s="5"/>
      <c r="J823" s="5"/>
      <c r="K823" s="5"/>
      <c r="L823" s="5"/>
      <c r="M823" s="5"/>
      <c r="N823" s="5"/>
      <c r="O823" s="5"/>
    </row>
    <row r="824" spans="1:15">
      <c r="A824" s="4"/>
      <c r="B824" s="5"/>
      <c r="C824" s="5"/>
      <c r="D824" s="5"/>
      <c r="E824" s="5"/>
      <c r="F824" s="5"/>
      <c r="G824" s="5"/>
      <c r="H824" s="5"/>
      <c r="I824" s="5"/>
      <c r="J824" s="5"/>
      <c r="K824" s="5"/>
      <c r="L824" s="5"/>
      <c r="M824" s="5"/>
      <c r="N824" s="5"/>
      <c r="O824" s="5"/>
    </row>
    <row r="825" spans="1:15">
      <c r="A825" s="4"/>
      <c r="B825" s="5"/>
      <c r="C825" s="5"/>
      <c r="D825" s="5"/>
      <c r="E825" s="5"/>
      <c r="F825" s="5"/>
      <c r="G825" s="5"/>
      <c r="H825" s="5"/>
      <c r="I825" s="5"/>
      <c r="J825" s="5"/>
      <c r="K825" s="5"/>
      <c r="L825" s="5"/>
      <c r="M825" s="5"/>
      <c r="N825" s="5"/>
      <c r="O825" s="5"/>
    </row>
    <row r="826" spans="1:15">
      <c r="A826" s="4"/>
      <c r="B826" s="5"/>
      <c r="C826" s="5"/>
      <c r="D826" s="5"/>
      <c r="E826" s="5"/>
      <c r="F826" s="5"/>
      <c r="G826" s="5"/>
      <c r="H826" s="5"/>
      <c r="I826" s="5"/>
      <c r="J826" s="5"/>
      <c r="K826" s="5"/>
      <c r="L826" s="5"/>
      <c r="M826" s="5"/>
      <c r="N826" s="5"/>
      <c r="O826" s="5"/>
    </row>
    <row r="827" spans="1:15">
      <c r="A827" s="4"/>
      <c r="B827" s="5"/>
      <c r="C827" s="5"/>
      <c r="D827" s="5"/>
      <c r="E827" s="5"/>
      <c r="F827" s="5"/>
      <c r="G827" s="5"/>
      <c r="H827" s="5"/>
      <c r="I827" s="5"/>
      <c r="J827" s="5"/>
      <c r="K827" s="5"/>
      <c r="L827" s="5"/>
      <c r="M827" s="5"/>
      <c r="N827" s="5"/>
      <c r="O827" s="5"/>
    </row>
    <row r="828" spans="1:15">
      <c r="A828" s="4"/>
      <c r="B828" s="5"/>
      <c r="C828" s="5"/>
      <c r="D828" s="5"/>
      <c r="E828" s="5"/>
      <c r="F828" s="5"/>
      <c r="G828" s="5"/>
      <c r="H828" s="5"/>
      <c r="I828" s="5"/>
      <c r="J828" s="5"/>
      <c r="K828" s="5"/>
      <c r="L828" s="5"/>
      <c r="M828" s="5"/>
      <c r="N828" s="5"/>
      <c r="O828" s="5"/>
    </row>
    <row r="829" spans="1:15">
      <c r="A829" s="4"/>
      <c r="B829" s="5"/>
      <c r="C829" s="5"/>
      <c r="D829" s="5"/>
      <c r="E829" s="5"/>
      <c r="F829" s="5"/>
      <c r="G829" s="5"/>
      <c r="H829" s="5"/>
      <c r="I829" s="5"/>
      <c r="J829" s="5"/>
      <c r="K829" s="5"/>
      <c r="L829" s="5"/>
      <c r="M829" s="5"/>
      <c r="N829" s="5"/>
      <c r="O829" s="5"/>
    </row>
    <row r="830" spans="1:15">
      <c r="A830" s="4"/>
      <c r="B830" s="5"/>
      <c r="C830" s="5"/>
      <c r="D830" s="5"/>
      <c r="E830" s="5"/>
      <c r="F830" s="5"/>
      <c r="G830" s="5"/>
      <c r="H830" s="5"/>
      <c r="I830" s="5"/>
      <c r="J830" s="5"/>
      <c r="K830" s="5"/>
      <c r="L830" s="5"/>
      <c r="M830" s="5"/>
      <c r="N830" s="5"/>
      <c r="O830" s="5"/>
    </row>
    <row r="831" spans="1:15">
      <c r="A831" s="4"/>
      <c r="B831" s="5"/>
      <c r="C831" s="5"/>
      <c r="D831" s="5"/>
      <c r="E831" s="5"/>
      <c r="F831" s="5"/>
      <c r="G831" s="5"/>
      <c r="H831" s="5"/>
      <c r="I831" s="5"/>
      <c r="J831" s="5"/>
      <c r="K831" s="5"/>
      <c r="L831" s="5"/>
      <c r="M831" s="5"/>
      <c r="N831" s="5"/>
      <c r="O831" s="5"/>
    </row>
    <row r="832" spans="1:15">
      <c r="A832" s="4"/>
      <c r="B832" s="5"/>
      <c r="C832" s="5"/>
      <c r="D832" s="5"/>
      <c r="E832" s="5"/>
      <c r="F832" s="5"/>
      <c r="G832" s="5"/>
      <c r="H832" s="5"/>
      <c r="I832" s="5"/>
      <c r="J832" s="5"/>
      <c r="K832" s="5"/>
      <c r="L832" s="5"/>
      <c r="M832" s="5"/>
      <c r="N832" s="5"/>
      <c r="O832" s="5"/>
    </row>
    <row r="833" spans="1:15">
      <c r="A833" s="4"/>
      <c r="B833" s="5"/>
      <c r="C833" s="5"/>
      <c r="D833" s="5"/>
      <c r="E833" s="5"/>
      <c r="F833" s="5"/>
      <c r="G833" s="5"/>
      <c r="H833" s="5"/>
      <c r="I833" s="5"/>
      <c r="J833" s="5"/>
      <c r="K833" s="5"/>
      <c r="L833" s="5"/>
      <c r="M833" s="5"/>
      <c r="N833" s="5"/>
      <c r="O833" s="5"/>
    </row>
    <row r="834" spans="1:15">
      <c r="A834" s="4"/>
      <c r="B834" s="5"/>
      <c r="C834" s="5"/>
      <c r="D834" s="5"/>
      <c r="E834" s="5"/>
      <c r="F834" s="5"/>
      <c r="G834" s="5"/>
      <c r="H834" s="5"/>
      <c r="I834" s="5"/>
      <c r="J834" s="5"/>
      <c r="K834" s="5"/>
      <c r="L834" s="5"/>
      <c r="M834" s="5"/>
      <c r="N834" s="5"/>
      <c r="O834" s="5"/>
    </row>
    <row r="835" spans="1:15">
      <c r="A835" s="4"/>
      <c r="B835" s="5"/>
      <c r="C835" s="5"/>
      <c r="D835" s="5"/>
      <c r="E835" s="5"/>
      <c r="F835" s="5"/>
      <c r="G835" s="5"/>
      <c r="H835" s="5"/>
      <c r="I835" s="5"/>
      <c r="J835" s="5"/>
      <c r="K835" s="5"/>
      <c r="L835" s="5"/>
      <c r="M835" s="5"/>
      <c r="N835" s="5"/>
      <c r="O835" s="5"/>
    </row>
    <row r="836" spans="1:15">
      <c r="A836" s="4"/>
      <c r="B836" s="5"/>
      <c r="C836" s="5"/>
      <c r="D836" s="5"/>
      <c r="E836" s="5"/>
      <c r="F836" s="5"/>
      <c r="G836" s="5"/>
      <c r="H836" s="5"/>
      <c r="I836" s="5"/>
      <c r="J836" s="5"/>
      <c r="K836" s="5"/>
      <c r="L836" s="5"/>
      <c r="M836" s="5"/>
      <c r="N836" s="5"/>
      <c r="O836" s="5"/>
    </row>
    <row r="837" spans="1:15">
      <c r="A837" s="4"/>
      <c r="B837" s="5"/>
      <c r="C837" s="5"/>
      <c r="D837" s="5"/>
      <c r="E837" s="5"/>
      <c r="F837" s="5"/>
      <c r="G837" s="5"/>
      <c r="H837" s="5"/>
      <c r="I837" s="5"/>
      <c r="J837" s="5"/>
      <c r="K837" s="5"/>
      <c r="L837" s="5"/>
      <c r="M837" s="5"/>
      <c r="N837" s="5"/>
      <c r="O837" s="5"/>
    </row>
    <row r="838" spans="1:15">
      <c r="A838" s="4"/>
      <c r="B838" s="5"/>
      <c r="C838" s="5"/>
      <c r="D838" s="5"/>
      <c r="E838" s="5"/>
      <c r="F838" s="5"/>
      <c r="G838" s="5"/>
      <c r="H838" s="5"/>
      <c r="I838" s="5"/>
      <c r="J838" s="5"/>
      <c r="K838" s="5"/>
      <c r="L838" s="5"/>
      <c r="M838" s="5"/>
      <c r="N838" s="5"/>
      <c r="O838" s="5"/>
    </row>
    <row r="839" spans="1:15">
      <c r="A839" s="4"/>
      <c r="B839" s="5"/>
      <c r="C839" s="5"/>
      <c r="D839" s="5"/>
      <c r="E839" s="5"/>
      <c r="F839" s="5"/>
      <c r="G839" s="5"/>
      <c r="H839" s="5"/>
      <c r="I839" s="5"/>
      <c r="J839" s="5"/>
      <c r="K839" s="5"/>
      <c r="L839" s="5"/>
      <c r="M839" s="5"/>
      <c r="N839" s="5"/>
      <c r="O839" s="5"/>
    </row>
    <row r="840" spans="1:15">
      <c r="A840" s="4"/>
      <c r="B840" s="5"/>
      <c r="C840" s="5"/>
      <c r="D840" s="5"/>
      <c r="E840" s="5"/>
      <c r="F840" s="5"/>
      <c r="G840" s="5"/>
      <c r="H840" s="5"/>
      <c r="I840" s="5"/>
      <c r="J840" s="5"/>
      <c r="K840" s="5"/>
      <c r="L840" s="5"/>
      <c r="M840" s="5"/>
      <c r="N840" s="5"/>
      <c r="O840" s="5"/>
    </row>
    <row r="841" spans="1:15">
      <c r="A841" s="4"/>
      <c r="B841" s="5"/>
      <c r="C841" s="5"/>
      <c r="D841" s="5"/>
      <c r="E841" s="5"/>
      <c r="F841" s="5"/>
      <c r="G841" s="5"/>
      <c r="H841" s="5"/>
      <c r="I841" s="5"/>
      <c r="J841" s="5"/>
      <c r="K841" s="5"/>
      <c r="L841" s="5"/>
      <c r="M841" s="5"/>
      <c r="N841" s="5"/>
      <c r="O841" s="5"/>
    </row>
    <row r="842" spans="1:15">
      <c r="A842" s="4"/>
      <c r="B842" s="5"/>
      <c r="C842" s="5"/>
      <c r="D842" s="5"/>
      <c r="E842" s="5"/>
      <c r="F842" s="5"/>
      <c r="G842" s="5"/>
      <c r="H842" s="5"/>
      <c r="I842" s="5"/>
      <c r="J842" s="5"/>
      <c r="K842" s="5"/>
      <c r="L842" s="5"/>
      <c r="M842" s="5"/>
      <c r="N842" s="5"/>
      <c r="O842" s="5"/>
    </row>
    <row r="843" spans="1:15">
      <c r="A843" s="4"/>
      <c r="B843" s="5"/>
      <c r="C843" s="5"/>
      <c r="D843" s="5"/>
      <c r="E843" s="5"/>
      <c r="F843" s="5"/>
      <c r="G843" s="5"/>
      <c r="H843" s="5"/>
      <c r="I843" s="5"/>
      <c r="J843" s="5"/>
      <c r="K843" s="5"/>
      <c r="L843" s="5"/>
      <c r="M843" s="5"/>
      <c r="N843" s="5"/>
      <c r="O843" s="5"/>
    </row>
    <row r="844" spans="1:15">
      <c r="A844" s="4"/>
      <c r="B844" s="5"/>
      <c r="C844" s="5"/>
      <c r="D844" s="5"/>
      <c r="E844" s="5"/>
      <c r="F844" s="5"/>
      <c r="G844" s="5"/>
      <c r="H844" s="5"/>
      <c r="I844" s="5"/>
      <c r="J844" s="5"/>
      <c r="K844" s="5"/>
      <c r="L844" s="5"/>
      <c r="M844" s="5"/>
      <c r="N844" s="5"/>
      <c r="O844" s="5"/>
    </row>
    <row r="845" spans="1:15">
      <c r="A845" s="4"/>
      <c r="B845" s="5"/>
      <c r="C845" s="5"/>
      <c r="D845" s="5"/>
      <c r="E845" s="5"/>
      <c r="F845" s="5"/>
      <c r="G845" s="5"/>
      <c r="H845" s="5"/>
      <c r="I845" s="5"/>
      <c r="J845" s="5"/>
      <c r="K845" s="5"/>
      <c r="L845" s="5"/>
      <c r="M845" s="5"/>
      <c r="N845" s="5"/>
      <c r="O845" s="5"/>
    </row>
    <row r="846" spans="1:15">
      <c r="A846" s="4"/>
      <c r="B846" s="5"/>
      <c r="C846" s="5"/>
      <c r="D846" s="5"/>
      <c r="E846" s="5"/>
      <c r="F846" s="5"/>
      <c r="G846" s="5"/>
      <c r="H846" s="5"/>
      <c r="I846" s="5"/>
      <c r="J846" s="5"/>
      <c r="K846" s="5"/>
      <c r="L846" s="5"/>
      <c r="M846" s="5"/>
      <c r="N846" s="5"/>
      <c r="O846" s="5"/>
    </row>
    <row r="847" spans="1:15">
      <c r="A847" s="4"/>
      <c r="B847" s="5"/>
      <c r="C847" s="5"/>
      <c r="D847" s="5"/>
      <c r="E847" s="5"/>
      <c r="F847" s="5"/>
      <c r="G847" s="5"/>
      <c r="H847" s="5"/>
      <c r="I847" s="5"/>
      <c r="J847" s="5"/>
      <c r="K847" s="5"/>
      <c r="L847" s="5"/>
      <c r="M847" s="5"/>
      <c r="N847" s="5"/>
      <c r="O847" s="5"/>
    </row>
    <row r="848" spans="1:15">
      <c r="A848" s="4"/>
      <c r="B848" s="5"/>
      <c r="C848" s="5"/>
      <c r="D848" s="5"/>
      <c r="E848" s="5"/>
      <c r="F848" s="5"/>
      <c r="G848" s="5"/>
      <c r="H848" s="5"/>
      <c r="I848" s="5"/>
      <c r="J848" s="5"/>
      <c r="K848" s="5"/>
      <c r="L848" s="5"/>
      <c r="M848" s="5"/>
      <c r="N848" s="5"/>
      <c r="O848" s="5"/>
    </row>
    <row r="849" spans="1:15">
      <c r="A849" s="4"/>
      <c r="B849" s="5"/>
      <c r="C849" s="5"/>
      <c r="D849" s="5"/>
      <c r="E849" s="5"/>
      <c r="F849" s="5"/>
      <c r="G849" s="5"/>
      <c r="H849" s="5"/>
      <c r="I849" s="5"/>
      <c r="J849" s="5"/>
      <c r="K849" s="5"/>
      <c r="L849" s="5"/>
      <c r="M849" s="5"/>
      <c r="N849" s="5"/>
      <c r="O849" s="5"/>
    </row>
    <row r="850" spans="1:15">
      <c r="A850" s="4"/>
      <c r="B850" s="5"/>
      <c r="C850" s="5"/>
      <c r="D850" s="5"/>
      <c r="E850" s="5"/>
      <c r="F850" s="5"/>
      <c r="G850" s="5"/>
      <c r="H850" s="5"/>
      <c r="I850" s="5"/>
      <c r="J850" s="5"/>
      <c r="K850" s="5"/>
      <c r="L850" s="5"/>
      <c r="M850" s="5"/>
      <c r="N850" s="5"/>
      <c r="O850" s="5"/>
    </row>
    <row r="851" spans="1:15">
      <c r="A851" s="4"/>
      <c r="B851" s="5"/>
      <c r="C851" s="5"/>
      <c r="D851" s="5"/>
      <c r="E851" s="5"/>
      <c r="F851" s="5"/>
      <c r="G851" s="5"/>
      <c r="H851" s="5"/>
      <c r="I851" s="5"/>
      <c r="J851" s="5"/>
      <c r="K851" s="5"/>
      <c r="L851" s="5"/>
      <c r="M851" s="5"/>
      <c r="N851" s="5"/>
      <c r="O851" s="5"/>
    </row>
    <row r="852" spans="1:15">
      <c r="A852" s="4"/>
      <c r="B852" s="5"/>
      <c r="C852" s="5"/>
      <c r="D852" s="5"/>
      <c r="E852" s="5"/>
      <c r="F852" s="5"/>
      <c r="G852" s="5"/>
      <c r="H852" s="5"/>
      <c r="I852" s="5"/>
      <c r="J852" s="5"/>
      <c r="K852" s="5"/>
      <c r="L852" s="5"/>
      <c r="M852" s="5"/>
      <c r="N852" s="5"/>
      <c r="O852" s="5"/>
    </row>
    <row r="853" spans="1:15">
      <c r="A853" s="4"/>
      <c r="B853" s="5"/>
      <c r="C853" s="5"/>
      <c r="D853" s="5"/>
      <c r="E853" s="5"/>
      <c r="F853" s="5"/>
      <c r="G853" s="5"/>
      <c r="H853" s="5"/>
      <c r="I853" s="5"/>
      <c r="J853" s="5"/>
      <c r="K853" s="5"/>
      <c r="L853" s="5"/>
      <c r="M853" s="5"/>
      <c r="N853" s="5"/>
      <c r="O853" s="5"/>
    </row>
    <row r="854" spans="1:15">
      <c r="A854" s="4"/>
      <c r="B854" s="5"/>
      <c r="C854" s="5"/>
      <c r="D854" s="5"/>
      <c r="E854" s="5"/>
      <c r="F854" s="5"/>
      <c r="G854" s="5"/>
      <c r="H854" s="5"/>
      <c r="I854" s="5"/>
      <c r="J854" s="5"/>
      <c r="K854" s="5"/>
      <c r="L854" s="5"/>
      <c r="M854" s="5"/>
      <c r="N854" s="5"/>
      <c r="O854" s="5"/>
    </row>
    <row r="855" spans="1:15">
      <c r="A855" s="4"/>
      <c r="B855" s="5"/>
      <c r="C855" s="5"/>
      <c r="D855" s="5"/>
      <c r="E855" s="5"/>
      <c r="F855" s="5"/>
      <c r="G855" s="5"/>
      <c r="H855" s="5"/>
      <c r="I855" s="5"/>
      <c r="J855" s="5"/>
      <c r="K855" s="5"/>
      <c r="L855" s="5"/>
      <c r="M855" s="5"/>
      <c r="N855" s="5"/>
      <c r="O855" s="5"/>
    </row>
    <row r="856" spans="1:15">
      <c r="A856" s="4"/>
      <c r="B856" s="5"/>
      <c r="C856" s="5"/>
      <c r="D856" s="5"/>
      <c r="E856" s="5"/>
      <c r="F856" s="5"/>
      <c r="G856" s="5"/>
      <c r="H856" s="5"/>
      <c r="I856" s="5"/>
      <c r="J856" s="5"/>
      <c r="K856" s="5"/>
      <c r="L856" s="5"/>
      <c r="M856" s="5"/>
      <c r="N856" s="5"/>
      <c r="O856" s="5"/>
    </row>
    <row r="857" spans="1:15">
      <c r="A857" s="4"/>
      <c r="B857" s="5"/>
      <c r="C857" s="5"/>
      <c r="D857" s="5"/>
      <c r="E857" s="5"/>
      <c r="F857" s="5"/>
      <c r="G857" s="5"/>
      <c r="H857" s="5"/>
      <c r="I857" s="5"/>
      <c r="J857" s="5"/>
      <c r="K857" s="5"/>
      <c r="L857" s="5"/>
      <c r="M857" s="5"/>
      <c r="N857" s="5"/>
      <c r="O857" s="5"/>
    </row>
    <row r="858" spans="1:15">
      <c r="A858" s="4"/>
      <c r="B858" s="5"/>
      <c r="C858" s="5"/>
      <c r="D858" s="5"/>
      <c r="E858" s="5"/>
      <c r="F858" s="5"/>
      <c r="G858" s="5"/>
      <c r="H858" s="5"/>
      <c r="I858" s="5"/>
      <c r="J858" s="5"/>
      <c r="K858" s="5"/>
      <c r="L858" s="5"/>
      <c r="M858" s="5"/>
      <c r="N858" s="5"/>
      <c r="O858" s="5"/>
    </row>
    <row r="859" spans="1:15">
      <c r="A859" s="4"/>
      <c r="B859" s="5"/>
      <c r="C859" s="5"/>
      <c r="D859" s="5"/>
      <c r="E859" s="5"/>
      <c r="F859" s="5"/>
      <c r="G859" s="5"/>
      <c r="H859" s="5"/>
      <c r="I859" s="5"/>
      <c r="J859" s="5"/>
      <c r="K859" s="5"/>
      <c r="L859" s="5"/>
      <c r="M859" s="5"/>
      <c r="N859" s="5"/>
      <c r="O859" s="5"/>
    </row>
    <row r="860" spans="1:15">
      <c r="A860" s="4"/>
      <c r="B860" s="5"/>
      <c r="C860" s="5"/>
      <c r="D860" s="5"/>
      <c r="E860" s="5"/>
      <c r="F860" s="5"/>
      <c r="G860" s="5"/>
      <c r="H860" s="5"/>
      <c r="I860" s="5"/>
      <c r="J860" s="5"/>
      <c r="K860" s="5"/>
      <c r="L860" s="5"/>
      <c r="M860" s="5"/>
      <c r="N860" s="5"/>
      <c r="O860" s="5"/>
    </row>
    <row r="861" spans="1:15">
      <c r="A861" s="4"/>
      <c r="B861" s="5"/>
      <c r="C861" s="5"/>
      <c r="D861" s="5"/>
      <c r="E861" s="5"/>
      <c r="F861" s="5"/>
      <c r="G861" s="5"/>
      <c r="H861" s="5"/>
      <c r="I861" s="5"/>
      <c r="J861" s="5"/>
      <c r="K861" s="5"/>
      <c r="L861" s="5"/>
      <c r="M861" s="5"/>
      <c r="N861" s="5"/>
      <c r="O861" s="5"/>
    </row>
    <row r="862" spans="1:15">
      <c r="A862" s="4"/>
      <c r="B862" s="5"/>
      <c r="C862" s="5"/>
      <c r="D862" s="5"/>
      <c r="E862" s="5"/>
      <c r="F862" s="5"/>
      <c r="G862" s="5"/>
      <c r="H862" s="5"/>
      <c r="I862" s="5"/>
      <c r="J862" s="5"/>
      <c r="K862" s="5"/>
      <c r="L862" s="5"/>
      <c r="M862" s="5"/>
      <c r="N862" s="5"/>
      <c r="O862" s="5"/>
    </row>
    <row r="863" spans="1:15">
      <c r="A863" s="4"/>
      <c r="B863" s="5"/>
      <c r="C863" s="5"/>
      <c r="D863" s="5"/>
      <c r="E863" s="5"/>
      <c r="F863" s="5"/>
      <c r="G863" s="5"/>
      <c r="H863" s="5"/>
      <c r="I863" s="5"/>
      <c r="J863" s="5"/>
      <c r="K863" s="5"/>
      <c r="L863" s="5"/>
      <c r="M863" s="5"/>
      <c r="N863" s="5"/>
      <c r="O863" s="5"/>
    </row>
    <row r="864" spans="1:15">
      <c r="A864" s="4"/>
      <c r="B864" s="5"/>
      <c r="C864" s="5"/>
      <c r="D864" s="5"/>
      <c r="E864" s="5"/>
      <c r="F864" s="5"/>
      <c r="G864" s="5"/>
      <c r="H864" s="5"/>
      <c r="I864" s="5"/>
      <c r="J864" s="5"/>
      <c r="K864" s="5"/>
      <c r="L864" s="5"/>
      <c r="M864" s="5"/>
      <c r="N864" s="5"/>
      <c r="O864" s="5"/>
    </row>
    <row r="865" spans="1:15">
      <c r="A865" s="4"/>
      <c r="B865" s="5"/>
      <c r="C865" s="5"/>
      <c r="D865" s="5"/>
      <c r="E865" s="5"/>
      <c r="F865" s="5"/>
      <c r="G865" s="5"/>
      <c r="H865" s="5"/>
      <c r="I865" s="5"/>
      <c r="J865" s="5"/>
      <c r="K865" s="5"/>
      <c r="L865" s="5"/>
      <c r="M865" s="5"/>
      <c r="N865" s="5"/>
      <c r="O865" s="5"/>
    </row>
    <row r="866" spans="1:15">
      <c r="A866" s="4"/>
      <c r="B866" s="5"/>
      <c r="C866" s="5"/>
      <c r="D866" s="5"/>
      <c r="E866" s="5"/>
      <c r="F866" s="5"/>
      <c r="G866" s="5"/>
      <c r="H866" s="5"/>
      <c r="I866" s="5"/>
      <c r="J866" s="5"/>
      <c r="K866" s="5"/>
      <c r="L866" s="5"/>
      <c r="M866" s="5"/>
      <c r="N866" s="5"/>
      <c r="O866" s="5"/>
    </row>
    <row r="867" spans="1:15">
      <c r="A867" s="4"/>
      <c r="B867" s="5"/>
      <c r="C867" s="5"/>
      <c r="D867" s="5"/>
      <c r="E867" s="5"/>
      <c r="F867" s="5"/>
      <c r="G867" s="5"/>
      <c r="H867" s="5"/>
      <c r="I867" s="5"/>
      <c r="J867" s="5"/>
      <c r="K867" s="5"/>
      <c r="L867" s="5"/>
      <c r="M867" s="5"/>
      <c r="N867" s="5"/>
      <c r="O867" s="5"/>
    </row>
    <row r="868" spans="1:15">
      <c r="A868" s="4"/>
      <c r="B868" s="5"/>
      <c r="C868" s="5"/>
      <c r="D868" s="5"/>
      <c r="E868" s="5"/>
      <c r="F868" s="5"/>
      <c r="G868" s="5"/>
      <c r="H868" s="5"/>
      <c r="I868" s="5"/>
      <c r="J868" s="5"/>
      <c r="K868" s="5"/>
      <c r="L868" s="5"/>
      <c r="M868" s="5"/>
      <c r="N868" s="5"/>
      <c r="O868" s="5"/>
    </row>
    <row r="869" spans="1:15">
      <c r="A869" s="4"/>
      <c r="B869" s="5"/>
      <c r="C869" s="5"/>
      <c r="D869" s="5"/>
      <c r="E869" s="5"/>
      <c r="F869" s="5"/>
      <c r="G869" s="5"/>
      <c r="H869" s="5"/>
      <c r="I869" s="5"/>
      <c r="J869" s="5"/>
      <c r="K869" s="5"/>
      <c r="L869" s="5"/>
      <c r="M869" s="5"/>
      <c r="N869" s="5"/>
      <c r="O869" s="5"/>
    </row>
    <row r="870" spans="1:15">
      <c r="A870" s="4"/>
      <c r="B870" s="5"/>
      <c r="C870" s="5"/>
      <c r="D870" s="5"/>
      <c r="E870" s="5"/>
      <c r="F870" s="5"/>
      <c r="G870" s="5"/>
      <c r="H870" s="5"/>
      <c r="I870" s="5"/>
      <c r="J870" s="5"/>
      <c r="K870" s="5"/>
      <c r="L870" s="5"/>
      <c r="M870" s="5"/>
      <c r="N870" s="5"/>
      <c r="O870" s="5"/>
    </row>
    <row r="871" spans="1:15">
      <c r="A871" s="4"/>
      <c r="B871" s="5"/>
      <c r="C871" s="5"/>
      <c r="D871" s="5"/>
      <c r="E871" s="5"/>
      <c r="F871" s="5"/>
      <c r="G871" s="5"/>
      <c r="H871" s="5"/>
      <c r="I871" s="5"/>
      <c r="J871" s="5"/>
      <c r="K871" s="5"/>
      <c r="L871" s="5"/>
      <c r="M871" s="5"/>
      <c r="N871" s="5"/>
      <c r="O871" s="5"/>
    </row>
    <row r="872" spans="1:15">
      <c r="A872" s="4"/>
      <c r="B872" s="5"/>
      <c r="C872" s="5"/>
      <c r="D872" s="5"/>
      <c r="E872" s="5"/>
      <c r="F872" s="5"/>
      <c r="G872" s="5"/>
      <c r="H872" s="5"/>
      <c r="I872" s="5"/>
      <c r="J872" s="5"/>
      <c r="K872" s="5"/>
      <c r="L872" s="5"/>
      <c r="M872" s="5"/>
      <c r="N872" s="5"/>
      <c r="O872" s="5"/>
    </row>
    <row r="873" spans="1:15">
      <c r="A873" s="4"/>
      <c r="B873" s="5"/>
      <c r="C873" s="5"/>
      <c r="D873" s="5"/>
      <c r="E873" s="5"/>
      <c r="F873" s="5"/>
      <c r="G873" s="5"/>
      <c r="H873" s="5"/>
      <c r="I873" s="5"/>
      <c r="J873" s="5"/>
      <c r="K873" s="5"/>
      <c r="L873" s="5"/>
      <c r="M873" s="5"/>
      <c r="N873" s="5"/>
      <c r="O873" s="5"/>
    </row>
    <row r="874" spans="1:15">
      <c r="A874" s="4"/>
      <c r="B874" s="5"/>
      <c r="C874" s="5"/>
      <c r="D874" s="5"/>
      <c r="E874" s="5"/>
      <c r="F874" s="5"/>
      <c r="G874" s="5"/>
      <c r="H874" s="5"/>
      <c r="I874" s="5"/>
      <c r="J874" s="5"/>
      <c r="K874" s="5"/>
      <c r="L874" s="5"/>
      <c r="M874" s="5"/>
      <c r="N874" s="5"/>
      <c r="O874" s="5"/>
    </row>
    <row r="875" spans="1:15">
      <c r="A875" s="4"/>
      <c r="B875" s="5"/>
      <c r="C875" s="5"/>
      <c r="D875" s="5"/>
      <c r="E875" s="5"/>
      <c r="F875" s="5"/>
      <c r="G875" s="5"/>
      <c r="H875" s="5"/>
      <c r="I875" s="5"/>
      <c r="J875" s="5"/>
      <c r="K875" s="5"/>
      <c r="L875" s="5"/>
      <c r="M875" s="5"/>
      <c r="N875" s="5"/>
      <c r="O875" s="5"/>
    </row>
    <row r="876" spans="1:15">
      <c r="A876" s="4"/>
      <c r="B876" s="5"/>
      <c r="C876" s="5"/>
      <c r="D876" s="5"/>
      <c r="E876" s="5"/>
      <c r="F876" s="5"/>
      <c r="G876" s="5"/>
      <c r="H876" s="5"/>
      <c r="I876" s="5"/>
      <c r="J876" s="5"/>
      <c r="K876" s="5"/>
      <c r="L876" s="5"/>
      <c r="M876" s="5"/>
      <c r="N876" s="5"/>
      <c r="O876" s="5"/>
    </row>
    <row r="877" spans="1:15">
      <c r="A877" s="4"/>
      <c r="B877" s="5"/>
      <c r="C877" s="5"/>
      <c r="D877" s="5"/>
      <c r="E877" s="5"/>
      <c r="F877" s="5"/>
      <c r="G877" s="5"/>
      <c r="H877" s="5"/>
      <c r="I877" s="5"/>
      <c r="J877" s="5"/>
      <c r="K877" s="5"/>
      <c r="L877" s="5"/>
      <c r="M877" s="5"/>
      <c r="N877" s="5"/>
      <c r="O877" s="5"/>
    </row>
    <row r="878" spans="1:15">
      <c r="A878" s="4"/>
      <c r="B878" s="5"/>
      <c r="C878" s="5"/>
      <c r="D878" s="5"/>
      <c r="E878" s="5"/>
      <c r="F878" s="5"/>
      <c r="G878" s="5"/>
      <c r="H878" s="5"/>
      <c r="I878" s="5"/>
      <c r="J878" s="5"/>
      <c r="K878" s="5"/>
      <c r="L878" s="5"/>
      <c r="M878" s="5"/>
      <c r="N878" s="5"/>
      <c r="O878" s="5"/>
    </row>
    <row r="879" spans="1:15">
      <c r="A879" s="4"/>
      <c r="B879" s="5"/>
      <c r="C879" s="5"/>
      <c r="D879" s="5"/>
      <c r="E879" s="5"/>
      <c r="F879" s="5"/>
      <c r="G879" s="5"/>
      <c r="H879" s="5"/>
      <c r="I879" s="5"/>
      <c r="J879" s="5"/>
      <c r="K879" s="5"/>
      <c r="L879" s="5"/>
      <c r="M879" s="5"/>
      <c r="N879" s="5"/>
      <c r="O879" s="5"/>
    </row>
    <row r="880" spans="1:15">
      <c r="A880" s="4"/>
      <c r="B880" s="5"/>
      <c r="C880" s="5"/>
      <c r="D880" s="5"/>
      <c r="E880" s="5"/>
      <c r="F880" s="5"/>
      <c r="G880" s="5"/>
      <c r="H880" s="5"/>
      <c r="I880" s="5"/>
      <c r="J880" s="5"/>
      <c r="K880" s="5"/>
      <c r="L880" s="5"/>
      <c r="M880" s="5"/>
      <c r="N880" s="5"/>
      <c r="O880" s="5"/>
    </row>
    <row r="881" spans="1:15">
      <c r="A881" s="4"/>
      <c r="B881" s="5"/>
      <c r="C881" s="5"/>
      <c r="D881" s="5"/>
      <c r="E881" s="5"/>
      <c r="F881" s="5"/>
      <c r="G881" s="5"/>
      <c r="H881" s="5"/>
      <c r="I881" s="5"/>
      <c r="J881" s="5"/>
      <c r="K881" s="5"/>
      <c r="L881" s="5"/>
      <c r="M881" s="5"/>
      <c r="N881" s="5"/>
      <c r="O881" s="5"/>
    </row>
    <row r="882" spans="1:15">
      <c r="A882" s="4"/>
      <c r="B882" s="5"/>
      <c r="C882" s="5"/>
      <c r="D882" s="5"/>
      <c r="E882" s="5"/>
      <c r="F882" s="5"/>
      <c r="G882" s="5"/>
      <c r="H882" s="5"/>
      <c r="I882" s="5"/>
      <c r="J882" s="5"/>
      <c r="K882" s="5"/>
      <c r="L882" s="5"/>
      <c r="M882" s="5"/>
      <c r="N882" s="5"/>
      <c r="O882" s="5"/>
    </row>
    <row r="883" spans="1:15">
      <c r="A883" s="4"/>
      <c r="B883" s="5"/>
      <c r="C883" s="5"/>
      <c r="D883" s="5"/>
      <c r="E883" s="5"/>
      <c r="F883" s="5"/>
      <c r="G883" s="5"/>
      <c r="H883" s="5"/>
      <c r="I883" s="5"/>
      <c r="J883" s="5"/>
      <c r="K883" s="5"/>
      <c r="L883" s="5"/>
      <c r="M883" s="5"/>
      <c r="N883" s="5"/>
      <c r="O883" s="5"/>
    </row>
    <row r="884" spans="1:15">
      <c r="A884" s="4"/>
      <c r="B884" s="5"/>
      <c r="C884" s="5"/>
      <c r="D884" s="5"/>
      <c r="E884" s="5"/>
      <c r="F884" s="5"/>
      <c r="G884" s="5"/>
      <c r="H884" s="5"/>
      <c r="I884" s="5"/>
      <c r="J884" s="5"/>
      <c r="K884" s="5"/>
      <c r="L884" s="5"/>
      <c r="M884" s="5"/>
      <c r="N884" s="5"/>
      <c r="O884" s="5"/>
    </row>
    <row r="885" spans="1:15">
      <c r="A885" s="4"/>
      <c r="B885" s="5"/>
      <c r="C885" s="5"/>
      <c r="D885" s="5"/>
      <c r="E885" s="5"/>
      <c r="F885" s="5"/>
      <c r="G885" s="5"/>
      <c r="H885" s="5"/>
      <c r="I885" s="5"/>
      <c r="J885" s="5"/>
      <c r="K885" s="5"/>
      <c r="L885" s="5"/>
      <c r="M885" s="5"/>
      <c r="N885" s="5"/>
      <c r="O885" s="5"/>
    </row>
    <row r="886" spans="1:15">
      <c r="A886" s="4"/>
      <c r="B886" s="5"/>
      <c r="C886" s="5"/>
      <c r="D886" s="5"/>
      <c r="E886" s="5"/>
      <c r="F886" s="5"/>
      <c r="G886" s="5"/>
      <c r="H886" s="5"/>
      <c r="I886" s="5"/>
      <c r="J886" s="5"/>
      <c r="K886" s="5"/>
      <c r="L886" s="5"/>
      <c r="M886" s="5"/>
      <c r="N886" s="5"/>
      <c r="O886" s="5"/>
    </row>
    <row r="887" spans="1:15">
      <c r="A887" s="4"/>
      <c r="B887" s="5"/>
      <c r="C887" s="5"/>
      <c r="D887" s="5"/>
      <c r="E887" s="5"/>
      <c r="F887" s="5"/>
      <c r="G887" s="5"/>
      <c r="H887" s="5"/>
      <c r="I887" s="5"/>
      <c r="J887" s="5"/>
      <c r="K887" s="5"/>
      <c r="L887" s="5"/>
      <c r="M887" s="5"/>
      <c r="N887" s="5"/>
      <c r="O887" s="5"/>
    </row>
    <row r="888" spans="1:15">
      <c r="A888" s="4"/>
      <c r="B888" s="5"/>
      <c r="C888" s="5"/>
      <c r="D888" s="5"/>
      <c r="E888" s="5"/>
      <c r="F888" s="5"/>
      <c r="G888" s="5"/>
      <c r="H888" s="5"/>
      <c r="I888" s="5"/>
      <c r="J888" s="5"/>
      <c r="K888" s="5"/>
      <c r="L888" s="5"/>
      <c r="M888" s="5"/>
      <c r="N888" s="5"/>
      <c r="O888" s="5"/>
    </row>
    <row r="889" spans="1:15">
      <c r="A889" s="4"/>
      <c r="B889" s="5"/>
      <c r="C889" s="5"/>
      <c r="D889" s="5"/>
      <c r="E889" s="5"/>
      <c r="F889" s="5"/>
      <c r="G889" s="5"/>
      <c r="H889" s="5"/>
      <c r="I889" s="5"/>
      <c r="J889" s="5"/>
      <c r="K889" s="5"/>
      <c r="L889" s="5"/>
      <c r="M889" s="5"/>
      <c r="N889" s="5"/>
      <c r="O889" s="5"/>
    </row>
    <row r="890" spans="1:15">
      <c r="A890" s="4"/>
      <c r="B890" s="5"/>
      <c r="C890" s="5"/>
      <c r="D890" s="5"/>
      <c r="E890" s="5"/>
      <c r="F890" s="5"/>
      <c r="G890" s="5"/>
      <c r="H890" s="5"/>
      <c r="I890" s="5"/>
      <c r="J890" s="5"/>
      <c r="K890" s="5"/>
      <c r="L890" s="5"/>
      <c r="M890" s="5"/>
      <c r="N890" s="5"/>
      <c r="O890" s="5"/>
    </row>
    <row r="891" spans="1:15">
      <c r="A891" s="4"/>
      <c r="B891" s="5"/>
      <c r="C891" s="5"/>
      <c r="D891" s="5"/>
      <c r="E891" s="5"/>
      <c r="F891" s="5"/>
      <c r="G891" s="5"/>
      <c r="H891" s="5"/>
      <c r="I891" s="5"/>
      <c r="J891" s="5"/>
      <c r="K891" s="5"/>
      <c r="L891" s="5"/>
      <c r="M891" s="5"/>
      <c r="N891" s="5"/>
      <c r="O891" s="5"/>
    </row>
    <row r="892" spans="1:15">
      <c r="A892" s="4"/>
      <c r="B892" s="5"/>
      <c r="C892" s="5"/>
      <c r="D892" s="5"/>
      <c r="E892" s="5"/>
      <c r="F892" s="5"/>
      <c r="G892" s="5"/>
      <c r="H892" s="5"/>
      <c r="I892" s="5"/>
      <c r="J892" s="5"/>
      <c r="K892" s="5"/>
      <c r="L892" s="5"/>
      <c r="M892" s="5"/>
      <c r="N892" s="5"/>
      <c r="O892" s="5"/>
    </row>
    <row r="893" spans="1:15">
      <c r="A893" s="4"/>
      <c r="B893" s="5"/>
      <c r="C893" s="5"/>
      <c r="D893" s="5"/>
      <c r="E893" s="5"/>
      <c r="F893" s="5"/>
      <c r="G893" s="5"/>
      <c r="H893" s="5"/>
      <c r="I893" s="5"/>
      <c r="J893" s="5"/>
      <c r="K893" s="5"/>
      <c r="L893" s="5"/>
      <c r="M893" s="5"/>
      <c r="N893" s="5"/>
      <c r="O893" s="5"/>
    </row>
    <row r="894" spans="1:15">
      <c r="A894" s="4"/>
      <c r="B894" s="5"/>
      <c r="C894" s="5"/>
      <c r="D894" s="5"/>
      <c r="E894" s="5"/>
      <c r="F894" s="5"/>
      <c r="G894" s="5"/>
      <c r="H894" s="5"/>
      <c r="I894" s="5"/>
      <c r="J894" s="5"/>
      <c r="K894" s="5"/>
      <c r="L894" s="5"/>
      <c r="M894" s="5"/>
      <c r="N894" s="5"/>
      <c r="O894" s="5"/>
    </row>
    <row r="895" spans="1:15">
      <c r="A895" s="4"/>
      <c r="B895" s="5"/>
      <c r="C895" s="5"/>
      <c r="D895" s="5"/>
      <c r="E895" s="5"/>
      <c r="F895" s="5"/>
      <c r="G895" s="5"/>
      <c r="H895" s="5"/>
      <c r="I895" s="5"/>
      <c r="J895" s="5"/>
      <c r="K895" s="5"/>
      <c r="L895" s="5"/>
      <c r="M895" s="5"/>
      <c r="N895" s="5"/>
      <c r="O895" s="5"/>
    </row>
    <row r="896" spans="1:15">
      <c r="A896" s="4"/>
      <c r="B896" s="5"/>
      <c r="C896" s="5"/>
      <c r="D896" s="5"/>
      <c r="E896" s="5"/>
      <c r="F896" s="5"/>
      <c r="G896" s="5"/>
      <c r="H896" s="5"/>
      <c r="I896" s="5"/>
      <c r="J896" s="5"/>
      <c r="K896" s="5"/>
      <c r="L896" s="5"/>
      <c r="M896" s="5"/>
      <c r="N896" s="5"/>
      <c r="O896" s="5"/>
    </row>
    <row r="897" spans="1:15">
      <c r="A897" s="4"/>
      <c r="B897" s="5"/>
      <c r="C897" s="5"/>
      <c r="D897" s="5"/>
      <c r="E897" s="5"/>
      <c r="F897" s="5"/>
      <c r="G897" s="5"/>
      <c r="H897" s="5"/>
      <c r="I897" s="5"/>
      <c r="J897" s="5"/>
      <c r="K897" s="5"/>
      <c r="L897" s="5"/>
      <c r="M897" s="5"/>
      <c r="N897" s="5"/>
      <c r="O897" s="5"/>
    </row>
    <row r="898" spans="1:15">
      <c r="A898" s="4"/>
      <c r="B898" s="5"/>
      <c r="C898" s="5"/>
      <c r="D898" s="5"/>
      <c r="E898" s="5"/>
      <c r="F898" s="5"/>
      <c r="G898" s="5"/>
      <c r="H898" s="5"/>
      <c r="I898" s="5"/>
      <c r="J898" s="5"/>
      <c r="K898" s="5"/>
      <c r="L898" s="5"/>
      <c r="M898" s="5"/>
      <c r="N898" s="5"/>
      <c r="O898" s="5"/>
    </row>
    <row r="899" spans="1:15">
      <c r="A899" s="4"/>
      <c r="B899" s="5"/>
      <c r="C899" s="5"/>
      <c r="D899" s="5"/>
      <c r="E899" s="5"/>
      <c r="F899" s="5"/>
      <c r="G899" s="5"/>
      <c r="H899" s="5"/>
      <c r="I899" s="5"/>
      <c r="J899" s="5"/>
      <c r="K899" s="5"/>
      <c r="L899" s="5"/>
      <c r="M899" s="5"/>
      <c r="N899" s="5"/>
      <c r="O899" s="5"/>
    </row>
    <row r="900" spans="1:15">
      <c r="A900" s="4"/>
      <c r="B900" s="5"/>
      <c r="C900" s="5"/>
      <c r="D900" s="5"/>
      <c r="E900" s="5"/>
      <c r="F900" s="5"/>
      <c r="G900" s="5"/>
      <c r="H900" s="5"/>
      <c r="I900" s="5"/>
      <c r="J900" s="5"/>
      <c r="K900" s="5"/>
      <c r="L900" s="5"/>
      <c r="M900" s="5"/>
      <c r="N900" s="5"/>
      <c r="O900" s="5"/>
    </row>
    <row r="901" spans="1:15">
      <c r="A901" s="4"/>
      <c r="B901" s="5"/>
      <c r="C901" s="5"/>
      <c r="D901" s="5"/>
      <c r="E901" s="5"/>
      <c r="F901" s="5"/>
      <c r="G901" s="5"/>
      <c r="H901" s="5"/>
      <c r="I901" s="5"/>
      <c r="J901" s="5"/>
      <c r="K901" s="5"/>
      <c r="L901" s="5"/>
      <c r="M901" s="5"/>
      <c r="N901" s="5"/>
      <c r="O901" s="5"/>
    </row>
    <row r="902" spans="1:15">
      <c r="A902" s="4"/>
      <c r="B902" s="5"/>
      <c r="C902" s="5"/>
      <c r="D902" s="5"/>
      <c r="E902" s="5"/>
      <c r="F902" s="5"/>
      <c r="G902" s="5"/>
      <c r="H902" s="5"/>
      <c r="I902" s="5"/>
      <c r="J902" s="5"/>
      <c r="K902" s="5"/>
      <c r="L902" s="5"/>
      <c r="M902" s="5"/>
      <c r="N902" s="5"/>
      <c r="O902" s="5"/>
    </row>
    <row r="903" spans="1:15">
      <c r="A903" s="4"/>
      <c r="B903" s="5"/>
      <c r="C903" s="5"/>
      <c r="D903" s="5"/>
      <c r="E903" s="5"/>
      <c r="F903" s="5"/>
      <c r="G903" s="5"/>
      <c r="H903" s="5"/>
      <c r="I903" s="5"/>
      <c r="J903" s="5"/>
      <c r="K903" s="5"/>
      <c r="L903" s="5"/>
      <c r="M903" s="5"/>
      <c r="N903" s="5"/>
      <c r="O903" s="5"/>
    </row>
    <row r="904" spans="1:15">
      <c r="A904" s="4"/>
      <c r="B904" s="5"/>
      <c r="C904" s="5"/>
      <c r="D904" s="5"/>
      <c r="E904" s="5"/>
      <c r="F904" s="5"/>
      <c r="G904" s="5"/>
      <c r="H904" s="5"/>
      <c r="I904" s="5"/>
      <c r="J904" s="5"/>
      <c r="K904" s="5"/>
      <c r="L904" s="5"/>
      <c r="M904" s="5"/>
      <c r="N904" s="5"/>
      <c r="O904" s="5"/>
    </row>
    <row r="905" spans="1:15">
      <c r="A905" s="4"/>
      <c r="B905" s="5"/>
      <c r="C905" s="5"/>
      <c r="D905" s="5"/>
      <c r="E905" s="5"/>
      <c r="F905" s="5"/>
      <c r="G905" s="5"/>
      <c r="H905" s="5"/>
      <c r="I905" s="5"/>
      <c r="J905" s="5"/>
      <c r="K905" s="5"/>
      <c r="L905" s="5"/>
      <c r="M905" s="5"/>
      <c r="N905" s="5"/>
      <c r="O905" s="5"/>
    </row>
    <row r="906" spans="1:15">
      <c r="A906" s="4"/>
      <c r="B906" s="5"/>
      <c r="C906" s="5"/>
      <c r="D906" s="5"/>
      <c r="E906" s="5"/>
      <c r="F906" s="5"/>
      <c r="G906" s="5"/>
      <c r="H906" s="5"/>
      <c r="I906" s="5"/>
      <c r="J906" s="5"/>
      <c r="K906" s="5"/>
      <c r="L906" s="5"/>
      <c r="M906" s="5"/>
      <c r="N906" s="5"/>
      <c r="O906" s="5"/>
    </row>
    <row r="907" spans="1:15">
      <c r="A907" s="4"/>
      <c r="B907" s="5"/>
      <c r="C907" s="5"/>
      <c r="D907" s="5"/>
      <c r="E907" s="5"/>
      <c r="F907" s="5"/>
      <c r="G907" s="5"/>
      <c r="H907" s="5"/>
      <c r="I907" s="5"/>
      <c r="J907" s="5"/>
      <c r="K907" s="5"/>
      <c r="L907" s="5"/>
      <c r="M907" s="5"/>
      <c r="N907" s="5"/>
      <c r="O907" s="5"/>
    </row>
    <row r="908" spans="1:15">
      <c r="A908" s="4"/>
      <c r="B908" s="5"/>
      <c r="C908" s="5"/>
      <c r="D908" s="5"/>
      <c r="E908" s="5"/>
      <c r="F908" s="5"/>
      <c r="G908" s="5"/>
      <c r="H908" s="5"/>
      <c r="I908" s="5"/>
      <c r="J908" s="5"/>
      <c r="K908" s="5"/>
      <c r="L908" s="5"/>
      <c r="M908" s="5"/>
      <c r="N908" s="5"/>
      <c r="O908" s="5"/>
    </row>
    <row r="909" spans="1:15">
      <c r="A909" s="4"/>
      <c r="B909" s="5"/>
      <c r="C909" s="5"/>
      <c r="D909" s="5"/>
      <c r="E909" s="5"/>
      <c r="F909" s="5"/>
      <c r="G909" s="5"/>
      <c r="H909" s="5"/>
      <c r="I909" s="5"/>
      <c r="J909" s="5"/>
      <c r="K909" s="5"/>
      <c r="L909" s="5"/>
      <c r="M909" s="5"/>
      <c r="N909" s="5"/>
      <c r="O909" s="5"/>
    </row>
    <row r="910" spans="1:15">
      <c r="A910" s="4"/>
      <c r="B910" s="5"/>
      <c r="C910" s="5"/>
      <c r="D910" s="5"/>
      <c r="E910" s="5"/>
      <c r="F910" s="5"/>
      <c r="G910" s="5"/>
      <c r="H910" s="5"/>
      <c r="I910" s="5"/>
      <c r="J910" s="5"/>
      <c r="K910" s="5"/>
      <c r="L910" s="5"/>
      <c r="M910" s="5"/>
      <c r="N910" s="5"/>
      <c r="O910" s="5"/>
    </row>
    <row r="911" spans="1:15">
      <c r="A911" s="4"/>
      <c r="B911" s="5"/>
      <c r="C911" s="5"/>
      <c r="D911" s="5"/>
      <c r="E911" s="5"/>
      <c r="F911" s="5"/>
      <c r="G911" s="5"/>
      <c r="H911" s="5"/>
      <c r="I911" s="5"/>
      <c r="J911" s="5"/>
      <c r="K911" s="5"/>
      <c r="L911" s="5"/>
      <c r="M911" s="5"/>
      <c r="N911" s="5"/>
      <c r="O911" s="5"/>
    </row>
    <row r="912" spans="1:15">
      <c r="A912" s="4"/>
      <c r="B912" s="5"/>
      <c r="C912" s="5"/>
      <c r="D912" s="5"/>
      <c r="E912" s="5"/>
      <c r="F912" s="5"/>
      <c r="G912" s="5"/>
      <c r="H912" s="5"/>
      <c r="I912" s="5"/>
      <c r="J912" s="5"/>
      <c r="K912" s="5"/>
      <c r="L912" s="5"/>
      <c r="M912" s="5"/>
      <c r="N912" s="5"/>
      <c r="O912" s="5"/>
    </row>
    <row r="913" spans="1:15">
      <c r="A913" s="4"/>
      <c r="B913" s="5"/>
      <c r="C913" s="5"/>
      <c r="D913" s="5"/>
      <c r="E913" s="5"/>
      <c r="F913" s="5"/>
      <c r="G913" s="5"/>
      <c r="H913" s="5"/>
      <c r="I913" s="5"/>
      <c r="J913" s="5"/>
      <c r="K913" s="5"/>
      <c r="L913" s="5"/>
      <c r="M913" s="5"/>
      <c r="N913" s="5"/>
      <c r="O913" s="5"/>
    </row>
    <row r="914" spans="1:15">
      <c r="A914" s="4"/>
      <c r="B914" s="5"/>
      <c r="C914" s="5"/>
      <c r="D914" s="5"/>
      <c r="E914" s="5"/>
      <c r="F914" s="5"/>
      <c r="G914" s="5"/>
      <c r="H914" s="5"/>
      <c r="I914" s="5"/>
      <c r="J914" s="5"/>
      <c r="K914" s="5"/>
      <c r="L914" s="5"/>
      <c r="M914" s="5"/>
      <c r="N914" s="5"/>
      <c r="O914" s="5"/>
    </row>
    <row r="915" spans="1:15">
      <c r="A915" s="4"/>
      <c r="B915" s="5"/>
      <c r="C915" s="5"/>
      <c r="D915" s="5"/>
      <c r="E915" s="5"/>
      <c r="F915" s="5"/>
      <c r="G915" s="5"/>
      <c r="H915" s="5"/>
      <c r="I915" s="5"/>
      <c r="J915" s="5"/>
      <c r="K915" s="5"/>
      <c r="L915" s="5"/>
      <c r="M915" s="5"/>
      <c r="N915" s="5"/>
      <c r="O915" s="5"/>
    </row>
    <row r="916" spans="1:15">
      <c r="A916" s="4"/>
      <c r="B916" s="5"/>
      <c r="C916" s="5"/>
      <c r="D916" s="5"/>
      <c r="E916" s="5"/>
      <c r="F916" s="5"/>
      <c r="G916" s="5"/>
      <c r="H916" s="5"/>
      <c r="I916" s="5"/>
      <c r="J916" s="5"/>
      <c r="K916" s="5"/>
      <c r="L916" s="5"/>
      <c r="M916" s="5"/>
      <c r="N916" s="5"/>
      <c r="O916" s="5"/>
    </row>
    <row r="917" spans="1:15">
      <c r="A917" s="4"/>
      <c r="B917" s="5"/>
      <c r="C917" s="5"/>
      <c r="D917" s="5"/>
      <c r="E917" s="5"/>
      <c r="F917" s="5"/>
      <c r="G917" s="5"/>
      <c r="H917" s="5"/>
      <c r="I917" s="5"/>
      <c r="J917" s="5"/>
      <c r="K917" s="5"/>
      <c r="L917" s="5"/>
      <c r="M917" s="5"/>
      <c r="N917" s="5"/>
      <c r="O917" s="5"/>
    </row>
    <row r="918" spans="1:15">
      <c r="A918" s="4"/>
      <c r="B918" s="5"/>
      <c r="C918" s="5"/>
      <c r="D918" s="5"/>
      <c r="E918" s="5"/>
      <c r="F918" s="5"/>
      <c r="G918" s="5"/>
      <c r="H918" s="5"/>
      <c r="I918" s="5"/>
      <c r="J918" s="5"/>
      <c r="K918" s="5"/>
      <c r="L918" s="5"/>
      <c r="M918" s="5"/>
      <c r="N918" s="5"/>
      <c r="O918" s="5"/>
    </row>
    <row r="919" spans="1:15">
      <c r="A919" s="4"/>
      <c r="B919" s="5"/>
      <c r="C919" s="5"/>
      <c r="D919" s="5"/>
      <c r="E919" s="5"/>
      <c r="F919" s="5"/>
      <c r="G919" s="5"/>
      <c r="H919" s="5"/>
      <c r="I919" s="5"/>
      <c r="J919" s="5"/>
      <c r="K919" s="5"/>
      <c r="L919" s="5"/>
      <c r="M919" s="5"/>
      <c r="N919" s="5"/>
      <c r="O919" s="5"/>
    </row>
    <row r="920" spans="1:15">
      <c r="A920" s="4"/>
      <c r="B920" s="5"/>
      <c r="C920" s="5"/>
      <c r="D920" s="5"/>
      <c r="E920" s="5"/>
      <c r="F920" s="5"/>
      <c r="G920" s="5"/>
      <c r="H920" s="5"/>
      <c r="I920" s="5"/>
      <c r="J920" s="5"/>
      <c r="K920" s="5"/>
      <c r="L920" s="5"/>
      <c r="M920" s="5"/>
      <c r="N920" s="5"/>
      <c r="O920" s="5"/>
    </row>
    <row r="921" spans="1:15">
      <c r="A921" s="4"/>
      <c r="B921" s="5"/>
      <c r="C921" s="5"/>
      <c r="D921" s="5"/>
      <c r="E921" s="5"/>
      <c r="F921" s="5"/>
      <c r="G921" s="5"/>
      <c r="H921" s="5"/>
      <c r="I921" s="5"/>
      <c r="J921" s="5"/>
      <c r="K921" s="5"/>
      <c r="L921" s="5"/>
      <c r="M921" s="5"/>
      <c r="N921" s="5"/>
      <c r="O921" s="5"/>
    </row>
    <row r="922" spans="1:15">
      <c r="A922" s="4"/>
      <c r="B922" s="5"/>
      <c r="C922" s="5"/>
      <c r="D922" s="5"/>
      <c r="E922" s="5"/>
      <c r="F922" s="5"/>
      <c r="G922" s="5"/>
      <c r="H922" s="5"/>
      <c r="I922" s="5"/>
      <c r="J922" s="5"/>
      <c r="K922" s="5"/>
      <c r="L922" s="5"/>
      <c r="M922" s="5"/>
      <c r="N922" s="5"/>
      <c r="O922" s="5"/>
    </row>
    <row r="923" spans="1:15">
      <c r="A923" s="4"/>
      <c r="B923" s="5"/>
      <c r="C923" s="5"/>
      <c r="D923" s="5"/>
      <c r="E923" s="5"/>
      <c r="F923" s="5"/>
      <c r="G923" s="5"/>
      <c r="H923" s="5"/>
      <c r="I923" s="5"/>
      <c r="J923" s="5"/>
      <c r="K923" s="5"/>
      <c r="L923" s="5"/>
      <c r="M923" s="5"/>
      <c r="N923" s="5"/>
      <c r="O923" s="5"/>
    </row>
    <row r="924" spans="1:15">
      <c r="A924" s="4"/>
      <c r="B924" s="5"/>
      <c r="C924" s="5"/>
      <c r="D924" s="5"/>
      <c r="E924" s="5"/>
      <c r="F924" s="5"/>
      <c r="G924" s="5"/>
      <c r="H924" s="5"/>
      <c r="I924" s="5"/>
      <c r="J924" s="5"/>
      <c r="K924" s="5"/>
      <c r="L924" s="5"/>
      <c r="M924" s="5"/>
      <c r="N924" s="5"/>
      <c r="O924" s="5"/>
    </row>
    <row r="925" spans="1:15">
      <c r="A925" s="4"/>
      <c r="B925" s="5"/>
      <c r="C925" s="5"/>
      <c r="D925" s="5"/>
      <c r="E925" s="5"/>
      <c r="F925" s="5"/>
      <c r="G925" s="5"/>
      <c r="H925" s="5"/>
      <c r="I925" s="5"/>
      <c r="J925" s="5"/>
      <c r="K925" s="5"/>
      <c r="L925" s="5"/>
      <c r="M925" s="5"/>
      <c r="N925" s="5"/>
      <c r="O925" s="5"/>
    </row>
    <row r="926" spans="1:15">
      <c r="A926" s="4"/>
      <c r="B926" s="5"/>
      <c r="C926" s="5"/>
      <c r="D926" s="5"/>
      <c r="E926" s="5"/>
      <c r="F926" s="5"/>
      <c r="G926" s="5"/>
      <c r="H926" s="5"/>
      <c r="I926" s="5"/>
      <c r="J926" s="5"/>
      <c r="K926" s="5"/>
      <c r="L926" s="5"/>
      <c r="M926" s="5"/>
      <c r="N926" s="5"/>
      <c r="O926" s="5"/>
    </row>
    <row r="927" spans="1:15">
      <c r="A927" s="4"/>
      <c r="B927" s="5"/>
      <c r="C927" s="5"/>
      <c r="D927" s="5"/>
      <c r="E927" s="5"/>
      <c r="F927" s="5"/>
      <c r="G927" s="5"/>
      <c r="H927" s="5"/>
      <c r="I927" s="5"/>
      <c r="J927" s="5"/>
      <c r="K927" s="5"/>
      <c r="L927" s="5"/>
      <c r="M927" s="5"/>
      <c r="N927" s="5"/>
      <c r="O927" s="5"/>
    </row>
    <row r="928" spans="1:15">
      <c r="A928" s="4"/>
      <c r="B928" s="5"/>
      <c r="C928" s="5"/>
      <c r="D928" s="5"/>
      <c r="E928" s="5"/>
      <c r="F928" s="5"/>
      <c r="G928" s="5"/>
      <c r="H928" s="5"/>
      <c r="I928" s="5"/>
      <c r="J928" s="5"/>
      <c r="K928" s="5"/>
      <c r="L928" s="5"/>
      <c r="M928" s="5"/>
      <c r="N928" s="5"/>
      <c r="O928" s="5"/>
    </row>
    <row r="929" spans="1:15">
      <c r="A929" s="4"/>
      <c r="B929" s="5"/>
      <c r="C929" s="5"/>
      <c r="D929" s="5"/>
      <c r="E929" s="5"/>
      <c r="F929" s="5"/>
      <c r="G929" s="5"/>
      <c r="H929" s="5"/>
      <c r="I929" s="5"/>
      <c r="J929" s="5"/>
      <c r="K929" s="5"/>
      <c r="L929" s="5"/>
      <c r="M929" s="5"/>
      <c r="N929" s="5"/>
      <c r="O929" s="5"/>
    </row>
    <row r="930" spans="1:15">
      <c r="A930" s="4"/>
      <c r="B930" s="5"/>
      <c r="C930" s="5"/>
      <c r="D930" s="5"/>
      <c r="E930" s="5"/>
      <c r="F930" s="5"/>
      <c r="G930" s="5"/>
      <c r="H930" s="5"/>
      <c r="I930" s="5"/>
      <c r="J930" s="5"/>
      <c r="K930" s="5"/>
      <c r="L930" s="5"/>
      <c r="M930" s="5"/>
      <c r="N930" s="5"/>
      <c r="O930" s="5"/>
    </row>
    <row r="931" spans="1:15">
      <c r="A931" s="4"/>
      <c r="B931" s="5"/>
      <c r="C931" s="5"/>
      <c r="D931" s="5"/>
      <c r="E931" s="5"/>
      <c r="F931" s="5"/>
      <c r="G931" s="5"/>
      <c r="H931" s="5"/>
      <c r="I931" s="5"/>
      <c r="J931" s="5"/>
      <c r="K931" s="5"/>
      <c r="L931" s="5"/>
      <c r="M931" s="5"/>
      <c r="N931" s="5"/>
      <c r="O931" s="5"/>
    </row>
    <row r="932" spans="1:15">
      <c r="A932" s="4"/>
      <c r="B932" s="5"/>
      <c r="C932" s="5"/>
      <c r="D932" s="5"/>
      <c r="E932" s="5"/>
      <c r="F932" s="5"/>
      <c r="G932" s="5"/>
      <c r="H932" s="5"/>
      <c r="I932" s="5"/>
      <c r="J932" s="5"/>
      <c r="K932" s="5"/>
      <c r="L932" s="5"/>
      <c r="M932" s="5"/>
      <c r="N932" s="5"/>
      <c r="O932" s="5"/>
    </row>
    <row r="933" spans="1:15">
      <c r="A933" s="4"/>
      <c r="B933" s="5"/>
      <c r="C933" s="5"/>
      <c r="D933" s="5"/>
      <c r="E933" s="5"/>
      <c r="F933" s="5"/>
      <c r="G933" s="5"/>
      <c r="H933" s="5"/>
      <c r="I933" s="5"/>
      <c r="J933" s="5"/>
      <c r="K933" s="5"/>
      <c r="L933" s="5"/>
      <c r="M933" s="5"/>
      <c r="N933" s="5"/>
      <c r="O933" s="5"/>
    </row>
    <row r="934" spans="1:15">
      <c r="A934" s="4"/>
      <c r="B934" s="5"/>
      <c r="C934" s="5"/>
      <c r="D934" s="5"/>
      <c r="E934" s="5"/>
      <c r="F934" s="5"/>
      <c r="G934" s="5"/>
      <c r="H934" s="5"/>
      <c r="I934" s="5"/>
      <c r="J934" s="5"/>
      <c r="K934" s="5"/>
      <c r="L934" s="5"/>
      <c r="M934" s="5"/>
      <c r="N934" s="5"/>
      <c r="O934" s="5"/>
    </row>
    <row r="935" spans="1:15">
      <c r="A935" s="4"/>
      <c r="B935" s="5"/>
      <c r="C935" s="5"/>
      <c r="D935" s="5"/>
      <c r="E935" s="5"/>
      <c r="F935" s="5"/>
      <c r="G935" s="5"/>
      <c r="H935" s="5"/>
      <c r="I935" s="5"/>
      <c r="J935" s="5"/>
      <c r="K935" s="5"/>
      <c r="L935" s="5"/>
      <c r="M935" s="5"/>
      <c r="N935" s="5"/>
      <c r="O935" s="5"/>
    </row>
    <row r="936" spans="1:15">
      <c r="A936" s="4"/>
      <c r="B936" s="5"/>
      <c r="C936" s="5"/>
      <c r="D936" s="5"/>
      <c r="E936" s="5"/>
      <c r="F936" s="5"/>
      <c r="G936" s="5"/>
      <c r="H936" s="5"/>
      <c r="I936" s="5"/>
      <c r="J936" s="5"/>
      <c r="K936" s="5"/>
      <c r="L936" s="5"/>
      <c r="M936" s="5"/>
      <c r="N936" s="5"/>
      <c r="O936" s="5"/>
    </row>
    <row r="937" spans="1:15">
      <c r="A937" s="4"/>
      <c r="B937" s="5"/>
      <c r="C937" s="5"/>
      <c r="D937" s="5"/>
      <c r="E937" s="5"/>
      <c r="F937" s="5"/>
      <c r="G937" s="5"/>
      <c r="H937" s="5"/>
      <c r="I937" s="5"/>
      <c r="J937" s="5"/>
      <c r="K937" s="5"/>
      <c r="L937" s="5"/>
      <c r="M937" s="5"/>
      <c r="N937" s="5"/>
      <c r="O937" s="5"/>
    </row>
    <row r="938" spans="1:15">
      <c r="A938" s="4"/>
      <c r="B938" s="5"/>
      <c r="C938" s="5"/>
      <c r="D938" s="5"/>
      <c r="E938" s="5"/>
      <c r="F938" s="5"/>
      <c r="G938" s="5"/>
      <c r="H938" s="5"/>
      <c r="I938" s="5"/>
      <c r="J938" s="5"/>
      <c r="K938" s="5"/>
      <c r="L938" s="5"/>
      <c r="M938" s="5"/>
      <c r="N938" s="5"/>
      <c r="O938" s="5"/>
    </row>
    <row r="939" spans="1:15">
      <c r="A939" s="4"/>
      <c r="B939" s="5"/>
      <c r="C939" s="5"/>
      <c r="D939" s="5"/>
      <c r="E939" s="5"/>
      <c r="F939" s="5"/>
      <c r="G939" s="5"/>
      <c r="H939" s="5"/>
      <c r="I939" s="5"/>
      <c r="J939" s="5"/>
      <c r="K939" s="5"/>
      <c r="L939" s="5"/>
      <c r="M939" s="5"/>
      <c r="N939" s="5"/>
      <c r="O939" s="5"/>
    </row>
    <row r="940" spans="1:15">
      <c r="A940" s="4"/>
      <c r="B940" s="5"/>
      <c r="C940" s="5"/>
      <c r="D940" s="5"/>
      <c r="E940" s="5"/>
      <c r="F940" s="5"/>
      <c r="G940" s="5"/>
      <c r="H940" s="5"/>
      <c r="I940" s="5"/>
      <c r="J940" s="5"/>
      <c r="K940" s="5"/>
      <c r="L940" s="5"/>
      <c r="M940" s="5"/>
      <c r="N940" s="5"/>
      <c r="O940" s="5"/>
    </row>
    <row r="941" spans="1:15">
      <c r="A941" s="4"/>
      <c r="B941" s="5"/>
      <c r="C941" s="5"/>
      <c r="D941" s="5"/>
      <c r="E941" s="5"/>
      <c r="F941" s="5"/>
      <c r="G941" s="5"/>
      <c r="H941" s="5"/>
      <c r="I941" s="5"/>
      <c r="J941" s="5"/>
      <c r="K941" s="5"/>
      <c r="L941" s="5"/>
      <c r="M941" s="5"/>
      <c r="N941" s="5"/>
      <c r="O941" s="5"/>
    </row>
    <row r="942" spans="1:15">
      <c r="A942" s="4"/>
      <c r="B942" s="5"/>
      <c r="C942" s="5"/>
      <c r="D942" s="5"/>
      <c r="E942" s="5"/>
      <c r="F942" s="5"/>
      <c r="G942" s="5"/>
      <c r="H942" s="5"/>
      <c r="I942" s="5"/>
      <c r="J942" s="5"/>
      <c r="K942" s="5"/>
      <c r="L942" s="5"/>
      <c r="M942" s="5"/>
      <c r="N942" s="5"/>
      <c r="O942" s="5"/>
    </row>
    <row r="943" spans="1:15">
      <c r="A943" s="4"/>
      <c r="B943" s="5"/>
      <c r="C943" s="5"/>
      <c r="D943" s="5"/>
      <c r="E943" s="5"/>
      <c r="F943" s="5"/>
      <c r="G943" s="5"/>
      <c r="H943" s="5"/>
      <c r="I943" s="5"/>
      <c r="J943" s="5"/>
      <c r="K943" s="5"/>
      <c r="L943" s="5"/>
      <c r="M943" s="5"/>
      <c r="N943" s="5"/>
      <c r="O943" s="5"/>
    </row>
    <row r="944" spans="1:15">
      <c r="A944" s="4"/>
      <c r="B944" s="5"/>
      <c r="C944" s="5"/>
      <c r="D944" s="5"/>
      <c r="E944" s="5"/>
      <c r="F944" s="5"/>
      <c r="G944" s="5"/>
      <c r="H944" s="5"/>
      <c r="I944" s="5"/>
      <c r="J944" s="5"/>
      <c r="K944" s="5"/>
      <c r="L944" s="5"/>
      <c r="M944" s="5"/>
      <c r="N944" s="5"/>
      <c r="O944" s="5"/>
    </row>
    <row r="945" spans="1:15">
      <c r="A945" s="4"/>
      <c r="B945" s="5"/>
      <c r="C945" s="5"/>
      <c r="D945" s="5"/>
      <c r="E945" s="5"/>
      <c r="F945" s="5"/>
      <c r="G945" s="5"/>
      <c r="H945" s="5"/>
      <c r="I945" s="5"/>
      <c r="J945" s="5"/>
      <c r="K945" s="5"/>
      <c r="L945" s="5"/>
      <c r="M945" s="5"/>
      <c r="N945" s="5"/>
      <c r="O945" s="5"/>
    </row>
    <row r="946" spans="1:15">
      <c r="A946" s="4"/>
      <c r="B946" s="5"/>
      <c r="C946" s="5"/>
      <c r="D946" s="5"/>
      <c r="E946" s="5"/>
      <c r="F946" s="5"/>
      <c r="G946" s="5"/>
      <c r="H946" s="5"/>
      <c r="I946" s="5"/>
      <c r="J946" s="5"/>
      <c r="K946" s="5"/>
      <c r="L946" s="5"/>
      <c r="M946" s="5"/>
      <c r="N946" s="5"/>
      <c r="O946" s="5"/>
    </row>
    <row r="947" spans="1:15">
      <c r="A947" s="4"/>
      <c r="B947" s="5"/>
      <c r="C947" s="5"/>
      <c r="D947" s="5"/>
      <c r="E947" s="5"/>
      <c r="F947" s="5"/>
      <c r="G947" s="5"/>
      <c r="H947" s="5"/>
      <c r="I947" s="5"/>
      <c r="J947" s="5"/>
      <c r="K947" s="5"/>
      <c r="L947" s="5"/>
      <c r="M947" s="5"/>
      <c r="N947" s="5"/>
      <c r="O947" s="5"/>
    </row>
    <row r="948" spans="1:15">
      <c r="A948" s="4"/>
      <c r="B948" s="5"/>
      <c r="C948" s="5"/>
      <c r="D948" s="5"/>
      <c r="E948" s="5"/>
      <c r="F948" s="5"/>
      <c r="G948" s="5"/>
      <c r="H948" s="5"/>
      <c r="I948" s="5"/>
      <c r="J948" s="5"/>
      <c r="K948" s="5"/>
      <c r="L948" s="5"/>
      <c r="M948" s="5"/>
      <c r="N948" s="5"/>
      <c r="O948" s="5"/>
    </row>
    <row r="949" spans="1:15">
      <c r="A949" s="4"/>
      <c r="B949" s="5"/>
      <c r="C949" s="5"/>
      <c r="D949" s="5"/>
      <c r="E949" s="5"/>
      <c r="F949" s="5"/>
      <c r="G949" s="5"/>
      <c r="H949" s="5"/>
      <c r="I949" s="5"/>
      <c r="J949" s="5"/>
      <c r="K949" s="5"/>
      <c r="L949" s="5"/>
      <c r="M949" s="5"/>
      <c r="N949" s="5"/>
      <c r="O949" s="5"/>
    </row>
    <row r="950" spans="1:15">
      <c r="A950" s="4"/>
      <c r="B950" s="5"/>
      <c r="C950" s="5"/>
      <c r="D950" s="5"/>
      <c r="E950" s="5"/>
      <c r="F950" s="5"/>
      <c r="G950" s="5"/>
      <c r="H950" s="5"/>
      <c r="I950" s="5"/>
      <c r="J950" s="5"/>
      <c r="K950" s="5"/>
      <c r="L950" s="5"/>
      <c r="M950" s="5"/>
      <c r="N950" s="5"/>
      <c r="O950" s="5"/>
    </row>
    <row r="951" spans="1:15">
      <c r="A951" s="4"/>
      <c r="B951" s="5"/>
      <c r="C951" s="5"/>
      <c r="D951" s="5"/>
      <c r="E951" s="5"/>
      <c r="F951" s="5"/>
      <c r="G951" s="5"/>
      <c r="H951" s="5"/>
      <c r="I951" s="5"/>
      <c r="J951" s="5"/>
      <c r="K951" s="5"/>
      <c r="L951" s="5"/>
      <c r="M951" s="5"/>
      <c r="N951" s="5"/>
      <c r="O951" s="5"/>
    </row>
    <row r="952" spans="1:15">
      <c r="A952" s="4"/>
      <c r="B952" s="5"/>
      <c r="C952" s="5"/>
      <c r="D952" s="5"/>
      <c r="E952" s="5"/>
      <c r="F952" s="5"/>
      <c r="G952" s="5"/>
      <c r="H952" s="5"/>
      <c r="I952" s="5"/>
      <c r="J952" s="5"/>
      <c r="K952" s="5"/>
      <c r="L952" s="5"/>
      <c r="M952" s="5"/>
      <c r="N952" s="5"/>
      <c r="O952" s="5"/>
    </row>
    <row r="953" spans="1:15">
      <c r="A953" s="4"/>
      <c r="B953" s="5"/>
      <c r="C953" s="5"/>
      <c r="D953" s="5"/>
      <c r="E953" s="5"/>
      <c r="F953" s="5"/>
      <c r="G953" s="5"/>
      <c r="H953" s="5"/>
      <c r="I953" s="5"/>
      <c r="J953" s="5"/>
      <c r="K953" s="5"/>
      <c r="L953" s="5"/>
      <c r="M953" s="5"/>
      <c r="N953" s="5"/>
      <c r="O953" s="5"/>
    </row>
    <row r="954" spans="1:15">
      <c r="A954" s="4"/>
      <c r="B954" s="5"/>
      <c r="C954" s="5"/>
      <c r="D954" s="5"/>
      <c r="E954" s="5"/>
      <c r="F954" s="5"/>
      <c r="G954" s="5"/>
      <c r="H954" s="5"/>
      <c r="I954" s="5"/>
      <c r="J954" s="5"/>
      <c r="K954" s="5"/>
      <c r="L954" s="5"/>
      <c r="M954" s="5"/>
      <c r="N954" s="5"/>
      <c r="O954" s="5"/>
    </row>
    <row r="955" spans="1:15">
      <c r="A955" s="4"/>
      <c r="B955" s="5"/>
      <c r="C955" s="5"/>
      <c r="D955" s="5"/>
      <c r="E955" s="5"/>
      <c r="F955" s="5"/>
      <c r="G955" s="5"/>
      <c r="H955" s="5"/>
      <c r="I955" s="5"/>
      <c r="J955" s="5"/>
      <c r="K955" s="5"/>
      <c r="L955" s="5"/>
      <c r="M955" s="5"/>
      <c r="N955" s="5"/>
      <c r="O955" s="5"/>
    </row>
    <row r="956" spans="1:15">
      <c r="A956" s="4"/>
      <c r="B956" s="5"/>
      <c r="C956" s="5"/>
      <c r="D956" s="5"/>
      <c r="E956" s="5"/>
      <c r="F956" s="5"/>
      <c r="G956" s="5"/>
      <c r="H956" s="5"/>
      <c r="I956" s="5"/>
      <c r="J956" s="5"/>
      <c r="K956" s="5"/>
      <c r="L956" s="5"/>
      <c r="M956" s="5"/>
      <c r="N956" s="5"/>
      <c r="O956" s="5"/>
    </row>
    <row r="957" spans="1:15">
      <c r="A957" s="4"/>
      <c r="B957" s="5"/>
      <c r="C957" s="5"/>
      <c r="D957" s="5"/>
      <c r="E957" s="5"/>
      <c r="F957" s="5"/>
      <c r="G957" s="5"/>
      <c r="H957" s="5"/>
      <c r="I957" s="5"/>
      <c r="J957" s="5"/>
      <c r="K957" s="5"/>
      <c r="L957" s="5"/>
      <c r="M957" s="5"/>
      <c r="N957" s="5"/>
      <c r="O957" s="5"/>
    </row>
    <row r="958" spans="1:15">
      <c r="A958" s="4"/>
      <c r="B958" s="5"/>
      <c r="C958" s="5"/>
      <c r="D958" s="5"/>
      <c r="E958" s="5"/>
      <c r="F958" s="5"/>
      <c r="G958" s="5"/>
      <c r="H958" s="5"/>
      <c r="I958" s="5"/>
      <c r="J958" s="5"/>
      <c r="K958" s="5"/>
      <c r="L958" s="5"/>
      <c r="M958" s="5"/>
      <c r="N958" s="5"/>
      <c r="O958" s="5"/>
    </row>
    <row r="959" spans="1:15">
      <c r="A959" s="4"/>
      <c r="B959" s="5"/>
      <c r="C959" s="5"/>
      <c r="D959" s="5"/>
      <c r="E959" s="5"/>
      <c r="F959" s="5"/>
      <c r="G959" s="5"/>
      <c r="H959" s="5"/>
      <c r="I959" s="5"/>
      <c r="J959" s="5"/>
      <c r="K959" s="5"/>
      <c r="L959" s="5"/>
      <c r="M959" s="5"/>
      <c r="N959" s="5"/>
      <c r="O959" s="5"/>
    </row>
    <row r="960" spans="1:15">
      <c r="A960" s="4"/>
      <c r="B960" s="5"/>
      <c r="C960" s="5"/>
      <c r="D960" s="5"/>
      <c r="E960" s="5"/>
      <c r="F960" s="5"/>
      <c r="G960" s="5"/>
      <c r="H960" s="5"/>
      <c r="I960" s="5"/>
      <c r="J960" s="5"/>
      <c r="K960" s="5"/>
      <c r="L960" s="5"/>
      <c r="M960" s="5"/>
      <c r="N960" s="5"/>
      <c r="O960" s="5"/>
    </row>
    <row r="961" spans="1:15">
      <c r="A961" s="4"/>
      <c r="B961" s="5"/>
      <c r="C961" s="5"/>
      <c r="D961" s="5"/>
      <c r="E961" s="5"/>
      <c r="F961" s="5"/>
      <c r="G961" s="5"/>
      <c r="H961" s="5"/>
      <c r="I961" s="5"/>
      <c r="J961" s="5"/>
      <c r="K961" s="5"/>
      <c r="L961" s="5"/>
      <c r="M961" s="5"/>
      <c r="N961" s="5"/>
      <c r="O961" s="5"/>
    </row>
    <row r="962" spans="1:15">
      <c r="A962" s="4"/>
      <c r="B962" s="5"/>
      <c r="C962" s="5"/>
      <c r="D962" s="5"/>
      <c r="E962" s="5"/>
      <c r="F962" s="5"/>
      <c r="G962" s="5"/>
      <c r="H962" s="5"/>
      <c r="I962" s="5"/>
      <c r="J962" s="5"/>
      <c r="K962" s="5"/>
      <c r="L962" s="5"/>
      <c r="M962" s="5"/>
      <c r="N962" s="5"/>
      <c r="O962" s="5"/>
    </row>
    <row r="963" spans="1:15">
      <c r="A963" s="4"/>
      <c r="B963" s="5"/>
      <c r="C963" s="5"/>
      <c r="D963" s="5"/>
      <c r="E963" s="5"/>
      <c r="F963" s="5"/>
      <c r="G963" s="5"/>
      <c r="H963" s="5"/>
      <c r="I963" s="5"/>
      <c r="J963" s="5"/>
      <c r="K963" s="5"/>
      <c r="L963" s="5"/>
      <c r="M963" s="5"/>
      <c r="N963" s="5"/>
      <c r="O963" s="5"/>
    </row>
    <row r="964" spans="1:15">
      <c r="A964" s="4"/>
      <c r="B964" s="5"/>
      <c r="C964" s="5"/>
      <c r="D964" s="5"/>
      <c r="E964" s="5"/>
      <c r="F964" s="5"/>
      <c r="G964" s="5"/>
      <c r="H964" s="5"/>
      <c r="I964" s="5"/>
      <c r="J964" s="5"/>
      <c r="K964" s="5"/>
      <c r="L964" s="5"/>
      <c r="M964" s="5"/>
      <c r="N964" s="5"/>
      <c r="O964" s="5"/>
    </row>
    <row r="965" spans="1:15">
      <c r="A965" s="4"/>
      <c r="B965" s="5"/>
      <c r="C965" s="5"/>
      <c r="D965" s="5"/>
      <c r="E965" s="5"/>
      <c r="F965" s="5"/>
      <c r="G965" s="5"/>
      <c r="H965" s="5"/>
      <c r="I965" s="5"/>
      <c r="J965" s="5"/>
      <c r="K965" s="5"/>
      <c r="L965" s="5"/>
      <c r="M965" s="5"/>
      <c r="N965" s="5"/>
      <c r="O965" s="5"/>
    </row>
    <row r="966" spans="1:15">
      <c r="A966" s="4"/>
      <c r="B966" s="5"/>
      <c r="C966" s="5"/>
      <c r="D966" s="5"/>
      <c r="E966" s="5"/>
      <c r="F966" s="5"/>
      <c r="G966" s="5"/>
      <c r="H966" s="5"/>
      <c r="I966" s="5"/>
      <c r="J966" s="5"/>
      <c r="K966" s="5"/>
      <c r="L966" s="5"/>
      <c r="M966" s="5"/>
      <c r="N966" s="5"/>
      <c r="O966" s="5"/>
    </row>
    <row r="967" spans="1:15">
      <c r="A967" s="4"/>
      <c r="B967" s="5"/>
      <c r="C967" s="5"/>
      <c r="D967" s="5"/>
      <c r="E967" s="5"/>
      <c r="F967" s="5"/>
      <c r="G967" s="5"/>
      <c r="H967" s="5"/>
      <c r="I967" s="5"/>
      <c r="J967" s="5"/>
      <c r="K967" s="5"/>
      <c r="L967" s="5"/>
      <c r="M967" s="5"/>
      <c r="N967" s="5"/>
      <c r="O967" s="5"/>
    </row>
    <row r="968" spans="1:15">
      <c r="A968" s="4"/>
      <c r="B968" s="5"/>
      <c r="C968" s="5"/>
      <c r="D968" s="5"/>
      <c r="E968" s="5"/>
      <c r="F968" s="5"/>
      <c r="G968" s="5"/>
      <c r="H968" s="5"/>
      <c r="I968" s="5"/>
      <c r="J968" s="5"/>
      <c r="K968" s="5"/>
      <c r="L968" s="5"/>
      <c r="M968" s="5"/>
      <c r="N968" s="5"/>
      <c r="O968" s="5"/>
    </row>
    <row r="969" spans="1:15">
      <c r="A969" s="4"/>
      <c r="B969" s="5"/>
      <c r="C969" s="5"/>
      <c r="D969" s="5"/>
      <c r="E969" s="5"/>
      <c r="F969" s="5"/>
      <c r="G969" s="5"/>
      <c r="H969" s="5"/>
      <c r="I969" s="5"/>
      <c r="J969" s="5"/>
      <c r="K969" s="5"/>
      <c r="L969" s="5"/>
      <c r="M969" s="5"/>
      <c r="N969" s="5"/>
      <c r="O969" s="5"/>
    </row>
    <row r="970" spans="1:15">
      <c r="A970" s="4"/>
      <c r="B970" s="5"/>
      <c r="C970" s="5"/>
      <c r="D970" s="5"/>
      <c r="E970" s="5"/>
      <c r="F970" s="5"/>
      <c r="G970" s="5"/>
      <c r="H970" s="5"/>
      <c r="I970" s="5"/>
      <c r="J970" s="5"/>
      <c r="K970" s="5"/>
      <c r="L970" s="5"/>
      <c r="M970" s="5"/>
      <c r="N970" s="5"/>
      <c r="O970" s="5"/>
    </row>
    <row r="971" spans="1:15">
      <c r="A971" s="4"/>
      <c r="B971" s="5"/>
      <c r="C971" s="5"/>
      <c r="D971" s="5"/>
      <c r="E971" s="5"/>
      <c r="F971" s="5"/>
      <c r="G971" s="5"/>
      <c r="H971" s="5"/>
      <c r="I971" s="5"/>
      <c r="J971" s="5"/>
      <c r="K971" s="5"/>
      <c r="L971" s="5"/>
      <c r="M971" s="5"/>
      <c r="N971" s="5"/>
      <c r="O971" s="5"/>
    </row>
    <row r="972" spans="1:15">
      <c r="A972" s="4"/>
      <c r="B972" s="5"/>
      <c r="C972" s="5"/>
      <c r="D972" s="5"/>
      <c r="E972" s="5"/>
      <c r="F972" s="5"/>
      <c r="G972" s="5"/>
      <c r="H972" s="5"/>
      <c r="I972" s="5"/>
      <c r="J972" s="5"/>
      <c r="K972" s="5"/>
      <c r="L972" s="5"/>
      <c r="M972" s="5"/>
      <c r="N972" s="5"/>
      <c r="O972" s="5"/>
    </row>
    <row r="973" spans="1:15">
      <c r="A973" s="4"/>
      <c r="B973" s="5"/>
      <c r="C973" s="5"/>
      <c r="D973" s="5"/>
      <c r="E973" s="5"/>
      <c r="F973" s="5"/>
      <c r="G973" s="5"/>
      <c r="H973" s="5"/>
      <c r="I973" s="5"/>
      <c r="J973" s="5"/>
      <c r="K973" s="5"/>
      <c r="L973" s="5"/>
      <c r="M973" s="5"/>
      <c r="N973" s="5"/>
      <c r="O973" s="5"/>
    </row>
    <row r="974" spans="1:15">
      <c r="A974" s="4"/>
      <c r="B974" s="5"/>
      <c r="C974" s="5"/>
      <c r="D974" s="5"/>
      <c r="E974" s="5"/>
      <c r="F974" s="5"/>
      <c r="G974" s="5"/>
      <c r="H974" s="5"/>
      <c r="I974" s="5"/>
      <c r="J974" s="5"/>
      <c r="K974" s="5"/>
      <c r="L974" s="5"/>
      <c r="M974" s="5"/>
      <c r="N974" s="5"/>
      <c r="O974" s="5"/>
    </row>
    <row r="975" spans="1:15">
      <c r="A975" s="4"/>
      <c r="B975" s="5"/>
      <c r="C975" s="5"/>
      <c r="D975" s="5"/>
      <c r="E975" s="5"/>
      <c r="F975" s="5"/>
      <c r="G975" s="5"/>
      <c r="H975" s="5"/>
      <c r="I975" s="5"/>
      <c r="J975" s="5"/>
      <c r="K975" s="5"/>
      <c r="L975" s="5"/>
      <c r="M975" s="5"/>
      <c r="N975" s="5"/>
      <c r="O975" s="5"/>
    </row>
    <row r="976" spans="1:15">
      <c r="A976" s="4"/>
      <c r="B976" s="5"/>
      <c r="C976" s="5"/>
      <c r="D976" s="5"/>
      <c r="E976" s="5"/>
      <c r="F976" s="5"/>
      <c r="G976" s="5"/>
      <c r="H976" s="5"/>
      <c r="I976" s="5"/>
      <c r="J976" s="5"/>
      <c r="K976" s="5"/>
      <c r="L976" s="5"/>
      <c r="M976" s="5"/>
      <c r="N976" s="5"/>
      <c r="O976" s="5"/>
    </row>
    <row r="977" spans="1:15">
      <c r="A977" s="4"/>
      <c r="B977" s="5"/>
      <c r="C977" s="5"/>
      <c r="D977" s="5"/>
      <c r="E977" s="5"/>
      <c r="F977" s="5"/>
      <c r="G977" s="5"/>
      <c r="H977" s="5"/>
      <c r="I977" s="5"/>
      <c r="J977" s="5"/>
      <c r="K977" s="5"/>
      <c r="L977" s="5"/>
      <c r="M977" s="5"/>
      <c r="N977" s="5"/>
      <c r="O977" s="5"/>
    </row>
    <row r="978" spans="1:15">
      <c r="A978" s="4"/>
      <c r="B978" s="5"/>
      <c r="C978" s="5"/>
      <c r="D978" s="5"/>
      <c r="E978" s="5"/>
      <c r="F978" s="5"/>
      <c r="G978" s="5"/>
      <c r="H978" s="5"/>
      <c r="I978" s="5"/>
      <c r="J978" s="5"/>
      <c r="K978" s="5"/>
      <c r="L978" s="5"/>
      <c r="M978" s="5"/>
      <c r="N978" s="5"/>
      <c r="O978" s="5"/>
    </row>
    <row r="979" spans="1:15">
      <c r="A979" s="4"/>
      <c r="B979" s="5"/>
      <c r="C979" s="5"/>
      <c r="D979" s="5"/>
      <c r="E979" s="5"/>
      <c r="F979" s="5"/>
      <c r="G979" s="5"/>
      <c r="H979" s="5"/>
      <c r="I979" s="5"/>
      <c r="J979" s="5"/>
      <c r="K979" s="5"/>
      <c r="L979" s="5"/>
      <c r="M979" s="5"/>
      <c r="N979" s="5"/>
      <c r="O979" s="5"/>
    </row>
    <row r="980" spans="1:15">
      <c r="A980" s="4"/>
      <c r="B980" s="5"/>
      <c r="C980" s="5"/>
      <c r="D980" s="5"/>
      <c r="E980" s="5"/>
      <c r="F980" s="5"/>
      <c r="G980" s="5"/>
      <c r="H980" s="5"/>
      <c r="I980" s="5"/>
      <c r="J980" s="5"/>
      <c r="K980" s="5"/>
      <c r="L980" s="5"/>
      <c r="M980" s="5"/>
      <c r="N980" s="5"/>
      <c r="O980" s="5"/>
    </row>
    <row r="981" spans="1:15">
      <c r="A981" s="4"/>
      <c r="B981" s="5"/>
      <c r="C981" s="5"/>
      <c r="D981" s="5"/>
      <c r="E981" s="5"/>
      <c r="F981" s="5"/>
      <c r="G981" s="5"/>
      <c r="H981" s="5"/>
      <c r="I981" s="5"/>
      <c r="J981" s="5"/>
      <c r="K981" s="5"/>
      <c r="L981" s="5"/>
      <c r="M981" s="5"/>
      <c r="N981" s="5"/>
      <c r="O981" s="5"/>
    </row>
    <row r="982" spans="1:15">
      <c r="A982" s="4"/>
      <c r="B982" s="5"/>
      <c r="C982" s="5"/>
      <c r="D982" s="5"/>
      <c r="E982" s="5"/>
      <c r="F982" s="5"/>
      <c r="G982" s="5"/>
      <c r="H982" s="5"/>
      <c r="I982" s="5"/>
      <c r="J982" s="5"/>
      <c r="K982" s="5"/>
      <c r="L982" s="5"/>
      <c r="M982" s="5"/>
      <c r="N982" s="5"/>
      <c r="O982" s="5"/>
    </row>
    <row r="983" spans="1:15">
      <c r="A983" s="4"/>
      <c r="B983" s="5"/>
      <c r="C983" s="5"/>
      <c r="D983" s="5"/>
      <c r="E983" s="5"/>
      <c r="F983" s="5"/>
      <c r="G983" s="5"/>
      <c r="H983" s="5"/>
      <c r="I983" s="5"/>
      <c r="J983" s="5"/>
      <c r="K983" s="5"/>
      <c r="L983" s="5"/>
      <c r="M983" s="5"/>
      <c r="N983" s="5"/>
      <c r="O983" s="5"/>
    </row>
    <row r="984" spans="1:15">
      <c r="A984" s="4"/>
      <c r="B984" s="5"/>
      <c r="C984" s="5"/>
      <c r="D984" s="5"/>
      <c r="E984" s="5"/>
      <c r="F984" s="5"/>
      <c r="G984" s="5"/>
      <c r="H984" s="5"/>
      <c r="I984" s="5"/>
      <c r="J984" s="5"/>
      <c r="K984" s="5"/>
      <c r="L984" s="5"/>
      <c r="M984" s="5"/>
      <c r="N984" s="5"/>
      <c r="O984" s="5"/>
    </row>
    <row r="985" spans="1:15">
      <c r="A985" s="4"/>
      <c r="B985" s="5"/>
      <c r="C985" s="5"/>
      <c r="D985" s="5"/>
      <c r="E985" s="5"/>
      <c r="F985" s="5"/>
      <c r="G985" s="5"/>
      <c r="H985" s="5"/>
      <c r="I985" s="5"/>
      <c r="J985" s="5"/>
      <c r="K985" s="5"/>
      <c r="L985" s="5"/>
      <c r="M985" s="5"/>
      <c r="N985" s="5"/>
      <c r="O985" s="5"/>
    </row>
    <row r="986" spans="1:15">
      <c r="A986" s="4"/>
      <c r="B986" s="5"/>
      <c r="C986" s="5"/>
      <c r="D986" s="5"/>
      <c r="E986" s="5"/>
      <c r="F986" s="5"/>
      <c r="G986" s="5"/>
      <c r="H986" s="5"/>
      <c r="I986" s="5"/>
      <c r="J986" s="5"/>
      <c r="K986" s="5"/>
      <c r="L986" s="5"/>
      <c r="M986" s="5"/>
      <c r="N986" s="5"/>
      <c r="O986" s="5"/>
    </row>
    <row r="987" spans="1:15">
      <c r="A987" s="4"/>
      <c r="B987" s="5"/>
      <c r="C987" s="5"/>
      <c r="D987" s="5"/>
      <c r="E987" s="5"/>
      <c r="F987" s="5"/>
      <c r="G987" s="5"/>
      <c r="H987" s="5"/>
      <c r="I987" s="5"/>
      <c r="J987" s="5"/>
      <c r="K987" s="5"/>
      <c r="L987" s="5"/>
      <c r="M987" s="5"/>
      <c r="N987" s="5"/>
      <c r="O987" s="5"/>
    </row>
    <row r="988" spans="1:15">
      <c r="A988" s="4"/>
      <c r="B988" s="5"/>
      <c r="C988" s="5"/>
      <c r="D988" s="5"/>
      <c r="E988" s="5"/>
      <c r="F988" s="5"/>
      <c r="G988" s="5"/>
      <c r="H988" s="5"/>
      <c r="I988" s="5"/>
      <c r="J988" s="5"/>
      <c r="K988" s="5"/>
      <c r="L988" s="5"/>
      <c r="M988" s="5"/>
      <c r="N988" s="5"/>
      <c r="O988" s="5"/>
    </row>
    <row r="989" spans="1:15">
      <c r="A989" s="4"/>
      <c r="B989" s="5"/>
      <c r="C989" s="5"/>
      <c r="D989" s="5"/>
      <c r="E989" s="5"/>
      <c r="F989" s="5"/>
      <c r="G989" s="5"/>
      <c r="H989" s="5"/>
      <c r="I989" s="5"/>
      <c r="J989" s="5"/>
      <c r="K989" s="5"/>
      <c r="L989" s="5"/>
      <c r="M989" s="5"/>
      <c r="N989" s="5"/>
      <c r="O989" s="5"/>
    </row>
    <row r="990" spans="1:15">
      <c r="A990" s="4"/>
      <c r="B990" s="5"/>
      <c r="C990" s="5"/>
      <c r="D990" s="5"/>
      <c r="E990" s="5"/>
      <c r="F990" s="5"/>
      <c r="G990" s="5"/>
      <c r="H990" s="5"/>
      <c r="I990" s="5"/>
      <c r="J990" s="5"/>
      <c r="K990" s="5"/>
      <c r="L990" s="5"/>
      <c r="M990" s="5"/>
      <c r="N990" s="5"/>
      <c r="O990" s="5"/>
    </row>
    <row r="991" spans="1:15">
      <c r="A991" s="4"/>
      <c r="B991" s="5"/>
      <c r="C991" s="5"/>
      <c r="D991" s="5"/>
      <c r="E991" s="5"/>
      <c r="F991" s="5"/>
      <c r="G991" s="5"/>
      <c r="H991" s="5"/>
      <c r="I991" s="5"/>
      <c r="J991" s="5"/>
      <c r="K991" s="5"/>
      <c r="L991" s="5"/>
      <c r="M991" s="5"/>
      <c r="N991" s="5"/>
      <c r="O991" s="5"/>
    </row>
    <row r="992" spans="1:15">
      <c r="A992" s="4"/>
      <c r="B992" s="5"/>
      <c r="C992" s="5"/>
      <c r="D992" s="5"/>
      <c r="E992" s="5"/>
      <c r="F992" s="5"/>
      <c r="G992" s="5"/>
      <c r="H992" s="5"/>
      <c r="I992" s="5"/>
      <c r="J992" s="5"/>
      <c r="K992" s="5"/>
      <c r="L992" s="5"/>
      <c r="M992" s="5"/>
      <c r="N992" s="5"/>
      <c r="O992" s="5"/>
    </row>
    <row r="993" spans="1:15">
      <c r="A993" s="4"/>
      <c r="B993" s="5"/>
      <c r="C993" s="5"/>
      <c r="D993" s="5"/>
      <c r="E993" s="5"/>
      <c r="F993" s="5"/>
      <c r="G993" s="5"/>
      <c r="H993" s="5"/>
      <c r="I993" s="5"/>
      <c r="J993" s="5"/>
      <c r="K993" s="5"/>
      <c r="L993" s="5"/>
      <c r="M993" s="5"/>
      <c r="N993" s="5"/>
      <c r="O993" s="5"/>
    </row>
    <row r="994" spans="1:15">
      <c r="A994" s="4"/>
      <c r="B994" s="5"/>
      <c r="C994" s="5"/>
      <c r="D994" s="5"/>
      <c r="E994" s="5"/>
      <c r="F994" s="5"/>
      <c r="G994" s="5"/>
      <c r="H994" s="5"/>
      <c r="I994" s="5"/>
      <c r="J994" s="5"/>
      <c r="K994" s="5"/>
      <c r="L994" s="5"/>
      <c r="M994" s="5"/>
      <c r="N994" s="5"/>
      <c r="O994" s="5"/>
    </row>
    <row r="995" spans="1:15">
      <c r="A995" s="4"/>
      <c r="B995" s="5"/>
      <c r="C995" s="5"/>
      <c r="D995" s="5"/>
      <c r="E995" s="5"/>
      <c r="F995" s="5"/>
      <c r="G995" s="5"/>
      <c r="H995" s="5"/>
      <c r="I995" s="5"/>
      <c r="J995" s="5"/>
      <c r="K995" s="5"/>
      <c r="L995" s="5"/>
      <c r="M995" s="5"/>
      <c r="N995" s="5"/>
      <c r="O995" s="5"/>
    </row>
    <row r="996" spans="1:15">
      <c r="A996" s="4"/>
      <c r="B996" s="5"/>
      <c r="C996" s="5"/>
      <c r="D996" s="5"/>
      <c r="E996" s="5"/>
      <c r="F996" s="5"/>
      <c r="G996" s="5"/>
      <c r="H996" s="5"/>
      <c r="I996" s="5"/>
      <c r="J996" s="5"/>
      <c r="K996" s="5"/>
      <c r="L996" s="5"/>
      <c r="M996" s="5"/>
      <c r="N996" s="5"/>
      <c r="O996" s="5"/>
    </row>
    <row r="997" spans="1:15">
      <c r="A997" s="4"/>
      <c r="B997" s="5"/>
      <c r="C997" s="5"/>
      <c r="D997" s="5"/>
      <c r="E997" s="5"/>
      <c r="F997" s="5"/>
      <c r="G997" s="5"/>
      <c r="H997" s="5"/>
      <c r="I997" s="5"/>
      <c r="J997" s="5"/>
      <c r="K997" s="5"/>
      <c r="L997" s="5"/>
      <c r="M997" s="5"/>
      <c r="N997" s="5"/>
      <c r="O997" s="5"/>
    </row>
    <row r="998" spans="1:15">
      <c r="A998" s="4"/>
      <c r="B998" s="5"/>
      <c r="C998" s="5"/>
      <c r="D998" s="5"/>
      <c r="E998" s="5"/>
      <c r="F998" s="5"/>
      <c r="G998" s="5"/>
      <c r="H998" s="5"/>
      <c r="I998" s="5"/>
      <c r="J998" s="5"/>
      <c r="K998" s="5"/>
      <c r="L998" s="5"/>
      <c r="M998" s="5"/>
      <c r="N998" s="5"/>
      <c r="O998" s="5"/>
    </row>
    <row r="999" spans="1:15">
      <c r="A999" s="4"/>
      <c r="B999" s="5"/>
      <c r="C999" s="5"/>
      <c r="D999" s="5"/>
      <c r="E999" s="5"/>
      <c r="F999" s="5"/>
      <c r="G999" s="5"/>
      <c r="H999" s="5"/>
      <c r="I999" s="5"/>
      <c r="J999" s="5"/>
      <c r="K999" s="5"/>
      <c r="L999" s="5"/>
      <c r="M999" s="5"/>
      <c r="N999" s="5"/>
      <c r="O999" s="5"/>
    </row>
    <row r="1000" spans="1:15">
      <c r="A1000" s="4"/>
      <c r="B1000" s="5"/>
      <c r="C1000" s="5"/>
      <c r="D1000" s="5"/>
      <c r="E1000" s="5"/>
      <c r="F1000" s="5"/>
      <c r="G1000" s="5"/>
      <c r="H1000" s="5"/>
      <c r="I1000" s="5"/>
      <c r="J1000" s="5"/>
      <c r="K1000" s="5"/>
      <c r="L1000" s="5"/>
      <c r="M1000" s="5"/>
      <c r="N1000" s="5"/>
      <c r="O1000" s="5"/>
    </row>
    <row r="1001" spans="1:15">
      <c r="A1001" s="4"/>
      <c r="B1001" s="5"/>
      <c r="C1001" s="5"/>
      <c r="D1001" s="5"/>
      <c r="E1001" s="5"/>
      <c r="F1001" s="5"/>
      <c r="G1001" s="5"/>
      <c r="H1001" s="5"/>
      <c r="I1001" s="5"/>
      <c r="J1001" s="5"/>
      <c r="K1001" s="5"/>
      <c r="L1001" s="5"/>
      <c r="M1001" s="5"/>
      <c r="N1001" s="5"/>
      <c r="O1001" s="5"/>
    </row>
    <row r="1002" spans="1:15">
      <c r="A1002" s="26"/>
      <c r="B1002" s="27"/>
      <c r="C1002" s="27"/>
      <c r="D1002" s="28"/>
      <c r="E1002" s="28"/>
      <c r="F1002" s="28"/>
      <c r="G1002" s="28"/>
      <c r="H1002" s="28"/>
      <c r="I1002" s="28"/>
      <c r="J1002" s="28"/>
      <c r="K1002" s="28"/>
      <c r="L1002" s="28"/>
      <c r="M1002" s="28"/>
      <c r="N1002" s="28"/>
      <c r="O1002" s="28"/>
    </row>
  </sheetData>
  <mergeCells count="13">
    <mergeCell ref="F24:G24"/>
    <mergeCell ref="L7:L8"/>
    <mergeCell ref="M7:M8"/>
    <mergeCell ref="J12:J13"/>
    <mergeCell ref="K12:K13"/>
    <mergeCell ref="L12:M12"/>
    <mergeCell ref="J7:J8"/>
    <mergeCell ref="K7:K8"/>
    <mergeCell ref="J4:K4"/>
    <mergeCell ref="D5:D6"/>
    <mergeCell ref="E5:E6"/>
    <mergeCell ref="F5:F6"/>
    <mergeCell ref="G5:G6"/>
  </mergeCells>
  <conditionalFormatting sqref="C3:C5 C9 D3:H3 F9:H9">
    <cfRule type="containsText" dxfId="7" priority="2" operator="containsText" text="X">
      <formula>NOT(ISERROR(SEARCH("X",C3)))</formula>
    </cfRule>
  </conditionalFormatting>
  <conditionalFormatting sqref="C6:C8">
    <cfRule type="containsText" dxfId="6" priority="1" operator="containsText" text="X">
      <formula>NOT(ISERROR(SEARCH("X",C6)))</formula>
    </cfRule>
  </conditionalFormatting>
  <dataValidations count="2">
    <dataValidation type="list" allowBlank="1" showInputMessage="1" showErrorMessage="1" sqref="L6" xr:uid="{00000000-0002-0000-0000-000000000000}">
      <formula1>$T$2:$T$4</formula1>
    </dataValidation>
    <dataValidation type="whole" allowBlank="1" showInputMessage="1" showErrorMessage="1" sqref="H24" xr:uid="{9795E25E-DD78-6D4B-B33D-5B2C5AB0C44C}">
      <formula1>1</formula1>
      <formula2>15</formula2>
    </dataValidation>
  </dataValidations>
  <pageMargins left="0.7" right="0.7" top="0.75" bottom="0.75" header="0.3" footer="0.3"/>
  <ignoredErrors>
    <ignoredError sqref="R9 Q13:R14 Q12 Q16:R17 Q15 Q19:R20 Q18 Q22:R23 Q21 Q25:R26 Q24 Q28:R29 Q27 Q31:R32 Q30 Q34:R35 Q33 Q37:R38 Q36 Q40:R41 Q39 Q43:R44 Q42 Q46:R47 Q45 Q49:R50 Q48 Q52:R53 Q51" unlockedFormula="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sheetPr>
  <dimension ref="A1:X1002"/>
  <sheetViews>
    <sheetView workbookViewId="0">
      <selection activeCell="A2" sqref="A2"/>
    </sheetView>
  </sheetViews>
  <sheetFormatPr baseColWidth="10" defaultColWidth="11" defaultRowHeight="16"/>
  <cols>
    <col min="1" max="3" width="20.5" style="29" customWidth="1"/>
    <col min="4" max="4" width="11.33203125" customWidth="1"/>
    <col min="5" max="5" width="2.6640625" customWidth="1"/>
    <col min="6" max="6" width="5.33203125" customWidth="1"/>
    <col min="7" max="9" width="16" customWidth="1"/>
    <col min="10" max="10" width="22" customWidth="1"/>
    <col min="11" max="11" width="8.83203125" customWidth="1"/>
    <col min="12" max="15" width="23" customWidth="1"/>
    <col min="17" max="17" width="66.6640625" customWidth="1"/>
    <col min="18" max="18" width="38" customWidth="1"/>
  </cols>
  <sheetData>
    <row r="1" spans="1:24" ht="34" customHeight="1">
      <c r="A1" s="1" t="s">
        <v>21</v>
      </c>
      <c r="B1" s="1" t="s">
        <v>22</v>
      </c>
      <c r="C1" s="30" t="s">
        <v>167</v>
      </c>
      <c r="D1" s="2"/>
      <c r="E1" s="3" t="s">
        <v>23</v>
      </c>
      <c r="F1" s="2"/>
      <c r="G1" s="2"/>
      <c r="H1" s="2"/>
      <c r="I1" s="2"/>
      <c r="J1" s="2"/>
      <c r="K1" s="2"/>
      <c r="L1" s="2"/>
      <c r="M1" s="2"/>
      <c r="N1" s="2"/>
      <c r="O1" s="2"/>
      <c r="P1" s="2"/>
      <c r="Q1" s="2"/>
      <c r="R1" s="136" t="s">
        <v>141</v>
      </c>
      <c r="S1" s="130"/>
      <c r="T1" s="130"/>
      <c r="U1" s="130"/>
      <c r="V1" s="130" t="s">
        <v>31</v>
      </c>
    </row>
    <row r="2" spans="1:24">
      <c r="A2" s="4">
        <v>63</v>
      </c>
      <c r="B2" s="31">
        <v>64</v>
      </c>
      <c r="C2" s="11">
        <f>IF(OR(ISBLANK(A2),ISBLANK(B2)),NA(),A2-B2)</f>
        <v>-1</v>
      </c>
      <c r="D2" s="5"/>
      <c r="E2" s="5"/>
      <c r="F2" s="5"/>
      <c r="G2" s="5"/>
      <c r="H2" s="5"/>
      <c r="I2" s="5"/>
      <c r="J2" s="5"/>
      <c r="K2" s="5"/>
      <c r="L2" s="5"/>
      <c r="M2" s="5"/>
      <c r="N2" s="5"/>
      <c r="O2" s="5"/>
      <c r="P2" s="5"/>
      <c r="Q2" s="5"/>
      <c r="T2" s="130"/>
      <c r="U2" s="130"/>
      <c r="V2" s="130" t="s">
        <v>28</v>
      </c>
      <c r="X2">
        <f>IFERROR(C2,"")</f>
        <v>-1</v>
      </c>
    </row>
    <row r="3" spans="1:24">
      <c r="A3" s="4">
        <v>61.9</v>
      </c>
      <c r="B3" s="31">
        <v>65</v>
      </c>
      <c r="C3" s="11">
        <f t="shared" ref="C3:C66" si="0">IF(OR(ISBLANK(A3),ISBLANK(B3)),NA(),A3-B3)</f>
        <v>-3.1000000000000014</v>
      </c>
      <c r="D3" s="5"/>
      <c r="E3" s="6"/>
      <c r="F3" s="7"/>
      <c r="G3" s="7"/>
      <c r="H3" s="7"/>
      <c r="I3" s="7"/>
      <c r="J3" s="7"/>
      <c r="K3" s="7"/>
      <c r="L3" s="7"/>
      <c r="M3" s="7"/>
      <c r="N3" s="7"/>
      <c r="O3" s="7"/>
      <c r="P3" s="5"/>
      <c r="Q3" s="5"/>
      <c r="T3" s="130"/>
      <c r="U3" s="130"/>
      <c r="V3" s="130" t="s">
        <v>10</v>
      </c>
      <c r="X3">
        <f t="shared" ref="X3:X66" si="1">IFERROR(C3,"")</f>
        <v>-3.1000000000000014</v>
      </c>
    </row>
    <row r="4" spans="1:24" ht="17" thickBot="1">
      <c r="A4" s="4">
        <v>61.5</v>
      </c>
      <c r="B4" s="31">
        <v>64.2</v>
      </c>
      <c r="C4" s="11">
        <f t="shared" si="0"/>
        <v>-2.7000000000000028</v>
      </c>
      <c r="D4" s="5"/>
      <c r="E4" s="6"/>
      <c r="F4" s="8" t="s">
        <v>24</v>
      </c>
      <c r="G4" s="9"/>
      <c r="H4" s="9"/>
      <c r="I4" s="10"/>
      <c r="J4" s="7"/>
      <c r="K4" s="7"/>
      <c r="L4" s="168" t="s">
        <v>3</v>
      </c>
      <c r="M4" s="169"/>
      <c r="N4" s="33"/>
      <c r="O4" s="10"/>
      <c r="P4" s="5"/>
      <c r="Q4" s="5"/>
      <c r="R4" s="131" t="s">
        <v>149</v>
      </c>
      <c r="S4" s="130">
        <f>MIN(X:X)</f>
        <v>-4.6000000000000085</v>
      </c>
      <c r="T4" s="130"/>
      <c r="U4" s="130"/>
      <c r="V4" s="130" t="s">
        <v>32</v>
      </c>
      <c r="X4">
        <f t="shared" si="1"/>
        <v>-2.7000000000000028</v>
      </c>
    </row>
    <row r="5" spans="1:24">
      <c r="A5" s="4">
        <v>63.5</v>
      </c>
      <c r="B5" s="31">
        <v>65.3</v>
      </c>
      <c r="C5" s="11">
        <f t="shared" si="0"/>
        <v>-1.7999999999999972</v>
      </c>
      <c r="D5" s="5"/>
      <c r="E5" s="6"/>
      <c r="F5" s="190" t="s">
        <v>4</v>
      </c>
      <c r="G5" s="192" t="s">
        <v>25</v>
      </c>
      <c r="H5" s="192" t="s">
        <v>26</v>
      </c>
      <c r="I5" s="192" t="s">
        <v>27</v>
      </c>
      <c r="J5" s="7"/>
      <c r="K5" s="7"/>
      <c r="L5" s="34" t="s">
        <v>34</v>
      </c>
      <c r="M5" s="35" t="s">
        <v>33</v>
      </c>
      <c r="N5" s="11" t="s">
        <v>9</v>
      </c>
      <c r="O5" s="36">
        <v>0</v>
      </c>
      <c r="P5" s="5"/>
      <c r="Q5" s="5"/>
      <c r="R5" s="131" t="s">
        <v>150</v>
      </c>
      <c r="S5" s="130">
        <f>MAX(X:X)</f>
        <v>0.29999999999999716</v>
      </c>
      <c r="T5" s="130"/>
      <c r="U5" s="130"/>
      <c r="V5" s="130"/>
      <c r="X5">
        <f t="shared" si="1"/>
        <v>-1.7999999999999972</v>
      </c>
    </row>
    <row r="6" spans="1:24" ht="17" thickBot="1">
      <c r="A6" s="4">
        <v>62.8</v>
      </c>
      <c r="B6" s="31">
        <v>65</v>
      </c>
      <c r="C6" s="11">
        <f t="shared" si="0"/>
        <v>-2.2000000000000028</v>
      </c>
      <c r="D6" s="5"/>
      <c r="E6" s="6"/>
      <c r="F6" s="191"/>
      <c r="G6" s="191"/>
      <c r="H6" s="191"/>
      <c r="I6" s="191"/>
      <c r="J6" s="7"/>
      <c r="K6" s="7"/>
      <c r="L6" s="37" t="s">
        <v>35</v>
      </c>
      <c r="M6" s="38" t="s">
        <v>33</v>
      </c>
      <c r="N6" s="39" t="s">
        <v>10</v>
      </c>
      <c r="O6" s="40">
        <f>O5</f>
        <v>0</v>
      </c>
      <c r="P6" s="5"/>
      <c r="Q6" s="5"/>
      <c r="R6" s="131" t="s">
        <v>151</v>
      </c>
      <c r="S6" s="132">
        <f>(S5-S4)/J24</f>
        <v>0.70000000000000084</v>
      </c>
      <c r="T6" s="130"/>
      <c r="U6" s="130"/>
      <c r="V6" s="130"/>
      <c r="X6">
        <f t="shared" si="1"/>
        <v>-2.2000000000000028</v>
      </c>
    </row>
    <row r="7" spans="1:24">
      <c r="A7" s="4">
        <v>62</v>
      </c>
      <c r="B7" s="31">
        <v>62.8</v>
      </c>
      <c r="C7" s="11">
        <f t="shared" si="0"/>
        <v>-0.79999999999999716</v>
      </c>
      <c r="D7" s="5"/>
      <c r="E7" s="6"/>
      <c r="F7" s="16">
        <f>COUNT(C:C)</f>
        <v>10</v>
      </c>
      <c r="G7" s="11">
        <f>AVERAGEIF(C:C,"&lt;&gt;#N/A")</f>
        <v>-2.0000000000000013</v>
      </c>
      <c r="H7" s="11">
        <f>_xlfn.STDEV.S(X:X)</f>
        <v>1.3695092389449444</v>
      </c>
      <c r="I7" s="11">
        <f>H7/SQRT(F7)</f>
        <v>0.43307684717097961</v>
      </c>
      <c r="J7" s="7"/>
      <c r="K7" s="7"/>
      <c r="L7" s="186" t="s">
        <v>29</v>
      </c>
      <c r="M7" s="188" t="s">
        <v>12</v>
      </c>
      <c r="N7" s="182" t="s">
        <v>13</v>
      </c>
      <c r="O7" s="184" t="s">
        <v>14</v>
      </c>
      <c r="P7" s="5"/>
      <c r="Q7" s="5"/>
      <c r="R7" s="130"/>
      <c r="S7" s="133"/>
      <c r="T7" s="133"/>
      <c r="U7" s="133" t="s">
        <v>147</v>
      </c>
      <c r="V7" s="130" t="s">
        <v>148</v>
      </c>
      <c r="X7">
        <f t="shared" si="1"/>
        <v>-0.79999999999999716</v>
      </c>
    </row>
    <row r="8" spans="1:24">
      <c r="A8" s="4">
        <v>61.8</v>
      </c>
      <c r="B8" s="31">
        <v>66.400000000000006</v>
      </c>
      <c r="C8" s="11">
        <f t="shared" si="0"/>
        <v>-4.6000000000000085</v>
      </c>
      <c r="D8" s="5"/>
      <c r="E8" s="6"/>
      <c r="F8" s="7"/>
      <c r="G8" s="17"/>
      <c r="H8" s="17"/>
      <c r="I8" s="17"/>
      <c r="J8" s="7"/>
      <c r="K8" s="7"/>
      <c r="L8" s="186"/>
      <c r="M8" s="188"/>
      <c r="N8" s="182"/>
      <c r="O8" s="184"/>
      <c r="P8" s="5"/>
      <c r="Q8" s="5"/>
      <c r="R8" s="130"/>
      <c r="S8" s="134" t="s">
        <v>146</v>
      </c>
      <c r="T8" s="134" t="s">
        <v>145</v>
      </c>
      <c r="U8" s="133">
        <f>U9</f>
        <v>-4.6000000000000085</v>
      </c>
      <c r="V8" s="130">
        <v>0</v>
      </c>
      <c r="X8">
        <f t="shared" si="1"/>
        <v>-4.6000000000000085</v>
      </c>
    </row>
    <row r="9" spans="1:24">
      <c r="A9" s="4">
        <v>63.4</v>
      </c>
      <c r="B9" s="31">
        <v>66</v>
      </c>
      <c r="C9" s="11">
        <f t="shared" si="0"/>
        <v>-2.6000000000000014</v>
      </c>
      <c r="D9" s="5"/>
      <c r="E9" s="6"/>
      <c r="F9" s="41"/>
      <c r="G9" s="42" t="s">
        <v>170</v>
      </c>
      <c r="H9" s="19"/>
      <c r="I9" s="19"/>
      <c r="J9" s="19"/>
      <c r="K9" s="7"/>
      <c r="L9" s="187"/>
      <c r="M9" s="189"/>
      <c r="N9" s="183"/>
      <c r="O9" s="185"/>
      <c r="P9" s="5"/>
      <c r="Q9" s="5"/>
      <c r="R9" s="130" t="s">
        <v>142</v>
      </c>
      <c r="S9" s="134">
        <v>1</v>
      </c>
      <c r="T9" s="134">
        <f>COUNTIF(C:C,"&lt;="&amp;U10)</f>
        <v>1</v>
      </c>
      <c r="U9" s="133">
        <f>S4</f>
        <v>-4.6000000000000085</v>
      </c>
      <c r="V9" s="130">
        <f>T9</f>
        <v>1</v>
      </c>
      <c r="X9">
        <f t="shared" si="1"/>
        <v>-2.6000000000000014</v>
      </c>
    </row>
    <row r="10" spans="1:24">
      <c r="A10" s="4">
        <v>64.599999999999994</v>
      </c>
      <c r="B10" s="31">
        <v>66.099999999999994</v>
      </c>
      <c r="C10" s="11">
        <f t="shared" si="0"/>
        <v>-1.5</v>
      </c>
      <c r="D10" s="5"/>
      <c r="E10" s="6"/>
      <c r="F10" s="7"/>
      <c r="G10" s="7"/>
      <c r="H10" s="7"/>
      <c r="I10" s="7"/>
      <c r="J10" s="7"/>
      <c r="K10" s="7"/>
      <c r="L10" s="11">
        <f>G7</f>
        <v>-2.0000000000000013</v>
      </c>
      <c r="M10" s="11">
        <f>(G7-$O$5)/I7</f>
        <v>-4.6181180385530913</v>
      </c>
      <c r="N10" s="16">
        <f>F7-1</f>
        <v>9</v>
      </c>
      <c r="O10" s="11">
        <f>IF(N6="≠",2*_xlfn.T.DIST.RT(ABS(M10),N10),IF(N6="&lt;",_xlfn.T.DIST(M10,N10,TRUE),_xlfn.T.DIST.RT(M10,N10)))</f>
        <v>1.2577082955509398E-3</v>
      </c>
      <c r="P10" s="5"/>
      <c r="Q10" s="5"/>
      <c r="R10" s="130"/>
      <c r="S10" s="134"/>
      <c r="T10" s="134"/>
      <c r="U10" s="135">
        <f>U9+$S$6</f>
        <v>-3.9000000000000075</v>
      </c>
      <c r="V10" s="130">
        <f>V9</f>
        <v>1</v>
      </c>
      <c r="X10">
        <f t="shared" si="1"/>
        <v>-1.5</v>
      </c>
    </row>
    <row r="11" spans="1:24">
      <c r="A11" s="4">
        <v>63.8</v>
      </c>
      <c r="B11" s="31">
        <v>63.5</v>
      </c>
      <c r="C11" s="11">
        <f t="shared" si="0"/>
        <v>0.29999999999999716</v>
      </c>
      <c r="D11" s="5"/>
      <c r="E11" s="6"/>
      <c r="F11" s="7"/>
      <c r="G11" s="7"/>
      <c r="H11" s="7"/>
      <c r="I11" s="7"/>
      <c r="J11" s="7"/>
      <c r="K11" s="7"/>
      <c r="L11" s="7"/>
      <c r="M11" s="7"/>
      <c r="N11" s="7"/>
      <c r="O11" s="7"/>
      <c r="P11" s="5"/>
      <c r="Q11" s="5"/>
      <c r="R11" s="130"/>
      <c r="S11" s="134"/>
      <c r="T11" s="134"/>
      <c r="U11" s="133">
        <f>IF(S9&gt;$J$24,"",U10)</f>
        <v>-3.9000000000000075</v>
      </c>
      <c r="V11" s="130">
        <f>IF(S9&gt;$J$24,"",0)</f>
        <v>0</v>
      </c>
      <c r="X11">
        <f t="shared" si="1"/>
        <v>0.29999999999999716</v>
      </c>
    </row>
    <row r="12" spans="1:24" ht="17" thickBot="1">
      <c r="A12" s="4"/>
      <c r="B12" s="31"/>
      <c r="C12" s="11" t="e">
        <f t="shared" si="0"/>
        <v>#N/A</v>
      </c>
      <c r="D12" s="5"/>
      <c r="E12" s="6"/>
      <c r="F12" s="7"/>
      <c r="G12" s="7"/>
      <c r="H12" s="7"/>
      <c r="I12" s="7"/>
      <c r="J12" s="7"/>
      <c r="K12" s="7"/>
      <c r="L12" s="21">
        <v>0.95</v>
      </c>
      <c r="M12" s="9" t="s">
        <v>191</v>
      </c>
      <c r="N12" s="9"/>
      <c r="O12" s="10"/>
      <c r="P12" s="5"/>
      <c r="Q12" s="5"/>
      <c r="R12" s="130" t="s">
        <v>144</v>
      </c>
      <c r="S12" s="134">
        <v>2</v>
      </c>
      <c r="T12" s="134">
        <f>COUNTIF(C:C,"&lt;="&amp;U13)</f>
        <v>1</v>
      </c>
      <c r="U12" s="133">
        <f>IF(S12&gt;$J$24,U11,U10)</f>
        <v>-3.9000000000000075</v>
      </c>
      <c r="V12" s="130">
        <f>IF(S12&gt;$J$24,V11,V13)</f>
        <v>0</v>
      </c>
      <c r="X12" t="str">
        <f t="shared" si="1"/>
        <v/>
      </c>
    </row>
    <row r="13" spans="1:24">
      <c r="A13" s="4"/>
      <c r="B13" s="31"/>
      <c r="C13" s="11" t="e">
        <f t="shared" si="0"/>
        <v>#N/A</v>
      </c>
      <c r="D13" s="5"/>
      <c r="E13" s="6"/>
      <c r="F13" s="7"/>
      <c r="G13" s="7"/>
      <c r="H13" s="7"/>
      <c r="I13" s="7"/>
      <c r="J13" s="7"/>
      <c r="K13" s="7"/>
      <c r="L13" s="172" t="s">
        <v>30</v>
      </c>
      <c r="M13" s="172" t="s">
        <v>18</v>
      </c>
      <c r="N13" s="180" t="s">
        <v>16</v>
      </c>
      <c r="O13" s="181"/>
      <c r="P13" s="5"/>
      <c r="Q13" s="5"/>
      <c r="R13" s="130"/>
      <c r="S13" s="134"/>
      <c r="T13" s="134"/>
      <c r="U13" s="133">
        <f>IF(S12&gt;$J$24,U12,U12+$S$6)</f>
        <v>-3.2000000000000064</v>
      </c>
      <c r="V13" s="130">
        <f>IF(S12&gt;$J$24,V12,T12-T9)</f>
        <v>0</v>
      </c>
      <c r="X13" t="str">
        <f t="shared" si="1"/>
        <v/>
      </c>
    </row>
    <row r="14" spans="1:24">
      <c r="A14" s="4"/>
      <c r="B14" s="31"/>
      <c r="C14" s="11" t="e">
        <f t="shared" si="0"/>
        <v>#N/A</v>
      </c>
      <c r="D14" s="5"/>
      <c r="E14" s="6"/>
      <c r="F14" s="7"/>
      <c r="G14" s="7"/>
      <c r="H14" s="7"/>
      <c r="I14" s="7"/>
      <c r="J14" s="7"/>
      <c r="K14" s="7"/>
      <c r="L14" s="171"/>
      <c r="M14" s="171"/>
      <c r="N14" s="22" t="s">
        <v>19</v>
      </c>
      <c r="O14" s="22" t="s">
        <v>20</v>
      </c>
      <c r="P14" s="5"/>
      <c r="Q14" s="5"/>
      <c r="R14" s="130"/>
      <c r="S14" s="134"/>
      <c r="T14" s="134"/>
      <c r="U14" s="133">
        <f>IF(S12&gt;$J$24,U13,U13)</f>
        <v>-3.2000000000000064</v>
      </c>
      <c r="V14" s="130">
        <f>IF(S12&gt;$J$24,V13,0)</f>
        <v>0</v>
      </c>
      <c r="X14" t="str">
        <f t="shared" si="1"/>
        <v/>
      </c>
    </row>
    <row r="15" spans="1:24">
      <c r="A15" s="4"/>
      <c r="B15" s="31"/>
      <c r="C15" s="11" t="e">
        <f t="shared" si="0"/>
        <v>#N/A</v>
      </c>
      <c r="D15" s="5"/>
      <c r="E15" s="6"/>
      <c r="F15" s="7"/>
      <c r="G15" s="7"/>
      <c r="H15" s="7"/>
      <c r="I15" s="7"/>
      <c r="J15" s="7"/>
      <c r="K15" s="7"/>
      <c r="L15" s="11">
        <f>G7</f>
        <v>-2.0000000000000013</v>
      </c>
      <c r="M15" s="11">
        <f>TINV(1-$L$12,N10)*I7</f>
        <v>0.97968789186989502</v>
      </c>
      <c r="N15" s="11">
        <f>L15-M15</f>
        <v>-2.9796878918698964</v>
      </c>
      <c r="O15" s="11">
        <f>L15+M15</f>
        <v>-1.0203121081301063</v>
      </c>
      <c r="P15" s="5"/>
      <c r="Q15" s="5"/>
      <c r="R15" s="130" t="s">
        <v>143</v>
      </c>
      <c r="S15" s="134">
        <v>3</v>
      </c>
      <c r="T15" s="134">
        <f>COUNTIF(C:C,"&lt;="&amp;U16)</f>
        <v>4</v>
      </c>
      <c r="U15" s="133">
        <f>IF(S15&gt;$J$24,U14,U13)</f>
        <v>-3.2000000000000064</v>
      </c>
      <c r="V15" s="130">
        <f>IF(S15&gt;$J$24,V14,V16)</f>
        <v>3</v>
      </c>
      <c r="X15" t="str">
        <f t="shared" si="1"/>
        <v/>
      </c>
    </row>
    <row r="16" spans="1:24">
      <c r="A16" s="4"/>
      <c r="B16" s="31"/>
      <c r="C16" s="11" t="e">
        <f t="shared" si="0"/>
        <v>#N/A</v>
      </c>
      <c r="D16" s="5"/>
      <c r="E16" s="6"/>
      <c r="F16" s="7"/>
      <c r="G16" s="7"/>
      <c r="H16" s="7"/>
      <c r="I16" s="7"/>
      <c r="J16" s="7"/>
      <c r="K16" s="7"/>
      <c r="L16" s="23"/>
      <c r="M16" s="151" t="str">
        <f>"t*=±"&amp;ROUND(_xlfn.T.INV.2T(1-L12,N10),3)</f>
        <v>t*=±2.262</v>
      </c>
      <c r="N16" s="24"/>
      <c r="O16" s="25"/>
      <c r="P16" s="5"/>
      <c r="Q16" s="5"/>
      <c r="R16" s="130"/>
      <c r="S16" s="134"/>
      <c r="T16" s="134"/>
      <c r="U16" s="133">
        <f>IF(S15&gt;$J$24,U15,U15+$S$6)</f>
        <v>-2.5000000000000053</v>
      </c>
      <c r="V16" s="130">
        <f>IF(S15&gt;$J$24,V15,T15-T12)</f>
        <v>3</v>
      </c>
      <c r="X16" t="str">
        <f t="shared" si="1"/>
        <v/>
      </c>
    </row>
    <row r="17" spans="1:24">
      <c r="A17" s="4"/>
      <c r="B17" s="31"/>
      <c r="C17" s="11" t="e">
        <f t="shared" si="0"/>
        <v>#N/A</v>
      </c>
      <c r="D17" s="5"/>
      <c r="E17" s="5"/>
      <c r="F17" s="5"/>
      <c r="G17" s="5"/>
      <c r="H17" s="5"/>
      <c r="I17" s="5"/>
      <c r="J17" s="5"/>
      <c r="K17" s="5"/>
      <c r="L17" s="5"/>
      <c r="M17" s="5"/>
      <c r="N17" s="5"/>
      <c r="O17" s="5"/>
      <c r="P17" s="5"/>
      <c r="Q17" s="5"/>
      <c r="R17" s="130"/>
      <c r="S17" s="134"/>
      <c r="T17" s="134"/>
      <c r="U17" s="133">
        <f>IF(S15&gt;$J$24,U16,U16)</f>
        <v>-2.5000000000000053</v>
      </c>
      <c r="V17" s="130">
        <f>IF(S15&gt;$J$24,V16,0)</f>
        <v>0</v>
      </c>
      <c r="X17" t="str">
        <f t="shared" si="1"/>
        <v/>
      </c>
    </row>
    <row r="18" spans="1:24">
      <c r="A18" s="4"/>
      <c r="B18" s="31"/>
      <c r="C18" s="11" t="e">
        <f t="shared" si="0"/>
        <v>#N/A</v>
      </c>
      <c r="D18" s="5"/>
      <c r="E18" s="5"/>
      <c r="F18" s="5"/>
      <c r="G18" s="5"/>
      <c r="H18" s="5"/>
      <c r="I18" s="5"/>
      <c r="J18" s="5"/>
      <c r="K18" s="5"/>
      <c r="L18" s="5"/>
      <c r="M18" s="5"/>
      <c r="N18" s="5"/>
      <c r="O18" s="5"/>
      <c r="P18" s="5"/>
      <c r="Q18" s="5"/>
      <c r="R18" s="130"/>
      <c r="S18" s="134">
        <v>4</v>
      </c>
      <c r="T18" s="134">
        <f>COUNTIF(C:C,"&lt;="&amp;U19)</f>
        <v>6</v>
      </c>
      <c r="U18" s="133">
        <f>IF(S18&gt;$J$24,U17,U16)</f>
        <v>-2.5000000000000053</v>
      </c>
      <c r="V18" s="130">
        <f>IF(S18&gt;$J$24,V17,V19)</f>
        <v>2</v>
      </c>
      <c r="X18" t="str">
        <f t="shared" si="1"/>
        <v/>
      </c>
    </row>
    <row r="19" spans="1:24">
      <c r="A19" s="4"/>
      <c r="B19" s="31"/>
      <c r="C19" s="11" t="e">
        <f t="shared" si="0"/>
        <v>#N/A</v>
      </c>
      <c r="D19" s="5"/>
      <c r="E19" s="5"/>
      <c r="F19" s="5"/>
      <c r="G19" s="5"/>
      <c r="H19" s="5"/>
      <c r="I19" s="5"/>
      <c r="J19" s="5"/>
      <c r="K19" s="5"/>
      <c r="L19" s="5"/>
      <c r="M19" s="5"/>
      <c r="N19" s="5"/>
      <c r="O19" s="5"/>
      <c r="P19" s="5"/>
      <c r="Q19" s="5"/>
      <c r="R19" s="130"/>
      <c r="S19" s="134"/>
      <c r="T19" s="134"/>
      <c r="U19" s="133">
        <f>IF(S18&gt;$J$24,U18,U18+$S$6)</f>
        <v>-1.8000000000000045</v>
      </c>
      <c r="V19" s="130">
        <f>IF(S18&gt;$J$24,V18,T18-T15)</f>
        <v>2</v>
      </c>
      <c r="X19" t="str">
        <f t="shared" si="1"/>
        <v/>
      </c>
    </row>
    <row r="20" spans="1:24">
      <c r="A20" s="4"/>
      <c r="B20" s="31"/>
      <c r="C20" s="11" t="e">
        <f t="shared" si="0"/>
        <v>#N/A</v>
      </c>
      <c r="D20" s="5"/>
      <c r="E20" s="5"/>
      <c r="F20" s="5"/>
      <c r="G20" s="43"/>
      <c r="H20" s="5"/>
      <c r="I20" s="5"/>
      <c r="J20" s="5"/>
      <c r="K20" s="5"/>
      <c r="L20" s="5"/>
      <c r="M20" s="5"/>
      <c r="N20" s="5"/>
      <c r="O20" s="5"/>
      <c r="P20" s="5"/>
      <c r="Q20" s="5"/>
      <c r="R20" s="130"/>
      <c r="S20" s="134"/>
      <c r="T20" s="134"/>
      <c r="U20" s="133">
        <f>IF(S18&gt;$J$24,U19,U19)</f>
        <v>-1.8000000000000045</v>
      </c>
      <c r="V20" s="130">
        <f>IF(S18&gt;$J$24,V19,0)</f>
        <v>0</v>
      </c>
      <c r="X20" t="str">
        <f t="shared" si="1"/>
        <v/>
      </c>
    </row>
    <row r="21" spans="1:24">
      <c r="A21" s="4"/>
      <c r="B21" s="31"/>
      <c r="C21" s="11" t="e">
        <f t="shared" si="0"/>
        <v>#N/A</v>
      </c>
      <c r="D21" s="5"/>
      <c r="E21" s="5"/>
      <c r="F21" s="5"/>
      <c r="G21" s="5"/>
      <c r="H21" s="5"/>
      <c r="I21" s="5"/>
      <c r="J21" s="5"/>
      <c r="K21" s="5"/>
      <c r="L21" s="5"/>
      <c r="M21" s="5"/>
      <c r="N21" s="5"/>
      <c r="O21" s="5"/>
      <c r="P21" s="5"/>
      <c r="Q21" s="5"/>
      <c r="R21" s="130"/>
      <c r="S21" s="134">
        <v>5</v>
      </c>
      <c r="T21" s="134">
        <f>COUNTIF(C:C,"&lt;="&amp;U22)</f>
        <v>7</v>
      </c>
      <c r="U21" s="133">
        <f>IF(S21&gt;$J$24,U20,U19)</f>
        <v>-1.8000000000000045</v>
      </c>
      <c r="V21" s="130">
        <f>IF(S21&gt;$J$24,V20,V22)</f>
        <v>1</v>
      </c>
      <c r="X21" t="str">
        <f t="shared" si="1"/>
        <v/>
      </c>
    </row>
    <row r="22" spans="1:24">
      <c r="A22" s="4"/>
      <c r="B22" s="31"/>
      <c r="C22" s="11" t="e">
        <f t="shared" si="0"/>
        <v>#N/A</v>
      </c>
      <c r="D22" s="5"/>
      <c r="E22" s="5"/>
      <c r="F22" s="5"/>
      <c r="G22" s="5"/>
      <c r="H22" s="5"/>
      <c r="I22" s="5"/>
      <c r="J22" s="5"/>
      <c r="K22" s="5"/>
      <c r="L22" s="5"/>
      <c r="M22" s="5"/>
      <c r="N22" s="5"/>
      <c r="O22" s="5"/>
      <c r="P22" s="5"/>
      <c r="Q22" s="5"/>
      <c r="R22" s="130"/>
      <c r="S22" s="134"/>
      <c r="T22" s="134"/>
      <c r="U22" s="133">
        <f>IF(S21&gt;$J$24,U21,U21+$S$6)</f>
        <v>-1.1000000000000036</v>
      </c>
      <c r="V22" s="130">
        <f>IF(S21&gt;$J$24,V21,T21-T18)</f>
        <v>1</v>
      </c>
      <c r="X22" t="str">
        <f t="shared" si="1"/>
        <v/>
      </c>
    </row>
    <row r="23" spans="1:24">
      <c r="A23" s="4"/>
      <c r="B23" s="31"/>
      <c r="C23" s="11" t="e">
        <f t="shared" si="0"/>
        <v>#N/A</v>
      </c>
      <c r="D23" s="5"/>
      <c r="E23" s="5"/>
      <c r="F23" s="5"/>
      <c r="G23" s="5"/>
      <c r="H23" s="5"/>
      <c r="I23" s="5"/>
      <c r="J23" s="5"/>
      <c r="K23" s="5"/>
      <c r="L23" s="5"/>
      <c r="M23" s="5"/>
      <c r="N23" s="5"/>
      <c r="O23" s="5"/>
      <c r="P23" s="5"/>
      <c r="Q23" s="5"/>
      <c r="R23" s="130"/>
      <c r="S23" s="134"/>
      <c r="T23" s="134"/>
      <c r="U23" s="133">
        <f>IF(S21&gt;$J$24,U22,U22)</f>
        <v>-1.1000000000000036</v>
      </c>
      <c r="V23" s="130">
        <f>IF(S21&gt;$J$24,V22,0)</f>
        <v>0</v>
      </c>
      <c r="X23" t="str">
        <f t="shared" si="1"/>
        <v/>
      </c>
    </row>
    <row r="24" spans="1:24">
      <c r="A24" s="4"/>
      <c r="B24" s="31"/>
      <c r="C24" s="11" t="e">
        <f t="shared" si="0"/>
        <v>#N/A</v>
      </c>
      <c r="D24" s="5"/>
      <c r="E24" s="5"/>
      <c r="F24" s="74"/>
      <c r="G24" s="74"/>
      <c r="H24" s="175" t="s">
        <v>169</v>
      </c>
      <c r="I24" s="175"/>
      <c r="J24" s="129">
        <v>7</v>
      </c>
      <c r="K24" s="5"/>
      <c r="L24" s="5"/>
      <c r="M24" s="5"/>
      <c r="N24" s="5"/>
      <c r="O24" s="5"/>
      <c r="P24" s="5"/>
      <c r="Q24" s="5"/>
      <c r="R24" s="130"/>
      <c r="S24" s="134">
        <v>6</v>
      </c>
      <c r="T24" s="134">
        <f>COUNTIF(C:C,"&lt;="&amp;U25)</f>
        <v>9</v>
      </c>
      <c r="U24" s="133">
        <f>IF(S24&gt;$J$24,U23,U22)</f>
        <v>-1.1000000000000036</v>
      </c>
      <c r="V24" s="130">
        <f>IF(S24&gt;$J$24,V23,V25)</f>
        <v>2</v>
      </c>
      <c r="X24" t="str">
        <f t="shared" si="1"/>
        <v/>
      </c>
    </row>
    <row r="25" spans="1:24">
      <c r="A25" s="4"/>
      <c r="B25" s="31"/>
      <c r="C25" s="11" t="e">
        <f t="shared" si="0"/>
        <v>#N/A</v>
      </c>
      <c r="D25" s="5"/>
      <c r="E25" s="5"/>
      <c r="F25" s="5"/>
      <c r="G25" s="5"/>
      <c r="H25" s="5"/>
      <c r="I25" s="5"/>
      <c r="J25" s="5"/>
      <c r="K25" s="5"/>
      <c r="L25" s="5"/>
      <c r="M25" s="5"/>
      <c r="N25" s="5"/>
      <c r="O25" s="5"/>
      <c r="P25" s="5"/>
      <c r="Q25" s="5"/>
      <c r="R25" s="130"/>
      <c r="S25" s="134"/>
      <c r="T25" s="134"/>
      <c r="U25" s="133">
        <f>IF(S24&gt;$J$24,U24,U24+$S$6)</f>
        <v>-0.4000000000000028</v>
      </c>
      <c r="V25" s="130">
        <f>IF(S24&gt;$J$24,V24,T24-T21)</f>
        <v>2</v>
      </c>
      <c r="X25" t="str">
        <f t="shared" si="1"/>
        <v/>
      </c>
    </row>
    <row r="26" spans="1:24">
      <c r="A26" s="4"/>
      <c r="B26" s="31"/>
      <c r="C26" s="11" t="e">
        <f t="shared" si="0"/>
        <v>#N/A</v>
      </c>
      <c r="D26" s="5"/>
      <c r="E26" s="5"/>
      <c r="F26" s="5"/>
      <c r="G26" s="5"/>
      <c r="H26" s="5"/>
      <c r="I26" s="5"/>
      <c r="J26" s="5"/>
      <c r="K26" s="5"/>
      <c r="L26" s="5"/>
      <c r="M26" s="5"/>
      <c r="N26" s="5"/>
      <c r="O26" s="5"/>
      <c r="P26" s="5"/>
      <c r="Q26" s="5"/>
      <c r="R26" s="130"/>
      <c r="S26" s="134"/>
      <c r="T26" s="134"/>
      <c r="U26" s="133">
        <f>IF(S24&gt;$J$24,U25,U25)</f>
        <v>-0.4000000000000028</v>
      </c>
      <c r="V26" s="130">
        <f>IF(S24&gt;$J$24,V25,0)</f>
        <v>0</v>
      </c>
      <c r="X26" t="str">
        <f t="shared" si="1"/>
        <v/>
      </c>
    </row>
    <row r="27" spans="1:24">
      <c r="A27" s="4"/>
      <c r="B27" s="31"/>
      <c r="C27" s="11" t="e">
        <f t="shared" si="0"/>
        <v>#N/A</v>
      </c>
      <c r="D27" s="5"/>
      <c r="E27" s="5"/>
      <c r="F27" s="5"/>
      <c r="G27" s="5"/>
      <c r="H27" s="5"/>
      <c r="I27" s="5"/>
      <c r="J27" s="5"/>
      <c r="K27" s="5"/>
      <c r="L27" s="5"/>
      <c r="M27" s="5"/>
      <c r="N27" s="5"/>
      <c r="O27" s="5"/>
      <c r="P27" s="5"/>
      <c r="Q27" s="5"/>
      <c r="R27" s="130"/>
      <c r="S27" s="134">
        <v>7</v>
      </c>
      <c r="T27" s="134">
        <f>COUNTIF(C:C,"&lt;="&amp;U28)</f>
        <v>10</v>
      </c>
      <c r="U27" s="133">
        <f>IF(S27&gt;$J$24,U26,U25)</f>
        <v>-0.4000000000000028</v>
      </c>
      <c r="V27" s="130">
        <f>IF(S27&gt;$J$24,V26,V28)</f>
        <v>1</v>
      </c>
      <c r="X27" t="str">
        <f t="shared" si="1"/>
        <v/>
      </c>
    </row>
    <row r="28" spans="1:24">
      <c r="A28" s="4"/>
      <c r="B28" s="31"/>
      <c r="C28" s="11" t="e">
        <f t="shared" si="0"/>
        <v>#N/A</v>
      </c>
      <c r="D28" s="5"/>
      <c r="E28" s="5"/>
      <c r="F28" s="5"/>
      <c r="G28" s="5"/>
      <c r="H28" s="5"/>
      <c r="I28" s="5"/>
      <c r="J28" s="5"/>
      <c r="K28" s="5"/>
      <c r="L28" s="5"/>
      <c r="M28" s="5"/>
      <c r="N28" s="5"/>
      <c r="O28" s="5"/>
      <c r="P28" s="5"/>
      <c r="Q28" s="5"/>
      <c r="R28" s="130"/>
      <c r="S28" s="134"/>
      <c r="T28" s="134"/>
      <c r="U28" s="133">
        <f>IF(S27&gt;$J$24,U27,U27+$S$6)</f>
        <v>0.29999999999999805</v>
      </c>
      <c r="V28" s="130">
        <f>IF(S27&gt;$J$24,V27,T27-T24)</f>
        <v>1</v>
      </c>
      <c r="X28" t="str">
        <f t="shared" si="1"/>
        <v/>
      </c>
    </row>
    <row r="29" spans="1:24">
      <c r="A29" s="4"/>
      <c r="B29" s="31"/>
      <c r="C29" s="11" t="e">
        <f t="shared" si="0"/>
        <v>#N/A</v>
      </c>
      <c r="D29" s="5"/>
      <c r="E29" s="5"/>
      <c r="F29" s="5"/>
      <c r="G29" s="5"/>
      <c r="H29" s="5"/>
      <c r="I29" s="5"/>
      <c r="J29" s="5"/>
      <c r="K29" s="5"/>
      <c r="L29" s="5"/>
      <c r="M29" s="5"/>
      <c r="N29" s="5"/>
      <c r="O29" s="5"/>
      <c r="P29" s="5"/>
      <c r="Q29" s="5"/>
      <c r="R29" s="130"/>
      <c r="S29" s="134"/>
      <c r="T29" s="134"/>
      <c r="U29" s="133">
        <f>IF(S27&gt;$J$24,U28,U28)</f>
        <v>0.29999999999999805</v>
      </c>
      <c r="V29" s="130">
        <f>IF(S27&gt;$J$24,V28,0)</f>
        <v>0</v>
      </c>
      <c r="X29" t="str">
        <f t="shared" si="1"/>
        <v/>
      </c>
    </row>
    <row r="30" spans="1:24">
      <c r="A30" s="4"/>
      <c r="B30" s="31"/>
      <c r="C30" s="11" t="e">
        <f t="shared" si="0"/>
        <v>#N/A</v>
      </c>
      <c r="D30" s="5"/>
      <c r="E30" s="5"/>
      <c r="F30" s="5"/>
      <c r="G30" s="5"/>
      <c r="H30" s="5"/>
      <c r="I30" s="5"/>
      <c r="J30" s="5"/>
      <c r="K30" s="5"/>
      <c r="L30" s="5"/>
      <c r="M30" s="5"/>
      <c r="N30" s="5"/>
      <c r="O30" s="5"/>
      <c r="P30" s="5"/>
      <c r="Q30" s="5"/>
      <c r="R30" s="130"/>
      <c r="S30" s="134">
        <v>8</v>
      </c>
      <c r="T30" s="134">
        <f>COUNTIF(C:C,"&lt;="&amp;U31)</f>
        <v>10</v>
      </c>
      <c r="U30" s="133">
        <f>IF(S30&gt;$J$24,U29,U28)</f>
        <v>0.29999999999999805</v>
      </c>
      <c r="V30" s="130">
        <f>IF(S30&gt;$J$24,V29,V31)</f>
        <v>0</v>
      </c>
      <c r="X30" t="str">
        <f t="shared" si="1"/>
        <v/>
      </c>
    </row>
    <row r="31" spans="1:24">
      <c r="A31" s="4"/>
      <c r="B31" s="31"/>
      <c r="C31" s="11" t="e">
        <f t="shared" si="0"/>
        <v>#N/A</v>
      </c>
      <c r="D31" s="5"/>
      <c r="E31" s="5"/>
      <c r="F31" s="5"/>
      <c r="G31" s="5"/>
      <c r="H31" s="5"/>
      <c r="I31" s="5"/>
      <c r="J31" s="5"/>
      <c r="K31" s="5"/>
      <c r="L31" s="5"/>
      <c r="M31" s="5"/>
      <c r="N31" s="5"/>
      <c r="O31" s="5"/>
      <c r="P31" s="5"/>
      <c r="Q31" s="5"/>
      <c r="R31" s="130"/>
      <c r="S31" s="134"/>
      <c r="T31" s="134"/>
      <c r="U31" s="133">
        <f>IF(S30&gt;$J$24,U30,U30+$S$6)</f>
        <v>0.29999999999999805</v>
      </c>
      <c r="V31" s="130">
        <f>IF(S30&gt;$J$24,V30,T30-T27)</f>
        <v>0</v>
      </c>
      <c r="X31" t="str">
        <f t="shared" si="1"/>
        <v/>
      </c>
    </row>
    <row r="32" spans="1:24">
      <c r="A32" s="4"/>
      <c r="B32" s="31"/>
      <c r="C32" s="11" t="e">
        <f t="shared" si="0"/>
        <v>#N/A</v>
      </c>
      <c r="D32" s="5"/>
      <c r="E32" s="5"/>
      <c r="F32" s="5"/>
      <c r="G32" s="5"/>
      <c r="H32" s="5"/>
      <c r="I32" s="5"/>
      <c r="J32" s="5"/>
      <c r="K32" s="5"/>
      <c r="L32" s="5"/>
      <c r="M32" s="5"/>
      <c r="N32" s="5"/>
      <c r="O32" s="5"/>
      <c r="P32" s="5"/>
      <c r="Q32" s="5"/>
      <c r="R32" s="130"/>
      <c r="S32" s="134"/>
      <c r="T32" s="134"/>
      <c r="U32" s="133">
        <f>IF(S30&gt;$J$24,U31,U31)</f>
        <v>0.29999999999999805</v>
      </c>
      <c r="V32" s="130">
        <f>IF(S30&gt;$J$24,V31,0)</f>
        <v>0</v>
      </c>
      <c r="X32" t="str">
        <f t="shared" si="1"/>
        <v/>
      </c>
    </row>
    <row r="33" spans="1:24">
      <c r="A33" s="4"/>
      <c r="B33" s="31"/>
      <c r="C33" s="11" t="e">
        <f t="shared" si="0"/>
        <v>#N/A</v>
      </c>
      <c r="D33" s="5"/>
      <c r="E33" s="5"/>
      <c r="F33" s="5"/>
      <c r="G33" s="5"/>
      <c r="H33" s="5"/>
      <c r="I33" s="5"/>
      <c r="J33" s="5"/>
      <c r="K33" s="5"/>
      <c r="L33" s="5"/>
      <c r="M33" s="5"/>
      <c r="N33" s="5"/>
      <c r="O33" s="5"/>
      <c r="P33" s="5"/>
      <c r="Q33" s="5"/>
      <c r="R33" s="130"/>
      <c r="S33" s="134">
        <v>9</v>
      </c>
      <c r="T33" s="134">
        <f>COUNTIF(C:C,"&lt;="&amp;U34)</f>
        <v>10</v>
      </c>
      <c r="U33" s="133">
        <f>IF(S33&gt;$J$24,U32,U31)</f>
        <v>0.29999999999999805</v>
      </c>
      <c r="V33" s="130">
        <f>IF(S33&gt;$J$24,V32,V34)</f>
        <v>0</v>
      </c>
      <c r="X33" t="str">
        <f t="shared" si="1"/>
        <v/>
      </c>
    </row>
    <row r="34" spans="1:24">
      <c r="A34" s="4"/>
      <c r="B34" s="31"/>
      <c r="C34" s="11" t="e">
        <f t="shared" si="0"/>
        <v>#N/A</v>
      </c>
      <c r="D34" s="5"/>
      <c r="E34" s="5"/>
      <c r="F34" s="5"/>
      <c r="G34" s="5"/>
      <c r="H34" s="5"/>
      <c r="I34" s="5"/>
      <c r="J34" s="5"/>
      <c r="K34" s="5"/>
      <c r="L34" s="5"/>
      <c r="M34" s="5"/>
      <c r="N34" s="5"/>
      <c r="O34" s="5"/>
      <c r="P34" s="5"/>
      <c r="Q34" s="5"/>
      <c r="R34" s="130"/>
      <c r="S34" s="134"/>
      <c r="T34" s="134"/>
      <c r="U34" s="133">
        <f>IF(S33&gt;$J$24,U33,U33+$S$6)</f>
        <v>0.29999999999999805</v>
      </c>
      <c r="V34" s="130">
        <f>IF(S33&gt;$J$24,V33,T33-T30)</f>
        <v>0</v>
      </c>
      <c r="X34" t="str">
        <f t="shared" si="1"/>
        <v/>
      </c>
    </row>
    <row r="35" spans="1:24">
      <c r="A35" s="4"/>
      <c r="B35" s="31"/>
      <c r="C35" s="11" t="e">
        <f t="shared" si="0"/>
        <v>#N/A</v>
      </c>
      <c r="D35" s="5"/>
      <c r="E35" s="5"/>
      <c r="F35" s="5"/>
      <c r="G35" s="5"/>
      <c r="H35" s="5"/>
      <c r="I35" s="5"/>
      <c r="J35" s="5"/>
      <c r="K35" s="5"/>
      <c r="L35" s="5"/>
      <c r="M35" s="5"/>
      <c r="N35" s="5"/>
      <c r="O35" s="5"/>
      <c r="P35" s="5"/>
      <c r="Q35" s="5"/>
      <c r="R35" s="130"/>
      <c r="S35" s="134"/>
      <c r="T35" s="134"/>
      <c r="U35" s="133">
        <f>IF(S33&gt;$J$24,U34,U34)</f>
        <v>0.29999999999999805</v>
      </c>
      <c r="V35" s="130">
        <f>IF(S33&gt;$J$24,V34,0)</f>
        <v>0</v>
      </c>
      <c r="X35" t="str">
        <f t="shared" si="1"/>
        <v/>
      </c>
    </row>
    <row r="36" spans="1:24">
      <c r="A36" s="4"/>
      <c r="B36" s="31"/>
      <c r="C36" s="11" t="e">
        <f t="shared" si="0"/>
        <v>#N/A</v>
      </c>
      <c r="D36" s="5"/>
      <c r="E36" s="5"/>
      <c r="F36" s="5"/>
      <c r="G36" s="5"/>
      <c r="H36" s="5"/>
      <c r="I36" s="5"/>
      <c r="J36" s="5"/>
      <c r="K36" s="5"/>
      <c r="L36" s="5"/>
      <c r="M36" s="5"/>
      <c r="N36" s="5"/>
      <c r="O36" s="5"/>
      <c r="P36" s="5"/>
      <c r="Q36" s="5"/>
      <c r="R36" s="130"/>
      <c r="S36" s="134">
        <v>10</v>
      </c>
      <c r="T36" s="134">
        <f>COUNTIF(C:C,"&lt;="&amp;U37)</f>
        <v>10</v>
      </c>
      <c r="U36" s="133">
        <f>IF(S36&gt;$J$24,U35,U34)</f>
        <v>0.29999999999999805</v>
      </c>
      <c r="V36" s="130">
        <f>IF(S36&gt;$J$24,V35,V37)</f>
        <v>0</v>
      </c>
      <c r="X36" t="str">
        <f t="shared" si="1"/>
        <v/>
      </c>
    </row>
    <row r="37" spans="1:24">
      <c r="A37" s="4"/>
      <c r="B37" s="31"/>
      <c r="C37" s="11" t="e">
        <f t="shared" si="0"/>
        <v>#N/A</v>
      </c>
      <c r="D37" s="5"/>
      <c r="E37" s="5"/>
      <c r="F37" s="5"/>
      <c r="G37" s="5"/>
      <c r="H37" s="5"/>
      <c r="I37" s="5"/>
      <c r="J37" s="5"/>
      <c r="K37" s="5"/>
      <c r="L37" s="5"/>
      <c r="M37" s="5"/>
      <c r="N37" s="5"/>
      <c r="O37" s="5"/>
      <c r="P37" s="5"/>
      <c r="Q37" s="5"/>
      <c r="R37" s="130"/>
      <c r="S37" s="134"/>
      <c r="T37" s="134"/>
      <c r="U37" s="133">
        <f>IF(S36&gt;$J$24,U36,U36+$S$6)</f>
        <v>0.29999999999999805</v>
      </c>
      <c r="V37" s="130">
        <f>IF(S36&gt;$J$24,V36,T36-T33)</f>
        <v>0</v>
      </c>
      <c r="X37" t="str">
        <f t="shared" si="1"/>
        <v/>
      </c>
    </row>
    <row r="38" spans="1:24">
      <c r="A38" s="4"/>
      <c r="B38" s="31"/>
      <c r="C38" s="11" t="e">
        <f t="shared" si="0"/>
        <v>#N/A</v>
      </c>
      <c r="D38" s="5"/>
      <c r="E38" s="5"/>
      <c r="F38" s="5"/>
      <c r="G38" s="5"/>
      <c r="H38" s="5"/>
      <c r="I38" s="5"/>
      <c r="J38" s="5"/>
      <c r="K38" s="5"/>
      <c r="L38" s="5"/>
      <c r="M38" s="5"/>
      <c r="N38" s="5"/>
      <c r="O38" s="5"/>
      <c r="P38" s="5"/>
      <c r="Q38" s="5"/>
      <c r="R38" s="130"/>
      <c r="S38" s="134"/>
      <c r="T38" s="134"/>
      <c r="U38" s="133">
        <f>IF(S36&gt;$J$24,U37,U37)</f>
        <v>0.29999999999999805</v>
      </c>
      <c r="V38" s="130">
        <f>IF(S36&gt;$J$24,V37,0)</f>
        <v>0</v>
      </c>
      <c r="X38" t="str">
        <f t="shared" si="1"/>
        <v/>
      </c>
    </row>
    <row r="39" spans="1:24">
      <c r="A39" s="4"/>
      <c r="B39" s="31"/>
      <c r="C39" s="11" t="e">
        <f t="shared" si="0"/>
        <v>#N/A</v>
      </c>
      <c r="D39" s="5"/>
      <c r="E39" s="5"/>
      <c r="F39" s="5"/>
      <c r="G39" s="5"/>
      <c r="H39" s="5"/>
      <c r="I39" s="5"/>
      <c r="J39" s="5"/>
      <c r="K39" s="5"/>
      <c r="L39" s="5"/>
      <c r="M39" s="5"/>
      <c r="N39" s="5"/>
      <c r="O39" s="5"/>
      <c r="P39" s="5"/>
      <c r="Q39" s="5"/>
      <c r="R39" s="130"/>
      <c r="S39" s="134">
        <v>11</v>
      </c>
      <c r="T39" s="134">
        <f>COUNTIF(C:C,"&lt;="&amp;U40)</f>
        <v>10</v>
      </c>
      <c r="U39" s="133">
        <f>IF(S39&gt;$J$24,U38,U37)</f>
        <v>0.29999999999999805</v>
      </c>
      <c r="V39" s="130">
        <f>IF(S39&gt;$J$24,V38,V40)</f>
        <v>0</v>
      </c>
      <c r="X39" t="str">
        <f t="shared" si="1"/>
        <v/>
      </c>
    </row>
    <row r="40" spans="1:24">
      <c r="A40" s="4"/>
      <c r="B40" s="31"/>
      <c r="C40" s="11" t="e">
        <f t="shared" si="0"/>
        <v>#N/A</v>
      </c>
      <c r="D40" s="5"/>
      <c r="E40" s="5"/>
      <c r="F40" s="5"/>
      <c r="G40" s="5"/>
      <c r="H40" s="5"/>
      <c r="I40" s="5"/>
      <c r="J40" s="5"/>
      <c r="K40" s="5"/>
      <c r="L40" s="5"/>
      <c r="M40" s="5"/>
      <c r="N40" s="5"/>
      <c r="O40" s="5"/>
      <c r="P40" s="5"/>
      <c r="Q40" s="5"/>
      <c r="R40" s="130"/>
      <c r="S40" s="134"/>
      <c r="T40" s="134"/>
      <c r="U40" s="133">
        <f>IF(S39&gt;$J$24,U39,U39+$S$6)</f>
        <v>0.29999999999999805</v>
      </c>
      <c r="V40" s="130">
        <f>IF(S39&gt;$J$24,V39,T39-T36)</f>
        <v>0</v>
      </c>
      <c r="X40" t="str">
        <f t="shared" si="1"/>
        <v/>
      </c>
    </row>
    <row r="41" spans="1:24">
      <c r="A41" s="4"/>
      <c r="B41" s="31"/>
      <c r="C41" s="11" t="e">
        <f t="shared" si="0"/>
        <v>#N/A</v>
      </c>
      <c r="D41" s="5"/>
      <c r="E41" s="5"/>
      <c r="F41" s="5"/>
      <c r="G41" s="5"/>
      <c r="H41" s="5"/>
      <c r="I41" s="5"/>
      <c r="J41" s="5"/>
      <c r="K41" s="5"/>
      <c r="L41" s="5"/>
      <c r="M41" s="5"/>
      <c r="N41" s="5"/>
      <c r="O41" s="5"/>
      <c r="P41" s="5"/>
      <c r="Q41" s="5"/>
      <c r="R41" s="130"/>
      <c r="S41" s="134"/>
      <c r="T41" s="134"/>
      <c r="U41" s="133">
        <f>IF(S39&gt;$J$24,U40,U40)</f>
        <v>0.29999999999999805</v>
      </c>
      <c r="V41" s="130">
        <f>IF(S39&gt;$J$24,V40,0)</f>
        <v>0</v>
      </c>
      <c r="X41" t="str">
        <f t="shared" si="1"/>
        <v/>
      </c>
    </row>
    <row r="42" spans="1:24">
      <c r="A42" s="4"/>
      <c r="B42" s="31"/>
      <c r="C42" s="11" t="e">
        <f t="shared" si="0"/>
        <v>#N/A</v>
      </c>
      <c r="D42" s="5"/>
      <c r="E42" s="5"/>
      <c r="F42" s="5"/>
      <c r="G42" s="5"/>
      <c r="H42" s="5"/>
      <c r="I42" s="5"/>
      <c r="J42" s="5"/>
      <c r="K42" s="5"/>
      <c r="L42" s="5"/>
      <c r="M42" s="5"/>
      <c r="N42" s="5"/>
      <c r="O42" s="5"/>
      <c r="P42" s="5"/>
      <c r="Q42" s="5"/>
      <c r="R42" s="130"/>
      <c r="S42" s="134">
        <v>12</v>
      </c>
      <c r="T42" s="134">
        <f>COUNTIF(C:C,"&lt;="&amp;U43)</f>
        <v>10</v>
      </c>
      <c r="U42" s="133">
        <f>IF(S42&gt;$J$24,U41,U40)</f>
        <v>0.29999999999999805</v>
      </c>
      <c r="V42" s="130">
        <f>IF(S42&gt;$J$24,V41,V43)</f>
        <v>0</v>
      </c>
      <c r="X42" t="str">
        <f t="shared" si="1"/>
        <v/>
      </c>
    </row>
    <row r="43" spans="1:24">
      <c r="A43" s="4"/>
      <c r="B43" s="31"/>
      <c r="C43" s="11" t="e">
        <f t="shared" si="0"/>
        <v>#N/A</v>
      </c>
      <c r="D43" s="5"/>
      <c r="E43" s="5"/>
      <c r="F43" s="5"/>
      <c r="G43" s="5"/>
      <c r="H43" s="5"/>
      <c r="I43" s="5"/>
      <c r="J43" s="5"/>
      <c r="K43" s="5"/>
      <c r="L43" s="5"/>
      <c r="M43" s="5"/>
      <c r="N43" s="5"/>
      <c r="O43" s="5"/>
      <c r="P43" s="5"/>
      <c r="Q43" s="5"/>
      <c r="R43" s="130"/>
      <c r="S43" s="134"/>
      <c r="T43" s="134"/>
      <c r="U43" s="133">
        <f>IF(S42&gt;$J$24,U42,U42+$S$6)</f>
        <v>0.29999999999999805</v>
      </c>
      <c r="V43" s="130">
        <f>IF(S42&gt;$J$24,V42,T42-T39)</f>
        <v>0</v>
      </c>
      <c r="X43" t="str">
        <f t="shared" si="1"/>
        <v/>
      </c>
    </row>
    <row r="44" spans="1:24">
      <c r="A44" s="4"/>
      <c r="B44" s="31"/>
      <c r="C44" s="11" t="e">
        <f t="shared" si="0"/>
        <v>#N/A</v>
      </c>
      <c r="D44" s="5"/>
      <c r="E44" s="5"/>
      <c r="F44" s="5"/>
      <c r="G44" s="5"/>
      <c r="H44" s="5"/>
      <c r="I44" s="5"/>
      <c r="J44" s="5"/>
      <c r="K44" s="5"/>
      <c r="L44" s="5"/>
      <c r="M44" s="5"/>
      <c r="N44" s="5"/>
      <c r="O44" s="5"/>
      <c r="P44" s="5"/>
      <c r="Q44" s="5"/>
      <c r="R44" s="130"/>
      <c r="S44" s="134"/>
      <c r="T44" s="134"/>
      <c r="U44" s="133">
        <f>IF(S42&gt;$J$24,U43,U43)</f>
        <v>0.29999999999999805</v>
      </c>
      <c r="V44" s="130">
        <f>IF(S42&gt;$J$24,V43,0)</f>
        <v>0</v>
      </c>
      <c r="X44" t="str">
        <f t="shared" si="1"/>
        <v/>
      </c>
    </row>
    <row r="45" spans="1:24">
      <c r="A45" s="4"/>
      <c r="B45" s="31"/>
      <c r="C45" s="11" t="e">
        <f t="shared" si="0"/>
        <v>#N/A</v>
      </c>
      <c r="D45" s="5"/>
      <c r="E45" s="5"/>
      <c r="F45" s="5"/>
      <c r="G45" s="5"/>
      <c r="H45" s="5"/>
      <c r="I45" s="5"/>
      <c r="J45" s="5"/>
      <c r="K45" s="5"/>
      <c r="L45" s="5"/>
      <c r="M45" s="5"/>
      <c r="N45" s="5"/>
      <c r="O45" s="5"/>
      <c r="P45" s="5"/>
      <c r="Q45" s="5"/>
      <c r="R45" s="130"/>
      <c r="S45" s="134">
        <v>13</v>
      </c>
      <c r="T45" s="134">
        <f>COUNTIF(C:C,"&lt;="&amp;U46)</f>
        <v>10</v>
      </c>
      <c r="U45" s="133">
        <f>IF(S45&gt;$J$24,U44,U43)</f>
        <v>0.29999999999999805</v>
      </c>
      <c r="V45" s="130">
        <f>IF(S45&gt;$J$24,V44,V46)</f>
        <v>0</v>
      </c>
      <c r="X45" t="str">
        <f t="shared" si="1"/>
        <v/>
      </c>
    </row>
    <row r="46" spans="1:24">
      <c r="A46" s="4"/>
      <c r="B46" s="31"/>
      <c r="C46" s="11" t="e">
        <f t="shared" si="0"/>
        <v>#N/A</v>
      </c>
      <c r="D46" s="5"/>
      <c r="E46" s="5"/>
      <c r="F46" s="5"/>
      <c r="G46" s="5"/>
      <c r="H46" s="5"/>
      <c r="I46" s="5"/>
      <c r="J46" s="5"/>
      <c r="K46" s="5"/>
      <c r="L46" s="5"/>
      <c r="M46" s="5"/>
      <c r="N46" s="5"/>
      <c r="O46" s="5"/>
      <c r="P46" s="5"/>
      <c r="Q46" s="5"/>
      <c r="R46" s="130"/>
      <c r="S46" s="134"/>
      <c r="T46" s="134"/>
      <c r="U46" s="133">
        <f>IF(S45&gt;$J$24,U45,U45+$S$6)</f>
        <v>0.29999999999999805</v>
      </c>
      <c r="V46" s="130">
        <f>IF(S45&gt;$J$24,V45,T45-T42)</f>
        <v>0</v>
      </c>
      <c r="X46" t="str">
        <f t="shared" si="1"/>
        <v/>
      </c>
    </row>
    <row r="47" spans="1:24">
      <c r="A47" s="4"/>
      <c r="B47" s="31"/>
      <c r="C47" s="11" t="e">
        <f t="shared" si="0"/>
        <v>#N/A</v>
      </c>
      <c r="D47" s="5"/>
      <c r="E47" s="5"/>
      <c r="F47" s="5"/>
      <c r="G47" s="5"/>
      <c r="H47" s="5"/>
      <c r="I47" s="5"/>
      <c r="J47" s="5"/>
      <c r="K47" s="5"/>
      <c r="L47" s="5"/>
      <c r="M47" s="5"/>
      <c r="N47" s="5"/>
      <c r="O47" s="5"/>
      <c r="P47" s="5"/>
      <c r="Q47" s="5"/>
      <c r="R47" s="130"/>
      <c r="S47" s="134"/>
      <c r="T47" s="134"/>
      <c r="U47" s="133">
        <f>IF(S45&gt;$J$24,U46,U46)</f>
        <v>0.29999999999999805</v>
      </c>
      <c r="V47" s="130">
        <f>IF(S45&gt;$J$24,V46,0)</f>
        <v>0</v>
      </c>
      <c r="X47" t="str">
        <f t="shared" si="1"/>
        <v/>
      </c>
    </row>
    <row r="48" spans="1:24">
      <c r="A48" s="4"/>
      <c r="B48" s="31"/>
      <c r="C48" s="11" t="e">
        <f t="shared" si="0"/>
        <v>#N/A</v>
      </c>
      <c r="D48" s="5"/>
      <c r="E48" s="5"/>
      <c r="F48" s="5"/>
      <c r="G48" s="5"/>
      <c r="H48" s="5"/>
      <c r="I48" s="5"/>
      <c r="J48" s="5"/>
      <c r="K48" s="5"/>
      <c r="L48" s="5"/>
      <c r="M48" s="5"/>
      <c r="N48" s="5"/>
      <c r="O48" s="5"/>
      <c r="P48" s="5"/>
      <c r="Q48" s="5"/>
      <c r="R48" s="130"/>
      <c r="S48" s="134">
        <v>14</v>
      </c>
      <c r="T48" s="134">
        <f>COUNTIF(C:C,"&lt;="&amp;U49)</f>
        <v>10</v>
      </c>
      <c r="U48" s="133">
        <f>IF(S48&gt;$J$24,U47,U46)</f>
        <v>0.29999999999999805</v>
      </c>
      <c r="V48" s="130">
        <f>IF(S48&gt;$J$24,V47,V49)</f>
        <v>0</v>
      </c>
      <c r="X48" t="str">
        <f t="shared" si="1"/>
        <v/>
      </c>
    </row>
    <row r="49" spans="1:24">
      <c r="A49" s="4"/>
      <c r="B49" s="31"/>
      <c r="C49" s="11" t="e">
        <f t="shared" si="0"/>
        <v>#N/A</v>
      </c>
      <c r="D49" s="5"/>
      <c r="E49" s="5"/>
      <c r="F49" s="5"/>
      <c r="G49" s="5"/>
      <c r="H49" s="5"/>
      <c r="I49" s="5"/>
      <c r="J49" s="5"/>
      <c r="K49" s="5"/>
      <c r="L49" s="5"/>
      <c r="M49" s="5"/>
      <c r="N49" s="5"/>
      <c r="O49" s="5"/>
      <c r="P49" s="5"/>
      <c r="Q49" s="5"/>
      <c r="R49" s="130"/>
      <c r="S49" s="134"/>
      <c r="T49" s="134"/>
      <c r="U49" s="133">
        <f>IF(S48&gt;$J$24,U48,U48+$S$6)</f>
        <v>0.29999999999999805</v>
      </c>
      <c r="V49" s="130">
        <f>IF(S48&gt;$J$24,V48,T48-T45)</f>
        <v>0</v>
      </c>
      <c r="X49" t="str">
        <f t="shared" si="1"/>
        <v/>
      </c>
    </row>
    <row r="50" spans="1:24">
      <c r="A50" s="4"/>
      <c r="B50" s="31"/>
      <c r="C50" s="11" t="e">
        <f t="shared" si="0"/>
        <v>#N/A</v>
      </c>
      <c r="D50" s="5"/>
      <c r="E50" s="5"/>
      <c r="F50" s="5"/>
      <c r="G50" s="5"/>
      <c r="H50" s="5"/>
      <c r="I50" s="5"/>
      <c r="J50" s="5"/>
      <c r="K50" s="5"/>
      <c r="L50" s="5"/>
      <c r="M50" s="5"/>
      <c r="N50" s="5"/>
      <c r="O50" s="5"/>
      <c r="P50" s="5"/>
      <c r="Q50" s="5"/>
      <c r="R50" s="130"/>
      <c r="S50" s="134"/>
      <c r="T50" s="134"/>
      <c r="U50" s="133">
        <f>IF(S48&gt;$J$24,U49,U49)</f>
        <v>0.29999999999999805</v>
      </c>
      <c r="V50" s="130">
        <f>IF(S48&gt;$J$24,V49,0)</f>
        <v>0</v>
      </c>
      <c r="X50" t="str">
        <f t="shared" si="1"/>
        <v/>
      </c>
    </row>
    <row r="51" spans="1:24">
      <c r="A51" s="4"/>
      <c r="B51" s="31"/>
      <c r="C51" s="11" t="e">
        <f t="shared" si="0"/>
        <v>#N/A</v>
      </c>
      <c r="D51" s="5"/>
      <c r="E51" s="5"/>
      <c r="F51" s="5"/>
      <c r="G51" s="5"/>
      <c r="H51" s="5"/>
      <c r="I51" s="5"/>
      <c r="J51" s="5"/>
      <c r="K51" s="5"/>
      <c r="L51" s="5"/>
      <c r="M51" s="5"/>
      <c r="N51" s="5"/>
      <c r="O51" s="5"/>
      <c r="P51" s="5"/>
      <c r="Q51" s="5"/>
      <c r="R51" s="130"/>
      <c r="S51" s="134">
        <v>15</v>
      </c>
      <c r="T51" s="134">
        <f>COUNTIF(C:C,"&lt;="&amp;U52)</f>
        <v>10</v>
      </c>
      <c r="U51" s="133">
        <f>IF(S51&gt;$J$24,U50,U49)</f>
        <v>0.29999999999999805</v>
      </c>
      <c r="V51" s="130">
        <f>IF(S51&gt;$J$24,V50,V52)</f>
        <v>0</v>
      </c>
      <c r="X51" t="str">
        <f t="shared" si="1"/>
        <v/>
      </c>
    </row>
    <row r="52" spans="1:24">
      <c r="A52" s="4"/>
      <c r="B52" s="31"/>
      <c r="C52" s="11" t="e">
        <f t="shared" si="0"/>
        <v>#N/A</v>
      </c>
      <c r="D52" s="5"/>
      <c r="E52" s="5"/>
      <c r="F52" s="5"/>
      <c r="G52" s="5"/>
      <c r="H52" s="5"/>
      <c r="I52" s="5"/>
      <c r="J52" s="5"/>
      <c r="K52" s="5"/>
      <c r="L52" s="5"/>
      <c r="M52" s="5"/>
      <c r="N52" s="5"/>
      <c r="O52" s="5"/>
      <c r="P52" s="5"/>
      <c r="Q52" s="5"/>
      <c r="R52" s="130"/>
      <c r="S52" s="134"/>
      <c r="T52" s="134"/>
      <c r="U52" s="133">
        <f>IF(S51&gt;$J$24,U51,U51+$S$6)</f>
        <v>0.29999999999999805</v>
      </c>
      <c r="V52" s="130">
        <f>IF(S51&gt;$J$24,V51,T51-T48)</f>
        <v>0</v>
      </c>
      <c r="X52" t="str">
        <f t="shared" si="1"/>
        <v/>
      </c>
    </row>
    <row r="53" spans="1:24">
      <c r="A53" s="4"/>
      <c r="B53" s="31"/>
      <c r="C53" s="11" t="e">
        <f t="shared" si="0"/>
        <v>#N/A</v>
      </c>
      <c r="D53" s="5"/>
      <c r="E53" s="5"/>
      <c r="F53" s="5"/>
      <c r="G53" s="5"/>
      <c r="H53" s="5"/>
      <c r="I53" s="5"/>
      <c r="J53" s="5"/>
      <c r="K53" s="5"/>
      <c r="L53" s="5"/>
      <c r="M53" s="5"/>
      <c r="N53" s="5"/>
      <c r="O53" s="5"/>
      <c r="P53" s="5"/>
      <c r="Q53" s="5"/>
      <c r="R53" s="130"/>
      <c r="S53" s="134"/>
      <c r="T53" s="134"/>
      <c r="U53" s="133">
        <f>IF(S51&gt;$J$24,U52,U52)</f>
        <v>0.29999999999999805</v>
      </c>
      <c r="V53" s="130">
        <f>IF(S51&gt;$J$24,V52,0)</f>
        <v>0</v>
      </c>
      <c r="X53" t="str">
        <f t="shared" si="1"/>
        <v/>
      </c>
    </row>
    <row r="54" spans="1:24">
      <c r="A54" s="4"/>
      <c r="B54" s="31"/>
      <c r="C54" s="11" t="e">
        <f t="shared" si="0"/>
        <v>#N/A</v>
      </c>
      <c r="D54" s="5"/>
      <c r="E54" s="5"/>
      <c r="F54" s="5"/>
      <c r="G54" s="5"/>
      <c r="H54" s="5"/>
      <c r="I54" s="5"/>
      <c r="J54" s="5"/>
      <c r="K54" s="5"/>
      <c r="L54" s="5"/>
      <c r="M54" s="5"/>
      <c r="N54" s="5"/>
      <c r="O54" s="5"/>
      <c r="P54" s="5"/>
      <c r="Q54" s="5"/>
      <c r="R54" s="130"/>
      <c r="S54" s="134"/>
      <c r="T54" s="134"/>
      <c r="U54" s="133"/>
      <c r="V54" s="130"/>
      <c r="X54" t="str">
        <f t="shared" si="1"/>
        <v/>
      </c>
    </row>
    <row r="55" spans="1:24">
      <c r="A55" s="4"/>
      <c r="B55" s="31"/>
      <c r="C55" s="11" t="e">
        <f t="shared" si="0"/>
        <v>#N/A</v>
      </c>
      <c r="D55" s="5"/>
      <c r="E55" s="5"/>
      <c r="F55" s="5"/>
      <c r="G55" s="5"/>
      <c r="H55" s="5"/>
      <c r="I55" s="5"/>
      <c r="J55" s="5"/>
      <c r="K55" s="5"/>
      <c r="L55" s="5"/>
      <c r="M55" s="5"/>
      <c r="N55" s="5"/>
      <c r="O55" s="5"/>
      <c r="P55" s="5"/>
      <c r="Q55" s="5"/>
      <c r="R55" s="130"/>
      <c r="S55" s="134"/>
      <c r="T55" s="134"/>
      <c r="U55" s="133"/>
      <c r="V55" s="130"/>
      <c r="X55" t="str">
        <f t="shared" si="1"/>
        <v/>
      </c>
    </row>
    <row r="56" spans="1:24">
      <c r="A56" s="4"/>
      <c r="B56" s="31"/>
      <c r="C56" s="11" t="e">
        <f t="shared" si="0"/>
        <v>#N/A</v>
      </c>
      <c r="D56" s="5"/>
      <c r="E56" s="5"/>
      <c r="F56" s="5"/>
      <c r="G56" s="5"/>
      <c r="H56" s="5"/>
      <c r="I56" s="5"/>
      <c r="J56" s="5"/>
      <c r="K56" s="5"/>
      <c r="L56" s="5"/>
      <c r="M56" s="5"/>
      <c r="N56" s="5"/>
      <c r="O56" s="5"/>
      <c r="P56" s="5"/>
      <c r="Q56" s="5"/>
      <c r="R56" s="130"/>
      <c r="S56" s="134"/>
      <c r="T56" s="134"/>
      <c r="U56" s="133"/>
      <c r="V56" s="130"/>
      <c r="X56" t="str">
        <f t="shared" si="1"/>
        <v/>
      </c>
    </row>
    <row r="57" spans="1:24">
      <c r="A57" s="4"/>
      <c r="B57" s="31"/>
      <c r="C57" s="11" t="e">
        <f t="shared" si="0"/>
        <v>#N/A</v>
      </c>
      <c r="D57" s="5"/>
      <c r="E57" s="5"/>
      <c r="F57" s="5"/>
      <c r="G57" s="5"/>
      <c r="H57" s="5"/>
      <c r="I57" s="5"/>
      <c r="J57" s="5"/>
      <c r="K57" s="5"/>
      <c r="L57" s="5"/>
      <c r="M57" s="5"/>
      <c r="N57" s="5"/>
      <c r="O57" s="5"/>
      <c r="P57" s="5"/>
      <c r="Q57" s="5"/>
      <c r="R57" s="130"/>
      <c r="S57" s="134"/>
      <c r="T57" s="134"/>
      <c r="U57" s="133"/>
      <c r="V57" s="130"/>
      <c r="X57" t="str">
        <f t="shared" si="1"/>
        <v/>
      </c>
    </row>
    <row r="58" spans="1:24">
      <c r="A58" s="4"/>
      <c r="B58" s="31"/>
      <c r="C58" s="11" t="e">
        <f t="shared" si="0"/>
        <v>#N/A</v>
      </c>
      <c r="D58" s="5"/>
      <c r="E58" s="5"/>
      <c r="F58" s="5"/>
      <c r="G58" s="5"/>
      <c r="H58" s="5"/>
      <c r="I58" s="5"/>
      <c r="J58" s="5"/>
      <c r="K58" s="5"/>
      <c r="L58" s="5"/>
      <c r="M58" s="5"/>
      <c r="N58" s="5"/>
      <c r="O58" s="5"/>
      <c r="P58" s="5"/>
      <c r="Q58" s="5"/>
      <c r="R58" s="130"/>
      <c r="S58" s="134"/>
      <c r="T58" s="134"/>
      <c r="U58" s="133"/>
      <c r="V58" s="130"/>
      <c r="X58" t="str">
        <f t="shared" si="1"/>
        <v/>
      </c>
    </row>
    <row r="59" spans="1:24">
      <c r="A59" s="4"/>
      <c r="B59" s="31"/>
      <c r="C59" s="11" t="e">
        <f t="shared" si="0"/>
        <v>#N/A</v>
      </c>
      <c r="D59" s="5"/>
      <c r="E59" s="5"/>
      <c r="F59" s="5"/>
      <c r="G59" s="5"/>
      <c r="H59" s="5"/>
      <c r="I59" s="5"/>
      <c r="J59" s="5"/>
      <c r="K59" s="5"/>
      <c r="L59" s="5"/>
      <c r="M59" s="5"/>
      <c r="N59" s="5"/>
      <c r="O59" s="5"/>
      <c r="P59" s="5"/>
      <c r="Q59" s="5"/>
      <c r="R59" s="130"/>
      <c r="S59" s="134"/>
      <c r="T59" s="134"/>
      <c r="U59" s="133"/>
      <c r="V59" s="130"/>
      <c r="X59" t="str">
        <f t="shared" si="1"/>
        <v/>
      </c>
    </row>
    <row r="60" spans="1:24">
      <c r="A60" s="4"/>
      <c r="B60" s="31"/>
      <c r="C60" s="11" t="e">
        <f t="shared" si="0"/>
        <v>#N/A</v>
      </c>
      <c r="D60" s="5"/>
      <c r="E60" s="5"/>
      <c r="F60" s="5"/>
      <c r="G60" s="5"/>
      <c r="H60" s="5"/>
      <c r="I60" s="5"/>
      <c r="J60" s="5"/>
      <c r="K60" s="5"/>
      <c r="L60" s="5"/>
      <c r="M60" s="5"/>
      <c r="N60" s="5"/>
      <c r="O60" s="5"/>
      <c r="P60" s="5"/>
      <c r="Q60" s="5"/>
      <c r="R60" s="130"/>
      <c r="S60" s="134"/>
      <c r="T60" s="134"/>
      <c r="U60" s="133"/>
      <c r="V60" s="130"/>
      <c r="X60" t="str">
        <f t="shared" si="1"/>
        <v/>
      </c>
    </row>
    <row r="61" spans="1:24">
      <c r="A61" s="4"/>
      <c r="B61" s="31"/>
      <c r="C61" s="11" t="e">
        <f t="shared" si="0"/>
        <v>#N/A</v>
      </c>
      <c r="D61" s="5"/>
      <c r="E61" s="5"/>
      <c r="F61" s="5"/>
      <c r="G61" s="5"/>
      <c r="H61" s="5"/>
      <c r="I61" s="5"/>
      <c r="J61" s="5"/>
      <c r="K61" s="5"/>
      <c r="L61" s="5"/>
      <c r="M61" s="5"/>
      <c r="N61" s="5"/>
      <c r="O61" s="5"/>
      <c r="P61" s="5"/>
      <c r="Q61" s="5"/>
      <c r="R61" s="130"/>
      <c r="S61" s="134"/>
      <c r="T61" s="134"/>
      <c r="U61" s="133"/>
      <c r="V61" s="130"/>
      <c r="X61" t="str">
        <f t="shared" si="1"/>
        <v/>
      </c>
    </row>
    <row r="62" spans="1:24">
      <c r="A62" s="4"/>
      <c r="B62" s="31"/>
      <c r="C62" s="11" t="e">
        <f t="shared" si="0"/>
        <v>#N/A</v>
      </c>
      <c r="D62" s="5"/>
      <c r="E62" s="5"/>
      <c r="F62" s="5"/>
      <c r="G62" s="5"/>
      <c r="H62" s="5"/>
      <c r="I62" s="5"/>
      <c r="J62" s="5"/>
      <c r="K62" s="5"/>
      <c r="L62" s="5"/>
      <c r="M62" s="5"/>
      <c r="N62" s="5"/>
      <c r="O62" s="5"/>
      <c r="P62" s="5"/>
      <c r="Q62" s="5"/>
      <c r="R62" s="130"/>
      <c r="S62" s="134"/>
      <c r="T62" s="134"/>
      <c r="U62" s="133"/>
      <c r="V62" s="130"/>
      <c r="X62" t="str">
        <f t="shared" si="1"/>
        <v/>
      </c>
    </row>
    <row r="63" spans="1:24">
      <c r="A63" s="4"/>
      <c r="B63" s="31"/>
      <c r="C63" s="11" t="e">
        <f t="shared" si="0"/>
        <v>#N/A</v>
      </c>
      <c r="D63" s="5"/>
      <c r="E63" s="5"/>
      <c r="F63" s="5"/>
      <c r="G63" s="5"/>
      <c r="H63" s="5"/>
      <c r="I63" s="5"/>
      <c r="J63" s="5"/>
      <c r="K63" s="5"/>
      <c r="L63" s="5"/>
      <c r="M63" s="5"/>
      <c r="N63" s="5"/>
      <c r="O63" s="5"/>
      <c r="P63" s="5"/>
      <c r="Q63" s="5"/>
      <c r="R63" s="130"/>
      <c r="S63" s="134"/>
      <c r="T63" s="134"/>
      <c r="U63" s="133"/>
      <c r="V63" s="130"/>
      <c r="X63" t="str">
        <f t="shared" si="1"/>
        <v/>
      </c>
    </row>
    <row r="64" spans="1:24">
      <c r="A64" s="4"/>
      <c r="B64" s="31"/>
      <c r="C64" s="11" t="e">
        <f t="shared" si="0"/>
        <v>#N/A</v>
      </c>
      <c r="D64" s="5"/>
      <c r="E64" s="5"/>
      <c r="F64" s="5"/>
      <c r="G64" s="5"/>
      <c r="H64" s="5"/>
      <c r="I64" s="5"/>
      <c r="J64" s="5"/>
      <c r="K64" s="5"/>
      <c r="L64" s="5"/>
      <c r="M64" s="5"/>
      <c r="N64" s="5"/>
      <c r="O64" s="5"/>
      <c r="P64" s="5"/>
      <c r="Q64" s="5"/>
      <c r="R64" s="130"/>
      <c r="S64" s="134"/>
      <c r="T64" s="134"/>
      <c r="U64" s="133"/>
      <c r="V64" s="130"/>
      <c r="X64" t="str">
        <f t="shared" si="1"/>
        <v/>
      </c>
    </row>
    <row r="65" spans="1:24">
      <c r="A65" s="4"/>
      <c r="B65" s="31"/>
      <c r="C65" s="11" t="e">
        <f t="shared" si="0"/>
        <v>#N/A</v>
      </c>
      <c r="D65" s="5"/>
      <c r="E65" s="5"/>
      <c r="F65" s="5"/>
      <c r="G65" s="5"/>
      <c r="H65" s="5"/>
      <c r="I65" s="5"/>
      <c r="J65" s="5"/>
      <c r="K65" s="5"/>
      <c r="L65" s="5"/>
      <c r="M65" s="5"/>
      <c r="N65" s="5"/>
      <c r="O65" s="5"/>
      <c r="P65" s="5"/>
      <c r="Q65" s="5"/>
      <c r="R65" s="130"/>
      <c r="S65" s="134"/>
      <c r="T65" s="134"/>
      <c r="U65" s="133"/>
      <c r="V65" s="130"/>
      <c r="X65" t="str">
        <f t="shared" si="1"/>
        <v/>
      </c>
    </row>
    <row r="66" spans="1:24">
      <c r="A66" s="4"/>
      <c r="B66" s="31"/>
      <c r="C66" s="11" t="e">
        <f t="shared" si="0"/>
        <v>#N/A</v>
      </c>
      <c r="D66" s="5"/>
      <c r="E66" s="5"/>
      <c r="F66" s="5"/>
      <c r="G66" s="5"/>
      <c r="H66" s="5"/>
      <c r="I66" s="5"/>
      <c r="J66" s="5"/>
      <c r="K66" s="5"/>
      <c r="L66" s="5"/>
      <c r="M66" s="5"/>
      <c r="N66" s="5"/>
      <c r="O66" s="5"/>
      <c r="P66" s="5"/>
      <c r="Q66" s="5"/>
      <c r="R66" s="130"/>
      <c r="S66" s="134"/>
      <c r="T66" s="134"/>
      <c r="U66" s="133"/>
      <c r="V66" s="130"/>
      <c r="X66" t="str">
        <f t="shared" si="1"/>
        <v/>
      </c>
    </row>
    <row r="67" spans="1:24">
      <c r="A67" s="4"/>
      <c r="B67" s="31"/>
      <c r="C67" s="11" t="e">
        <f t="shared" ref="C67:C130" si="2">IF(OR(ISBLANK(A67),ISBLANK(B67)),NA(),A67-B67)</f>
        <v>#N/A</v>
      </c>
      <c r="D67" s="5"/>
      <c r="E67" s="5"/>
      <c r="F67" s="5"/>
      <c r="G67" s="5"/>
      <c r="H67" s="5"/>
      <c r="I67" s="5"/>
      <c r="J67" s="5"/>
      <c r="K67" s="5"/>
      <c r="L67" s="5"/>
      <c r="M67" s="5"/>
      <c r="N67" s="5"/>
      <c r="O67" s="5"/>
      <c r="P67" s="5"/>
      <c r="Q67" s="5"/>
      <c r="R67" s="130"/>
      <c r="S67" s="134"/>
      <c r="T67" s="134"/>
      <c r="U67" s="133"/>
      <c r="V67" s="130"/>
      <c r="X67" t="str">
        <f t="shared" ref="X67:X130" si="3">IFERROR(C67,"")</f>
        <v/>
      </c>
    </row>
    <row r="68" spans="1:24">
      <c r="A68" s="4"/>
      <c r="B68" s="31"/>
      <c r="C68" s="11" t="e">
        <f t="shared" si="2"/>
        <v>#N/A</v>
      </c>
      <c r="D68" s="5"/>
      <c r="E68" s="5"/>
      <c r="F68" s="5"/>
      <c r="G68" s="5"/>
      <c r="H68" s="5"/>
      <c r="I68" s="5"/>
      <c r="J68" s="5"/>
      <c r="K68" s="5"/>
      <c r="L68" s="5"/>
      <c r="M68" s="5"/>
      <c r="N68" s="5"/>
      <c r="O68" s="5"/>
      <c r="P68" s="5"/>
      <c r="Q68" s="5"/>
      <c r="R68" s="130"/>
      <c r="S68" s="134"/>
      <c r="T68" s="134"/>
      <c r="U68" s="133"/>
      <c r="V68" s="130"/>
      <c r="X68" t="str">
        <f t="shared" si="3"/>
        <v/>
      </c>
    </row>
    <row r="69" spans="1:24">
      <c r="A69" s="4"/>
      <c r="B69" s="31"/>
      <c r="C69" s="11" t="e">
        <f t="shared" si="2"/>
        <v>#N/A</v>
      </c>
      <c r="D69" s="5"/>
      <c r="E69" s="5"/>
      <c r="F69" s="5"/>
      <c r="G69" s="5"/>
      <c r="H69" s="5"/>
      <c r="I69" s="5"/>
      <c r="J69" s="5"/>
      <c r="K69" s="5"/>
      <c r="L69" s="5"/>
      <c r="M69" s="5"/>
      <c r="N69" s="5"/>
      <c r="O69" s="5"/>
      <c r="P69" s="5"/>
      <c r="Q69" s="5"/>
      <c r="R69" s="130"/>
      <c r="S69" s="134"/>
      <c r="T69" s="134"/>
      <c r="U69" s="133"/>
      <c r="V69" s="130"/>
      <c r="X69" t="str">
        <f t="shared" si="3"/>
        <v/>
      </c>
    </row>
    <row r="70" spans="1:24">
      <c r="A70" s="4"/>
      <c r="B70" s="31"/>
      <c r="C70" s="11" t="e">
        <f t="shared" si="2"/>
        <v>#N/A</v>
      </c>
      <c r="D70" s="5"/>
      <c r="E70" s="5"/>
      <c r="F70" s="5"/>
      <c r="G70" s="5"/>
      <c r="H70" s="5"/>
      <c r="I70" s="5"/>
      <c r="J70" s="5"/>
      <c r="K70" s="5"/>
      <c r="L70" s="5"/>
      <c r="M70" s="5"/>
      <c r="N70" s="5"/>
      <c r="O70" s="5"/>
      <c r="P70" s="5"/>
      <c r="Q70" s="5"/>
      <c r="R70" s="130"/>
      <c r="S70" s="134"/>
      <c r="T70" s="134"/>
      <c r="U70" s="133"/>
      <c r="V70" s="130"/>
      <c r="X70" t="str">
        <f t="shared" si="3"/>
        <v/>
      </c>
    </row>
    <row r="71" spans="1:24">
      <c r="A71" s="4"/>
      <c r="B71" s="31"/>
      <c r="C71" s="11" t="e">
        <f t="shared" si="2"/>
        <v>#N/A</v>
      </c>
      <c r="D71" s="5"/>
      <c r="E71" s="5"/>
      <c r="F71" s="5"/>
      <c r="G71" s="5"/>
      <c r="H71" s="5"/>
      <c r="I71" s="5"/>
      <c r="J71" s="5"/>
      <c r="K71" s="5"/>
      <c r="L71" s="5"/>
      <c r="M71" s="5"/>
      <c r="N71" s="5"/>
      <c r="O71" s="5"/>
      <c r="P71" s="5"/>
      <c r="Q71" s="5"/>
      <c r="R71" s="130"/>
      <c r="S71" s="134"/>
      <c r="T71" s="134"/>
      <c r="U71" s="133"/>
      <c r="V71" s="130"/>
      <c r="X71" t="str">
        <f t="shared" si="3"/>
        <v/>
      </c>
    </row>
    <row r="72" spans="1:24">
      <c r="A72" s="4"/>
      <c r="B72" s="31"/>
      <c r="C72" s="11" t="e">
        <f t="shared" si="2"/>
        <v>#N/A</v>
      </c>
      <c r="D72" s="5"/>
      <c r="E72" s="5"/>
      <c r="F72" s="5"/>
      <c r="G72" s="5"/>
      <c r="H72" s="5"/>
      <c r="I72" s="5"/>
      <c r="J72" s="5"/>
      <c r="K72" s="5"/>
      <c r="L72" s="5"/>
      <c r="M72" s="5"/>
      <c r="N72" s="5"/>
      <c r="O72" s="5"/>
      <c r="P72" s="5"/>
      <c r="Q72" s="5"/>
      <c r="R72" s="130"/>
      <c r="S72" s="134"/>
      <c r="T72" s="134"/>
      <c r="U72" s="133"/>
      <c r="V72" s="130"/>
      <c r="X72" t="str">
        <f t="shared" si="3"/>
        <v/>
      </c>
    </row>
    <row r="73" spans="1:24">
      <c r="A73" s="4"/>
      <c r="B73" s="31"/>
      <c r="C73" s="11" t="e">
        <f t="shared" si="2"/>
        <v>#N/A</v>
      </c>
      <c r="D73" s="5"/>
      <c r="E73" s="5"/>
      <c r="F73" s="5"/>
      <c r="G73" s="5"/>
      <c r="H73" s="5"/>
      <c r="I73" s="5"/>
      <c r="J73" s="5"/>
      <c r="K73" s="5"/>
      <c r="L73" s="5"/>
      <c r="M73" s="5"/>
      <c r="N73" s="5"/>
      <c r="O73" s="5"/>
      <c r="P73" s="5"/>
      <c r="Q73" s="5"/>
      <c r="R73" s="130"/>
      <c r="S73" s="134"/>
      <c r="T73" s="134"/>
      <c r="U73" s="133"/>
      <c r="V73" s="130"/>
      <c r="X73" t="str">
        <f t="shared" si="3"/>
        <v/>
      </c>
    </row>
    <row r="74" spans="1:24">
      <c r="A74" s="4"/>
      <c r="B74" s="31"/>
      <c r="C74" s="11" t="e">
        <f t="shared" si="2"/>
        <v>#N/A</v>
      </c>
      <c r="D74" s="5"/>
      <c r="E74" s="5"/>
      <c r="F74" s="5"/>
      <c r="G74" s="5"/>
      <c r="H74" s="5"/>
      <c r="I74" s="5"/>
      <c r="J74" s="5"/>
      <c r="K74" s="5"/>
      <c r="L74" s="5"/>
      <c r="M74" s="5"/>
      <c r="N74" s="5"/>
      <c r="O74" s="5"/>
      <c r="P74" s="5"/>
      <c r="Q74" s="5"/>
      <c r="R74" s="130"/>
      <c r="S74" s="134"/>
      <c r="T74" s="134"/>
      <c r="U74" s="133"/>
      <c r="V74" s="130"/>
      <c r="X74" t="str">
        <f t="shared" si="3"/>
        <v/>
      </c>
    </row>
    <row r="75" spans="1:24">
      <c r="A75" s="4"/>
      <c r="B75" s="31"/>
      <c r="C75" s="11" t="e">
        <f t="shared" si="2"/>
        <v>#N/A</v>
      </c>
      <c r="D75" s="5"/>
      <c r="E75" s="5"/>
      <c r="F75" s="5"/>
      <c r="G75" s="5"/>
      <c r="H75" s="5"/>
      <c r="I75" s="5"/>
      <c r="J75" s="5"/>
      <c r="K75" s="5"/>
      <c r="L75" s="5"/>
      <c r="M75" s="5"/>
      <c r="N75" s="5"/>
      <c r="O75" s="5"/>
      <c r="P75" s="5"/>
      <c r="Q75" s="5"/>
      <c r="R75" s="130"/>
      <c r="S75" s="134"/>
      <c r="T75" s="134"/>
      <c r="U75" s="133"/>
      <c r="V75" s="130"/>
      <c r="X75" t="str">
        <f t="shared" si="3"/>
        <v/>
      </c>
    </row>
    <row r="76" spans="1:24">
      <c r="A76" s="4"/>
      <c r="B76" s="31"/>
      <c r="C76" s="11" t="e">
        <f t="shared" si="2"/>
        <v>#N/A</v>
      </c>
      <c r="D76" s="5"/>
      <c r="E76" s="5"/>
      <c r="F76" s="5"/>
      <c r="G76" s="5"/>
      <c r="H76" s="5"/>
      <c r="I76" s="5"/>
      <c r="J76" s="5"/>
      <c r="K76" s="5"/>
      <c r="L76" s="5"/>
      <c r="M76" s="5"/>
      <c r="N76" s="5"/>
      <c r="O76" s="5"/>
      <c r="P76" s="5"/>
      <c r="Q76" s="5"/>
      <c r="R76" s="130"/>
      <c r="S76" s="134"/>
      <c r="T76" s="134"/>
      <c r="U76" s="133"/>
      <c r="V76" s="130"/>
      <c r="X76" t="str">
        <f t="shared" si="3"/>
        <v/>
      </c>
    </row>
    <row r="77" spans="1:24">
      <c r="A77" s="4"/>
      <c r="B77" s="31"/>
      <c r="C77" s="11" t="e">
        <f t="shared" si="2"/>
        <v>#N/A</v>
      </c>
      <c r="D77" s="5"/>
      <c r="E77" s="5"/>
      <c r="F77" s="5"/>
      <c r="G77" s="5"/>
      <c r="H77" s="5"/>
      <c r="I77" s="5"/>
      <c r="J77" s="5"/>
      <c r="K77" s="5"/>
      <c r="L77" s="5"/>
      <c r="M77" s="5"/>
      <c r="N77" s="5"/>
      <c r="O77" s="5"/>
      <c r="P77" s="5"/>
      <c r="Q77" s="5"/>
      <c r="R77" s="130"/>
      <c r="S77" s="134"/>
      <c r="T77" s="134"/>
      <c r="U77" s="133"/>
      <c r="V77" s="130"/>
      <c r="X77" t="str">
        <f t="shared" si="3"/>
        <v/>
      </c>
    </row>
    <row r="78" spans="1:24">
      <c r="A78" s="4"/>
      <c r="B78" s="31"/>
      <c r="C78" s="11" t="e">
        <f t="shared" si="2"/>
        <v>#N/A</v>
      </c>
      <c r="D78" s="5"/>
      <c r="E78" s="5"/>
      <c r="F78" s="5"/>
      <c r="G78" s="5"/>
      <c r="H78" s="5"/>
      <c r="I78" s="5"/>
      <c r="J78" s="5"/>
      <c r="K78" s="5"/>
      <c r="L78" s="5"/>
      <c r="M78" s="5"/>
      <c r="N78" s="5"/>
      <c r="O78" s="5"/>
      <c r="P78" s="5"/>
      <c r="Q78" s="5"/>
      <c r="R78" s="130"/>
      <c r="S78" s="134"/>
      <c r="T78" s="134"/>
      <c r="U78" s="133"/>
      <c r="V78" s="130"/>
      <c r="X78" t="str">
        <f t="shared" si="3"/>
        <v/>
      </c>
    </row>
    <row r="79" spans="1:24">
      <c r="A79" s="4"/>
      <c r="B79" s="31"/>
      <c r="C79" s="11" t="e">
        <f t="shared" si="2"/>
        <v>#N/A</v>
      </c>
      <c r="D79" s="5"/>
      <c r="E79" s="5"/>
      <c r="F79" s="5"/>
      <c r="G79" s="5"/>
      <c r="H79" s="5"/>
      <c r="I79" s="5"/>
      <c r="J79" s="5"/>
      <c r="K79" s="5"/>
      <c r="L79" s="5"/>
      <c r="M79" s="5"/>
      <c r="N79" s="5"/>
      <c r="O79" s="5"/>
      <c r="P79" s="5"/>
      <c r="Q79" s="5"/>
      <c r="R79" s="130"/>
      <c r="S79" s="134"/>
      <c r="T79" s="134"/>
      <c r="U79" s="133"/>
      <c r="V79" s="130"/>
      <c r="X79" t="str">
        <f t="shared" si="3"/>
        <v/>
      </c>
    </row>
    <row r="80" spans="1:24">
      <c r="A80" s="4"/>
      <c r="B80" s="31"/>
      <c r="C80" s="11" t="e">
        <f t="shared" si="2"/>
        <v>#N/A</v>
      </c>
      <c r="D80" s="5"/>
      <c r="E80" s="5"/>
      <c r="F80" s="5"/>
      <c r="G80" s="5"/>
      <c r="H80" s="5"/>
      <c r="I80" s="5"/>
      <c r="J80" s="5"/>
      <c r="K80" s="5"/>
      <c r="L80" s="5"/>
      <c r="M80" s="5"/>
      <c r="N80" s="5"/>
      <c r="O80" s="5"/>
      <c r="P80" s="5"/>
      <c r="Q80" s="5"/>
      <c r="R80" s="130"/>
      <c r="S80" s="134"/>
      <c r="T80" s="134"/>
      <c r="U80" s="133"/>
      <c r="V80" s="130"/>
      <c r="X80" t="str">
        <f t="shared" si="3"/>
        <v/>
      </c>
    </row>
    <row r="81" spans="1:24">
      <c r="A81" s="4"/>
      <c r="B81" s="31"/>
      <c r="C81" s="11" t="e">
        <f t="shared" si="2"/>
        <v>#N/A</v>
      </c>
      <c r="D81" s="5"/>
      <c r="E81" s="5"/>
      <c r="F81" s="5"/>
      <c r="G81" s="5"/>
      <c r="H81" s="5"/>
      <c r="I81" s="5"/>
      <c r="J81" s="5"/>
      <c r="K81" s="5"/>
      <c r="L81" s="5"/>
      <c r="M81" s="5"/>
      <c r="N81" s="5"/>
      <c r="O81" s="5"/>
      <c r="P81" s="5"/>
      <c r="Q81" s="5"/>
      <c r="R81" s="130"/>
      <c r="S81" s="134"/>
      <c r="T81" s="134"/>
      <c r="U81" s="133"/>
      <c r="V81" s="130"/>
      <c r="X81" t="str">
        <f t="shared" si="3"/>
        <v/>
      </c>
    </row>
    <row r="82" spans="1:24">
      <c r="A82" s="4"/>
      <c r="B82" s="31"/>
      <c r="C82" s="11" t="e">
        <f t="shared" si="2"/>
        <v>#N/A</v>
      </c>
      <c r="D82" s="5"/>
      <c r="E82" s="5"/>
      <c r="F82" s="5"/>
      <c r="G82" s="5"/>
      <c r="H82" s="5"/>
      <c r="I82" s="5"/>
      <c r="J82" s="5"/>
      <c r="K82" s="5"/>
      <c r="L82" s="5"/>
      <c r="M82" s="5"/>
      <c r="N82" s="5"/>
      <c r="O82" s="5"/>
      <c r="P82" s="5"/>
      <c r="Q82" s="5"/>
      <c r="R82" s="130"/>
      <c r="S82" s="134"/>
      <c r="T82" s="134"/>
      <c r="U82" s="133"/>
      <c r="V82" s="130"/>
      <c r="X82" t="str">
        <f t="shared" si="3"/>
        <v/>
      </c>
    </row>
    <row r="83" spans="1:24">
      <c r="A83" s="4"/>
      <c r="B83" s="31"/>
      <c r="C83" s="11" t="e">
        <f t="shared" si="2"/>
        <v>#N/A</v>
      </c>
      <c r="D83" s="5"/>
      <c r="E83" s="5"/>
      <c r="F83" s="5"/>
      <c r="G83" s="5"/>
      <c r="H83" s="5"/>
      <c r="I83" s="5"/>
      <c r="J83" s="5"/>
      <c r="K83" s="5"/>
      <c r="L83" s="5"/>
      <c r="M83" s="5"/>
      <c r="N83" s="5"/>
      <c r="O83" s="5"/>
      <c r="P83" s="5"/>
      <c r="Q83" s="5"/>
      <c r="R83" s="130"/>
      <c r="S83" s="134"/>
      <c r="T83" s="134"/>
      <c r="U83" s="133"/>
      <c r="V83" s="130"/>
      <c r="X83" t="str">
        <f t="shared" si="3"/>
        <v/>
      </c>
    </row>
    <row r="84" spans="1:24">
      <c r="A84" s="4"/>
      <c r="B84" s="31"/>
      <c r="C84" s="11" t="e">
        <f t="shared" si="2"/>
        <v>#N/A</v>
      </c>
      <c r="D84" s="5"/>
      <c r="E84" s="5"/>
      <c r="F84" s="5"/>
      <c r="G84" s="5"/>
      <c r="H84" s="5"/>
      <c r="I84" s="5"/>
      <c r="J84" s="5"/>
      <c r="K84" s="5"/>
      <c r="L84" s="5"/>
      <c r="M84" s="5"/>
      <c r="N84" s="5"/>
      <c r="O84" s="5"/>
      <c r="P84" s="5"/>
      <c r="Q84" s="5"/>
      <c r="R84" s="130"/>
      <c r="S84" s="134"/>
      <c r="T84" s="134"/>
      <c r="U84" s="133"/>
      <c r="V84" s="130"/>
      <c r="X84" t="str">
        <f t="shared" si="3"/>
        <v/>
      </c>
    </row>
    <row r="85" spans="1:24">
      <c r="A85" s="4"/>
      <c r="B85" s="31"/>
      <c r="C85" s="11" t="e">
        <f t="shared" si="2"/>
        <v>#N/A</v>
      </c>
      <c r="D85" s="5"/>
      <c r="E85" s="5"/>
      <c r="F85" s="5"/>
      <c r="G85" s="5"/>
      <c r="H85" s="5"/>
      <c r="I85" s="5"/>
      <c r="J85" s="5"/>
      <c r="K85" s="5"/>
      <c r="L85" s="5"/>
      <c r="M85" s="5"/>
      <c r="N85" s="5"/>
      <c r="O85" s="5"/>
      <c r="P85" s="5"/>
      <c r="Q85" s="5"/>
      <c r="R85" s="130"/>
      <c r="S85" s="134"/>
      <c r="T85" s="134"/>
      <c r="U85" s="133"/>
      <c r="V85" s="130"/>
      <c r="X85" t="str">
        <f t="shared" si="3"/>
        <v/>
      </c>
    </row>
    <row r="86" spans="1:24">
      <c r="A86" s="4"/>
      <c r="B86" s="31"/>
      <c r="C86" s="11" t="e">
        <f t="shared" si="2"/>
        <v>#N/A</v>
      </c>
      <c r="D86" s="5"/>
      <c r="E86" s="5"/>
      <c r="F86" s="5"/>
      <c r="G86" s="5"/>
      <c r="H86" s="5"/>
      <c r="I86" s="5"/>
      <c r="J86" s="5"/>
      <c r="K86" s="5"/>
      <c r="L86" s="5"/>
      <c r="M86" s="5"/>
      <c r="N86" s="5"/>
      <c r="O86" s="5"/>
      <c r="P86" s="5"/>
      <c r="Q86" s="5"/>
      <c r="R86" s="130"/>
      <c r="S86" s="134"/>
      <c r="T86" s="134"/>
      <c r="U86" s="133"/>
      <c r="V86" s="130"/>
      <c r="X86" t="str">
        <f t="shared" si="3"/>
        <v/>
      </c>
    </row>
    <row r="87" spans="1:24">
      <c r="A87" s="4"/>
      <c r="B87" s="31"/>
      <c r="C87" s="11" t="e">
        <f t="shared" si="2"/>
        <v>#N/A</v>
      </c>
      <c r="D87" s="5"/>
      <c r="E87" s="5"/>
      <c r="F87" s="5"/>
      <c r="G87" s="5"/>
      <c r="H87" s="5"/>
      <c r="I87" s="5"/>
      <c r="J87" s="5"/>
      <c r="K87" s="5"/>
      <c r="L87" s="5"/>
      <c r="M87" s="5"/>
      <c r="N87" s="5"/>
      <c r="O87" s="5"/>
      <c r="P87" s="5"/>
      <c r="Q87" s="5"/>
      <c r="R87" s="130"/>
      <c r="S87" s="134"/>
      <c r="T87" s="134"/>
      <c r="U87" s="133"/>
      <c r="V87" s="130"/>
      <c r="X87" t="str">
        <f t="shared" si="3"/>
        <v/>
      </c>
    </row>
    <row r="88" spans="1:24">
      <c r="A88" s="4"/>
      <c r="B88" s="31"/>
      <c r="C88" s="11" t="e">
        <f t="shared" si="2"/>
        <v>#N/A</v>
      </c>
      <c r="D88" s="5"/>
      <c r="E88" s="5"/>
      <c r="F88" s="5"/>
      <c r="G88" s="5"/>
      <c r="H88" s="5"/>
      <c r="I88" s="5"/>
      <c r="J88" s="5"/>
      <c r="K88" s="5"/>
      <c r="L88" s="5"/>
      <c r="M88" s="5"/>
      <c r="N88" s="5"/>
      <c r="O88" s="5"/>
      <c r="P88" s="5"/>
      <c r="Q88" s="5"/>
      <c r="R88" s="130"/>
      <c r="S88" s="134"/>
      <c r="T88" s="134"/>
      <c r="U88" s="133"/>
      <c r="V88" s="130"/>
      <c r="X88" t="str">
        <f t="shared" si="3"/>
        <v/>
      </c>
    </row>
    <row r="89" spans="1:24">
      <c r="A89" s="4"/>
      <c r="B89" s="31"/>
      <c r="C89" s="11" t="e">
        <f t="shared" si="2"/>
        <v>#N/A</v>
      </c>
      <c r="D89" s="5"/>
      <c r="E89" s="5"/>
      <c r="F89" s="5"/>
      <c r="G89" s="5"/>
      <c r="H89" s="5"/>
      <c r="I89" s="5"/>
      <c r="J89" s="5"/>
      <c r="K89" s="5"/>
      <c r="L89" s="5"/>
      <c r="M89" s="5"/>
      <c r="N89" s="5"/>
      <c r="O89" s="5"/>
      <c r="P89" s="5"/>
      <c r="Q89" s="5"/>
      <c r="R89" s="130"/>
      <c r="S89" s="134"/>
      <c r="T89" s="134"/>
      <c r="U89" s="133"/>
      <c r="V89" s="130"/>
      <c r="X89" t="str">
        <f t="shared" si="3"/>
        <v/>
      </c>
    </row>
    <row r="90" spans="1:24">
      <c r="A90" s="4"/>
      <c r="B90" s="31"/>
      <c r="C90" s="11" t="e">
        <f t="shared" si="2"/>
        <v>#N/A</v>
      </c>
      <c r="D90" s="5"/>
      <c r="E90" s="5"/>
      <c r="F90" s="5"/>
      <c r="G90" s="5"/>
      <c r="H90" s="5"/>
      <c r="I90" s="5"/>
      <c r="J90" s="5"/>
      <c r="K90" s="5"/>
      <c r="L90" s="5"/>
      <c r="M90" s="5"/>
      <c r="N90" s="5"/>
      <c r="O90" s="5"/>
      <c r="P90" s="5"/>
      <c r="Q90" s="5"/>
      <c r="R90" s="130"/>
      <c r="S90" s="134"/>
      <c r="T90" s="134"/>
      <c r="U90" s="133"/>
      <c r="V90" s="130"/>
      <c r="X90" t="str">
        <f t="shared" si="3"/>
        <v/>
      </c>
    </row>
    <row r="91" spans="1:24">
      <c r="A91" s="4"/>
      <c r="B91" s="31"/>
      <c r="C91" s="11" t="e">
        <f t="shared" si="2"/>
        <v>#N/A</v>
      </c>
      <c r="D91" s="5"/>
      <c r="E91" s="5"/>
      <c r="F91" s="5"/>
      <c r="G91" s="5"/>
      <c r="H91" s="5"/>
      <c r="I91" s="5"/>
      <c r="J91" s="5"/>
      <c r="K91" s="5"/>
      <c r="L91" s="5"/>
      <c r="M91" s="5"/>
      <c r="N91" s="5"/>
      <c r="O91" s="5"/>
      <c r="P91" s="5"/>
      <c r="Q91" s="5"/>
      <c r="R91" s="130"/>
      <c r="S91" s="134"/>
      <c r="T91" s="134"/>
      <c r="U91" s="133"/>
      <c r="V91" s="130"/>
      <c r="X91" t="str">
        <f t="shared" si="3"/>
        <v/>
      </c>
    </row>
    <row r="92" spans="1:24">
      <c r="A92" s="4"/>
      <c r="B92" s="31"/>
      <c r="C92" s="11" t="e">
        <f t="shared" si="2"/>
        <v>#N/A</v>
      </c>
      <c r="D92" s="5"/>
      <c r="E92" s="5"/>
      <c r="F92" s="5"/>
      <c r="G92" s="5"/>
      <c r="H92" s="5"/>
      <c r="I92" s="5"/>
      <c r="J92" s="5"/>
      <c r="K92" s="5"/>
      <c r="L92" s="5"/>
      <c r="M92" s="5"/>
      <c r="N92" s="5"/>
      <c r="O92" s="5"/>
      <c r="P92" s="5"/>
      <c r="Q92" s="5"/>
      <c r="R92" s="130"/>
      <c r="S92" s="134"/>
      <c r="T92" s="134"/>
      <c r="U92" s="133"/>
      <c r="V92" s="130"/>
      <c r="X92" t="str">
        <f t="shared" si="3"/>
        <v/>
      </c>
    </row>
    <row r="93" spans="1:24">
      <c r="A93" s="4"/>
      <c r="B93" s="31"/>
      <c r="C93" s="11" t="e">
        <f t="shared" si="2"/>
        <v>#N/A</v>
      </c>
      <c r="D93" s="5"/>
      <c r="E93" s="5"/>
      <c r="F93" s="5"/>
      <c r="G93" s="5"/>
      <c r="H93" s="5"/>
      <c r="I93" s="5"/>
      <c r="J93" s="5"/>
      <c r="K93" s="5"/>
      <c r="L93" s="5"/>
      <c r="M93" s="5"/>
      <c r="N93" s="5"/>
      <c r="O93" s="5"/>
      <c r="P93" s="5"/>
      <c r="Q93" s="5"/>
      <c r="R93" s="130"/>
      <c r="S93" s="134"/>
      <c r="T93" s="134"/>
      <c r="U93" s="133"/>
      <c r="V93" s="130"/>
      <c r="X93" t="str">
        <f t="shared" si="3"/>
        <v/>
      </c>
    </row>
    <row r="94" spans="1:24">
      <c r="A94" s="4"/>
      <c r="B94" s="31"/>
      <c r="C94" s="11" t="e">
        <f t="shared" si="2"/>
        <v>#N/A</v>
      </c>
      <c r="D94" s="5"/>
      <c r="E94" s="5"/>
      <c r="F94" s="5"/>
      <c r="G94" s="5"/>
      <c r="H94" s="5"/>
      <c r="I94" s="5"/>
      <c r="J94" s="5"/>
      <c r="K94" s="5"/>
      <c r="L94" s="5"/>
      <c r="M94" s="5"/>
      <c r="N94" s="5"/>
      <c r="O94" s="5"/>
      <c r="P94" s="5"/>
      <c r="Q94" s="5"/>
      <c r="R94" s="130"/>
      <c r="S94" s="134"/>
      <c r="T94" s="134"/>
      <c r="U94" s="133"/>
      <c r="V94" s="130"/>
      <c r="X94" t="str">
        <f t="shared" si="3"/>
        <v/>
      </c>
    </row>
    <row r="95" spans="1:24">
      <c r="A95" s="4"/>
      <c r="B95" s="31"/>
      <c r="C95" s="11" t="e">
        <f t="shared" si="2"/>
        <v>#N/A</v>
      </c>
      <c r="D95" s="5"/>
      <c r="E95" s="5"/>
      <c r="F95" s="5"/>
      <c r="G95" s="5"/>
      <c r="H95" s="5"/>
      <c r="I95" s="5"/>
      <c r="J95" s="5"/>
      <c r="K95" s="5"/>
      <c r="L95" s="5"/>
      <c r="M95" s="5"/>
      <c r="N95" s="5"/>
      <c r="O95" s="5"/>
      <c r="P95" s="5"/>
      <c r="Q95" s="5"/>
      <c r="R95" s="130"/>
      <c r="S95" s="134"/>
      <c r="T95" s="134"/>
      <c r="U95" s="133"/>
      <c r="V95" s="130"/>
      <c r="X95" t="str">
        <f t="shared" si="3"/>
        <v/>
      </c>
    </row>
    <row r="96" spans="1:24">
      <c r="A96" s="4"/>
      <c r="B96" s="31"/>
      <c r="C96" s="11" t="e">
        <f t="shared" si="2"/>
        <v>#N/A</v>
      </c>
      <c r="D96" s="5"/>
      <c r="E96" s="5"/>
      <c r="F96" s="5"/>
      <c r="G96" s="5"/>
      <c r="H96" s="5"/>
      <c r="I96" s="5"/>
      <c r="J96" s="5"/>
      <c r="K96" s="5"/>
      <c r="L96" s="5"/>
      <c r="M96" s="5"/>
      <c r="N96" s="5"/>
      <c r="O96" s="5"/>
      <c r="P96" s="5"/>
      <c r="Q96" s="5"/>
      <c r="R96" s="130"/>
      <c r="S96" s="134"/>
      <c r="T96" s="134"/>
      <c r="U96" s="133"/>
      <c r="V96" s="130"/>
      <c r="X96" t="str">
        <f t="shared" si="3"/>
        <v/>
      </c>
    </row>
    <row r="97" spans="1:24">
      <c r="A97" s="4"/>
      <c r="B97" s="31"/>
      <c r="C97" s="11" t="e">
        <f t="shared" si="2"/>
        <v>#N/A</v>
      </c>
      <c r="D97" s="5"/>
      <c r="E97" s="5"/>
      <c r="F97" s="5"/>
      <c r="G97" s="5"/>
      <c r="H97" s="5"/>
      <c r="I97" s="5"/>
      <c r="J97" s="5"/>
      <c r="K97" s="5"/>
      <c r="L97" s="5"/>
      <c r="M97" s="5"/>
      <c r="N97" s="5"/>
      <c r="O97" s="5"/>
      <c r="P97" s="5"/>
      <c r="Q97" s="5"/>
      <c r="R97" s="130"/>
      <c r="S97" s="134"/>
      <c r="T97" s="134"/>
      <c r="U97" s="133"/>
      <c r="V97" s="130"/>
      <c r="X97" t="str">
        <f t="shared" si="3"/>
        <v/>
      </c>
    </row>
    <row r="98" spans="1:24">
      <c r="A98" s="4"/>
      <c r="B98" s="31"/>
      <c r="C98" s="11" t="e">
        <f t="shared" si="2"/>
        <v>#N/A</v>
      </c>
      <c r="D98" s="5"/>
      <c r="E98" s="5"/>
      <c r="F98" s="5"/>
      <c r="G98" s="5"/>
      <c r="H98" s="5"/>
      <c r="I98" s="5"/>
      <c r="J98" s="5"/>
      <c r="K98" s="5"/>
      <c r="L98" s="5"/>
      <c r="M98" s="5"/>
      <c r="N98" s="5"/>
      <c r="O98" s="5"/>
      <c r="P98" s="5"/>
      <c r="Q98" s="5"/>
      <c r="R98" s="130"/>
      <c r="S98" s="134"/>
      <c r="T98" s="134"/>
      <c r="U98" s="133"/>
      <c r="V98" s="130"/>
      <c r="X98" t="str">
        <f t="shared" si="3"/>
        <v/>
      </c>
    </row>
    <row r="99" spans="1:24">
      <c r="A99" s="4"/>
      <c r="B99" s="31"/>
      <c r="C99" s="11" t="e">
        <f t="shared" si="2"/>
        <v>#N/A</v>
      </c>
      <c r="D99" s="5"/>
      <c r="E99" s="5"/>
      <c r="F99" s="5"/>
      <c r="G99" s="5"/>
      <c r="H99" s="5"/>
      <c r="I99" s="5"/>
      <c r="J99" s="5"/>
      <c r="K99" s="5"/>
      <c r="L99" s="5"/>
      <c r="M99" s="5"/>
      <c r="N99" s="5"/>
      <c r="O99" s="5"/>
      <c r="P99" s="5"/>
      <c r="Q99" s="5"/>
      <c r="R99" s="130"/>
      <c r="S99" s="134"/>
      <c r="T99" s="134"/>
      <c r="U99" s="133"/>
      <c r="V99" s="130"/>
      <c r="X99" t="str">
        <f t="shared" si="3"/>
        <v/>
      </c>
    </row>
    <row r="100" spans="1:24">
      <c r="A100" s="4"/>
      <c r="B100" s="31"/>
      <c r="C100" s="11" t="e">
        <f t="shared" si="2"/>
        <v>#N/A</v>
      </c>
      <c r="D100" s="5"/>
      <c r="E100" s="5"/>
      <c r="F100" s="5"/>
      <c r="G100" s="5"/>
      <c r="H100" s="5"/>
      <c r="I100" s="5"/>
      <c r="J100" s="5"/>
      <c r="K100" s="5"/>
      <c r="L100" s="5"/>
      <c r="M100" s="5"/>
      <c r="N100" s="5"/>
      <c r="O100" s="5"/>
      <c r="P100" s="5"/>
      <c r="Q100" s="5"/>
      <c r="R100" s="130"/>
      <c r="S100" s="134"/>
      <c r="T100" s="134"/>
      <c r="U100" s="133"/>
      <c r="V100" s="130"/>
      <c r="X100" t="str">
        <f t="shared" si="3"/>
        <v/>
      </c>
    </row>
    <row r="101" spans="1:24">
      <c r="A101" s="4"/>
      <c r="B101" s="31"/>
      <c r="C101" s="11" t="e">
        <f t="shared" si="2"/>
        <v>#N/A</v>
      </c>
      <c r="D101" s="5"/>
      <c r="E101" s="5"/>
      <c r="F101" s="5"/>
      <c r="G101" s="5"/>
      <c r="H101" s="5"/>
      <c r="I101" s="5"/>
      <c r="J101" s="5"/>
      <c r="K101" s="5"/>
      <c r="L101" s="5"/>
      <c r="M101" s="5"/>
      <c r="N101" s="5"/>
      <c r="O101" s="5"/>
      <c r="P101" s="5"/>
      <c r="Q101" s="5"/>
      <c r="R101" s="130"/>
      <c r="S101" s="134"/>
      <c r="T101" s="134"/>
      <c r="U101" s="133"/>
      <c r="V101" s="130"/>
      <c r="X101" t="str">
        <f t="shared" si="3"/>
        <v/>
      </c>
    </row>
    <row r="102" spans="1:24">
      <c r="A102" s="4"/>
      <c r="B102" s="31"/>
      <c r="C102" s="11" t="e">
        <f t="shared" si="2"/>
        <v>#N/A</v>
      </c>
      <c r="D102" s="5"/>
      <c r="E102" s="5"/>
      <c r="F102" s="5"/>
      <c r="G102" s="5"/>
      <c r="H102" s="5"/>
      <c r="I102" s="5"/>
      <c r="J102" s="5"/>
      <c r="K102" s="5"/>
      <c r="L102" s="5"/>
      <c r="M102" s="5"/>
      <c r="N102" s="5"/>
      <c r="O102" s="5"/>
      <c r="P102" s="5"/>
      <c r="Q102" s="5"/>
      <c r="R102" s="130"/>
      <c r="S102" s="134"/>
      <c r="T102" s="134"/>
      <c r="U102" s="133"/>
      <c r="V102" s="130"/>
      <c r="X102" t="str">
        <f t="shared" si="3"/>
        <v/>
      </c>
    </row>
    <row r="103" spans="1:24">
      <c r="A103" s="4"/>
      <c r="B103" s="31"/>
      <c r="C103" s="11" t="e">
        <f t="shared" si="2"/>
        <v>#N/A</v>
      </c>
      <c r="D103" s="5"/>
      <c r="E103" s="5"/>
      <c r="F103" s="5"/>
      <c r="G103" s="5"/>
      <c r="H103" s="5"/>
      <c r="I103" s="5"/>
      <c r="J103" s="5"/>
      <c r="K103" s="5"/>
      <c r="L103" s="5"/>
      <c r="M103" s="5"/>
      <c r="N103" s="5"/>
      <c r="O103" s="5"/>
      <c r="P103" s="5"/>
      <c r="Q103" s="5"/>
      <c r="R103" s="130"/>
      <c r="S103" s="134"/>
      <c r="T103" s="134"/>
      <c r="U103" s="133"/>
      <c r="V103" s="130"/>
      <c r="X103" t="str">
        <f t="shared" si="3"/>
        <v/>
      </c>
    </row>
    <row r="104" spans="1:24">
      <c r="A104" s="4"/>
      <c r="B104" s="31"/>
      <c r="C104" s="11" t="e">
        <f t="shared" si="2"/>
        <v>#N/A</v>
      </c>
      <c r="D104" s="5"/>
      <c r="E104" s="5"/>
      <c r="F104" s="5"/>
      <c r="G104" s="5"/>
      <c r="H104" s="5"/>
      <c r="I104" s="5"/>
      <c r="J104" s="5"/>
      <c r="K104" s="5"/>
      <c r="L104" s="5"/>
      <c r="M104" s="5"/>
      <c r="N104" s="5"/>
      <c r="O104" s="5"/>
      <c r="P104" s="5"/>
      <c r="Q104" s="5"/>
      <c r="R104" s="130"/>
      <c r="S104" s="134"/>
      <c r="T104" s="134"/>
      <c r="U104" s="133"/>
      <c r="V104" s="130"/>
      <c r="X104" t="str">
        <f t="shared" si="3"/>
        <v/>
      </c>
    </row>
    <row r="105" spans="1:24">
      <c r="A105" s="4"/>
      <c r="B105" s="31"/>
      <c r="C105" s="11" t="e">
        <f t="shared" si="2"/>
        <v>#N/A</v>
      </c>
      <c r="D105" s="5"/>
      <c r="E105" s="5"/>
      <c r="F105" s="5"/>
      <c r="G105" s="5"/>
      <c r="H105" s="5"/>
      <c r="I105" s="5"/>
      <c r="J105" s="5"/>
      <c r="K105" s="5"/>
      <c r="L105" s="5"/>
      <c r="M105" s="5"/>
      <c r="N105" s="5"/>
      <c r="O105" s="5"/>
      <c r="P105" s="5"/>
      <c r="Q105" s="5"/>
      <c r="R105" s="130"/>
      <c r="S105" s="134"/>
      <c r="T105" s="134"/>
      <c r="U105" s="133"/>
      <c r="V105" s="130"/>
      <c r="X105" t="str">
        <f t="shared" si="3"/>
        <v/>
      </c>
    </row>
    <row r="106" spans="1:24">
      <c r="A106" s="4"/>
      <c r="B106" s="31"/>
      <c r="C106" s="11" t="e">
        <f t="shared" si="2"/>
        <v>#N/A</v>
      </c>
      <c r="D106" s="5"/>
      <c r="E106" s="5"/>
      <c r="F106" s="5"/>
      <c r="G106" s="5"/>
      <c r="H106" s="5"/>
      <c r="I106" s="5"/>
      <c r="J106" s="5"/>
      <c r="K106" s="5"/>
      <c r="L106" s="5"/>
      <c r="M106" s="5"/>
      <c r="N106" s="5"/>
      <c r="O106" s="5"/>
      <c r="P106" s="5"/>
      <c r="Q106" s="5"/>
      <c r="R106" s="130"/>
      <c r="S106" s="134"/>
      <c r="T106" s="134"/>
      <c r="U106" s="133"/>
      <c r="V106" s="130"/>
      <c r="X106" t="str">
        <f t="shared" si="3"/>
        <v/>
      </c>
    </row>
    <row r="107" spans="1:24">
      <c r="A107" s="4"/>
      <c r="B107" s="31"/>
      <c r="C107" s="11" t="e">
        <f t="shared" si="2"/>
        <v>#N/A</v>
      </c>
      <c r="D107" s="5"/>
      <c r="E107" s="5"/>
      <c r="F107" s="5"/>
      <c r="G107" s="5"/>
      <c r="H107" s="5"/>
      <c r="I107" s="5"/>
      <c r="J107" s="5"/>
      <c r="K107" s="5"/>
      <c r="L107" s="5"/>
      <c r="M107" s="5"/>
      <c r="N107" s="5"/>
      <c r="O107" s="5"/>
      <c r="P107" s="5"/>
      <c r="Q107" s="5"/>
      <c r="R107" s="130"/>
      <c r="S107" s="134"/>
      <c r="T107" s="134"/>
      <c r="U107" s="133"/>
      <c r="V107" s="130"/>
      <c r="X107" t="str">
        <f t="shared" si="3"/>
        <v/>
      </c>
    </row>
    <row r="108" spans="1:24">
      <c r="A108" s="4"/>
      <c r="B108" s="31"/>
      <c r="C108" s="11" t="e">
        <f t="shared" si="2"/>
        <v>#N/A</v>
      </c>
      <c r="D108" s="5"/>
      <c r="E108" s="5"/>
      <c r="F108" s="5"/>
      <c r="G108" s="5"/>
      <c r="H108" s="5"/>
      <c r="I108" s="5"/>
      <c r="J108" s="5"/>
      <c r="K108" s="5"/>
      <c r="L108" s="5"/>
      <c r="M108" s="5"/>
      <c r="N108" s="5"/>
      <c r="O108" s="5"/>
      <c r="P108" s="5"/>
      <c r="Q108" s="5"/>
      <c r="R108" s="130"/>
      <c r="S108" s="134"/>
      <c r="T108" s="134"/>
      <c r="U108" s="133"/>
      <c r="V108" s="130"/>
      <c r="X108" t="str">
        <f t="shared" si="3"/>
        <v/>
      </c>
    </row>
    <row r="109" spans="1:24">
      <c r="A109" s="4"/>
      <c r="B109" s="31"/>
      <c r="C109" s="11" t="e">
        <f t="shared" si="2"/>
        <v>#N/A</v>
      </c>
      <c r="D109" s="5"/>
      <c r="E109" s="5"/>
      <c r="F109" s="5"/>
      <c r="G109" s="5"/>
      <c r="H109" s="5"/>
      <c r="I109" s="5"/>
      <c r="J109" s="5"/>
      <c r="K109" s="5"/>
      <c r="L109" s="5"/>
      <c r="M109" s="5"/>
      <c r="N109" s="5"/>
      <c r="O109" s="5"/>
      <c r="P109" s="5"/>
      <c r="Q109" s="5"/>
      <c r="R109" s="130"/>
      <c r="S109" s="134"/>
      <c r="T109" s="134"/>
      <c r="U109" s="133"/>
      <c r="V109" s="130"/>
      <c r="X109" t="str">
        <f t="shared" si="3"/>
        <v/>
      </c>
    </row>
    <row r="110" spans="1:24">
      <c r="A110" s="4"/>
      <c r="B110" s="31"/>
      <c r="C110" s="11" t="e">
        <f t="shared" si="2"/>
        <v>#N/A</v>
      </c>
      <c r="D110" s="5"/>
      <c r="E110" s="5"/>
      <c r="F110" s="5"/>
      <c r="G110" s="5"/>
      <c r="H110" s="5"/>
      <c r="I110" s="5"/>
      <c r="J110" s="5"/>
      <c r="K110" s="5"/>
      <c r="L110" s="5"/>
      <c r="M110" s="5"/>
      <c r="N110" s="5"/>
      <c r="O110" s="5"/>
      <c r="P110" s="5"/>
      <c r="Q110" s="5"/>
      <c r="R110" s="130"/>
      <c r="S110" s="134"/>
      <c r="T110" s="134"/>
      <c r="U110" s="133"/>
      <c r="V110" s="130"/>
      <c r="X110" t="str">
        <f t="shared" si="3"/>
        <v/>
      </c>
    </row>
    <row r="111" spans="1:24">
      <c r="A111" s="4"/>
      <c r="B111" s="31"/>
      <c r="C111" s="11" t="e">
        <f t="shared" si="2"/>
        <v>#N/A</v>
      </c>
      <c r="D111" s="5"/>
      <c r="E111" s="5"/>
      <c r="F111" s="5"/>
      <c r="G111" s="5"/>
      <c r="H111" s="5"/>
      <c r="I111" s="5"/>
      <c r="J111" s="5"/>
      <c r="K111" s="5"/>
      <c r="L111" s="5"/>
      <c r="M111" s="5"/>
      <c r="N111" s="5"/>
      <c r="O111" s="5"/>
      <c r="P111" s="5"/>
      <c r="Q111" s="5"/>
      <c r="R111" s="130"/>
      <c r="S111" s="134"/>
      <c r="T111" s="134"/>
      <c r="U111" s="133"/>
      <c r="V111" s="130"/>
      <c r="X111" t="str">
        <f t="shared" si="3"/>
        <v/>
      </c>
    </row>
    <row r="112" spans="1:24">
      <c r="A112" s="4"/>
      <c r="B112" s="31"/>
      <c r="C112" s="11" t="e">
        <f t="shared" si="2"/>
        <v>#N/A</v>
      </c>
      <c r="D112" s="5"/>
      <c r="E112" s="5"/>
      <c r="F112" s="5"/>
      <c r="G112" s="5"/>
      <c r="H112" s="5"/>
      <c r="I112" s="5"/>
      <c r="J112" s="5"/>
      <c r="K112" s="5"/>
      <c r="L112" s="5"/>
      <c r="M112" s="5"/>
      <c r="N112" s="5"/>
      <c r="O112" s="5"/>
      <c r="P112" s="5"/>
      <c r="Q112" s="5"/>
      <c r="R112" s="130"/>
      <c r="S112" s="134"/>
      <c r="T112" s="134"/>
      <c r="U112" s="133"/>
      <c r="V112" s="130"/>
      <c r="X112" t="str">
        <f t="shared" si="3"/>
        <v/>
      </c>
    </row>
    <row r="113" spans="1:24">
      <c r="A113" s="4"/>
      <c r="B113" s="31"/>
      <c r="C113" s="11" t="e">
        <f t="shared" si="2"/>
        <v>#N/A</v>
      </c>
      <c r="D113" s="5"/>
      <c r="E113" s="5"/>
      <c r="F113" s="5"/>
      <c r="G113" s="5"/>
      <c r="H113" s="5"/>
      <c r="I113" s="5"/>
      <c r="J113" s="5"/>
      <c r="K113" s="5"/>
      <c r="L113" s="5"/>
      <c r="M113" s="5"/>
      <c r="N113" s="5"/>
      <c r="O113" s="5"/>
      <c r="P113" s="5"/>
      <c r="Q113" s="5"/>
      <c r="R113" s="130"/>
      <c r="S113" s="134"/>
      <c r="T113" s="134"/>
      <c r="U113" s="133"/>
      <c r="V113" s="130"/>
      <c r="X113" t="str">
        <f t="shared" si="3"/>
        <v/>
      </c>
    </row>
    <row r="114" spans="1:24">
      <c r="A114" s="4"/>
      <c r="B114" s="31"/>
      <c r="C114" s="11" t="e">
        <f t="shared" si="2"/>
        <v>#N/A</v>
      </c>
      <c r="D114" s="5"/>
      <c r="E114" s="5"/>
      <c r="F114" s="5"/>
      <c r="G114" s="5"/>
      <c r="H114" s="5"/>
      <c r="I114" s="5"/>
      <c r="J114" s="5"/>
      <c r="K114" s="5"/>
      <c r="L114" s="5"/>
      <c r="M114" s="5"/>
      <c r="N114" s="5"/>
      <c r="O114" s="5"/>
      <c r="P114" s="5"/>
      <c r="Q114" s="5"/>
      <c r="R114" s="130"/>
      <c r="S114" s="134"/>
      <c r="T114" s="134"/>
      <c r="U114" s="133"/>
      <c r="V114" s="130"/>
      <c r="X114" t="str">
        <f t="shared" si="3"/>
        <v/>
      </c>
    </row>
    <row r="115" spans="1:24">
      <c r="A115" s="4"/>
      <c r="B115" s="31"/>
      <c r="C115" s="11" t="e">
        <f t="shared" si="2"/>
        <v>#N/A</v>
      </c>
      <c r="D115" s="5"/>
      <c r="E115" s="5"/>
      <c r="F115" s="5"/>
      <c r="G115" s="5"/>
      <c r="H115" s="5"/>
      <c r="I115" s="5"/>
      <c r="J115" s="5"/>
      <c r="K115" s="5"/>
      <c r="L115" s="5"/>
      <c r="M115" s="5"/>
      <c r="N115" s="5"/>
      <c r="O115" s="5"/>
      <c r="P115" s="5"/>
      <c r="Q115" s="5"/>
      <c r="R115" s="130"/>
      <c r="S115" s="134"/>
      <c r="T115" s="134"/>
      <c r="U115" s="133"/>
      <c r="V115" s="130"/>
      <c r="X115" t="str">
        <f t="shared" si="3"/>
        <v/>
      </c>
    </row>
    <row r="116" spans="1:24">
      <c r="A116" s="4"/>
      <c r="B116" s="31"/>
      <c r="C116" s="11" t="e">
        <f t="shared" si="2"/>
        <v>#N/A</v>
      </c>
      <c r="D116" s="5"/>
      <c r="E116" s="5"/>
      <c r="F116" s="5"/>
      <c r="G116" s="5"/>
      <c r="H116" s="5"/>
      <c r="I116" s="5"/>
      <c r="J116" s="5"/>
      <c r="K116" s="5"/>
      <c r="L116" s="5"/>
      <c r="M116" s="5"/>
      <c r="N116" s="5"/>
      <c r="O116" s="5"/>
      <c r="P116" s="5"/>
      <c r="Q116" s="5"/>
      <c r="R116" s="130"/>
      <c r="S116" s="134"/>
      <c r="T116" s="134"/>
      <c r="U116" s="133"/>
      <c r="V116" s="130"/>
      <c r="X116" t="str">
        <f t="shared" si="3"/>
        <v/>
      </c>
    </row>
    <row r="117" spans="1:24">
      <c r="A117" s="4"/>
      <c r="B117" s="31"/>
      <c r="C117" s="11" t="e">
        <f t="shared" si="2"/>
        <v>#N/A</v>
      </c>
      <c r="D117" s="5"/>
      <c r="E117" s="5"/>
      <c r="F117" s="5"/>
      <c r="G117" s="5"/>
      <c r="H117" s="5"/>
      <c r="I117" s="5"/>
      <c r="J117" s="5"/>
      <c r="K117" s="5"/>
      <c r="L117" s="5"/>
      <c r="M117" s="5"/>
      <c r="N117" s="5"/>
      <c r="O117" s="5"/>
      <c r="P117" s="5"/>
      <c r="Q117" s="5"/>
      <c r="R117" s="130"/>
      <c r="S117" s="134"/>
      <c r="T117" s="134"/>
      <c r="U117" s="133"/>
      <c r="V117" s="130"/>
      <c r="X117" t="str">
        <f t="shared" si="3"/>
        <v/>
      </c>
    </row>
    <row r="118" spans="1:24">
      <c r="A118" s="4"/>
      <c r="B118" s="31"/>
      <c r="C118" s="11" t="e">
        <f t="shared" si="2"/>
        <v>#N/A</v>
      </c>
      <c r="D118" s="5"/>
      <c r="E118" s="5"/>
      <c r="F118" s="5"/>
      <c r="G118" s="5"/>
      <c r="H118" s="5"/>
      <c r="I118" s="5"/>
      <c r="J118" s="5"/>
      <c r="K118" s="5"/>
      <c r="L118" s="5"/>
      <c r="M118" s="5"/>
      <c r="N118" s="5"/>
      <c r="O118" s="5"/>
      <c r="P118" s="5"/>
      <c r="Q118" s="5"/>
      <c r="R118" s="130"/>
      <c r="S118" s="134"/>
      <c r="T118" s="134"/>
      <c r="U118" s="133"/>
      <c r="V118" s="130"/>
      <c r="X118" t="str">
        <f t="shared" si="3"/>
        <v/>
      </c>
    </row>
    <row r="119" spans="1:24">
      <c r="A119" s="4"/>
      <c r="B119" s="31"/>
      <c r="C119" s="11" t="e">
        <f t="shared" si="2"/>
        <v>#N/A</v>
      </c>
      <c r="D119" s="5"/>
      <c r="E119" s="5"/>
      <c r="F119" s="5"/>
      <c r="G119" s="5"/>
      <c r="H119" s="5"/>
      <c r="I119" s="5"/>
      <c r="J119" s="5"/>
      <c r="K119" s="5"/>
      <c r="L119" s="5"/>
      <c r="M119" s="5"/>
      <c r="N119" s="5"/>
      <c r="O119" s="5"/>
      <c r="P119" s="5"/>
      <c r="Q119" s="5"/>
      <c r="R119" s="130"/>
      <c r="S119" s="134"/>
      <c r="T119" s="134"/>
      <c r="U119" s="133"/>
      <c r="V119" s="130"/>
      <c r="X119" t="str">
        <f t="shared" si="3"/>
        <v/>
      </c>
    </row>
    <row r="120" spans="1:24">
      <c r="A120" s="4"/>
      <c r="B120" s="31"/>
      <c r="C120" s="11" t="e">
        <f t="shared" si="2"/>
        <v>#N/A</v>
      </c>
      <c r="D120" s="5"/>
      <c r="E120" s="5"/>
      <c r="F120" s="5"/>
      <c r="G120" s="5"/>
      <c r="H120" s="5"/>
      <c r="I120" s="5"/>
      <c r="J120" s="5"/>
      <c r="K120" s="5"/>
      <c r="L120" s="5"/>
      <c r="M120" s="5"/>
      <c r="N120" s="5"/>
      <c r="O120" s="5"/>
      <c r="P120" s="5"/>
      <c r="Q120" s="5"/>
      <c r="R120" s="130"/>
      <c r="S120" s="134"/>
      <c r="T120" s="134"/>
      <c r="U120" s="133"/>
      <c r="V120" s="130"/>
      <c r="X120" t="str">
        <f t="shared" si="3"/>
        <v/>
      </c>
    </row>
    <row r="121" spans="1:24">
      <c r="A121" s="4"/>
      <c r="B121" s="31"/>
      <c r="C121" s="11" t="e">
        <f t="shared" si="2"/>
        <v>#N/A</v>
      </c>
      <c r="D121" s="5"/>
      <c r="E121" s="5"/>
      <c r="F121" s="5"/>
      <c r="G121" s="5"/>
      <c r="H121" s="5"/>
      <c r="I121" s="5"/>
      <c r="J121" s="5"/>
      <c r="K121" s="5"/>
      <c r="L121" s="5"/>
      <c r="M121" s="5"/>
      <c r="N121" s="5"/>
      <c r="O121" s="5"/>
      <c r="P121" s="5"/>
      <c r="Q121" s="5"/>
      <c r="R121" s="130"/>
      <c r="S121" s="134"/>
      <c r="T121" s="134"/>
      <c r="U121" s="133"/>
      <c r="V121" s="130"/>
      <c r="X121" t="str">
        <f t="shared" si="3"/>
        <v/>
      </c>
    </row>
    <row r="122" spans="1:24">
      <c r="A122" s="4"/>
      <c r="B122" s="31"/>
      <c r="C122" s="11" t="e">
        <f t="shared" si="2"/>
        <v>#N/A</v>
      </c>
      <c r="D122" s="5"/>
      <c r="E122" s="5"/>
      <c r="F122" s="5"/>
      <c r="G122" s="5"/>
      <c r="H122" s="5"/>
      <c r="I122" s="5"/>
      <c r="J122" s="5"/>
      <c r="K122" s="5"/>
      <c r="L122" s="5"/>
      <c r="M122" s="5"/>
      <c r="N122" s="5"/>
      <c r="O122" s="5"/>
      <c r="P122" s="5"/>
      <c r="Q122" s="5"/>
      <c r="R122" s="130"/>
      <c r="S122" s="134"/>
      <c r="T122" s="134"/>
      <c r="U122" s="133"/>
      <c r="V122" s="130"/>
      <c r="X122" t="str">
        <f t="shared" si="3"/>
        <v/>
      </c>
    </row>
    <row r="123" spans="1:24">
      <c r="A123" s="4"/>
      <c r="B123" s="31"/>
      <c r="C123" s="11" t="e">
        <f t="shared" si="2"/>
        <v>#N/A</v>
      </c>
      <c r="D123" s="5"/>
      <c r="E123" s="5"/>
      <c r="F123" s="5"/>
      <c r="G123" s="5"/>
      <c r="H123" s="5"/>
      <c r="I123" s="5"/>
      <c r="J123" s="5"/>
      <c r="K123" s="5"/>
      <c r="L123" s="5"/>
      <c r="M123" s="5"/>
      <c r="N123" s="5"/>
      <c r="O123" s="5"/>
      <c r="P123" s="5"/>
      <c r="Q123" s="5"/>
      <c r="R123" s="130"/>
      <c r="S123" s="134"/>
      <c r="T123" s="134"/>
      <c r="U123" s="133"/>
      <c r="V123" s="130"/>
      <c r="X123" t="str">
        <f t="shared" si="3"/>
        <v/>
      </c>
    </row>
    <row r="124" spans="1:24">
      <c r="A124" s="4"/>
      <c r="B124" s="31"/>
      <c r="C124" s="11" t="e">
        <f t="shared" si="2"/>
        <v>#N/A</v>
      </c>
      <c r="D124" s="5"/>
      <c r="E124" s="5"/>
      <c r="F124" s="5"/>
      <c r="G124" s="5"/>
      <c r="H124" s="5"/>
      <c r="I124" s="5"/>
      <c r="J124" s="5"/>
      <c r="K124" s="5"/>
      <c r="L124" s="5"/>
      <c r="M124" s="5"/>
      <c r="N124" s="5"/>
      <c r="O124" s="5"/>
      <c r="P124" s="5"/>
      <c r="Q124" s="5"/>
      <c r="R124" s="130"/>
      <c r="S124" s="134"/>
      <c r="T124" s="134"/>
      <c r="U124" s="133"/>
      <c r="V124" s="130"/>
      <c r="X124" t="str">
        <f t="shared" si="3"/>
        <v/>
      </c>
    </row>
    <row r="125" spans="1:24">
      <c r="A125" s="4"/>
      <c r="B125" s="31"/>
      <c r="C125" s="11" t="e">
        <f t="shared" si="2"/>
        <v>#N/A</v>
      </c>
      <c r="D125" s="5"/>
      <c r="E125" s="5"/>
      <c r="F125" s="5"/>
      <c r="G125" s="5"/>
      <c r="H125" s="5"/>
      <c r="I125" s="5"/>
      <c r="J125" s="5"/>
      <c r="K125" s="5"/>
      <c r="L125" s="5"/>
      <c r="M125" s="5"/>
      <c r="N125" s="5"/>
      <c r="O125" s="5"/>
      <c r="P125" s="5"/>
      <c r="Q125" s="5"/>
      <c r="R125" s="130"/>
      <c r="S125" s="134"/>
      <c r="T125" s="134"/>
      <c r="U125" s="133"/>
      <c r="V125" s="130"/>
      <c r="X125" t="str">
        <f t="shared" si="3"/>
        <v/>
      </c>
    </row>
    <row r="126" spans="1:24">
      <c r="A126" s="4"/>
      <c r="B126" s="31"/>
      <c r="C126" s="11" t="e">
        <f t="shared" si="2"/>
        <v>#N/A</v>
      </c>
      <c r="D126" s="5"/>
      <c r="E126" s="5"/>
      <c r="F126" s="5"/>
      <c r="G126" s="5"/>
      <c r="H126" s="5"/>
      <c r="I126" s="5"/>
      <c r="J126" s="5"/>
      <c r="K126" s="5"/>
      <c r="L126" s="5"/>
      <c r="M126" s="5"/>
      <c r="N126" s="5"/>
      <c r="O126" s="5"/>
      <c r="P126" s="5"/>
      <c r="Q126" s="5"/>
      <c r="R126" s="130"/>
      <c r="S126" s="134"/>
      <c r="T126" s="134"/>
      <c r="U126" s="133"/>
      <c r="V126" s="130"/>
      <c r="X126" t="str">
        <f t="shared" si="3"/>
        <v/>
      </c>
    </row>
    <row r="127" spans="1:24">
      <c r="A127" s="4"/>
      <c r="B127" s="31"/>
      <c r="C127" s="11" t="e">
        <f t="shared" si="2"/>
        <v>#N/A</v>
      </c>
      <c r="D127" s="5"/>
      <c r="E127" s="5"/>
      <c r="F127" s="5"/>
      <c r="G127" s="5"/>
      <c r="H127" s="5"/>
      <c r="I127" s="5"/>
      <c r="J127" s="5"/>
      <c r="K127" s="5"/>
      <c r="L127" s="5"/>
      <c r="M127" s="5"/>
      <c r="N127" s="5"/>
      <c r="O127" s="5"/>
      <c r="P127" s="5"/>
      <c r="Q127" s="5"/>
      <c r="R127" s="130"/>
      <c r="S127" s="134"/>
      <c r="T127" s="134"/>
      <c r="U127" s="133"/>
      <c r="V127" s="130"/>
      <c r="X127" t="str">
        <f t="shared" si="3"/>
        <v/>
      </c>
    </row>
    <row r="128" spans="1:24">
      <c r="A128" s="4"/>
      <c r="B128" s="31"/>
      <c r="C128" s="11" t="e">
        <f t="shared" si="2"/>
        <v>#N/A</v>
      </c>
      <c r="D128" s="5"/>
      <c r="E128" s="5"/>
      <c r="F128" s="5"/>
      <c r="G128" s="5"/>
      <c r="H128" s="5"/>
      <c r="I128" s="5"/>
      <c r="J128" s="5"/>
      <c r="K128" s="5"/>
      <c r="L128" s="5"/>
      <c r="M128" s="5"/>
      <c r="N128" s="5"/>
      <c r="O128" s="5"/>
      <c r="P128" s="5"/>
      <c r="Q128" s="5"/>
      <c r="R128" s="130"/>
      <c r="S128" s="133"/>
      <c r="T128" s="133"/>
      <c r="U128" s="133"/>
      <c r="V128" s="130"/>
      <c r="X128" t="str">
        <f t="shared" si="3"/>
        <v/>
      </c>
    </row>
    <row r="129" spans="1:24">
      <c r="A129" s="4"/>
      <c r="B129" s="31"/>
      <c r="C129" s="11" t="e">
        <f t="shared" si="2"/>
        <v>#N/A</v>
      </c>
      <c r="D129" s="5"/>
      <c r="E129" s="5"/>
      <c r="F129" s="5"/>
      <c r="G129" s="5"/>
      <c r="H129" s="5"/>
      <c r="I129" s="5"/>
      <c r="J129" s="5"/>
      <c r="K129" s="5"/>
      <c r="L129" s="5"/>
      <c r="M129" s="5"/>
      <c r="N129" s="5"/>
      <c r="O129" s="5"/>
      <c r="P129" s="5"/>
      <c r="Q129" s="5"/>
      <c r="X129" t="str">
        <f t="shared" si="3"/>
        <v/>
      </c>
    </row>
    <row r="130" spans="1:24">
      <c r="A130" s="4"/>
      <c r="B130" s="31"/>
      <c r="C130" s="11" t="e">
        <f t="shared" si="2"/>
        <v>#N/A</v>
      </c>
      <c r="D130" s="5"/>
      <c r="E130" s="5"/>
      <c r="F130" s="5"/>
      <c r="G130" s="5"/>
      <c r="H130" s="5"/>
      <c r="I130" s="5"/>
      <c r="J130" s="5"/>
      <c r="K130" s="5"/>
      <c r="L130" s="5"/>
      <c r="M130" s="5"/>
      <c r="N130" s="5"/>
      <c r="O130" s="5"/>
      <c r="P130" s="5"/>
      <c r="Q130" s="5"/>
      <c r="X130" t="str">
        <f t="shared" si="3"/>
        <v/>
      </c>
    </row>
    <row r="131" spans="1:24">
      <c r="A131" s="4"/>
      <c r="B131" s="31"/>
      <c r="C131" s="11" t="e">
        <f t="shared" ref="C131:C194" si="4">IF(OR(ISBLANK(A131),ISBLANK(B131)),NA(),A131-B131)</f>
        <v>#N/A</v>
      </c>
      <c r="D131" s="5"/>
      <c r="E131" s="5"/>
      <c r="F131" s="5"/>
      <c r="G131" s="5"/>
      <c r="H131" s="5"/>
      <c r="I131" s="5"/>
      <c r="J131" s="5"/>
      <c r="K131" s="5"/>
      <c r="L131" s="5"/>
      <c r="M131" s="5"/>
      <c r="N131" s="5"/>
      <c r="O131" s="5"/>
      <c r="P131" s="5"/>
      <c r="Q131" s="5"/>
      <c r="X131" t="str">
        <f t="shared" ref="X131:X194" si="5">IFERROR(C131,"")</f>
        <v/>
      </c>
    </row>
    <row r="132" spans="1:24">
      <c r="A132" s="4"/>
      <c r="B132" s="31"/>
      <c r="C132" s="11" t="e">
        <f t="shared" si="4"/>
        <v>#N/A</v>
      </c>
      <c r="D132" s="5"/>
      <c r="E132" s="5"/>
      <c r="F132" s="5"/>
      <c r="G132" s="5"/>
      <c r="H132" s="5"/>
      <c r="I132" s="5"/>
      <c r="J132" s="5"/>
      <c r="K132" s="5"/>
      <c r="L132" s="5"/>
      <c r="M132" s="5"/>
      <c r="N132" s="5"/>
      <c r="O132" s="5"/>
      <c r="P132" s="5"/>
      <c r="Q132" s="5"/>
      <c r="X132" t="str">
        <f t="shared" si="5"/>
        <v/>
      </c>
    </row>
    <row r="133" spans="1:24">
      <c r="A133" s="4"/>
      <c r="B133" s="31"/>
      <c r="C133" s="11" t="e">
        <f t="shared" si="4"/>
        <v>#N/A</v>
      </c>
      <c r="D133" s="5"/>
      <c r="E133" s="5"/>
      <c r="F133" s="5"/>
      <c r="G133" s="5"/>
      <c r="H133" s="5"/>
      <c r="I133" s="5"/>
      <c r="J133" s="5"/>
      <c r="K133" s="5"/>
      <c r="L133" s="5"/>
      <c r="M133" s="5"/>
      <c r="N133" s="5"/>
      <c r="O133" s="5"/>
      <c r="P133" s="5"/>
      <c r="Q133" s="5"/>
      <c r="X133" t="str">
        <f t="shared" si="5"/>
        <v/>
      </c>
    </row>
    <row r="134" spans="1:24">
      <c r="A134" s="4"/>
      <c r="B134" s="31"/>
      <c r="C134" s="11" t="e">
        <f t="shared" si="4"/>
        <v>#N/A</v>
      </c>
      <c r="D134" s="5"/>
      <c r="E134" s="5"/>
      <c r="F134" s="5"/>
      <c r="G134" s="5"/>
      <c r="H134" s="5"/>
      <c r="I134" s="5"/>
      <c r="J134" s="5"/>
      <c r="K134" s="5"/>
      <c r="L134" s="5"/>
      <c r="M134" s="5"/>
      <c r="N134" s="5"/>
      <c r="O134" s="5"/>
      <c r="P134" s="5"/>
      <c r="Q134" s="5"/>
      <c r="X134" t="str">
        <f t="shared" si="5"/>
        <v/>
      </c>
    </row>
    <row r="135" spans="1:24">
      <c r="A135" s="4"/>
      <c r="B135" s="31"/>
      <c r="C135" s="11" t="e">
        <f t="shared" si="4"/>
        <v>#N/A</v>
      </c>
      <c r="D135" s="5"/>
      <c r="E135" s="5"/>
      <c r="F135" s="5"/>
      <c r="G135" s="5"/>
      <c r="H135" s="5"/>
      <c r="I135" s="5"/>
      <c r="J135" s="5"/>
      <c r="K135" s="5"/>
      <c r="L135" s="5"/>
      <c r="M135" s="5"/>
      <c r="N135" s="5"/>
      <c r="O135" s="5"/>
      <c r="P135" s="5"/>
      <c r="Q135" s="5"/>
      <c r="X135" t="str">
        <f t="shared" si="5"/>
        <v/>
      </c>
    </row>
    <row r="136" spans="1:24">
      <c r="A136" s="4"/>
      <c r="B136" s="31"/>
      <c r="C136" s="11" t="e">
        <f t="shared" si="4"/>
        <v>#N/A</v>
      </c>
      <c r="D136" s="5"/>
      <c r="E136" s="5"/>
      <c r="F136" s="5"/>
      <c r="G136" s="5"/>
      <c r="H136" s="5"/>
      <c r="I136" s="5"/>
      <c r="J136" s="5"/>
      <c r="K136" s="5"/>
      <c r="L136" s="5"/>
      <c r="M136" s="5"/>
      <c r="N136" s="5"/>
      <c r="O136" s="5"/>
      <c r="P136" s="5"/>
      <c r="Q136" s="5"/>
      <c r="X136" t="str">
        <f t="shared" si="5"/>
        <v/>
      </c>
    </row>
    <row r="137" spans="1:24">
      <c r="A137" s="4"/>
      <c r="B137" s="31"/>
      <c r="C137" s="11" t="e">
        <f t="shared" si="4"/>
        <v>#N/A</v>
      </c>
      <c r="D137" s="5"/>
      <c r="E137" s="5"/>
      <c r="F137" s="5"/>
      <c r="G137" s="5"/>
      <c r="H137" s="5"/>
      <c r="I137" s="5"/>
      <c r="J137" s="5"/>
      <c r="K137" s="5"/>
      <c r="L137" s="5"/>
      <c r="M137" s="5"/>
      <c r="N137" s="5"/>
      <c r="O137" s="5"/>
      <c r="P137" s="5"/>
      <c r="Q137" s="5"/>
      <c r="X137" t="str">
        <f t="shared" si="5"/>
        <v/>
      </c>
    </row>
    <row r="138" spans="1:24">
      <c r="A138" s="4"/>
      <c r="B138" s="31"/>
      <c r="C138" s="11" t="e">
        <f t="shared" si="4"/>
        <v>#N/A</v>
      </c>
      <c r="D138" s="5"/>
      <c r="E138" s="5"/>
      <c r="F138" s="5"/>
      <c r="G138" s="5"/>
      <c r="H138" s="5"/>
      <c r="I138" s="5"/>
      <c r="J138" s="5"/>
      <c r="K138" s="5"/>
      <c r="L138" s="5"/>
      <c r="M138" s="5"/>
      <c r="N138" s="5"/>
      <c r="O138" s="5"/>
      <c r="P138" s="5"/>
      <c r="Q138" s="5"/>
      <c r="X138" t="str">
        <f t="shared" si="5"/>
        <v/>
      </c>
    </row>
    <row r="139" spans="1:24">
      <c r="A139" s="4"/>
      <c r="B139" s="31"/>
      <c r="C139" s="11" t="e">
        <f t="shared" si="4"/>
        <v>#N/A</v>
      </c>
      <c r="D139" s="5"/>
      <c r="E139" s="5"/>
      <c r="F139" s="5"/>
      <c r="G139" s="5"/>
      <c r="H139" s="5"/>
      <c r="I139" s="5"/>
      <c r="J139" s="5"/>
      <c r="K139" s="5"/>
      <c r="L139" s="5"/>
      <c r="M139" s="5"/>
      <c r="N139" s="5"/>
      <c r="O139" s="5"/>
      <c r="P139" s="5"/>
      <c r="Q139" s="5"/>
      <c r="X139" t="str">
        <f t="shared" si="5"/>
        <v/>
      </c>
    </row>
    <row r="140" spans="1:24">
      <c r="A140" s="4"/>
      <c r="B140" s="31"/>
      <c r="C140" s="11" t="e">
        <f t="shared" si="4"/>
        <v>#N/A</v>
      </c>
      <c r="D140" s="5"/>
      <c r="E140" s="5"/>
      <c r="F140" s="5"/>
      <c r="G140" s="5"/>
      <c r="H140" s="5"/>
      <c r="I140" s="5"/>
      <c r="J140" s="5"/>
      <c r="K140" s="5"/>
      <c r="L140" s="5"/>
      <c r="M140" s="5"/>
      <c r="N140" s="5"/>
      <c r="O140" s="5"/>
      <c r="P140" s="5"/>
      <c r="Q140" s="5"/>
      <c r="X140" t="str">
        <f t="shared" si="5"/>
        <v/>
      </c>
    </row>
    <row r="141" spans="1:24">
      <c r="A141" s="4"/>
      <c r="B141" s="31"/>
      <c r="C141" s="11" t="e">
        <f t="shared" si="4"/>
        <v>#N/A</v>
      </c>
      <c r="D141" s="5"/>
      <c r="E141" s="5"/>
      <c r="F141" s="5"/>
      <c r="G141" s="5"/>
      <c r="H141" s="5"/>
      <c r="I141" s="5"/>
      <c r="J141" s="5"/>
      <c r="K141" s="5"/>
      <c r="L141" s="5"/>
      <c r="M141" s="5"/>
      <c r="N141" s="5"/>
      <c r="O141" s="5"/>
      <c r="P141" s="5"/>
      <c r="Q141" s="5"/>
      <c r="X141" t="str">
        <f t="shared" si="5"/>
        <v/>
      </c>
    </row>
    <row r="142" spans="1:24">
      <c r="A142" s="4"/>
      <c r="B142" s="31"/>
      <c r="C142" s="11" t="e">
        <f t="shared" si="4"/>
        <v>#N/A</v>
      </c>
      <c r="D142" s="5"/>
      <c r="E142" s="5"/>
      <c r="F142" s="5"/>
      <c r="G142" s="5"/>
      <c r="H142" s="5"/>
      <c r="I142" s="5"/>
      <c r="J142" s="5"/>
      <c r="K142" s="5"/>
      <c r="L142" s="5"/>
      <c r="M142" s="5"/>
      <c r="N142" s="5"/>
      <c r="O142" s="5"/>
      <c r="P142" s="5"/>
      <c r="Q142" s="5"/>
      <c r="X142" t="str">
        <f t="shared" si="5"/>
        <v/>
      </c>
    </row>
    <row r="143" spans="1:24">
      <c r="A143" s="4"/>
      <c r="B143" s="31"/>
      <c r="C143" s="11" t="e">
        <f t="shared" si="4"/>
        <v>#N/A</v>
      </c>
      <c r="D143" s="5"/>
      <c r="E143" s="5"/>
      <c r="F143" s="5"/>
      <c r="G143" s="5"/>
      <c r="H143" s="5"/>
      <c r="I143" s="5"/>
      <c r="J143" s="5"/>
      <c r="K143" s="5"/>
      <c r="L143" s="5"/>
      <c r="M143" s="5"/>
      <c r="N143" s="5"/>
      <c r="O143" s="5"/>
      <c r="P143" s="5"/>
      <c r="Q143" s="5"/>
      <c r="X143" t="str">
        <f t="shared" si="5"/>
        <v/>
      </c>
    </row>
    <row r="144" spans="1:24">
      <c r="A144" s="4"/>
      <c r="B144" s="31"/>
      <c r="C144" s="11" t="e">
        <f t="shared" si="4"/>
        <v>#N/A</v>
      </c>
      <c r="D144" s="5"/>
      <c r="E144" s="5"/>
      <c r="F144" s="5"/>
      <c r="G144" s="5"/>
      <c r="H144" s="5"/>
      <c r="I144" s="5"/>
      <c r="J144" s="5"/>
      <c r="K144" s="5"/>
      <c r="L144" s="5"/>
      <c r="M144" s="5"/>
      <c r="N144" s="5"/>
      <c r="O144" s="5"/>
      <c r="P144" s="5"/>
      <c r="Q144" s="5"/>
      <c r="X144" t="str">
        <f t="shared" si="5"/>
        <v/>
      </c>
    </row>
    <row r="145" spans="1:24">
      <c r="A145" s="4"/>
      <c r="B145" s="31"/>
      <c r="C145" s="11" t="e">
        <f t="shared" si="4"/>
        <v>#N/A</v>
      </c>
      <c r="D145" s="5"/>
      <c r="E145" s="5"/>
      <c r="F145" s="5"/>
      <c r="G145" s="5"/>
      <c r="H145" s="5"/>
      <c r="I145" s="5"/>
      <c r="J145" s="5"/>
      <c r="K145" s="5"/>
      <c r="L145" s="5"/>
      <c r="M145" s="5"/>
      <c r="N145" s="5"/>
      <c r="O145" s="5"/>
      <c r="P145" s="5"/>
      <c r="Q145" s="5"/>
      <c r="X145" t="str">
        <f t="shared" si="5"/>
        <v/>
      </c>
    </row>
    <row r="146" spans="1:24">
      <c r="A146" s="4"/>
      <c r="B146" s="31"/>
      <c r="C146" s="11" t="e">
        <f t="shared" si="4"/>
        <v>#N/A</v>
      </c>
      <c r="D146" s="5"/>
      <c r="E146" s="5"/>
      <c r="F146" s="5"/>
      <c r="G146" s="5"/>
      <c r="H146" s="5"/>
      <c r="I146" s="5"/>
      <c r="J146" s="5"/>
      <c r="K146" s="5"/>
      <c r="L146" s="5"/>
      <c r="M146" s="5"/>
      <c r="N146" s="5"/>
      <c r="O146" s="5"/>
      <c r="P146" s="5"/>
      <c r="Q146" s="5"/>
      <c r="X146" t="str">
        <f t="shared" si="5"/>
        <v/>
      </c>
    </row>
    <row r="147" spans="1:24">
      <c r="A147" s="4"/>
      <c r="B147" s="31"/>
      <c r="C147" s="11" t="e">
        <f t="shared" si="4"/>
        <v>#N/A</v>
      </c>
      <c r="D147" s="5"/>
      <c r="E147" s="5"/>
      <c r="F147" s="5"/>
      <c r="G147" s="5"/>
      <c r="H147" s="5"/>
      <c r="I147" s="5"/>
      <c r="J147" s="5"/>
      <c r="K147" s="5"/>
      <c r="L147" s="5"/>
      <c r="M147" s="5"/>
      <c r="N147" s="5"/>
      <c r="O147" s="5"/>
      <c r="P147" s="5"/>
      <c r="Q147" s="5"/>
      <c r="X147" t="str">
        <f t="shared" si="5"/>
        <v/>
      </c>
    </row>
    <row r="148" spans="1:24">
      <c r="A148" s="4"/>
      <c r="B148" s="31"/>
      <c r="C148" s="11" t="e">
        <f t="shared" si="4"/>
        <v>#N/A</v>
      </c>
      <c r="D148" s="5"/>
      <c r="E148" s="5"/>
      <c r="F148" s="5"/>
      <c r="G148" s="5"/>
      <c r="H148" s="5"/>
      <c r="I148" s="5"/>
      <c r="J148" s="5"/>
      <c r="K148" s="5"/>
      <c r="L148" s="5"/>
      <c r="M148" s="5"/>
      <c r="N148" s="5"/>
      <c r="O148" s="5"/>
      <c r="P148" s="5"/>
      <c r="Q148" s="5"/>
      <c r="X148" t="str">
        <f t="shared" si="5"/>
        <v/>
      </c>
    </row>
    <row r="149" spans="1:24">
      <c r="A149" s="4"/>
      <c r="B149" s="31"/>
      <c r="C149" s="11" t="e">
        <f t="shared" si="4"/>
        <v>#N/A</v>
      </c>
      <c r="D149" s="5"/>
      <c r="E149" s="5"/>
      <c r="F149" s="5"/>
      <c r="G149" s="5"/>
      <c r="H149" s="5"/>
      <c r="I149" s="5"/>
      <c r="J149" s="5"/>
      <c r="K149" s="5"/>
      <c r="L149" s="5"/>
      <c r="M149" s="5"/>
      <c r="N149" s="5"/>
      <c r="O149" s="5"/>
      <c r="P149" s="5"/>
      <c r="Q149" s="5"/>
      <c r="X149" t="str">
        <f t="shared" si="5"/>
        <v/>
      </c>
    </row>
    <row r="150" spans="1:24">
      <c r="A150" s="4"/>
      <c r="B150" s="31"/>
      <c r="C150" s="11" t="e">
        <f t="shared" si="4"/>
        <v>#N/A</v>
      </c>
      <c r="D150" s="5"/>
      <c r="E150" s="5"/>
      <c r="F150" s="5"/>
      <c r="G150" s="5"/>
      <c r="H150" s="5"/>
      <c r="I150" s="5"/>
      <c r="J150" s="5"/>
      <c r="K150" s="5"/>
      <c r="L150" s="5"/>
      <c r="M150" s="5"/>
      <c r="N150" s="5"/>
      <c r="O150" s="5"/>
      <c r="P150" s="5"/>
      <c r="Q150" s="5"/>
      <c r="X150" t="str">
        <f t="shared" si="5"/>
        <v/>
      </c>
    </row>
    <row r="151" spans="1:24">
      <c r="A151" s="4"/>
      <c r="B151" s="31"/>
      <c r="C151" s="11" t="e">
        <f t="shared" si="4"/>
        <v>#N/A</v>
      </c>
      <c r="D151" s="5"/>
      <c r="E151" s="5"/>
      <c r="F151" s="5"/>
      <c r="G151" s="5"/>
      <c r="H151" s="5"/>
      <c r="I151" s="5"/>
      <c r="J151" s="5"/>
      <c r="K151" s="5"/>
      <c r="L151" s="5"/>
      <c r="M151" s="5"/>
      <c r="N151" s="5"/>
      <c r="O151" s="5"/>
      <c r="P151" s="5"/>
      <c r="Q151" s="5"/>
      <c r="X151" t="str">
        <f t="shared" si="5"/>
        <v/>
      </c>
    </row>
    <row r="152" spans="1:24">
      <c r="A152" s="4"/>
      <c r="B152" s="31"/>
      <c r="C152" s="11" t="e">
        <f t="shared" si="4"/>
        <v>#N/A</v>
      </c>
      <c r="D152" s="5"/>
      <c r="E152" s="5"/>
      <c r="F152" s="5"/>
      <c r="G152" s="5"/>
      <c r="H152" s="5"/>
      <c r="I152" s="5"/>
      <c r="J152" s="5"/>
      <c r="K152" s="5"/>
      <c r="L152" s="5"/>
      <c r="M152" s="5"/>
      <c r="N152" s="5"/>
      <c r="O152" s="5"/>
      <c r="P152" s="5"/>
      <c r="Q152" s="5"/>
      <c r="X152" t="str">
        <f t="shared" si="5"/>
        <v/>
      </c>
    </row>
    <row r="153" spans="1:24">
      <c r="A153" s="4"/>
      <c r="B153" s="31"/>
      <c r="C153" s="11" t="e">
        <f t="shared" si="4"/>
        <v>#N/A</v>
      </c>
      <c r="D153" s="5"/>
      <c r="E153" s="5"/>
      <c r="F153" s="5"/>
      <c r="G153" s="5"/>
      <c r="H153" s="5"/>
      <c r="I153" s="5"/>
      <c r="J153" s="5"/>
      <c r="K153" s="5"/>
      <c r="L153" s="5"/>
      <c r="M153" s="5"/>
      <c r="N153" s="5"/>
      <c r="O153" s="5"/>
      <c r="P153" s="5"/>
      <c r="Q153" s="5"/>
      <c r="X153" t="str">
        <f t="shared" si="5"/>
        <v/>
      </c>
    </row>
    <row r="154" spans="1:24">
      <c r="A154" s="4"/>
      <c r="B154" s="31"/>
      <c r="C154" s="11" t="e">
        <f t="shared" si="4"/>
        <v>#N/A</v>
      </c>
      <c r="D154" s="5"/>
      <c r="E154" s="5"/>
      <c r="F154" s="5"/>
      <c r="G154" s="5"/>
      <c r="H154" s="5"/>
      <c r="I154" s="5"/>
      <c r="J154" s="5"/>
      <c r="K154" s="5"/>
      <c r="L154" s="5"/>
      <c r="M154" s="5"/>
      <c r="N154" s="5"/>
      <c r="O154" s="5"/>
      <c r="P154" s="5"/>
      <c r="Q154" s="5"/>
      <c r="X154" t="str">
        <f t="shared" si="5"/>
        <v/>
      </c>
    </row>
    <row r="155" spans="1:24">
      <c r="A155" s="4"/>
      <c r="B155" s="31"/>
      <c r="C155" s="11" t="e">
        <f t="shared" si="4"/>
        <v>#N/A</v>
      </c>
      <c r="D155" s="5"/>
      <c r="E155" s="5"/>
      <c r="F155" s="5"/>
      <c r="G155" s="5"/>
      <c r="H155" s="5"/>
      <c r="I155" s="5"/>
      <c r="J155" s="5"/>
      <c r="K155" s="5"/>
      <c r="L155" s="5"/>
      <c r="M155" s="5"/>
      <c r="N155" s="5"/>
      <c r="O155" s="5"/>
      <c r="P155" s="5"/>
      <c r="Q155" s="5"/>
      <c r="X155" t="str">
        <f t="shared" si="5"/>
        <v/>
      </c>
    </row>
    <row r="156" spans="1:24">
      <c r="A156" s="4"/>
      <c r="B156" s="31"/>
      <c r="C156" s="11" t="e">
        <f t="shared" si="4"/>
        <v>#N/A</v>
      </c>
      <c r="D156" s="5"/>
      <c r="E156" s="5"/>
      <c r="F156" s="5"/>
      <c r="G156" s="5"/>
      <c r="H156" s="5"/>
      <c r="I156" s="5"/>
      <c r="J156" s="5"/>
      <c r="K156" s="5"/>
      <c r="L156" s="5"/>
      <c r="M156" s="5"/>
      <c r="N156" s="5"/>
      <c r="O156" s="5"/>
      <c r="P156" s="5"/>
      <c r="Q156" s="5"/>
      <c r="X156" t="str">
        <f t="shared" si="5"/>
        <v/>
      </c>
    </row>
    <row r="157" spans="1:24">
      <c r="A157" s="4"/>
      <c r="B157" s="31"/>
      <c r="C157" s="11" t="e">
        <f t="shared" si="4"/>
        <v>#N/A</v>
      </c>
      <c r="D157" s="5"/>
      <c r="E157" s="5"/>
      <c r="F157" s="5"/>
      <c r="G157" s="5"/>
      <c r="H157" s="5"/>
      <c r="I157" s="5"/>
      <c r="J157" s="5"/>
      <c r="K157" s="5"/>
      <c r="L157" s="5"/>
      <c r="M157" s="5"/>
      <c r="N157" s="5"/>
      <c r="O157" s="5"/>
      <c r="P157" s="5"/>
      <c r="Q157" s="5"/>
      <c r="X157" t="str">
        <f t="shared" si="5"/>
        <v/>
      </c>
    </row>
    <row r="158" spans="1:24">
      <c r="A158" s="4"/>
      <c r="B158" s="31"/>
      <c r="C158" s="11" t="e">
        <f t="shared" si="4"/>
        <v>#N/A</v>
      </c>
      <c r="D158" s="5"/>
      <c r="E158" s="5"/>
      <c r="F158" s="5"/>
      <c r="G158" s="5"/>
      <c r="H158" s="5"/>
      <c r="I158" s="5"/>
      <c r="J158" s="5"/>
      <c r="K158" s="5"/>
      <c r="L158" s="5"/>
      <c r="M158" s="5"/>
      <c r="N158" s="5"/>
      <c r="O158" s="5"/>
      <c r="P158" s="5"/>
      <c r="Q158" s="5"/>
      <c r="X158" t="str">
        <f t="shared" si="5"/>
        <v/>
      </c>
    </row>
    <row r="159" spans="1:24">
      <c r="A159" s="4"/>
      <c r="B159" s="31"/>
      <c r="C159" s="11" t="e">
        <f t="shared" si="4"/>
        <v>#N/A</v>
      </c>
      <c r="D159" s="5"/>
      <c r="E159" s="5"/>
      <c r="F159" s="5"/>
      <c r="G159" s="5"/>
      <c r="H159" s="5"/>
      <c r="I159" s="5"/>
      <c r="J159" s="5"/>
      <c r="K159" s="5"/>
      <c r="L159" s="5"/>
      <c r="M159" s="5"/>
      <c r="N159" s="5"/>
      <c r="O159" s="5"/>
      <c r="P159" s="5"/>
      <c r="Q159" s="5"/>
      <c r="X159" t="str">
        <f t="shared" si="5"/>
        <v/>
      </c>
    </row>
    <row r="160" spans="1:24">
      <c r="A160" s="4"/>
      <c r="B160" s="31"/>
      <c r="C160" s="11" t="e">
        <f t="shared" si="4"/>
        <v>#N/A</v>
      </c>
      <c r="D160" s="5"/>
      <c r="E160" s="5"/>
      <c r="F160" s="5"/>
      <c r="G160" s="5"/>
      <c r="H160" s="5"/>
      <c r="I160" s="5"/>
      <c r="J160" s="5"/>
      <c r="K160" s="5"/>
      <c r="L160" s="5"/>
      <c r="M160" s="5"/>
      <c r="N160" s="5"/>
      <c r="O160" s="5"/>
      <c r="P160" s="5"/>
      <c r="Q160" s="5"/>
      <c r="X160" t="str">
        <f t="shared" si="5"/>
        <v/>
      </c>
    </row>
    <row r="161" spans="1:24">
      <c r="A161" s="4"/>
      <c r="B161" s="31"/>
      <c r="C161" s="11" t="e">
        <f t="shared" si="4"/>
        <v>#N/A</v>
      </c>
      <c r="D161" s="5"/>
      <c r="E161" s="5"/>
      <c r="F161" s="5"/>
      <c r="G161" s="5"/>
      <c r="H161" s="5"/>
      <c r="I161" s="5"/>
      <c r="J161" s="5"/>
      <c r="K161" s="5"/>
      <c r="L161" s="5"/>
      <c r="M161" s="5"/>
      <c r="N161" s="5"/>
      <c r="O161" s="5"/>
      <c r="P161" s="5"/>
      <c r="Q161" s="5"/>
      <c r="X161" t="str">
        <f t="shared" si="5"/>
        <v/>
      </c>
    </row>
    <row r="162" spans="1:24">
      <c r="A162" s="4"/>
      <c r="B162" s="31"/>
      <c r="C162" s="11" t="e">
        <f t="shared" si="4"/>
        <v>#N/A</v>
      </c>
      <c r="D162" s="5"/>
      <c r="E162" s="5"/>
      <c r="F162" s="5"/>
      <c r="G162" s="5"/>
      <c r="H162" s="5"/>
      <c r="I162" s="5"/>
      <c r="J162" s="5"/>
      <c r="K162" s="5"/>
      <c r="L162" s="5"/>
      <c r="M162" s="5"/>
      <c r="N162" s="5"/>
      <c r="O162" s="5"/>
      <c r="P162" s="5"/>
      <c r="Q162" s="5"/>
      <c r="X162" t="str">
        <f t="shared" si="5"/>
        <v/>
      </c>
    </row>
    <row r="163" spans="1:24">
      <c r="A163" s="4"/>
      <c r="B163" s="31"/>
      <c r="C163" s="11" t="e">
        <f t="shared" si="4"/>
        <v>#N/A</v>
      </c>
      <c r="D163" s="5"/>
      <c r="E163" s="5"/>
      <c r="F163" s="5"/>
      <c r="G163" s="5"/>
      <c r="H163" s="5"/>
      <c r="I163" s="5"/>
      <c r="J163" s="5"/>
      <c r="K163" s="5"/>
      <c r="L163" s="5"/>
      <c r="M163" s="5"/>
      <c r="N163" s="5"/>
      <c r="O163" s="5"/>
      <c r="P163" s="5"/>
      <c r="Q163" s="5"/>
      <c r="X163" t="str">
        <f t="shared" si="5"/>
        <v/>
      </c>
    </row>
    <row r="164" spans="1:24">
      <c r="A164" s="4"/>
      <c r="B164" s="31"/>
      <c r="C164" s="11" t="e">
        <f t="shared" si="4"/>
        <v>#N/A</v>
      </c>
      <c r="D164" s="5"/>
      <c r="E164" s="5"/>
      <c r="F164" s="5"/>
      <c r="G164" s="5"/>
      <c r="H164" s="5"/>
      <c r="I164" s="5"/>
      <c r="J164" s="5"/>
      <c r="K164" s="5"/>
      <c r="L164" s="5"/>
      <c r="M164" s="5"/>
      <c r="N164" s="5"/>
      <c r="O164" s="5"/>
      <c r="P164" s="5"/>
      <c r="Q164" s="5"/>
      <c r="X164" t="str">
        <f t="shared" si="5"/>
        <v/>
      </c>
    </row>
    <row r="165" spans="1:24">
      <c r="A165" s="4"/>
      <c r="B165" s="31"/>
      <c r="C165" s="11" t="e">
        <f t="shared" si="4"/>
        <v>#N/A</v>
      </c>
      <c r="D165" s="5"/>
      <c r="E165" s="5"/>
      <c r="F165" s="5"/>
      <c r="G165" s="5"/>
      <c r="H165" s="5"/>
      <c r="I165" s="5"/>
      <c r="J165" s="5"/>
      <c r="K165" s="5"/>
      <c r="L165" s="5"/>
      <c r="M165" s="5"/>
      <c r="N165" s="5"/>
      <c r="O165" s="5"/>
      <c r="P165" s="5"/>
      <c r="Q165" s="5"/>
      <c r="X165" t="str">
        <f t="shared" si="5"/>
        <v/>
      </c>
    </row>
    <row r="166" spans="1:24">
      <c r="A166" s="4"/>
      <c r="B166" s="31"/>
      <c r="C166" s="11" t="e">
        <f t="shared" si="4"/>
        <v>#N/A</v>
      </c>
      <c r="D166" s="5"/>
      <c r="E166" s="5"/>
      <c r="F166" s="5"/>
      <c r="G166" s="5"/>
      <c r="H166" s="5"/>
      <c r="I166" s="5"/>
      <c r="J166" s="5"/>
      <c r="K166" s="5"/>
      <c r="L166" s="5"/>
      <c r="M166" s="5"/>
      <c r="N166" s="5"/>
      <c r="O166" s="5"/>
      <c r="P166" s="5"/>
      <c r="Q166" s="5"/>
      <c r="X166" t="str">
        <f t="shared" si="5"/>
        <v/>
      </c>
    </row>
    <row r="167" spans="1:24">
      <c r="A167" s="4"/>
      <c r="B167" s="31"/>
      <c r="C167" s="11" t="e">
        <f t="shared" si="4"/>
        <v>#N/A</v>
      </c>
      <c r="D167" s="5"/>
      <c r="E167" s="5"/>
      <c r="F167" s="5"/>
      <c r="G167" s="5"/>
      <c r="H167" s="5"/>
      <c r="I167" s="5"/>
      <c r="J167" s="5"/>
      <c r="K167" s="5"/>
      <c r="L167" s="5"/>
      <c r="M167" s="5"/>
      <c r="N167" s="5"/>
      <c r="O167" s="5"/>
      <c r="P167" s="5"/>
      <c r="Q167" s="5"/>
      <c r="X167" t="str">
        <f t="shared" si="5"/>
        <v/>
      </c>
    </row>
    <row r="168" spans="1:24">
      <c r="A168" s="4"/>
      <c r="B168" s="31"/>
      <c r="C168" s="11" t="e">
        <f t="shared" si="4"/>
        <v>#N/A</v>
      </c>
      <c r="D168" s="5"/>
      <c r="E168" s="5"/>
      <c r="F168" s="5"/>
      <c r="G168" s="5"/>
      <c r="H168" s="5"/>
      <c r="I168" s="5"/>
      <c r="J168" s="5"/>
      <c r="K168" s="5"/>
      <c r="L168" s="5"/>
      <c r="M168" s="5"/>
      <c r="N168" s="5"/>
      <c r="O168" s="5"/>
      <c r="P168" s="5"/>
      <c r="Q168" s="5"/>
      <c r="X168" t="str">
        <f t="shared" si="5"/>
        <v/>
      </c>
    </row>
    <row r="169" spans="1:24">
      <c r="A169" s="4"/>
      <c r="B169" s="31"/>
      <c r="C169" s="11" t="e">
        <f t="shared" si="4"/>
        <v>#N/A</v>
      </c>
      <c r="D169" s="5"/>
      <c r="E169" s="5"/>
      <c r="F169" s="5"/>
      <c r="G169" s="5"/>
      <c r="H169" s="5"/>
      <c r="I169" s="5"/>
      <c r="J169" s="5"/>
      <c r="K169" s="5"/>
      <c r="L169" s="5"/>
      <c r="M169" s="5"/>
      <c r="N169" s="5"/>
      <c r="O169" s="5"/>
      <c r="P169" s="5"/>
      <c r="Q169" s="5"/>
      <c r="X169" t="str">
        <f t="shared" si="5"/>
        <v/>
      </c>
    </row>
    <row r="170" spans="1:24">
      <c r="A170" s="4"/>
      <c r="B170" s="31"/>
      <c r="C170" s="11" t="e">
        <f t="shared" si="4"/>
        <v>#N/A</v>
      </c>
      <c r="D170" s="5"/>
      <c r="E170" s="5"/>
      <c r="F170" s="5"/>
      <c r="G170" s="5"/>
      <c r="H170" s="5"/>
      <c r="I170" s="5"/>
      <c r="J170" s="5"/>
      <c r="K170" s="5"/>
      <c r="L170" s="5"/>
      <c r="M170" s="5"/>
      <c r="N170" s="5"/>
      <c r="O170" s="5"/>
      <c r="P170" s="5"/>
      <c r="Q170" s="5"/>
      <c r="X170" t="str">
        <f t="shared" si="5"/>
        <v/>
      </c>
    </row>
    <row r="171" spans="1:24">
      <c r="A171" s="4"/>
      <c r="B171" s="31"/>
      <c r="C171" s="11" t="e">
        <f t="shared" si="4"/>
        <v>#N/A</v>
      </c>
      <c r="D171" s="5"/>
      <c r="E171" s="5"/>
      <c r="F171" s="5"/>
      <c r="G171" s="5"/>
      <c r="H171" s="5"/>
      <c r="I171" s="5"/>
      <c r="J171" s="5"/>
      <c r="K171" s="5"/>
      <c r="L171" s="5"/>
      <c r="M171" s="5"/>
      <c r="N171" s="5"/>
      <c r="O171" s="5"/>
      <c r="P171" s="5"/>
      <c r="Q171" s="5"/>
      <c r="X171" t="str">
        <f t="shared" si="5"/>
        <v/>
      </c>
    </row>
    <row r="172" spans="1:24">
      <c r="A172" s="4"/>
      <c r="B172" s="31"/>
      <c r="C172" s="11" t="e">
        <f t="shared" si="4"/>
        <v>#N/A</v>
      </c>
      <c r="D172" s="5"/>
      <c r="E172" s="5"/>
      <c r="F172" s="5"/>
      <c r="G172" s="5"/>
      <c r="H172" s="5"/>
      <c r="I172" s="5"/>
      <c r="J172" s="5"/>
      <c r="K172" s="5"/>
      <c r="L172" s="5"/>
      <c r="M172" s="5"/>
      <c r="N172" s="5"/>
      <c r="O172" s="5"/>
      <c r="P172" s="5"/>
      <c r="Q172" s="5"/>
      <c r="X172" t="str">
        <f t="shared" si="5"/>
        <v/>
      </c>
    </row>
    <row r="173" spans="1:24">
      <c r="A173" s="4"/>
      <c r="B173" s="31"/>
      <c r="C173" s="11" t="e">
        <f t="shared" si="4"/>
        <v>#N/A</v>
      </c>
      <c r="D173" s="5"/>
      <c r="E173" s="5"/>
      <c r="F173" s="5"/>
      <c r="G173" s="5"/>
      <c r="H173" s="5"/>
      <c r="I173" s="5"/>
      <c r="J173" s="5"/>
      <c r="K173" s="5"/>
      <c r="L173" s="5"/>
      <c r="M173" s="5"/>
      <c r="N173" s="5"/>
      <c r="O173" s="5"/>
      <c r="P173" s="5"/>
      <c r="Q173" s="5"/>
      <c r="X173" t="str">
        <f t="shared" si="5"/>
        <v/>
      </c>
    </row>
    <row r="174" spans="1:24">
      <c r="A174" s="4"/>
      <c r="B174" s="31"/>
      <c r="C174" s="11" t="e">
        <f t="shared" si="4"/>
        <v>#N/A</v>
      </c>
      <c r="D174" s="5"/>
      <c r="E174" s="5"/>
      <c r="F174" s="5"/>
      <c r="G174" s="5"/>
      <c r="H174" s="5"/>
      <c r="I174" s="5"/>
      <c r="J174" s="5"/>
      <c r="K174" s="5"/>
      <c r="L174" s="5"/>
      <c r="M174" s="5"/>
      <c r="N174" s="5"/>
      <c r="O174" s="5"/>
      <c r="P174" s="5"/>
      <c r="Q174" s="5"/>
      <c r="X174" t="str">
        <f t="shared" si="5"/>
        <v/>
      </c>
    </row>
    <row r="175" spans="1:24">
      <c r="A175" s="4"/>
      <c r="B175" s="31"/>
      <c r="C175" s="11" t="e">
        <f t="shared" si="4"/>
        <v>#N/A</v>
      </c>
      <c r="D175" s="5"/>
      <c r="E175" s="5"/>
      <c r="F175" s="5"/>
      <c r="G175" s="5"/>
      <c r="H175" s="5"/>
      <c r="I175" s="5"/>
      <c r="J175" s="5"/>
      <c r="K175" s="5"/>
      <c r="L175" s="5"/>
      <c r="M175" s="5"/>
      <c r="N175" s="5"/>
      <c r="O175" s="5"/>
      <c r="P175" s="5"/>
      <c r="Q175" s="5"/>
      <c r="X175" t="str">
        <f t="shared" si="5"/>
        <v/>
      </c>
    </row>
    <row r="176" spans="1:24">
      <c r="A176" s="4"/>
      <c r="B176" s="31"/>
      <c r="C176" s="11" t="e">
        <f t="shared" si="4"/>
        <v>#N/A</v>
      </c>
      <c r="D176" s="5"/>
      <c r="E176" s="5"/>
      <c r="F176" s="5"/>
      <c r="G176" s="5"/>
      <c r="H176" s="5"/>
      <c r="I176" s="5"/>
      <c r="J176" s="5"/>
      <c r="K176" s="5"/>
      <c r="L176" s="5"/>
      <c r="M176" s="5"/>
      <c r="N176" s="5"/>
      <c r="O176" s="5"/>
      <c r="P176" s="5"/>
      <c r="Q176" s="5"/>
      <c r="X176" t="str">
        <f t="shared" si="5"/>
        <v/>
      </c>
    </row>
    <row r="177" spans="1:24">
      <c r="A177" s="4"/>
      <c r="B177" s="31"/>
      <c r="C177" s="11" t="e">
        <f t="shared" si="4"/>
        <v>#N/A</v>
      </c>
      <c r="D177" s="5"/>
      <c r="E177" s="5"/>
      <c r="F177" s="5"/>
      <c r="G177" s="5"/>
      <c r="H177" s="5"/>
      <c r="I177" s="5"/>
      <c r="J177" s="5"/>
      <c r="K177" s="5"/>
      <c r="L177" s="5"/>
      <c r="M177" s="5"/>
      <c r="N177" s="5"/>
      <c r="O177" s="5"/>
      <c r="P177" s="5"/>
      <c r="Q177" s="5"/>
      <c r="X177" t="str">
        <f t="shared" si="5"/>
        <v/>
      </c>
    </row>
    <row r="178" spans="1:24">
      <c r="A178" s="4"/>
      <c r="B178" s="31"/>
      <c r="C178" s="11" t="e">
        <f t="shared" si="4"/>
        <v>#N/A</v>
      </c>
      <c r="D178" s="5"/>
      <c r="E178" s="5"/>
      <c r="F178" s="5"/>
      <c r="G178" s="5"/>
      <c r="H178" s="5"/>
      <c r="I178" s="5"/>
      <c r="J178" s="5"/>
      <c r="K178" s="5"/>
      <c r="L178" s="5"/>
      <c r="M178" s="5"/>
      <c r="N178" s="5"/>
      <c r="O178" s="5"/>
      <c r="P178" s="5"/>
      <c r="Q178" s="5"/>
      <c r="X178" t="str">
        <f t="shared" si="5"/>
        <v/>
      </c>
    </row>
    <row r="179" spans="1:24">
      <c r="A179" s="4"/>
      <c r="B179" s="31"/>
      <c r="C179" s="11" t="e">
        <f t="shared" si="4"/>
        <v>#N/A</v>
      </c>
      <c r="D179" s="5"/>
      <c r="E179" s="5"/>
      <c r="F179" s="5"/>
      <c r="G179" s="5"/>
      <c r="H179" s="5"/>
      <c r="I179" s="5"/>
      <c r="J179" s="5"/>
      <c r="K179" s="5"/>
      <c r="L179" s="5"/>
      <c r="M179" s="5"/>
      <c r="N179" s="5"/>
      <c r="O179" s="5"/>
      <c r="P179" s="5"/>
      <c r="Q179" s="5"/>
      <c r="X179" t="str">
        <f t="shared" si="5"/>
        <v/>
      </c>
    </row>
    <row r="180" spans="1:24">
      <c r="A180" s="4"/>
      <c r="B180" s="31"/>
      <c r="C180" s="11" t="e">
        <f t="shared" si="4"/>
        <v>#N/A</v>
      </c>
      <c r="D180" s="5"/>
      <c r="E180" s="5"/>
      <c r="F180" s="5"/>
      <c r="G180" s="5"/>
      <c r="H180" s="5"/>
      <c r="I180" s="5"/>
      <c r="J180" s="5"/>
      <c r="K180" s="5"/>
      <c r="L180" s="5"/>
      <c r="M180" s="5"/>
      <c r="N180" s="5"/>
      <c r="O180" s="5"/>
      <c r="P180" s="5"/>
      <c r="Q180" s="5"/>
      <c r="X180" t="str">
        <f t="shared" si="5"/>
        <v/>
      </c>
    </row>
    <row r="181" spans="1:24">
      <c r="A181" s="4"/>
      <c r="B181" s="31"/>
      <c r="C181" s="11" t="e">
        <f t="shared" si="4"/>
        <v>#N/A</v>
      </c>
      <c r="D181" s="5"/>
      <c r="E181" s="5"/>
      <c r="F181" s="5"/>
      <c r="G181" s="5"/>
      <c r="H181" s="5"/>
      <c r="I181" s="5"/>
      <c r="J181" s="5"/>
      <c r="K181" s="5"/>
      <c r="L181" s="5"/>
      <c r="M181" s="5"/>
      <c r="N181" s="5"/>
      <c r="O181" s="5"/>
      <c r="P181" s="5"/>
      <c r="Q181" s="5"/>
      <c r="X181" t="str">
        <f t="shared" si="5"/>
        <v/>
      </c>
    </row>
    <row r="182" spans="1:24">
      <c r="A182" s="4"/>
      <c r="B182" s="31"/>
      <c r="C182" s="11" t="e">
        <f t="shared" si="4"/>
        <v>#N/A</v>
      </c>
      <c r="D182" s="5"/>
      <c r="E182" s="5"/>
      <c r="F182" s="5"/>
      <c r="G182" s="5"/>
      <c r="H182" s="5"/>
      <c r="I182" s="5"/>
      <c r="J182" s="5"/>
      <c r="K182" s="5"/>
      <c r="L182" s="5"/>
      <c r="M182" s="5"/>
      <c r="N182" s="5"/>
      <c r="O182" s="5"/>
      <c r="P182" s="5"/>
      <c r="Q182" s="5"/>
      <c r="X182" t="str">
        <f t="shared" si="5"/>
        <v/>
      </c>
    </row>
    <row r="183" spans="1:24">
      <c r="A183" s="4"/>
      <c r="B183" s="31"/>
      <c r="C183" s="11" t="e">
        <f t="shared" si="4"/>
        <v>#N/A</v>
      </c>
      <c r="D183" s="5"/>
      <c r="E183" s="5"/>
      <c r="F183" s="5"/>
      <c r="G183" s="5"/>
      <c r="H183" s="5"/>
      <c r="I183" s="5"/>
      <c r="J183" s="5"/>
      <c r="K183" s="5"/>
      <c r="L183" s="5"/>
      <c r="M183" s="5"/>
      <c r="N183" s="5"/>
      <c r="O183" s="5"/>
      <c r="P183" s="5"/>
      <c r="Q183" s="5"/>
      <c r="X183" t="str">
        <f t="shared" si="5"/>
        <v/>
      </c>
    </row>
    <row r="184" spans="1:24">
      <c r="A184" s="4"/>
      <c r="B184" s="31"/>
      <c r="C184" s="11" t="e">
        <f t="shared" si="4"/>
        <v>#N/A</v>
      </c>
      <c r="D184" s="5"/>
      <c r="E184" s="5"/>
      <c r="F184" s="5"/>
      <c r="G184" s="5"/>
      <c r="H184" s="5"/>
      <c r="I184" s="5"/>
      <c r="J184" s="5"/>
      <c r="K184" s="5"/>
      <c r="L184" s="5"/>
      <c r="M184" s="5"/>
      <c r="N184" s="5"/>
      <c r="O184" s="5"/>
      <c r="P184" s="5"/>
      <c r="Q184" s="5"/>
      <c r="X184" t="str">
        <f t="shared" si="5"/>
        <v/>
      </c>
    </row>
    <row r="185" spans="1:24">
      <c r="A185" s="4"/>
      <c r="B185" s="31"/>
      <c r="C185" s="11" t="e">
        <f t="shared" si="4"/>
        <v>#N/A</v>
      </c>
      <c r="D185" s="5"/>
      <c r="E185" s="5"/>
      <c r="F185" s="5"/>
      <c r="G185" s="5"/>
      <c r="H185" s="5"/>
      <c r="I185" s="5"/>
      <c r="J185" s="5"/>
      <c r="K185" s="5"/>
      <c r="L185" s="5"/>
      <c r="M185" s="5"/>
      <c r="N185" s="5"/>
      <c r="O185" s="5"/>
      <c r="P185" s="5"/>
      <c r="Q185" s="5"/>
      <c r="X185" t="str">
        <f t="shared" si="5"/>
        <v/>
      </c>
    </row>
    <row r="186" spans="1:24">
      <c r="A186" s="4"/>
      <c r="B186" s="31"/>
      <c r="C186" s="11" t="e">
        <f t="shared" si="4"/>
        <v>#N/A</v>
      </c>
      <c r="D186" s="5"/>
      <c r="E186" s="5"/>
      <c r="F186" s="5"/>
      <c r="G186" s="5"/>
      <c r="H186" s="5"/>
      <c r="I186" s="5"/>
      <c r="J186" s="5"/>
      <c r="K186" s="5"/>
      <c r="L186" s="5"/>
      <c r="M186" s="5"/>
      <c r="N186" s="5"/>
      <c r="O186" s="5"/>
      <c r="P186" s="5"/>
      <c r="Q186" s="5"/>
      <c r="X186" t="str">
        <f t="shared" si="5"/>
        <v/>
      </c>
    </row>
    <row r="187" spans="1:24">
      <c r="A187" s="4"/>
      <c r="B187" s="31"/>
      <c r="C187" s="11" t="e">
        <f t="shared" si="4"/>
        <v>#N/A</v>
      </c>
      <c r="D187" s="5"/>
      <c r="E187" s="5"/>
      <c r="F187" s="5"/>
      <c r="G187" s="5"/>
      <c r="H187" s="5"/>
      <c r="I187" s="5"/>
      <c r="J187" s="5"/>
      <c r="K187" s="5"/>
      <c r="L187" s="5"/>
      <c r="M187" s="5"/>
      <c r="N187" s="5"/>
      <c r="O187" s="5"/>
      <c r="P187" s="5"/>
      <c r="Q187" s="5"/>
      <c r="X187" t="str">
        <f t="shared" si="5"/>
        <v/>
      </c>
    </row>
    <row r="188" spans="1:24">
      <c r="A188" s="4"/>
      <c r="B188" s="31"/>
      <c r="C188" s="11" t="e">
        <f t="shared" si="4"/>
        <v>#N/A</v>
      </c>
      <c r="D188" s="5"/>
      <c r="E188" s="5"/>
      <c r="F188" s="5"/>
      <c r="G188" s="5"/>
      <c r="H188" s="5"/>
      <c r="I188" s="5"/>
      <c r="J188" s="5"/>
      <c r="K188" s="5"/>
      <c r="L188" s="5"/>
      <c r="M188" s="5"/>
      <c r="N188" s="5"/>
      <c r="O188" s="5"/>
      <c r="P188" s="5"/>
      <c r="Q188" s="5"/>
      <c r="X188" t="str">
        <f t="shared" si="5"/>
        <v/>
      </c>
    </row>
    <row r="189" spans="1:24">
      <c r="A189" s="4"/>
      <c r="B189" s="31"/>
      <c r="C189" s="11" t="e">
        <f t="shared" si="4"/>
        <v>#N/A</v>
      </c>
      <c r="D189" s="5"/>
      <c r="E189" s="5"/>
      <c r="F189" s="5"/>
      <c r="G189" s="5"/>
      <c r="H189" s="5"/>
      <c r="I189" s="5"/>
      <c r="J189" s="5"/>
      <c r="K189" s="5"/>
      <c r="L189" s="5"/>
      <c r="M189" s="5"/>
      <c r="N189" s="5"/>
      <c r="O189" s="5"/>
      <c r="P189" s="5"/>
      <c r="Q189" s="5"/>
      <c r="X189" t="str">
        <f t="shared" si="5"/>
        <v/>
      </c>
    </row>
    <row r="190" spans="1:24">
      <c r="A190" s="4"/>
      <c r="B190" s="31"/>
      <c r="C190" s="11" t="e">
        <f t="shared" si="4"/>
        <v>#N/A</v>
      </c>
      <c r="D190" s="5"/>
      <c r="E190" s="5"/>
      <c r="F190" s="5"/>
      <c r="G190" s="5"/>
      <c r="H190" s="5"/>
      <c r="I190" s="5"/>
      <c r="J190" s="5"/>
      <c r="K190" s="5"/>
      <c r="L190" s="5"/>
      <c r="M190" s="5"/>
      <c r="N190" s="5"/>
      <c r="O190" s="5"/>
      <c r="P190" s="5"/>
      <c r="Q190" s="5"/>
      <c r="X190" t="str">
        <f t="shared" si="5"/>
        <v/>
      </c>
    </row>
    <row r="191" spans="1:24">
      <c r="A191" s="4"/>
      <c r="B191" s="31"/>
      <c r="C191" s="11" t="e">
        <f t="shared" si="4"/>
        <v>#N/A</v>
      </c>
      <c r="D191" s="5"/>
      <c r="E191" s="5"/>
      <c r="F191" s="5"/>
      <c r="G191" s="5"/>
      <c r="H191" s="5"/>
      <c r="I191" s="5"/>
      <c r="J191" s="5"/>
      <c r="K191" s="5"/>
      <c r="L191" s="5"/>
      <c r="M191" s="5"/>
      <c r="N191" s="5"/>
      <c r="O191" s="5"/>
      <c r="P191" s="5"/>
      <c r="Q191" s="5"/>
      <c r="X191" t="str">
        <f t="shared" si="5"/>
        <v/>
      </c>
    </row>
    <row r="192" spans="1:24">
      <c r="A192" s="4"/>
      <c r="B192" s="31"/>
      <c r="C192" s="11" t="e">
        <f t="shared" si="4"/>
        <v>#N/A</v>
      </c>
      <c r="D192" s="5"/>
      <c r="E192" s="5"/>
      <c r="F192" s="5"/>
      <c r="G192" s="5"/>
      <c r="H192" s="5"/>
      <c r="I192" s="5"/>
      <c r="J192" s="5"/>
      <c r="K192" s="5"/>
      <c r="L192" s="5"/>
      <c r="M192" s="5"/>
      <c r="N192" s="5"/>
      <c r="O192" s="5"/>
      <c r="P192" s="5"/>
      <c r="Q192" s="5"/>
      <c r="X192" t="str">
        <f t="shared" si="5"/>
        <v/>
      </c>
    </row>
    <row r="193" spans="1:24">
      <c r="A193" s="4"/>
      <c r="B193" s="31"/>
      <c r="C193" s="11" t="e">
        <f t="shared" si="4"/>
        <v>#N/A</v>
      </c>
      <c r="D193" s="5"/>
      <c r="E193" s="5"/>
      <c r="F193" s="5"/>
      <c r="G193" s="5"/>
      <c r="H193" s="5"/>
      <c r="I193" s="5"/>
      <c r="J193" s="5"/>
      <c r="K193" s="5"/>
      <c r="L193" s="5"/>
      <c r="M193" s="5"/>
      <c r="N193" s="5"/>
      <c r="O193" s="5"/>
      <c r="P193" s="5"/>
      <c r="Q193" s="5"/>
      <c r="X193" t="str">
        <f t="shared" si="5"/>
        <v/>
      </c>
    </row>
    <row r="194" spans="1:24">
      <c r="A194" s="4"/>
      <c r="B194" s="31"/>
      <c r="C194" s="11" t="e">
        <f t="shared" si="4"/>
        <v>#N/A</v>
      </c>
      <c r="D194" s="5"/>
      <c r="E194" s="5"/>
      <c r="F194" s="5"/>
      <c r="G194" s="5"/>
      <c r="H194" s="5"/>
      <c r="I194" s="5"/>
      <c r="J194" s="5"/>
      <c r="K194" s="5"/>
      <c r="L194" s="5"/>
      <c r="M194" s="5"/>
      <c r="N194" s="5"/>
      <c r="O194" s="5"/>
      <c r="P194" s="5"/>
      <c r="Q194" s="5"/>
      <c r="X194" t="str">
        <f t="shared" si="5"/>
        <v/>
      </c>
    </row>
    <row r="195" spans="1:24">
      <c r="A195" s="4"/>
      <c r="B195" s="31"/>
      <c r="C195" s="11" t="e">
        <f t="shared" ref="C195:C258" si="6">IF(OR(ISBLANK(A195),ISBLANK(B195)),NA(),A195-B195)</f>
        <v>#N/A</v>
      </c>
      <c r="D195" s="5"/>
      <c r="E195" s="5"/>
      <c r="F195" s="5"/>
      <c r="G195" s="5"/>
      <c r="H195" s="5"/>
      <c r="I195" s="5"/>
      <c r="J195" s="5"/>
      <c r="K195" s="5"/>
      <c r="L195" s="5"/>
      <c r="M195" s="5"/>
      <c r="N195" s="5"/>
      <c r="O195" s="5"/>
      <c r="P195" s="5"/>
      <c r="Q195" s="5"/>
      <c r="X195" t="str">
        <f t="shared" ref="X195:X258" si="7">IFERROR(C195,"")</f>
        <v/>
      </c>
    </row>
    <row r="196" spans="1:24">
      <c r="A196" s="4"/>
      <c r="B196" s="31"/>
      <c r="C196" s="11" t="e">
        <f t="shared" si="6"/>
        <v>#N/A</v>
      </c>
      <c r="D196" s="5"/>
      <c r="E196" s="5"/>
      <c r="F196" s="5"/>
      <c r="G196" s="5"/>
      <c r="H196" s="5"/>
      <c r="I196" s="5"/>
      <c r="J196" s="5"/>
      <c r="K196" s="5"/>
      <c r="L196" s="5"/>
      <c r="M196" s="5"/>
      <c r="N196" s="5"/>
      <c r="O196" s="5"/>
      <c r="P196" s="5"/>
      <c r="Q196" s="5"/>
      <c r="X196" t="str">
        <f t="shared" si="7"/>
        <v/>
      </c>
    </row>
    <row r="197" spans="1:24">
      <c r="A197" s="4"/>
      <c r="B197" s="31"/>
      <c r="C197" s="11" t="e">
        <f t="shared" si="6"/>
        <v>#N/A</v>
      </c>
      <c r="D197" s="5"/>
      <c r="E197" s="5"/>
      <c r="F197" s="5"/>
      <c r="G197" s="5"/>
      <c r="H197" s="5"/>
      <c r="I197" s="5"/>
      <c r="J197" s="5"/>
      <c r="K197" s="5"/>
      <c r="L197" s="5"/>
      <c r="M197" s="5"/>
      <c r="N197" s="5"/>
      <c r="O197" s="5"/>
      <c r="P197" s="5"/>
      <c r="Q197" s="5"/>
      <c r="X197" t="str">
        <f t="shared" si="7"/>
        <v/>
      </c>
    </row>
    <row r="198" spans="1:24">
      <c r="A198" s="4"/>
      <c r="B198" s="31"/>
      <c r="C198" s="11" t="e">
        <f t="shared" si="6"/>
        <v>#N/A</v>
      </c>
      <c r="D198" s="5"/>
      <c r="E198" s="5"/>
      <c r="F198" s="5"/>
      <c r="G198" s="5"/>
      <c r="H198" s="5"/>
      <c r="I198" s="5"/>
      <c r="J198" s="5"/>
      <c r="K198" s="5"/>
      <c r="L198" s="5"/>
      <c r="M198" s="5"/>
      <c r="N198" s="5"/>
      <c r="O198" s="5"/>
      <c r="P198" s="5"/>
      <c r="Q198" s="5"/>
      <c r="X198" t="str">
        <f t="shared" si="7"/>
        <v/>
      </c>
    </row>
    <row r="199" spans="1:24">
      <c r="A199" s="4"/>
      <c r="B199" s="31"/>
      <c r="C199" s="11" t="e">
        <f t="shared" si="6"/>
        <v>#N/A</v>
      </c>
      <c r="D199" s="5"/>
      <c r="E199" s="5"/>
      <c r="F199" s="5"/>
      <c r="G199" s="5"/>
      <c r="H199" s="5"/>
      <c r="I199" s="5"/>
      <c r="J199" s="5"/>
      <c r="K199" s="5"/>
      <c r="L199" s="5"/>
      <c r="M199" s="5"/>
      <c r="N199" s="5"/>
      <c r="O199" s="5"/>
      <c r="P199" s="5"/>
      <c r="Q199" s="5"/>
      <c r="X199" t="str">
        <f t="shared" si="7"/>
        <v/>
      </c>
    </row>
    <row r="200" spans="1:24">
      <c r="A200" s="4"/>
      <c r="B200" s="31"/>
      <c r="C200" s="11" t="e">
        <f t="shared" si="6"/>
        <v>#N/A</v>
      </c>
      <c r="D200" s="5"/>
      <c r="E200" s="5"/>
      <c r="F200" s="5"/>
      <c r="G200" s="5"/>
      <c r="H200" s="5"/>
      <c r="I200" s="5"/>
      <c r="J200" s="5"/>
      <c r="K200" s="5"/>
      <c r="L200" s="5"/>
      <c r="M200" s="5"/>
      <c r="N200" s="5"/>
      <c r="O200" s="5"/>
      <c r="P200" s="5"/>
      <c r="Q200" s="5"/>
      <c r="X200" t="str">
        <f t="shared" si="7"/>
        <v/>
      </c>
    </row>
    <row r="201" spans="1:24">
      <c r="A201" s="4"/>
      <c r="B201" s="31"/>
      <c r="C201" s="11" t="e">
        <f t="shared" si="6"/>
        <v>#N/A</v>
      </c>
      <c r="D201" s="5"/>
      <c r="E201" s="5"/>
      <c r="F201" s="5"/>
      <c r="G201" s="5"/>
      <c r="H201" s="5"/>
      <c r="I201" s="5"/>
      <c r="J201" s="5"/>
      <c r="K201" s="5"/>
      <c r="L201" s="5"/>
      <c r="M201" s="5"/>
      <c r="N201" s="5"/>
      <c r="O201" s="5"/>
      <c r="P201" s="5"/>
      <c r="Q201" s="5"/>
      <c r="X201" t="str">
        <f t="shared" si="7"/>
        <v/>
      </c>
    </row>
    <row r="202" spans="1:24">
      <c r="A202" s="4"/>
      <c r="B202" s="31"/>
      <c r="C202" s="11" t="e">
        <f t="shared" si="6"/>
        <v>#N/A</v>
      </c>
      <c r="D202" s="5"/>
      <c r="E202" s="5"/>
      <c r="F202" s="5"/>
      <c r="G202" s="5"/>
      <c r="H202" s="5"/>
      <c r="I202" s="5"/>
      <c r="J202" s="5"/>
      <c r="K202" s="5"/>
      <c r="L202" s="5"/>
      <c r="M202" s="5"/>
      <c r="N202" s="5"/>
      <c r="O202" s="5"/>
      <c r="P202" s="5"/>
      <c r="Q202" s="5"/>
      <c r="X202" t="str">
        <f t="shared" si="7"/>
        <v/>
      </c>
    </row>
    <row r="203" spans="1:24">
      <c r="A203" s="4"/>
      <c r="B203" s="31"/>
      <c r="C203" s="11" t="e">
        <f t="shared" si="6"/>
        <v>#N/A</v>
      </c>
      <c r="D203" s="5"/>
      <c r="E203" s="5"/>
      <c r="F203" s="5"/>
      <c r="G203" s="5"/>
      <c r="H203" s="5"/>
      <c r="I203" s="5"/>
      <c r="J203" s="5"/>
      <c r="K203" s="5"/>
      <c r="L203" s="5"/>
      <c r="M203" s="5"/>
      <c r="N203" s="5"/>
      <c r="O203" s="5"/>
      <c r="P203" s="5"/>
      <c r="Q203" s="5"/>
      <c r="X203" t="str">
        <f t="shared" si="7"/>
        <v/>
      </c>
    </row>
    <row r="204" spans="1:24">
      <c r="A204" s="4"/>
      <c r="B204" s="31"/>
      <c r="C204" s="11" t="e">
        <f t="shared" si="6"/>
        <v>#N/A</v>
      </c>
      <c r="D204" s="5"/>
      <c r="E204" s="5"/>
      <c r="F204" s="5"/>
      <c r="G204" s="5"/>
      <c r="H204" s="5"/>
      <c r="I204" s="5"/>
      <c r="J204" s="5"/>
      <c r="K204" s="5"/>
      <c r="L204" s="5"/>
      <c r="M204" s="5"/>
      <c r="N204" s="5"/>
      <c r="O204" s="5"/>
      <c r="P204" s="5"/>
      <c r="Q204" s="5"/>
      <c r="X204" t="str">
        <f t="shared" si="7"/>
        <v/>
      </c>
    </row>
    <row r="205" spans="1:24">
      <c r="A205" s="4"/>
      <c r="B205" s="31"/>
      <c r="C205" s="11" t="e">
        <f t="shared" si="6"/>
        <v>#N/A</v>
      </c>
      <c r="D205" s="5"/>
      <c r="E205" s="5"/>
      <c r="F205" s="5"/>
      <c r="G205" s="5"/>
      <c r="H205" s="5"/>
      <c r="I205" s="5"/>
      <c r="J205" s="5"/>
      <c r="K205" s="5"/>
      <c r="L205" s="5"/>
      <c r="M205" s="5"/>
      <c r="N205" s="5"/>
      <c r="O205" s="5"/>
      <c r="P205" s="5"/>
      <c r="Q205" s="5"/>
      <c r="X205" t="str">
        <f t="shared" si="7"/>
        <v/>
      </c>
    </row>
    <row r="206" spans="1:24">
      <c r="A206" s="4"/>
      <c r="B206" s="31"/>
      <c r="C206" s="11" t="e">
        <f t="shared" si="6"/>
        <v>#N/A</v>
      </c>
      <c r="D206" s="5"/>
      <c r="E206" s="5"/>
      <c r="F206" s="5"/>
      <c r="G206" s="5"/>
      <c r="H206" s="5"/>
      <c r="I206" s="5"/>
      <c r="J206" s="5"/>
      <c r="K206" s="5"/>
      <c r="L206" s="5"/>
      <c r="M206" s="5"/>
      <c r="N206" s="5"/>
      <c r="O206" s="5"/>
      <c r="P206" s="5"/>
      <c r="Q206" s="5"/>
      <c r="X206" t="str">
        <f t="shared" si="7"/>
        <v/>
      </c>
    </row>
    <row r="207" spans="1:24">
      <c r="A207" s="4"/>
      <c r="B207" s="31"/>
      <c r="C207" s="11" t="e">
        <f t="shared" si="6"/>
        <v>#N/A</v>
      </c>
      <c r="D207" s="5"/>
      <c r="E207" s="5"/>
      <c r="F207" s="5"/>
      <c r="G207" s="5"/>
      <c r="H207" s="5"/>
      <c r="I207" s="5"/>
      <c r="J207" s="5"/>
      <c r="K207" s="5"/>
      <c r="L207" s="5"/>
      <c r="M207" s="5"/>
      <c r="N207" s="5"/>
      <c r="O207" s="5"/>
      <c r="P207" s="5"/>
      <c r="Q207" s="5"/>
      <c r="X207" t="str">
        <f t="shared" si="7"/>
        <v/>
      </c>
    </row>
    <row r="208" spans="1:24">
      <c r="A208" s="4"/>
      <c r="B208" s="31"/>
      <c r="C208" s="11" t="e">
        <f t="shared" si="6"/>
        <v>#N/A</v>
      </c>
      <c r="D208" s="5"/>
      <c r="E208" s="5"/>
      <c r="F208" s="5"/>
      <c r="G208" s="5"/>
      <c r="H208" s="5"/>
      <c r="I208" s="5"/>
      <c r="J208" s="5"/>
      <c r="K208" s="5"/>
      <c r="L208" s="5"/>
      <c r="M208" s="5"/>
      <c r="N208" s="5"/>
      <c r="O208" s="5"/>
      <c r="P208" s="5"/>
      <c r="Q208" s="5"/>
      <c r="X208" t="str">
        <f t="shared" si="7"/>
        <v/>
      </c>
    </row>
    <row r="209" spans="1:24">
      <c r="A209" s="4"/>
      <c r="B209" s="31"/>
      <c r="C209" s="11" t="e">
        <f t="shared" si="6"/>
        <v>#N/A</v>
      </c>
      <c r="D209" s="5"/>
      <c r="E209" s="5"/>
      <c r="F209" s="5"/>
      <c r="G209" s="5"/>
      <c r="H209" s="5"/>
      <c r="I209" s="5"/>
      <c r="J209" s="5"/>
      <c r="K209" s="5"/>
      <c r="L209" s="5"/>
      <c r="M209" s="5"/>
      <c r="N209" s="5"/>
      <c r="O209" s="5"/>
      <c r="P209" s="5"/>
      <c r="Q209" s="5"/>
      <c r="X209" t="str">
        <f t="shared" si="7"/>
        <v/>
      </c>
    </row>
    <row r="210" spans="1:24">
      <c r="A210" s="4"/>
      <c r="B210" s="31"/>
      <c r="C210" s="11" t="e">
        <f t="shared" si="6"/>
        <v>#N/A</v>
      </c>
      <c r="D210" s="5"/>
      <c r="E210" s="5"/>
      <c r="F210" s="5"/>
      <c r="G210" s="5"/>
      <c r="H210" s="5"/>
      <c r="I210" s="5"/>
      <c r="J210" s="5"/>
      <c r="K210" s="5"/>
      <c r="L210" s="5"/>
      <c r="M210" s="5"/>
      <c r="N210" s="5"/>
      <c r="O210" s="5"/>
      <c r="P210" s="5"/>
      <c r="Q210" s="5"/>
      <c r="X210" t="str">
        <f t="shared" si="7"/>
        <v/>
      </c>
    </row>
    <row r="211" spans="1:24">
      <c r="A211" s="4"/>
      <c r="B211" s="31"/>
      <c r="C211" s="11" t="e">
        <f t="shared" si="6"/>
        <v>#N/A</v>
      </c>
      <c r="D211" s="5"/>
      <c r="E211" s="5"/>
      <c r="F211" s="5"/>
      <c r="G211" s="5"/>
      <c r="H211" s="5"/>
      <c r="I211" s="5"/>
      <c r="J211" s="5"/>
      <c r="K211" s="5"/>
      <c r="L211" s="5"/>
      <c r="M211" s="5"/>
      <c r="N211" s="5"/>
      <c r="O211" s="5"/>
      <c r="P211" s="5"/>
      <c r="Q211" s="5"/>
      <c r="X211" t="str">
        <f t="shared" si="7"/>
        <v/>
      </c>
    </row>
    <row r="212" spans="1:24">
      <c r="A212" s="4"/>
      <c r="B212" s="31"/>
      <c r="C212" s="11" t="e">
        <f t="shared" si="6"/>
        <v>#N/A</v>
      </c>
      <c r="D212" s="5"/>
      <c r="E212" s="5"/>
      <c r="F212" s="5"/>
      <c r="G212" s="5"/>
      <c r="H212" s="5"/>
      <c r="I212" s="5"/>
      <c r="J212" s="5"/>
      <c r="K212" s="5"/>
      <c r="L212" s="5"/>
      <c r="M212" s="5"/>
      <c r="N212" s="5"/>
      <c r="O212" s="5"/>
      <c r="P212" s="5"/>
      <c r="Q212" s="5"/>
      <c r="X212" t="str">
        <f t="shared" si="7"/>
        <v/>
      </c>
    </row>
    <row r="213" spans="1:24">
      <c r="A213" s="4"/>
      <c r="B213" s="31"/>
      <c r="C213" s="11" t="e">
        <f t="shared" si="6"/>
        <v>#N/A</v>
      </c>
      <c r="D213" s="5"/>
      <c r="E213" s="5"/>
      <c r="F213" s="5"/>
      <c r="G213" s="5"/>
      <c r="H213" s="5"/>
      <c r="I213" s="5"/>
      <c r="J213" s="5"/>
      <c r="K213" s="5"/>
      <c r="L213" s="5"/>
      <c r="M213" s="5"/>
      <c r="N213" s="5"/>
      <c r="O213" s="5"/>
      <c r="P213" s="5"/>
      <c r="Q213" s="5"/>
      <c r="X213" t="str">
        <f t="shared" si="7"/>
        <v/>
      </c>
    </row>
    <row r="214" spans="1:24">
      <c r="A214" s="4"/>
      <c r="B214" s="31"/>
      <c r="C214" s="11" t="e">
        <f t="shared" si="6"/>
        <v>#N/A</v>
      </c>
      <c r="D214" s="5"/>
      <c r="E214" s="5"/>
      <c r="F214" s="5"/>
      <c r="G214" s="5"/>
      <c r="H214" s="5"/>
      <c r="I214" s="5"/>
      <c r="J214" s="5"/>
      <c r="K214" s="5"/>
      <c r="L214" s="5"/>
      <c r="M214" s="5"/>
      <c r="N214" s="5"/>
      <c r="O214" s="5"/>
      <c r="P214" s="5"/>
      <c r="Q214" s="5"/>
      <c r="X214" t="str">
        <f t="shared" si="7"/>
        <v/>
      </c>
    </row>
    <row r="215" spans="1:24">
      <c r="A215" s="4"/>
      <c r="B215" s="31"/>
      <c r="C215" s="11" t="e">
        <f t="shared" si="6"/>
        <v>#N/A</v>
      </c>
      <c r="D215" s="5"/>
      <c r="E215" s="5"/>
      <c r="F215" s="5"/>
      <c r="G215" s="5"/>
      <c r="H215" s="5"/>
      <c r="I215" s="5"/>
      <c r="J215" s="5"/>
      <c r="K215" s="5"/>
      <c r="L215" s="5"/>
      <c r="M215" s="5"/>
      <c r="N215" s="5"/>
      <c r="O215" s="5"/>
      <c r="P215" s="5"/>
      <c r="Q215" s="5"/>
      <c r="X215" t="str">
        <f t="shared" si="7"/>
        <v/>
      </c>
    </row>
    <row r="216" spans="1:24">
      <c r="A216" s="4"/>
      <c r="B216" s="31"/>
      <c r="C216" s="11" t="e">
        <f t="shared" si="6"/>
        <v>#N/A</v>
      </c>
      <c r="D216" s="5"/>
      <c r="E216" s="5"/>
      <c r="F216" s="5"/>
      <c r="G216" s="5"/>
      <c r="H216" s="5"/>
      <c r="I216" s="5"/>
      <c r="J216" s="5"/>
      <c r="K216" s="5"/>
      <c r="L216" s="5"/>
      <c r="M216" s="5"/>
      <c r="N216" s="5"/>
      <c r="O216" s="5"/>
      <c r="P216" s="5"/>
      <c r="Q216" s="5"/>
      <c r="X216" t="str">
        <f t="shared" si="7"/>
        <v/>
      </c>
    </row>
    <row r="217" spans="1:24">
      <c r="A217" s="4"/>
      <c r="B217" s="31"/>
      <c r="C217" s="11" t="e">
        <f t="shared" si="6"/>
        <v>#N/A</v>
      </c>
      <c r="D217" s="5"/>
      <c r="E217" s="5"/>
      <c r="F217" s="5"/>
      <c r="G217" s="5"/>
      <c r="H217" s="5"/>
      <c r="I217" s="5"/>
      <c r="J217" s="5"/>
      <c r="K217" s="5"/>
      <c r="L217" s="5"/>
      <c r="M217" s="5"/>
      <c r="N217" s="5"/>
      <c r="O217" s="5"/>
      <c r="P217" s="5"/>
      <c r="Q217" s="5"/>
      <c r="X217" t="str">
        <f t="shared" si="7"/>
        <v/>
      </c>
    </row>
    <row r="218" spans="1:24">
      <c r="A218" s="4"/>
      <c r="B218" s="31"/>
      <c r="C218" s="11" t="e">
        <f t="shared" si="6"/>
        <v>#N/A</v>
      </c>
      <c r="D218" s="5"/>
      <c r="E218" s="5"/>
      <c r="F218" s="5"/>
      <c r="G218" s="5"/>
      <c r="H218" s="5"/>
      <c r="I218" s="5"/>
      <c r="J218" s="5"/>
      <c r="K218" s="5"/>
      <c r="L218" s="5"/>
      <c r="M218" s="5"/>
      <c r="N218" s="5"/>
      <c r="O218" s="5"/>
      <c r="P218" s="5"/>
      <c r="Q218" s="5"/>
      <c r="X218" t="str">
        <f t="shared" si="7"/>
        <v/>
      </c>
    </row>
    <row r="219" spans="1:24">
      <c r="A219" s="4"/>
      <c r="B219" s="31"/>
      <c r="C219" s="11" t="e">
        <f t="shared" si="6"/>
        <v>#N/A</v>
      </c>
      <c r="D219" s="5"/>
      <c r="E219" s="5"/>
      <c r="F219" s="5"/>
      <c r="G219" s="5"/>
      <c r="H219" s="5"/>
      <c r="I219" s="5"/>
      <c r="J219" s="5"/>
      <c r="K219" s="5"/>
      <c r="L219" s="5"/>
      <c r="M219" s="5"/>
      <c r="N219" s="5"/>
      <c r="O219" s="5"/>
      <c r="P219" s="5"/>
      <c r="Q219" s="5"/>
      <c r="X219" t="str">
        <f t="shared" si="7"/>
        <v/>
      </c>
    </row>
    <row r="220" spans="1:24">
      <c r="A220" s="4"/>
      <c r="B220" s="31"/>
      <c r="C220" s="11" t="e">
        <f t="shared" si="6"/>
        <v>#N/A</v>
      </c>
      <c r="D220" s="5"/>
      <c r="E220" s="5"/>
      <c r="F220" s="5"/>
      <c r="G220" s="5"/>
      <c r="H220" s="5"/>
      <c r="I220" s="5"/>
      <c r="J220" s="5"/>
      <c r="K220" s="5"/>
      <c r="L220" s="5"/>
      <c r="M220" s="5"/>
      <c r="N220" s="5"/>
      <c r="O220" s="5"/>
      <c r="P220" s="5"/>
      <c r="Q220" s="5"/>
      <c r="X220" t="str">
        <f t="shared" si="7"/>
        <v/>
      </c>
    </row>
    <row r="221" spans="1:24">
      <c r="A221" s="4"/>
      <c r="B221" s="31"/>
      <c r="C221" s="11" t="e">
        <f t="shared" si="6"/>
        <v>#N/A</v>
      </c>
      <c r="D221" s="5"/>
      <c r="E221" s="5"/>
      <c r="F221" s="5"/>
      <c r="G221" s="5"/>
      <c r="H221" s="5"/>
      <c r="I221" s="5"/>
      <c r="J221" s="5"/>
      <c r="K221" s="5"/>
      <c r="L221" s="5"/>
      <c r="M221" s="5"/>
      <c r="N221" s="5"/>
      <c r="O221" s="5"/>
      <c r="P221" s="5"/>
      <c r="Q221" s="5"/>
      <c r="X221" t="str">
        <f t="shared" si="7"/>
        <v/>
      </c>
    </row>
    <row r="222" spans="1:24">
      <c r="A222" s="4"/>
      <c r="B222" s="31"/>
      <c r="C222" s="11" t="e">
        <f t="shared" si="6"/>
        <v>#N/A</v>
      </c>
      <c r="D222" s="5"/>
      <c r="E222" s="5"/>
      <c r="F222" s="5"/>
      <c r="G222" s="5"/>
      <c r="H222" s="5"/>
      <c r="I222" s="5"/>
      <c r="J222" s="5"/>
      <c r="K222" s="5"/>
      <c r="L222" s="5"/>
      <c r="M222" s="5"/>
      <c r="N222" s="5"/>
      <c r="O222" s="5"/>
      <c r="P222" s="5"/>
      <c r="Q222" s="5"/>
      <c r="X222" t="str">
        <f t="shared" si="7"/>
        <v/>
      </c>
    </row>
    <row r="223" spans="1:24">
      <c r="A223" s="4"/>
      <c r="B223" s="31"/>
      <c r="C223" s="11" t="e">
        <f t="shared" si="6"/>
        <v>#N/A</v>
      </c>
      <c r="D223" s="5"/>
      <c r="E223" s="5"/>
      <c r="F223" s="5"/>
      <c r="G223" s="5"/>
      <c r="H223" s="5"/>
      <c r="I223" s="5"/>
      <c r="J223" s="5"/>
      <c r="K223" s="5"/>
      <c r="L223" s="5"/>
      <c r="M223" s="5"/>
      <c r="N223" s="5"/>
      <c r="O223" s="5"/>
      <c r="P223" s="5"/>
      <c r="Q223" s="5"/>
      <c r="X223" t="str">
        <f t="shared" si="7"/>
        <v/>
      </c>
    </row>
    <row r="224" spans="1:24">
      <c r="A224" s="4"/>
      <c r="B224" s="31"/>
      <c r="C224" s="11" t="e">
        <f t="shared" si="6"/>
        <v>#N/A</v>
      </c>
      <c r="D224" s="5"/>
      <c r="E224" s="5"/>
      <c r="F224" s="5"/>
      <c r="G224" s="5"/>
      <c r="H224" s="5"/>
      <c r="I224" s="5"/>
      <c r="J224" s="5"/>
      <c r="K224" s="5"/>
      <c r="L224" s="5"/>
      <c r="M224" s="5"/>
      <c r="N224" s="5"/>
      <c r="O224" s="5"/>
      <c r="P224" s="5"/>
      <c r="Q224" s="5"/>
      <c r="X224" t="str">
        <f t="shared" si="7"/>
        <v/>
      </c>
    </row>
    <row r="225" spans="1:24">
      <c r="A225" s="4"/>
      <c r="B225" s="31"/>
      <c r="C225" s="11" t="e">
        <f t="shared" si="6"/>
        <v>#N/A</v>
      </c>
      <c r="D225" s="5"/>
      <c r="E225" s="5"/>
      <c r="F225" s="5"/>
      <c r="G225" s="5"/>
      <c r="H225" s="5"/>
      <c r="I225" s="5"/>
      <c r="J225" s="5"/>
      <c r="K225" s="5"/>
      <c r="L225" s="5"/>
      <c r="M225" s="5"/>
      <c r="N225" s="5"/>
      <c r="O225" s="5"/>
      <c r="P225" s="5"/>
      <c r="Q225" s="5"/>
      <c r="X225" t="str">
        <f t="shared" si="7"/>
        <v/>
      </c>
    </row>
    <row r="226" spans="1:24">
      <c r="A226" s="4"/>
      <c r="B226" s="31"/>
      <c r="C226" s="11" t="e">
        <f t="shared" si="6"/>
        <v>#N/A</v>
      </c>
      <c r="D226" s="5"/>
      <c r="E226" s="5"/>
      <c r="F226" s="5"/>
      <c r="G226" s="5"/>
      <c r="H226" s="5"/>
      <c r="I226" s="5"/>
      <c r="J226" s="5"/>
      <c r="K226" s="5"/>
      <c r="L226" s="5"/>
      <c r="M226" s="5"/>
      <c r="N226" s="5"/>
      <c r="O226" s="5"/>
      <c r="P226" s="5"/>
      <c r="Q226" s="5"/>
      <c r="X226" t="str">
        <f t="shared" si="7"/>
        <v/>
      </c>
    </row>
    <row r="227" spans="1:24">
      <c r="A227" s="4"/>
      <c r="B227" s="31"/>
      <c r="C227" s="11" t="e">
        <f t="shared" si="6"/>
        <v>#N/A</v>
      </c>
      <c r="D227" s="5"/>
      <c r="E227" s="5"/>
      <c r="F227" s="5"/>
      <c r="G227" s="5"/>
      <c r="H227" s="5"/>
      <c r="I227" s="5"/>
      <c r="J227" s="5"/>
      <c r="K227" s="5"/>
      <c r="L227" s="5"/>
      <c r="M227" s="5"/>
      <c r="N227" s="5"/>
      <c r="O227" s="5"/>
      <c r="P227" s="5"/>
      <c r="Q227" s="5"/>
      <c r="X227" t="str">
        <f t="shared" si="7"/>
        <v/>
      </c>
    </row>
    <row r="228" spans="1:24">
      <c r="A228" s="4"/>
      <c r="B228" s="31"/>
      <c r="C228" s="11" t="e">
        <f t="shared" si="6"/>
        <v>#N/A</v>
      </c>
      <c r="D228" s="5"/>
      <c r="E228" s="5"/>
      <c r="F228" s="5"/>
      <c r="G228" s="5"/>
      <c r="H228" s="5"/>
      <c r="I228" s="5"/>
      <c r="J228" s="5"/>
      <c r="K228" s="5"/>
      <c r="L228" s="5"/>
      <c r="M228" s="5"/>
      <c r="N228" s="5"/>
      <c r="O228" s="5"/>
      <c r="P228" s="5"/>
      <c r="Q228" s="5"/>
      <c r="X228" t="str">
        <f t="shared" si="7"/>
        <v/>
      </c>
    </row>
    <row r="229" spans="1:24">
      <c r="A229" s="4"/>
      <c r="B229" s="31"/>
      <c r="C229" s="11" t="e">
        <f t="shared" si="6"/>
        <v>#N/A</v>
      </c>
      <c r="D229" s="5"/>
      <c r="E229" s="5"/>
      <c r="F229" s="5"/>
      <c r="G229" s="5"/>
      <c r="H229" s="5"/>
      <c r="I229" s="5"/>
      <c r="J229" s="5"/>
      <c r="K229" s="5"/>
      <c r="L229" s="5"/>
      <c r="M229" s="5"/>
      <c r="N229" s="5"/>
      <c r="O229" s="5"/>
      <c r="P229" s="5"/>
      <c r="Q229" s="5"/>
      <c r="X229" t="str">
        <f t="shared" si="7"/>
        <v/>
      </c>
    </row>
    <row r="230" spans="1:24">
      <c r="A230" s="4"/>
      <c r="B230" s="31"/>
      <c r="C230" s="11" t="e">
        <f t="shared" si="6"/>
        <v>#N/A</v>
      </c>
      <c r="D230" s="5"/>
      <c r="E230" s="5"/>
      <c r="F230" s="5"/>
      <c r="G230" s="5"/>
      <c r="H230" s="5"/>
      <c r="I230" s="5"/>
      <c r="J230" s="5"/>
      <c r="K230" s="5"/>
      <c r="L230" s="5"/>
      <c r="M230" s="5"/>
      <c r="N230" s="5"/>
      <c r="O230" s="5"/>
      <c r="P230" s="5"/>
      <c r="Q230" s="5"/>
      <c r="X230" t="str">
        <f t="shared" si="7"/>
        <v/>
      </c>
    </row>
    <row r="231" spans="1:24">
      <c r="A231" s="4"/>
      <c r="B231" s="31"/>
      <c r="C231" s="11" t="e">
        <f t="shared" si="6"/>
        <v>#N/A</v>
      </c>
      <c r="D231" s="5"/>
      <c r="E231" s="5"/>
      <c r="F231" s="5"/>
      <c r="G231" s="5"/>
      <c r="H231" s="5"/>
      <c r="I231" s="5"/>
      <c r="J231" s="5"/>
      <c r="K231" s="5"/>
      <c r="L231" s="5"/>
      <c r="M231" s="5"/>
      <c r="N231" s="5"/>
      <c r="O231" s="5"/>
      <c r="P231" s="5"/>
      <c r="Q231" s="5"/>
      <c r="X231" t="str">
        <f t="shared" si="7"/>
        <v/>
      </c>
    </row>
    <row r="232" spans="1:24">
      <c r="A232" s="4"/>
      <c r="B232" s="31"/>
      <c r="C232" s="11" t="e">
        <f t="shared" si="6"/>
        <v>#N/A</v>
      </c>
      <c r="D232" s="5"/>
      <c r="E232" s="5"/>
      <c r="F232" s="5"/>
      <c r="G232" s="5"/>
      <c r="H232" s="5"/>
      <c r="I232" s="5"/>
      <c r="J232" s="5"/>
      <c r="K232" s="5"/>
      <c r="L232" s="5"/>
      <c r="M232" s="5"/>
      <c r="N232" s="5"/>
      <c r="O232" s="5"/>
      <c r="P232" s="5"/>
      <c r="Q232" s="5"/>
      <c r="X232" t="str">
        <f t="shared" si="7"/>
        <v/>
      </c>
    </row>
    <row r="233" spans="1:24">
      <c r="A233" s="4"/>
      <c r="B233" s="31"/>
      <c r="C233" s="11" t="e">
        <f t="shared" si="6"/>
        <v>#N/A</v>
      </c>
      <c r="D233" s="5"/>
      <c r="E233" s="5"/>
      <c r="F233" s="5"/>
      <c r="G233" s="5"/>
      <c r="H233" s="5"/>
      <c r="I233" s="5"/>
      <c r="J233" s="5"/>
      <c r="K233" s="5"/>
      <c r="L233" s="5"/>
      <c r="M233" s="5"/>
      <c r="N233" s="5"/>
      <c r="O233" s="5"/>
      <c r="P233" s="5"/>
      <c r="Q233" s="5"/>
      <c r="X233" t="str">
        <f t="shared" si="7"/>
        <v/>
      </c>
    </row>
    <row r="234" spans="1:24">
      <c r="A234" s="4"/>
      <c r="B234" s="31"/>
      <c r="C234" s="11" t="e">
        <f t="shared" si="6"/>
        <v>#N/A</v>
      </c>
      <c r="D234" s="5"/>
      <c r="E234" s="5"/>
      <c r="F234" s="5"/>
      <c r="G234" s="5"/>
      <c r="H234" s="5"/>
      <c r="I234" s="5"/>
      <c r="J234" s="5"/>
      <c r="K234" s="5"/>
      <c r="L234" s="5"/>
      <c r="M234" s="5"/>
      <c r="N234" s="5"/>
      <c r="O234" s="5"/>
      <c r="P234" s="5"/>
      <c r="Q234" s="5"/>
      <c r="X234" t="str">
        <f t="shared" si="7"/>
        <v/>
      </c>
    </row>
    <row r="235" spans="1:24">
      <c r="A235" s="4"/>
      <c r="B235" s="31"/>
      <c r="C235" s="11" t="e">
        <f t="shared" si="6"/>
        <v>#N/A</v>
      </c>
      <c r="D235" s="5"/>
      <c r="E235" s="5"/>
      <c r="F235" s="5"/>
      <c r="G235" s="5"/>
      <c r="H235" s="5"/>
      <c r="I235" s="5"/>
      <c r="J235" s="5"/>
      <c r="K235" s="5"/>
      <c r="L235" s="5"/>
      <c r="M235" s="5"/>
      <c r="N235" s="5"/>
      <c r="O235" s="5"/>
      <c r="P235" s="5"/>
      <c r="Q235" s="5"/>
      <c r="X235" t="str">
        <f t="shared" si="7"/>
        <v/>
      </c>
    </row>
    <row r="236" spans="1:24">
      <c r="A236" s="4"/>
      <c r="B236" s="31"/>
      <c r="C236" s="11" t="e">
        <f t="shared" si="6"/>
        <v>#N/A</v>
      </c>
      <c r="D236" s="5"/>
      <c r="E236" s="5"/>
      <c r="F236" s="5"/>
      <c r="G236" s="5"/>
      <c r="H236" s="5"/>
      <c r="I236" s="5"/>
      <c r="J236" s="5"/>
      <c r="K236" s="5"/>
      <c r="L236" s="5"/>
      <c r="M236" s="5"/>
      <c r="N236" s="5"/>
      <c r="O236" s="5"/>
      <c r="P236" s="5"/>
      <c r="Q236" s="5"/>
      <c r="X236" t="str">
        <f t="shared" si="7"/>
        <v/>
      </c>
    </row>
    <row r="237" spans="1:24">
      <c r="A237" s="4"/>
      <c r="B237" s="31"/>
      <c r="C237" s="11" t="e">
        <f t="shared" si="6"/>
        <v>#N/A</v>
      </c>
      <c r="D237" s="5"/>
      <c r="E237" s="5"/>
      <c r="F237" s="5"/>
      <c r="G237" s="5"/>
      <c r="H237" s="5"/>
      <c r="I237" s="5"/>
      <c r="J237" s="5"/>
      <c r="K237" s="5"/>
      <c r="L237" s="5"/>
      <c r="M237" s="5"/>
      <c r="N237" s="5"/>
      <c r="O237" s="5"/>
      <c r="P237" s="5"/>
      <c r="Q237" s="5"/>
      <c r="X237" t="str">
        <f t="shared" si="7"/>
        <v/>
      </c>
    </row>
    <row r="238" spans="1:24">
      <c r="A238" s="4"/>
      <c r="B238" s="31"/>
      <c r="C238" s="11" t="e">
        <f t="shared" si="6"/>
        <v>#N/A</v>
      </c>
      <c r="D238" s="5"/>
      <c r="E238" s="5"/>
      <c r="F238" s="5"/>
      <c r="G238" s="5"/>
      <c r="H238" s="5"/>
      <c r="I238" s="5"/>
      <c r="J238" s="5"/>
      <c r="K238" s="5"/>
      <c r="L238" s="5"/>
      <c r="M238" s="5"/>
      <c r="N238" s="5"/>
      <c r="O238" s="5"/>
      <c r="P238" s="5"/>
      <c r="Q238" s="5"/>
      <c r="X238" t="str">
        <f t="shared" si="7"/>
        <v/>
      </c>
    </row>
    <row r="239" spans="1:24">
      <c r="A239" s="4"/>
      <c r="B239" s="31"/>
      <c r="C239" s="11" t="e">
        <f t="shared" si="6"/>
        <v>#N/A</v>
      </c>
      <c r="D239" s="5"/>
      <c r="E239" s="5"/>
      <c r="F239" s="5"/>
      <c r="G239" s="5"/>
      <c r="H239" s="5"/>
      <c r="I239" s="5"/>
      <c r="J239" s="5"/>
      <c r="K239" s="5"/>
      <c r="L239" s="5"/>
      <c r="M239" s="5"/>
      <c r="N239" s="5"/>
      <c r="O239" s="5"/>
      <c r="P239" s="5"/>
      <c r="Q239" s="5"/>
      <c r="X239" t="str">
        <f t="shared" si="7"/>
        <v/>
      </c>
    </row>
    <row r="240" spans="1:24">
      <c r="A240" s="4"/>
      <c r="B240" s="31"/>
      <c r="C240" s="11" t="e">
        <f t="shared" si="6"/>
        <v>#N/A</v>
      </c>
      <c r="D240" s="5"/>
      <c r="E240" s="5"/>
      <c r="F240" s="5"/>
      <c r="G240" s="5"/>
      <c r="H240" s="5"/>
      <c r="I240" s="5"/>
      <c r="J240" s="5"/>
      <c r="K240" s="5"/>
      <c r="L240" s="5"/>
      <c r="M240" s="5"/>
      <c r="N240" s="5"/>
      <c r="O240" s="5"/>
      <c r="P240" s="5"/>
      <c r="Q240" s="5"/>
      <c r="X240" t="str">
        <f t="shared" si="7"/>
        <v/>
      </c>
    </row>
    <row r="241" spans="1:24">
      <c r="A241" s="4"/>
      <c r="B241" s="31"/>
      <c r="C241" s="11" t="e">
        <f t="shared" si="6"/>
        <v>#N/A</v>
      </c>
      <c r="D241" s="5"/>
      <c r="E241" s="5"/>
      <c r="F241" s="5"/>
      <c r="G241" s="5"/>
      <c r="H241" s="5"/>
      <c r="I241" s="5"/>
      <c r="J241" s="5"/>
      <c r="K241" s="5"/>
      <c r="L241" s="5"/>
      <c r="M241" s="5"/>
      <c r="N241" s="5"/>
      <c r="O241" s="5"/>
      <c r="P241" s="5"/>
      <c r="Q241" s="5"/>
      <c r="X241" t="str">
        <f t="shared" si="7"/>
        <v/>
      </c>
    </row>
    <row r="242" spans="1:24">
      <c r="A242" s="4"/>
      <c r="B242" s="31"/>
      <c r="C242" s="11" t="e">
        <f t="shared" si="6"/>
        <v>#N/A</v>
      </c>
      <c r="D242" s="5"/>
      <c r="E242" s="5"/>
      <c r="F242" s="5"/>
      <c r="G242" s="5"/>
      <c r="H242" s="5"/>
      <c r="I242" s="5"/>
      <c r="J242" s="5"/>
      <c r="K242" s="5"/>
      <c r="L242" s="5"/>
      <c r="M242" s="5"/>
      <c r="N242" s="5"/>
      <c r="O242" s="5"/>
      <c r="P242" s="5"/>
      <c r="Q242" s="5"/>
      <c r="X242" t="str">
        <f t="shared" si="7"/>
        <v/>
      </c>
    </row>
    <row r="243" spans="1:24">
      <c r="A243" s="4"/>
      <c r="B243" s="31"/>
      <c r="C243" s="11" t="e">
        <f t="shared" si="6"/>
        <v>#N/A</v>
      </c>
      <c r="D243" s="5"/>
      <c r="E243" s="5"/>
      <c r="F243" s="5"/>
      <c r="G243" s="5"/>
      <c r="H243" s="5"/>
      <c r="I243" s="5"/>
      <c r="J243" s="5"/>
      <c r="K243" s="5"/>
      <c r="L243" s="5"/>
      <c r="M243" s="5"/>
      <c r="N243" s="5"/>
      <c r="O243" s="5"/>
      <c r="P243" s="5"/>
      <c r="Q243" s="5"/>
      <c r="X243" t="str">
        <f t="shared" si="7"/>
        <v/>
      </c>
    </row>
    <row r="244" spans="1:24">
      <c r="A244" s="4"/>
      <c r="B244" s="31"/>
      <c r="C244" s="11" t="e">
        <f t="shared" si="6"/>
        <v>#N/A</v>
      </c>
      <c r="D244" s="5"/>
      <c r="E244" s="5"/>
      <c r="F244" s="5"/>
      <c r="G244" s="5"/>
      <c r="H244" s="5"/>
      <c r="I244" s="5"/>
      <c r="J244" s="5"/>
      <c r="K244" s="5"/>
      <c r="L244" s="5"/>
      <c r="M244" s="5"/>
      <c r="N244" s="5"/>
      <c r="O244" s="5"/>
      <c r="P244" s="5"/>
      <c r="Q244" s="5"/>
      <c r="X244" t="str">
        <f t="shared" si="7"/>
        <v/>
      </c>
    </row>
    <row r="245" spans="1:24">
      <c r="A245" s="4"/>
      <c r="B245" s="31"/>
      <c r="C245" s="11" t="e">
        <f t="shared" si="6"/>
        <v>#N/A</v>
      </c>
      <c r="D245" s="5"/>
      <c r="E245" s="5"/>
      <c r="F245" s="5"/>
      <c r="G245" s="5"/>
      <c r="H245" s="5"/>
      <c r="I245" s="5"/>
      <c r="J245" s="5"/>
      <c r="K245" s="5"/>
      <c r="L245" s="5"/>
      <c r="M245" s="5"/>
      <c r="N245" s="5"/>
      <c r="O245" s="5"/>
      <c r="P245" s="5"/>
      <c r="Q245" s="5"/>
      <c r="X245" t="str">
        <f t="shared" si="7"/>
        <v/>
      </c>
    </row>
    <row r="246" spans="1:24">
      <c r="A246" s="4"/>
      <c r="B246" s="31"/>
      <c r="C246" s="11" t="e">
        <f t="shared" si="6"/>
        <v>#N/A</v>
      </c>
      <c r="D246" s="5"/>
      <c r="E246" s="5"/>
      <c r="F246" s="5"/>
      <c r="G246" s="5"/>
      <c r="H246" s="5"/>
      <c r="I246" s="5"/>
      <c r="J246" s="5"/>
      <c r="K246" s="5"/>
      <c r="L246" s="5"/>
      <c r="M246" s="5"/>
      <c r="N246" s="5"/>
      <c r="O246" s="5"/>
      <c r="P246" s="5"/>
      <c r="Q246" s="5"/>
      <c r="X246" t="str">
        <f t="shared" si="7"/>
        <v/>
      </c>
    </row>
    <row r="247" spans="1:24">
      <c r="A247" s="4"/>
      <c r="B247" s="31"/>
      <c r="C247" s="11" t="e">
        <f t="shared" si="6"/>
        <v>#N/A</v>
      </c>
      <c r="D247" s="5"/>
      <c r="E247" s="5"/>
      <c r="F247" s="5"/>
      <c r="G247" s="5"/>
      <c r="H247" s="5"/>
      <c r="I247" s="5"/>
      <c r="J247" s="5"/>
      <c r="K247" s="5"/>
      <c r="L247" s="5"/>
      <c r="M247" s="5"/>
      <c r="N247" s="5"/>
      <c r="O247" s="5"/>
      <c r="P247" s="5"/>
      <c r="Q247" s="5"/>
      <c r="X247" t="str">
        <f t="shared" si="7"/>
        <v/>
      </c>
    </row>
    <row r="248" spans="1:24">
      <c r="A248" s="4"/>
      <c r="B248" s="31"/>
      <c r="C248" s="11" t="e">
        <f t="shared" si="6"/>
        <v>#N/A</v>
      </c>
      <c r="D248" s="5"/>
      <c r="E248" s="5"/>
      <c r="F248" s="5"/>
      <c r="G248" s="5"/>
      <c r="H248" s="5"/>
      <c r="I248" s="5"/>
      <c r="J248" s="5"/>
      <c r="K248" s="5"/>
      <c r="L248" s="5"/>
      <c r="M248" s="5"/>
      <c r="N248" s="5"/>
      <c r="O248" s="5"/>
      <c r="P248" s="5"/>
      <c r="Q248" s="5"/>
      <c r="X248" t="str">
        <f t="shared" si="7"/>
        <v/>
      </c>
    </row>
    <row r="249" spans="1:24">
      <c r="A249" s="4"/>
      <c r="B249" s="31"/>
      <c r="C249" s="11" t="e">
        <f t="shared" si="6"/>
        <v>#N/A</v>
      </c>
      <c r="D249" s="5"/>
      <c r="E249" s="5"/>
      <c r="F249" s="5"/>
      <c r="G249" s="5"/>
      <c r="H249" s="5"/>
      <c r="I249" s="5"/>
      <c r="J249" s="5"/>
      <c r="K249" s="5"/>
      <c r="L249" s="5"/>
      <c r="M249" s="5"/>
      <c r="N249" s="5"/>
      <c r="O249" s="5"/>
      <c r="P249" s="5"/>
      <c r="Q249" s="5"/>
      <c r="X249" t="str">
        <f t="shared" si="7"/>
        <v/>
      </c>
    </row>
    <row r="250" spans="1:24">
      <c r="A250" s="4"/>
      <c r="B250" s="31"/>
      <c r="C250" s="11" t="e">
        <f t="shared" si="6"/>
        <v>#N/A</v>
      </c>
      <c r="D250" s="5"/>
      <c r="E250" s="5"/>
      <c r="F250" s="5"/>
      <c r="G250" s="5"/>
      <c r="H250" s="5"/>
      <c r="I250" s="5"/>
      <c r="J250" s="5"/>
      <c r="K250" s="5"/>
      <c r="L250" s="5"/>
      <c r="M250" s="5"/>
      <c r="N250" s="5"/>
      <c r="O250" s="5"/>
      <c r="P250" s="5"/>
      <c r="Q250" s="5"/>
      <c r="X250" t="str">
        <f t="shared" si="7"/>
        <v/>
      </c>
    </row>
    <row r="251" spans="1:24">
      <c r="A251" s="4"/>
      <c r="B251" s="31"/>
      <c r="C251" s="11" t="e">
        <f t="shared" si="6"/>
        <v>#N/A</v>
      </c>
      <c r="D251" s="5"/>
      <c r="E251" s="5"/>
      <c r="F251" s="5"/>
      <c r="G251" s="5"/>
      <c r="H251" s="5"/>
      <c r="I251" s="5"/>
      <c r="J251" s="5"/>
      <c r="K251" s="5"/>
      <c r="L251" s="5"/>
      <c r="M251" s="5"/>
      <c r="N251" s="5"/>
      <c r="O251" s="5"/>
      <c r="P251" s="5"/>
      <c r="Q251" s="5"/>
      <c r="X251" t="str">
        <f t="shared" si="7"/>
        <v/>
      </c>
    </row>
    <row r="252" spans="1:24">
      <c r="A252" s="4"/>
      <c r="B252" s="31"/>
      <c r="C252" s="11" t="e">
        <f t="shared" si="6"/>
        <v>#N/A</v>
      </c>
      <c r="D252" s="5"/>
      <c r="E252" s="5"/>
      <c r="F252" s="5"/>
      <c r="G252" s="5"/>
      <c r="H252" s="5"/>
      <c r="I252" s="5"/>
      <c r="J252" s="5"/>
      <c r="K252" s="5"/>
      <c r="L252" s="5"/>
      <c r="M252" s="5"/>
      <c r="N252" s="5"/>
      <c r="O252" s="5"/>
      <c r="P252" s="5"/>
      <c r="Q252" s="5"/>
      <c r="X252" t="str">
        <f t="shared" si="7"/>
        <v/>
      </c>
    </row>
    <row r="253" spans="1:24">
      <c r="A253" s="4"/>
      <c r="B253" s="31"/>
      <c r="C253" s="11" t="e">
        <f t="shared" si="6"/>
        <v>#N/A</v>
      </c>
      <c r="D253" s="5"/>
      <c r="E253" s="5"/>
      <c r="F253" s="5"/>
      <c r="G253" s="5"/>
      <c r="H253" s="5"/>
      <c r="I253" s="5"/>
      <c r="J253" s="5"/>
      <c r="K253" s="5"/>
      <c r="L253" s="5"/>
      <c r="M253" s="5"/>
      <c r="N253" s="5"/>
      <c r="O253" s="5"/>
      <c r="P253" s="5"/>
      <c r="Q253" s="5"/>
      <c r="X253" t="str">
        <f t="shared" si="7"/>
        <v/>
      </c>
    </row>
    <row r="254" spans="1:24">
      <c r="A254" s="4"/>
      <c r="B254" s="31"/>
      <c r="C254" s="11" t="e">
        <f t="shared" si="6"/>
        <v>#N/A</v>
      </c>
      <c r="D254" s="5"/>
      <c r="E254" s="5"/>
      <c r="F254" s="5"/>
      <c r="G254" s="5"/>
      <c r="H254" s="5"/>
      <c r="I254" s="5"/>
      <c r="J254" s="5"/>
      <c r="K254" s="5"/>
      <c r="L254" s="5"/>
      <c r="M254" s="5"/>
      <c r="N254" s="5"/>
      <c r="O254" s="5"/>
      <c r="P254" s="5"/>
      <c r="Q254" s="5"/>
      <c r="X254" t="str">
        <f t="shared" si="7"/>
        <v/>
      </c>
    </row>
    <row r="255" spans="1:24">
      <c r="A255" s="4"/>
      <c r="B255" s="31"/>
      <c r="C255" s="11" t="e">
        <f t="shared" si="6"/>
        <v>#N/A</v>
      </c>
      <c r="D255" s="5"/>
      <c r="E255" s="5"/>
      <c r="F255" s="5"/>
      <c r="G255" s="5"/>
      <c r="H255" s="5"/>
      <c r="I255" s="5"/>
      <c r="J255" s="5"/>
      <c r="K255" s="5"/>
      <c r="L255" s="5"/>
      <c r="M255" s="5"/>
      <c r="N255" s="5"/>
      <c r="O255" s="5"/>
      <c r="P255" s="5"/>
      <c r="Q255" s="5"/>
      <c r="X255" t="str">
        <f t="shared" si="7"/>
        <v/>
      </c>
    </row>
    <row r="256" spans="1:24">
      <c r="A256" s="4"/>
      <c r="B256" s="31"/>
      <c r="C256" s="11" t="e">
        <f t="shared" si="6"/>
        <v>#N/A</v>
      </c>
      <c r="D256" s="5"/>
      <c r="E256" s="5"/>
      <c r="F256" s="5"/>
      <c r="G256" s="5"/>
      <c r="H256" s="5"/>
      <c r="I256" s="5"/>
      <c r="J256" s="5"/>
      <c r="K256" s="5"/>
      <c r="L256" s="5"/>
      <c r="M256" s="5"/>
      <c r="N256" s="5"/>
      <c r="O256" s="5"/>
      <c r="P256" s="5"/>
      <c r="Q256" s="5"/>
      <c r="X256" t="str">
        <f t="shared" si="7"/>
        <v/>
      </c>
    </row>
    <row r="257" spans="1:24">
      <c r="A257" s="4"/>
      <c r="B257" s="31"/>
      <c r="C257" s="11" t="e">
        <f t="shared" si="6"/>
        <v>#N/A</v>
      </c>
      <c r="D257" s="5"/>
      <c r="E257" s="5"/>
      <c r="F257" s="5"/>
      <c r="G257" s="5"/>
      <c r="H257" s="5"/>
      <c r="I257" s="5"/>
      <c r="J257" s="5"/>
      <c r="K257" s="5"/>
      <c r="L257" s="5"/>
      <c r="M257" s="5"/>
      <c r="N257" s="5"/>
      <c r="O257" s="5"/>
      <c r="P257" s="5"/>
      <c r="Q257" s="5"/>
      <c r="X257" t="str">
        <f t="shared" si="7"/>
        <v/>
      </c>
    </row>
    <row r="258" spans="1:24">
      <c r="A258" s="4"/>
      <c r="B258" s="31"/>
      <c r="C258" s="11" t="e">
        <f t="shared" si="6"/>
        <v>#N/A</v>
      </c>
      <c r="D258" s="5"/>
      <c r="E258" s="5"/>
      <c r="F258" s="5"/>
      <c r="G258" s="5"/>
      <c r="H258" s="5"/>
      <c r="I258" s="5"/>
      <c r="J258" s="5"/>
      <c r="K258" s="5"/>
      <c r="L258" s="5"/>
      <c r="M258" s="5"/>
      <c r="N258" s="5"/>
      <c r="O258" s="5"/>
      <c r="P258" s="5"/>
      <c r="Q258" s="5"/>
      <c r="X258" t="str">
        <f t="shared" si="7"/>
        <v/>
      </c>
    </row>
    <row r="259" spans="1:24">
      <c r="A259" s="4"/>
      <c r="B259" s="31"/>
      <c r="C259" s="11" t="e">
        <f t="shared" ref="C259:C322" si="8">IF(OR(ISBLANK(A259),ISBLANK(B259)),NA(),A259-B259)</f>
        <v>#N/A</v>
      </c>
      <c r="D259" s="5"/>
      <c r="E259" s="5"/>
      <c r="F259" s="5"/>
      <c r="G259" s="5"/>
      <c r="H259" s="5"/>
      <c r="I259" s="5"/>
      <c r="J259" s="5"/>
      <c r="K259" s="5"/>
      <c r="L259" s="5"/>
      <c r="M259" s="5"/>
      <c r="N259" s="5"/>
      <c r="O259" s="5"/>
      <c r="P259" s="5"/>
      <c r="Q259" s="5"/>
      <c r="X259" t="str">
        <f t="shared" ref="X259:X322" si="9">IFERROR(C259,"")</f>
        <v/>
      </c>
    </row>
    <row r="260" spans="1:24">
      <c r="A260" s="4"/>
      <c r="B260" s="31"/>
      <c r="C260" s="11" t="e">
        <f t="shared" si="8"/>
        <v>#N/A</v>
      </c>
      <c r="D260" s="5"/>
      <c r="E260" s="5"/>
      <c r="F260" s="5"/>
      <c r="G260" s="5"/>
      <c r="H260" s="5"/>
      <c r="I260" s="5"/>
      <c r="J260" s="5"/>
      <c r="K260" s="5"/>
      <c r="L260" s="5"/>
      <c r="M260" s="5"/>
      <c r="N260" s="5"/>
      <c r="O260" s="5"/>
      <c r="P260" s="5"/>
      <c r="Q260" s="5"/>
      <c r="X260" t="str">
        <f t="shared" si="9"/>
        <v/>
      </c>
    </row>
    <row r="261" spans="1:24">
      <c r="A261" s="4"/>
      <c r="B261" s="31"/>
      <c r="C261" s="11" t="e">
        <f t="shared" si="8"/>
        <v>#N/A</v>
      </c>
      <c r="D261" s="5"/>
      <c r="E261" s="5"/>
      <c r="F261" s="5"/>
      <c r="G261" s="5"/>
      <c r="H261" s="5"/>
      <c r="I261" s="5"/>
      <c r="J261" s="5"/>
      <c r="K261" s="5"/>
      <c r="L261" s="5"/>
      <c r="M261" s="5"/>
      <c r="N261" s="5"/>
      <c r="O261" s="5"/>
      <c r="P261" s="5"/>
      <c r="Q261" s="5"/>
      <c r="X261" t="str">
        <f t="shared" si="9"/>
        <v/>
      </c>
    </row>
    <row r="262" spans="1:24">
      <c r="A262" s="4"/>
      <c r="B262" s="31"/>
      <c r="C262" s="11" t="e">
        <f t="shared" si="8"/>
        <v>#N/A</v>
      </c>
      <c r="D262" s="5"/>
      <c r="E262" s="5"/>
      <c r="F262" s="5"/>
      <c r="G262" s="5"/>
      <c r="H262" s="5"/>
      <c r="I262" s="5"/>
      <c r="J262" s="5"/>
      <c r="K262" s="5"/>
      <c r="L262" s="5"/>
      <c r="M262" s="5"/>
      <c r="N262" s="5"/>
      <c r="O262" s="5"/>
      <c r="P262" s="5"/>
      <c r="Q262" s="5"/>
      <c r="X262" t="str">
        <f t="shared" si="9"/>
        <v/>
      </c>
    </row>
    <row r="263" spans="1:24">
      <c r="A263" s="4"/>
      <c r="B263" s="31"/>
      <c r="C263" s="11" t="e">
        <f t="shared" si="8"/>
        <v>#N/A</v>
      </c>
      <c r="D263" s="5"/>
      <c r="E263" s="5"/>
      <c r="F263" s="5"/>
      <c r="G263" s="5"/>
      <c r="H263" s="5"/>
      <c r="I263" s="5"/>
      <c r="J263" s="5"/>
      <c r="K263" s="5"/>
      <c r="L263" s="5"/>
      <c r="M263" s="5"/>
      <c r="N263" s="5"/>
      <c r="O263" s="5"/>
      <c r="P263" s="5"/>
      <c r="Q263" s="5"/>
      <c r="X263" t="str">
        <f t="shared" si="9"/>
        <v/>
      </c>
    </row>
    <row r="264" spans="1:24">
      <c r="A264" s="4"/>
      <c r="B264" s="31"/>
      <c r="C264" s="11" t="e">
        <f t="shared" si="8"/>
        <v>#N/A</v>
      </c>
      <c r="D264" s="5"/>
      <c r="E264" s="5"/>
      <c r="F264" s="5"/>
      <c r="G264" s="5"/>
      <c r="H264" s="5"/>
      <c r="I264" s="5"/>
      <c r="J264" s="5"/>
      <c r="K264" s="5"/>
      <c r="L264" s="5"/>
      <c r="M264" s="5"/>
      <c r="N264" s="5"/>
      <c r="O264" s="5"/>
      <c r="P264" s="5"/>
      <c r="Q264" s="5"/>
      <c r="X264" t="str">
        <f t="shared" si="9"/>
        <v/>
      </c>
    </row>
    <row r="265" spans="1:24">
      <c r="A265" s="4"/>
      <c r="B265" s="31"/>
      <c r="C265" s="11" t="e">
        <f t="shared" si="8"/>
        <v>#N/A</v>
      </c>
      <c r="D265" s="5"/>
      <c r="E265" s="5"/>
      <c r="F265" s="5"/>
      <c r="G265" s="5"/>
      <c r="H265" s="5"/>
      <c r="I265" s="5"/>
      <c r="J265" s="5"/>
      <c r="K265" s="5"/>
      <c r="L265" s="5"/>
      <c r="M265" s="5"/>
      <c r="N265" s="5"/>
      <c r="O265" s="5"/>
      <c r="P265" s="5"/>
      <c r="Q265" s="5"/>
      <c r="X265" t="str">
        <f t="shared" si="9"/>
        <v/>
      </c>
    </row>
    <row r="266" spans="1:24">
      <c r="A266" s="4"/>
      <c r="B266" s="31"/>
      <c r="C266" s="11" t="e">
        <f t="shared" si="8"/>
        <v>#N/A</v>
      </c>
      <c r="D266" s="5"/>
      <c r="E266" s="5"/>
      <c r="F266" s="5"/>
      <c r="G266" s="5"/>
      <c r="H266" s="5"/>
      <c r="I266" s="5"/>
      <c r="J266" s="5"/>
      <c r="K266" s="5"/>
      <c r="L266" s="5"/>
      <c r="M266" s="5"/>
      <c r="N266" s="5"/>
      <c r="O266" s="5"/>
      <c r="P266" s="5"/>
      <c r="Q266" s="5"/>
      <c r="X266" t="str">
        <f t="shared" si="9"/>
        <v/>
      </c>
    </row>
    <row r="267" spans="1:24">
      <c r="A267" s="4"/>
      <c r="B267" s="31"/>
      <c r="C267" s="11" t="e">
        <f t="shared" si="8"/>
        <v>#N/A</v>
      </c>
      <c r="D267" s="5"/>
      <c r="E267" s="5"/>
      <c r="F267" s="5"/>
      <c r="G267" s="5"/>
      <c r="H267" s="5"/>
      <c r="I267" s="5"/>
      <c r="J267" s="5"/>
      <c r="K267" s="5"/>
      <c r="L267" s="5"/>
      <c r="M267" s="5"/>
      <c r="N267" s="5"/>
      <c r="O267" s="5"/>
      <c r="P267" s="5"/>
      <c r="Q267" s="5"/>
      <c r="X267" t="str">
        <f t="shared" si="9"/>
        <v/>
      </c>
    </row>
    <row r="268" spans="1:24">
      <c r="A268" s="4"/>
      <c r="B268" s="31"/>
      <c r="C268" s="11" t="e">
        <f t="shared" si="8"/>
        <v>#N/A</v>
      </c>
      <c r="D268" s="5"/>
      <c r="E268" s="5"/>
      <c r="F268" s="5"/>
      <c r="G268" s="5"/>
      <c r="H268" s="5"/>
      <c r="I268" s="5"/>
      <c r="J268" s="5"/>
      <c r="K268" s="5"/>
      <c r="L268" s="5"/>
      <c r="M268" s="5"/>
      <c r="N268" s="5"/>
      <c r="O268" s="5"/>
      <c r="P268" s="5"/>
      <c r="Q268" s="5"/>
      <c r="X268" t="str">
        <f t="shared" si="9"/>
        <v/>
      </c>
    </row>
    <row r="269" spans="1:24">
      <c r="A269" s="4"/>
      <c r="B269" s="31"/>
      <c r="C269" s="11" t="e">
        <f t="shared" si="8"/>
        <v>#N/A</v>
      </c>
      <c r="D269" s="5"/>
      <c r="E269" s="5"/>
      <c r="F269" s="5"/>
      <c r="G269" s="5"/>
      <c r="H269" s="5"/>
      <c r="I269" s="5"/>
      <c r="J269" s="5"/>
      <c r="K269" s="5"/>
      <c r="L269" s="5"/>
      <c r="M269" s="5"/>
      <c r="N269" s="5"/>
      <c r="O269" s="5"/>
      <c r="P269" s="5"/>
      <c r="Q269" s="5"/>
      <c r="X269" t="str">
        <f t="shared" si="9"/>
        <v/>
      </c>
    </row>
    <row r="270" spans="1:24">
      <c r="A270" s="4"/>
      <c r="B270" s="31"/>
      <c r="C270" s="11" t="e">
        <f t="shared" si="8"/>
        <v>#N/A</v>
      </c>
      <c r="D270" s="5"/>
      <c r="E270" s="5"/>
      <c r="F270" s="5"/>
      <c r="G270" s="5"/>
      <c r="H270" s="5"/>
      <c r="I270" s="5"/>
      <c r="J270" s="5"/>
      <c r="K270" s="5"/>
      <c r="L270" s="5"/>
      <c r="M270" s="5"/>
      <c r="N270" s="5"/>
      <c r="O270" s="5"/>
      <c r="P270" s="5"/>
      <c r="Q270" s="5"/>
      <c r="X270" t="str">
        <f t="shared" si="9"/>
        <v/>
      </c>
    </row>
    <row r="271" spans="1:24">
      <c r="A271" s="4"/>
      <c r="B271" s="31"/>
      <c r="C271" s="11" t="e">
        <f t="shared" si="8"/>
        <v>#N/A</v>
      </c>
      <c r="D271" s="5"/>
      <c r="E271" s="5"/>
      <c r="F271" s="5"/>
      <c r="G271" s="5"/>
      <c r="H271" s="5"/>
      <c r="I271" s="5"/>
      <c r="J271" s="5"/>
      <c r="K271" s="5"/>
      <c r="L271" s="5"/>
      <c r="M271" s="5"/>
      <c r="N271" s="5"/>
      <c r="O271" s="5"/>
      <c r="P271" s="5"/>
      <c r="Q271" s="5"/>
      <c r="X271" t="str">
        <f t="shared" si="9"/>
        <v/>
      </c>
    </row>
    <row r="272" spans="1:24">
      <c r="A272" s="4"/>
      <c r="B272" s="31"/>
      <c r="C272" s="11" t="e">
        <f t="shared" si="8"/>
        <v>#N/A</v>
      </c>
      <c r="D272" s="5"/>
      <c r="E272" s="5"/>
      <c r="F272" s="5"/>
      <c r="G272" s="5"/>
      <c r="H272" s="5"/>
      <c r="I272" s="5"/>
      <c r="J272" s="5"/>
      <c r="K272" s="5"/>
      <c r="L272" s="5"/>
      <c r="M272" s="5"/>
      <c r="N272" s="5"/>
      <c r="O272" s="5"/>
      <c r="P272" s="5"/>
      <c r="Q272" s="5"/>
      <c r="X272" t="str">
        <f t="shared" si="9"/>
        <v/>
      </c>
    </row>
    <row r="273" spans="1:24">
      <c r="A273" s="4"/>
      <c r="B273" s="31"/>
      <c r="C273" s="11" t="e">
        <f t="shared" si="8"/>
        <v>#N/A</v>
      </c>
      <c r="D273" s="5"/>
      <c r="E273" s="5"/>
      <c r="F273" s="5"/>
      <c r="G273" s="5"/>
      <c r="H273" s="5"/>
      <c r="I273" s="5"/>
      <c r="J273" s="5"/>
      <c r="K273" s="5"/>
      <c r="L273" s="5"/>
      <c r="M273" s="5"/>
      <c r="N273" s="5"/>
      <c r="O273" s="5"/>
      <c r="P273" s="5"/>
      <c r="Q273" s="5"/>
      <c r="X273" t="str">
        <f t="shared" si="9"/>
        <v/>
      </c>
    </row>
    <row r="274" spans="1:24">
      <c r="A274" s="4"/>
      <c r="B274" s="31"/>
      <c r="C274" s="11" t="e">
        <f t="shared" si="8"/>
        <v>#N/A</v>
      </c>
      <c r="D274" s="5"/>
      <c r="E274" s="5"/>
      <c r="F274" s="5"/>
      <c r="G274" s="5"/>
      <c r="H274" s="5"/>
      <c r="I274" s="5"/>
      <c r="J274" s="5"/>
      <c r="K274" s="5"/>
      <c r="L274" s="5"/>
      <c r="M274" s="5"/>
      <c r="N274" s="5"/>
      <c r="O274" s="5"/>
      <c r="P274" s="5"/>
      <c r="Q274" s="5"/>
      <c r="X274" t="str">
        <f t="shared" si="9"/>
        <v/>
      </c>
    </row>
    <row r="275" spans="1:24">
      <c r="A275" s="4"/>
      <c r="B275" s="31"/>
      <c r="C275" s="11" t="e">
        <f t="shared" si="8"/>
        <v>#N/A</v>
      </c>
      <c r="D275" s="5"/>
      <c r="E275" s="5"/>
      <c r="F275" s="5"/>
      <c r="G275" s="5"/>
      <c r="H275" s="5"/>
      <c r="I275" s="5"/>
      <c r="J275" s="5"/>
      <c r="K275" s="5"/>
      <c r="L275" s="5"/>
      <c r="M275" s="5"/>
      <c r="N275" s="5"/>
      <c r="O275" s="5"/>
      <c r="P275" s="5"/>
      <c r="Q275" s="5"/>
      <c r="X275" t="str">
        <f t="shared" si="9"/>
        <v/>
      </c>
    </row>
    <row r="276" spans="1:24">
      <c r="A276" s="4"/>
      <c r="B276" s="31"/>
      <c r="C276" s="11" t="e">
        <f t="shared" si="8"/>
        <v>#N/A</v>
      </c>
      <c r="D276" s="5"/>
      <c r="E276" s="5"/>
      <c r="F276" s="5"/>
      <c r="G276" s="5"/>
      <c r="H276" s="5"/>
      <c r="I276" s="5"/>
      <c r="J276" s="5"/>
      <c r="K276" s="5"/>
      <c r="L276" s="5"/>
      <c r="M276" s="5"/>
      <c r="N276" s="5"/>
      <c r="O276" s="5"/>
      <c r="P276" s="5"/>
      <c r="Q276" s="5"/>
      <c r="X276" t="str">
        <f t="shared" si="9"/>
        <v/>
      </c>
    </row>
    <row r="277" spans="1:24">
      <c r="A277" s="4"/>
      <c r="B277" s="31"/>
      <c r="C277" s="11" t="e">
        <f t="shared" si="8"/>
        <v>#N/A</v>
      </c>
      <c r="D277" s="5"/>
      <c r="E277" s="5"/>
      <c r="F277" s="5"/>
      <c r="G277" s="5"/>
      <c r="H277" s="5"/>
      <c r="I277" s="5"/>
      <c r="J277" s="5"/>
      <c r="K277" s="5"/>
      <c r="L277" s="5"/>
      <c r="M277" s="5"/>
      <c r="N277" s="5"/>
      <c r="O277" s="5"/>
      <c r="P277" s="5"/>
      <c r="Q277" s="5"/>
      <c r="X277" t="str">
        <f t="shared" si="9"/>
        <v/>
      </c>
    </row>
    <row r="278" spans="1:24">
      <c r="A278" s="4"/>
      <c r="B278" s="31"/>
      <c r="C278" s="11" t="e">
        <f t="shared" si="8"/>
        <v>#N/A</v>
      </c>
      <c r="D278" s="5"/>
      <c r="E278" s="5"/>
      <c r="F278" s="5"/>
      <c r="G278" s="5"/>
      <c r="H278" s="5"/>
      <c r="I278" s="5"/>
      <c r="J278" s="5"/>
      <c r="K278" s="5"/>
      <c r="L278" s="5"/>
      <c r="M278" s="5"/>
      <c r="N278" s="5"/>
      <c r="O278" s="5"/>
      <c r="P278" s="5"/>
      <c r="Q278" s="5"/>
      <c r="X278" t="str">
        <f t="shared" si="9"/>
        <v/>
      </c>
    </row>
    <row r="279" spans="1:24">
      <c r="A279" s="4"/>
      <c r="B279" s="31"/>
      <c r="C279" s="11" t="e">
        <f t="shared" si="8"/>
        <v>#N/A</v>
      </c>
      <c r="D279" s="5"/>
      <c r="E279" s="5"/>
      <c r="F279" s="5"/>
      <c r="G279" s="5"/>
      <c r="H279" s="5"/>
      <c r="I279" s="5"/>
      <c r="J279" s="5"/>
      <c r="K279" s="5"/>
      <c r="L279" s="5"/>
      <c r="M279" s="5"/>
      <c r="N279" s="5"/>
      <c r="O279" s="5"/>
      <c r="P279" s="5"/>
      <c r="Q279" s="5"/>
      <c r="X279" t="str">
        <f t="shared" si="9"/>
        <v/>
      </c>
    </row>
    <row r="280" spans="1:24">
      <c r="A280" s="4"/>
      <c r="B280" s="31"/>
      <c r="C280" s="11" t="e">
        <f t="shared" si="8"/>
        <v>#N/A</v>
      </c>
      <c r="D280" s="5"/>
      <c r="E280" s="5"/>
      <c r="F280" s="5"/>
      <c r="G280" s="5"/>
      <c r="H280" s="5"/>
      <c r="I280" s="5"/>
      <c r="J280" s="5"/>
      <c r="K280" s="5"/>
      <c r="L280" s="5"/>
      <c r="M280" s="5"/>
      <c r="N280" s="5"/>
      <c r="O280" s="5"/>
      <c r="P280" s="5"/>
      <c r="Q280" s="5"/>
      <c r="X280" t="str">
        <f t="shared" si="9"/>
        <v/>
      </c>
    </row>
    <row r="281" spans="1:24">
      <c r="A281" s="4"/>
      <c r="B281" s="31"/>
      <c r="C281" s="11" t="e">
        <f t="shared" si="8"/>
        <v>#N/A</v>
      </c>
      <c r="D281" s="5"/>
      <c r="E281" s="5"/>
      <c r="F281" s="5"/>
      <c r="G281" s="5"/>
      <c r="H281" s="5"/>
      <c r="I281" s="5"/>
      <c r="J281" s="5"/>
      <c r="K281" s="5"/>
      <c r="L281" s="5"/>
      <c r="M281" s="5"/>
      <c r="N281" s="5"/>
      <c r="O281" s="5"/>
      <c r="P281" s="5"/>
      <c r="Q281" s="5"/>
      <c r="X281" t="str">
        <f t="shared" si="9"/>
        <v/>
      </c>
    </row>
    <row r="282" spans="1:24">
      <c r="A282" s="4"/>
      <c r="B282" s="31"/>
      <c r="C282" s="11" t="e">
        <f t="shared" si="8"/>
        <v>#N/A</v>
      </c>
      <c r="D282" s="5"/>
      <c r="E282" s="5"/>
      <c r="F282" s="5"/>
      <c r="G282" s="5"/>
      <c r="H282" s="5"/>
      <c r="I282" s="5"/>
      <c r="J282" s="5"/>
      <c r="K282" s="5"/>
      <c r="L282" s="5"/>
      <c r="M282" s="5"/>
      <c r="N282" s="5"/>
      <c r="O282" s="5"/>
      <c r="P282" s="5"/>
      <c r="Q282" s="5"/>
      <c r="X282" t="str">
        <f t="shared" si="9"/>
        <v/>
      </c>
    </row>
    <row r="283" spans="1:24">
      <c r="A283" s="4"/>
      <c r="B283" s="31"/>
      <c r="C283" s="11" t="e">
        <f t="shared" si="8"/>
        <v>#N/A</v>
      </c>
      <c r="D283" s="5"/>
      <c r="E283" s="5"/>
      <c r="F283" s="5"/>
      <c r="G283" s="5"/>
      <c r="H283" s="5"/>
      <c r="I283" s="5"/>
      <c r="J283" s="5"/>
      <c r="K283" s="5"/>
      <c r="L283" s="5"/>
      <c r="M283" s="5"/>
      <c r="N283" s="5"/>
      <c r="O283" s="5"/>
      <c r="P283" s="5"/>
      <c r="Q283" s="5"/>
      <c r="X283" t="str">
        <f t="shared" si="9"/>
        <v/>
      </c>
    </row>
    <row r="284" spans="1:24">
      <c r="A284" s="4"/>
      <c r="B284" s="31"/>
      <c r="C284" s="11" t="e">
        <f t="shared" si="8"/>
        <v>#N/A</v>
      </c>
      <c r="D284" s="5"/>
      <c r="E284" s="5"/>
      <c r="F284" s="5"/>
      <c r="G284" s="5"/>
      <c r="H284" s="5"/>
      <c r="I284" s="5"/>
      <c r="J284" s="5"/>
      <c r="K284" s="5"/>
      <c r="L284" s="5"/>
      <c r="M284" s="5"/>
      <c r="N284" s="5"/>
      <c r="O284" s="5"/>
      <c r="P284" s="5"/>
      <c r="Q284" s="5"/>
      <c r="X284" t="str">
        <f t="shared" si="9"/>
        <v/>
      </c>
    </row>
    <row r="285" spans="1:24">
      <c r="A285" s="4"/>
      <c r="B285" s="31"/>
      <c r="C285" s="11" t="e">
        <f t="shared" si="8"/>
        <v>#N/A</v>
      </c>
      <c r="D285" s="5"/>
      <c r="E285" s="5"/>
      <c r="F285" s="5"/>
      <c r="G285" s="5"/>
      <c r="H285" s="5"/>
      <c r="I285" s="5"/>
      <c r="J285" s="5"/>
      <c r="K285" s="5"/>
      <c r="L285" s="5"/>
      <c r="M285" s="5"/>
      <c r="N285" s="5"/>
      <c r="O285" s="5"/>
      <c r="P285" s="5"/>
      <c r="Q285" s="5"/>
      <c r="X285" t="str">
        <f t="shared" si="9"/>
        <v/>
      </c>
    </row>
    <row r="286" spans="1:24">
      <c r="A286" s="4"/>
      <c r="B286" s="31"/>
      <c r="C286" s="11" t="e">
        <f t="shared" si="8"/>
        <v>#N/A</v>
      </c>
      <c r="D286" s="5"/>
      <c r="E286" s="5"/>
      <c r="F286" s="5"/>
      <c r="G286" s="5"/>
      <c r="H286" s="5"/>
      <c r="I286" s="5"/>
      <c r="J286" s="5"/>
      <c r="K286" s="5"/>
      <c r="L286" s="5"/>
      <c r="M286" s="5"/>
      <c r="N286" s="5"/>
      <c r="O286" s="5"/>
      <c r="P286" s="5"/>
      <c r="Q286" s="5"/>
      <c r="X286" t="str">
        <f t="shared" si="9"/>
        <v/>
      </c>
    </row>
    <row r="287" spans="1:24">
      <c r="A287" s="4"/>
      <c r="B287" s="31"/>
      <c r="C287" s="11" t="e">
        <f t="shared" si="8"/>
        <v>#N/A</v>
      </c>
      <c r="D287" s="5"/>
      <c r="E287" s="5"/>
      <c r="F287" s="5"/>
      <c r="G287" s="5"/>
      <c r="H287" s="5"/>
      <c r="I287" s="5"/>
      <c r="J287" s="5"/>
      <c r="K287" s="5"/>
      <c r="L287" s="5"/>
      <c r="M287" s="5"/>
      <c r="N287" s="5"/>
      <c r="O287" s="5"/>
      <c r="P287" s="5"/>
      <c r="Q287" s="5"/>
      <c r="X287" t="str">
        <f t="shared" si="9"/>
        <v/>
      </c>
    </row>
    <row r="288" spans="1:24">
      <c r="A288" s="4"/>
      <c r="B288" s="31"/>
      <c r="C288" s="11" t="e">
        <f t="shared" si="8"/>
        <v>#N/A</v>
      </c>
      <c r="D288" s="5"/>
      <c r="E288" s="5"/>
      <c r="F288" s="5"/>
      <c r="G288" s="5"/>
      <c r="H288" s="5"/>
      <c r="I288" s="5"/>
      <c r="J288" s="5"/>
      <c r="K288" s="5"/>
      <c r="L288" s="5"/>
      <c r="M288" s="5"/>
      <c r="N288" s="5"/>
      <c r="O288" s="5"/>
      <c r="P288" s="5"/>
      <c r="Q288" s="5"/>
      <c r="X288" t="str">
        <f t="shared" si="9"/>
        <v/>
      </c>
    </row>
    <row r="289" spans="1:24">
      <c r="A289" s="4"/>
      <c r="B289" s="31"/>
      <c r="C289" s="11" t="e">
        <f t="shared" si="8"/>
        <v>#N/A</v>
      </c>
      <c r="D289" s="5"/>
      <c r="E289" s="5"/>
      <c r="F289" s="5"/>
      <c r="G289" s="5"/>
      <c r="H289" s="5"/>
      <c r="I289" s="5"/>
      <c r="J289" s="5"/>
      <c r="K289" s="5"/>
      <c r="L289" s="5"/>
      <c r="M289" s="5"/>
      <c r="N289" s="5"/>
      <c r="O289" s="5"/>
      <c r="P289" s="5"/>
      <c r="Q289" s="5"/>
      <c r="X289" t="str">
        <f t="shared" si="9"/>
        <v/>
      </c>
    </row>
    <row r="290" spans="1:24">
      <c r="A290" s="4"/>
      <c r="B290" s="31"/>
      <c r="C290" s="11" t="e">
        <f t="shared" si="8"/>
        <v>#N/A</v>
      </c>
      <c r="D290" s="5"/>
      <c r="E290" s="5"/>
      <c r="F290" s="5"/>
      <c r="G290" s="5"/>
      <c r="H290" s="5"/>
      <c r="I290" s="5"/>
      <c r="J290" s="5"/>
      <c r="K290" s="5"/>
      <c r="L290" s="5"/>
      <c r="M290" s="5"/>
      <c r="N290" s="5"/>
      <c r="O290" s="5"/>
      <c r="P290" s="5"/>
      <c r="Q290" s="5"/>
      <c r="X290" t="str">
        <f t="shared" si="9"/>
        <v/>
      </c>
    </row>
    <row r="291" spans="1:24">
      <c r="A291" s="4"/>
      <c r="B291" s="31"/>
      <c r="C291" s="11" t="e">
        <f t="shared" si="8"/>
        <v>#N/A</v>
      </c>
      <c r="D291" s="5"/>
      <c r="E291" s="5"/>
      <c r="F291" s="5"/>
      <c r="G291" s="5"/>
      <c r="H291" s="5"/>
      <c r="I291" s="5"/>
      <c r="J291" s="5"/>
      <c r="K291" s="5"/>
      <c r="L291" s="5"/>
      <c r="M291" s="5"/>
      <c r="N291" s="5"/>
      <c r="O291" s="5"/>
      <c r="P291" s="5"/>
      <c r="Q291" s="5"/>
      <c r="X291" t="str">
        <f t="shared" si="9"/>
        <v/>
      </c>
    </row>
    <row r="292" spans="1:24">
      <c r="A292" s="4"/>
      <c r="B292" s="31"/>
      <c r="C292" s="11" t="e">
        <f t="shared" si="8"/>
        <v>#N/A</v>
      </c>
      <c r="D292" s="5"/>
      <c r="E292" s="5"/>
      <c r="F292" s="5"/>
      <c r="G292" s="5"/>
      <c r="H292" s="5"/>
      <c r="I292" s="5"/>
      <c r="J292" s="5"/>
      <c r="K292" s="5"/>
      <c r="L292" s="5"/>
      <c r="M292" s="5"/>
      <c r="N292" s="5"/>
      <c r="O292" s="5"/>
      <c r="P292" s="5"/>
      <c r="Q292" s="5"/>
      <c r="X292" t="str">
        <f t="shared" si="9"/>
        <v/>
      </c>
    </row>
    <row r="293" spans="1:24">
      <c r="A293" s="4"/>
      <c r="B293" s="31"/>
      <c r="C293" s="11" t="e">
        <f t="shared" si="8"/>
        <v>#N/A</v>
      </c>
      <c r="D293" s="5"/>
      <c r="E293" s="5"/>
      <c r="F293" s="5"/>
      <c r="G293" s="5"/>
      <c r="H293" s="5"/>
      <c r="I293" s="5"/>
      <c r="J293" s="5"/>
      <c r="K293" s="5"/>
      <c r="L293" s="5"/>
      <c r="M293" s="5"/>
      <c r="N293" s="5"/>
      <c r="O293" s="5"/>
      <c r="P293" s="5"/>
      <c r="Q293" s="5"/>
      <c r="X293" t="str">
        <f t="shared" si="9"/>
        <v/>
      </c>
    </row>
    <row r="294" spans="1:24">
      <c r="A294" s="4"/>
      <c r="B294" s="31"/>
      <c r="C294" s="11" t="e">
        <f t="shared" si="8"/>
        <v>#N/A</v>
      </c>
      <c r="D294" s="5"/>
      <c r="E294" s="5"/>
      <c r="F294" s="5"/>
      <c r="G294" s="5"/>
      <c r="H294" s="5"/>
      <c r="I294" s="5"/>
      <c r="J294" s="5"/>
      <c r="K294" s="5"/>
      <c r="L294" s="5"/>
      <c r="M294" s="5"/>
      <c r="N294" s="5"/>
      <c r="O294" s="5"/>
      <c r="P294" s="5"/>
      <c r="Q294" s="5"/>
      <c r="X294" t="str">
        <f t="shared" si="9"/>
        <v/>
      </c>
    </row>
    <row r="295" spans="1:24">
      <c r="A295" s="4"/>
      <c r="B295" s="31"/>
      <c r="C295" s="11" t="e">
        <f t="shared" si="8"/>
        <v>#N/A</v>
      </c>
      <c r="D295" s="5"/>
      <c r="E295" s="5"/>
      <c r="F295" s="5"/>
      <c r="G295" s="5"/>
      <c r="H295" s="5"/>
      <c r="I295" s="5"/>
      <c r="J295" s="5"/>
      <c r="K295" s="5"/>
      <c r="L295" s="5"/>
      <c r="M295" s="5"/>
      <c r="N295" s="5"/>
      <c r="O295" s="5"/>
      <c r="P295" s="5"/>
      <c r="Q295" s="5"/>
      <c r="X295" t="str">
        <f t="shared" si="9"/>
        <v/>
      </c>
    </row>
    <row r="296" spans="1:24">
      <c r="A296" s="4"/>
      <c r="B296" s="31"/>
      <c r="C296" s="11" t="e">
        <f t="shared" si="8"/>
        <v>#N/A</v>
      </c>
      <c r="D296" s="5"/>
      <c r="E296" s="5"/>
      <c r="F296" s="5"/>
      <c r="G296" s="5"/>
      <c r="H296" s="5"/>
      <c r="I296" s="5"/>
      <c r="J296" s="5"/>
      <c r="K296" s="5"/>
      <c r="L296" s="5"/>
      <c r="M296" s="5"/>
      <c r="N296" s="5"/>
      <c r="O296" s="5"/>
      <c r="P296" s="5"/>
      <c r="Q296" s="5"/>
      <c r="X296" t="str">
        <f t="shared" si="9"/>
        <v/>
      </c>
    </row>
    <row r="297" spans="1:24">
      <c r="A297" s="4"/>
      <c r="B297" s="31"/>
      <c r="C297" s="11" t="e">
        <f t="shared" si="8"/>
        <v>#N/A</v>
      </c>
      <c r="D297" s="5"/>
      <c r="E297" s="5"/>
      <c r="F297" s="5"/>
      <c r="G297" s="5"/>
      <c r="H297" s="5"/>
      <c r="I297" s="5"/>
      <c r="J297" s="5"/>
      <c r="K297" s="5"/>
      <c r="L297" s="5"/>
      <c r="M297" s="5"/>
      <c r="N297" s="5"/>
      <c r="O297" s="5"/>
      <c r="P297" s="5"/>
      <c r="Q297" s="5"/>
      <c r="X297" t="str">
        <f t="shared" si="9"/>
        <v/>
      </c>
    </row>
    <row r="298" spans="1:24">
      <c r="A298" s="4"/>
      <c r="B298" s="31"/>
      <c r="C298" s="11" t="e">
        <f t="shared" si="8"/>
        <v>#N/A</v>
      </c>
      <c r="D298" s="5"/>
      <c r="E298" s="5"/>
      <c r="F298" s="5"/>
      <c r="G298" s="5"/>
      <c r="H298" s="5"/>
      <c r="I298" s="5"/>
      <c r="J298" s="5"/>
      <c r="K298" s="5"/>
      <c r="L298" s="5"/>
      <c r="M298" s="5"/>
      <c r="N298" s="5"/>
      <c r="O298" s="5"/>
      <c r="P298" s="5"/>
      <c r="Q298" s="5"/>
      <c r="X298" t="str">
        <f t="shared" si="9"/>
        <v/>
      </c>
    </row>
    <row r="299" spans="1:24">
      <c r="A299" s="4"/>
      <c r="B299" s="31"/>
      <c r="C299" s="11" t="e">
        <f t="shared" si="8"/>
        <v>#N/A</v>
      </c>
      <c r="D299" s="5"/>
      <c r="E299" s="5"/>
      <c r="F299" s="5"/>
      <c r="G299" s="5"/>
      <c r="H299" s="5"/>
      <c r="I299" s="5"/>
      <c r="J299" s="5"/>
      <c r="K299" s="5"/>
      <c r="L299" s="5"/>
      <c r="M299" s="5"/>
      <c r="N299" s="5"/>
      <c r="O299" s="5"/>
      <c r="P299" s="5"/>
      <c r="Q299" s="5"/>
      <c r="X299" t="str">
        <f t="shared" si="9"/>
        <v/>
      </c>
    </row>
    <row r="300" spans="1:24">
      <c r="A300" s="4"/>
      <c r="B300" s="31"/>
      <c r="C300" s="11" t="e">
        <f t="shared" si="8"/>
        <v>#N/A</v>
      </c>
      <c r="D300" s="5"/>
      <c r="E300" s="5"/>
      <c r="F300" s="5"/>
      <c r="G300" s="5"/>
      <c r="H300" s="5"/>
      <c r="I300" s="5"/>
      <c r="J300" s="5"/>
      <c r="K300" s="5"/>
      <c r="L300" s="5"/>
      <c r="M300" s="5"/>
      <c r="N300" s="5"/>
      <c r="O300" s="5"/>
      <c r="P300" s="5"/>
      <c r="Q300" s="5"/>
      <c r="X300" t="str">
        <f t="shared" si="9"/>
        <v/>
      </c>
    </row>
    <row r="301" spans="1:24">
      <c r="A301" s="4"/>
      <c r="B301" s="31"/>
      <c r="C301" s="11" t="e">
        <f t="shared" si="8"/>
        <v>#N/A</v>
      </c>
      <c r="D301" s="5"/>
      <c r="E301" s="5"/>
      <c r="F301" s="5"/>
      <c r="G301" s="5"/>
      <c r="H301" s="5"/>
      <c r="I301" s="5"/>
      <c r="J301" s="5"/>
      <c r="K301" s="5"/>
      <c r="L301" s="5"/>
      <c r="M301" s="5"/>
      <c r="N301" s="5"/>
      <c r="O301" s="5"/>
      <c r="P301" s="5"/>
      <c r="Q301" s="5"/>
      <c r="X301" t="str">
        <f t="shared" si="9"/>
        <v/>
      </c>
    </row>
    <row r="302" spans="1:24">
      <c r="A302" s="4"/>
      <c r="B302" s="31"/>
      <c r="C302" s="11" t="e">
        <f t="shared" si="8"/>
        <v>#N/A</v>
      </c>
      <c r="D302" s="5"/>
      <c r="E302" s="5"/>
      <c r="F302" s="5"/>
      <c r="G302" s="5"/>
      <c r="H302" s="5"/>
      <c r="I302" s="5"/>
      <c r="J302" s="5"/>
      <c r="K302" s="5"/>
      <c r="L302" s="5"/>
      <c r="M302" s="5"/>
      <c r="N302" s="5"/>
      <c r="O302" s="5"/>
      <c r="P302" s="5"/>
      <c r="Q302" s="5"/>
      <c r="X302" t="str">
        <f t="shared" si="9"/>
        <v/>
      </c>
    </row>
    <row r="303" spans="1:24">
      <c r="A303" s="4"/>
      <c r="B303" s="31"/>
      <c r="C303" s="11" t="e">
        <f t="shared" si="8"/>
        <v>#N/A</v>
      </c>
      <c r="D303" s="5"/>
      <c r="E303" s="5"/>
      <c r="F303" s="5"/>
      <c r="G303" s="5"/>
      <c r="H303" s="5"/>
      <c r="I303" s="5"/>
      <c r="J303" s="5"/>
      <c r="K303" s="5"/>
      <c r="L303" s="5"/>
      <c r="M303" s="5"/>
      <c r="N303" s="5"/>
      <c r="O303" s="5"/>
      <c r="P303" s="5"/>
      <c r="Q303" s="5"/>
      <c r="X303" t="str">
        <f t="shared" si="9"/>
        <v/>
      </c>
    </row>
    <row r="304" spans="1:24">
      <c r="A304" s="4"/>
      <c r="B304" s="31"/>
      <c r="C304" s="11" t="e">
        <f t="shared" si="8"/>
        <v>#N/A</v>
      </c>
      <c r="D304" s="5"/>
      <c r="E304" s="5"/>
      <c r="F304" s="5"/>
      <c r="G304" s="5"/>
      <c r="H304" s="5"/>
      <c r="I304" s="5"/>
      <c r="J304" s="5"/>
      <c r="K304" s="5"/>
      <c r="L304" s="5"/>
      <c r="M304" s="5"/>
      <c r="N304" s="5"/>
      <c r="O304" s="5"/>
      <c r="P304" s="5"/>
      <c r="Q304" s="5"/>
      <c r="X304" t="str">
        <f t="shared" si="9"/>
        <v/>
      </c>
    </row>
    <row r="305" spans="1:24">
      <c r="A305" s="4"/>
      <c r="B305" s="31"/>
      <c r="C305" s="11" t="e">
        <f t="shared" si="8"/>
        <v>#N/A</v>
      </c>
      <c r="D305" s="5"/>
      <c r="E305" s="5"/>
      <c r="F305" s="5"/>
      <c r="G305" s="5"/>
      <c r="H305" s="5"/>
      <c r="I305" s="5"/>
      <c r="J305" s="5"/>
      <c r="K305" s="5"/>
      <c r="L305" s="5"/>
      <c r="M305" s="5"/>
      <c r="N305" s="5"/>
      <c r="O305" s="5"/>
      <c r="P305" s="5"/>
      <c r="Q305" s="5"/>
      <c r="X305" t="str">
        <f t="shared" si="9"/>
        <v/>
      </c>
    </row>
    <row r="306" spans="1:24">
      <c r="A306" s="4"/>
      <c r="B306" s="31"/>
      <c r="C306" s="11" t="e">
        <f t="shared" si="8"/>
        <v>#N/A</v>
      </c>
      <c r="D306" s="5"/>
      <c r="E306" s="5"/>
      <c r="F306" s="5"/>
      <c r="G306" s="5"/>
      <c r="H306" s="5"/>
      <c r="I306" s="5"/>
      <c r="J306" s="5"/>
      <c r="K306" s="5"/>
      <c r="L306" s="5"/>
      <c r="M306" s="5"/>
      <c r="N306" s="5"/>
      <c r="O306" s="5"/>
      <c r="P306" s="5"/>
      <c r="Q306" s="5"/>
      <c r="X306" t="str">
        <f t="shared" si="9"/>
        <v/>
      </c>
    </row>
    <row r="307" spans="1:24">
      <c r="A307" s="4"/>
      <c r="B307" s="31"/>
      <c r="C307" s="11" t="e">
        <f t="shared" si="8"/>
        <v>#N/A</v>
      </c>
      <c r="D307" s="5"/>
      <c r="E307" s="5"/>
      <c r="F307" s="5"/>
      <c r="G307" s="5"/>
      <c r="H307" s="5"/>
      <c r="I307" s="5"/>
      <c r="J307" s="5"/>
      <c r="K307" s="5"/>
      <c r="L307" s="5"/>
      <c r="M307" s="5"/>
      <c r="N307" s="5"/>
      <c r="O307" s="5"/>
      <c r="P307" s="5"/>
      <c r="Q307" s="5"/>
      <c r="X307" t="str">
        <f t="shared" si="9"/>
        <v/>
      </c>
    </row>
    <row r="308" spans="1:24">
      <c r="A308" s="4"/>
      <c r="B308" s="31"/>
      <c r="C308" s="11" t="e">
        <f t="shared" si="8"/>
        <v>#N/A</v>
      </c>
      <c r="D308" s="5"/>
      <c r="E308" s="5"/>
      <c r="F308" s="5"/>
      <c r="G308" s="5"/>
      <c r="H308" s="5"/>
      <c r="I308" s="5"/>
      <c r="J308" s="5"/>
      <c r="K308" s="5"/>
      <c r="L308" s="5"/>
      <c r="M308" s="5"/>
      <c r="N308" s="5"/>
      <c r="O308" s="5"/>
      <c r="P308" s="5"/>
      <c r="Q308" s="5"/>
      <c r="X308" t="str">
        <f t="shared" si="9"/>
        <v/>
      </c>
    </row>
    <row r="309" spans="1:24">
      <c r="A309" s="4"/>
      <c r="B309" s="31"/>
      <c r="C309" s="11" t="e">
        <f t="shared" si="8"/>
        <v>#N/A</v>
      </c>
      <c r="D309" s="5"/>
      <c r="E309" s="5"/>
      <c r="F309" s="5"/>
      <c r="G309" s="5"/>
      <c r="H309" s="5"/>
      <c r="I309" s="5"/>
      <c r="J309" s="5"/>
      <c r="K309" s="5"/>
      <c r="L309" s="5"/>
      <c r="M309" s="5"/>
      <c r="N309" s="5"/>
      <c r="O309" s="5"/>
      <c r="P309" s="5"/>
      <c r="Q309" s="5"/>
      <c r="X309" t="str">
        <f t="shared" si="9"/>
        <v/>
      </c>
    </row>
    <row r="310" spans="1:24">
      <c r="A310" s="4"/>
      <c r="B310" s="31"/>
      <c r="C310" s="11" t="e">
        <f t="shared" si="8"/>
        <v>#N/A</v>
      </c>
      <c r="D310" s="5"/>
      <c r="E310" s="5"/>
      <c r="F310" s="5"/>
      <c r="G310" s="5"/>
      <c r="H310" s="5"/>
      <c r="I310" s="5"/>
      <c r="J310" s="5"/>
      <c r="K310" s="5"/>
      <c r="L310" s="5"/>
      <c r="M310" s="5"/>
      <c r="N310" s="5"/>
      <c r="O310" s="5"/>
      <c r="P310" s="5"/>
      <c r="Q310" s="5"/>
      <c r="X310" t="str">
        <f t="shared" si="9"/>
        <v/>
      </c>
    </row>
    <row r="311" spans="1:24">
      <c r="A311" s="4"/>
      <c r="B311" s="31"/>
      <c r="C311" s="11" t="e">
        <f t="shared" si="8"/>
        <v>#N/A</v>
      </c>
      <c r="D311" s="5"/>
      <c r="E311" s="5"/>
      <c r="F311" s="5"/>
      <c r="G311" s="5"/>
      <c r="H311" s="5"/>
      <c r="I311" s="5"/>
      <c r="J311" s="5"/>
      <c r="K311" s="5"/>
      <c r="L311" s="5"/>
      <c r="M311" s="5"/>
      <c r="N311" s="5"/>
      <c r="O311" s="5"/>
      <c r="P311" s="5"/>
      <c r="Q311" s="5"/>
      <c r="X311" t="str">
        <f t="shared" si="9"/>
        <v/>
      </c>
    </row>
    <row r="312" spans="1:24">
      <c r="A312" s="4"/>
      <c r="B312" s="31"/>
      <c r="C312" s="11" t="e">
        <f t="shared" si="8"/>
        <v>#N/A</v>
      </c>
      <c r="D312" s="5"/>
      <c r="E312" s="5"/>
      <c r="F312" s="5"/>
      <c r="G312" s="5"/>
      <c r="H312" s="5"/>
      <c r="I312" s="5"/>
      <c r="J312" s="5"/>
      <c r="K312" s="5"/>
      <c r="L312" s="5"/>
      <c r="M312" s="5"/>
      <c r="N312" s="5"/>
      <c r="O312" s="5"/>
      <c r="P312" s="5"/>
      <c r="Q312" s="5"/>
      <c r="X312" t="str">
        <f t="shared" si="9"/>
        <v/>
      </c>
    </row>
    <row r="313" spans="1:24">
      <c r="A313" s="4"/>
      <c r="B313" s="31"/>
      <c r="C313" s="11" t="e">
        <f t="shared" si="8"/>
        <v>#N/A</v>
      </c>
      <c r="D313" s="5"/>
      <c r="E313" s="5"/>
      <c r="F313" s="5"/>
      <c r="G313" s="5"/>
      <c r="H313" s="5"/>
      <c r="I313" s="5"/>
      <c r="J313" s="5"/>
      <c r="K313" s="5"/>
      <c r="L313" s="5"/>
      <c r="M313" s="5"/>
      <c r="N313" s="5"/>
      <c r="O313" s="5"/>
      <c r="P313" s="5"/>
      <c r="Q313" s="5"/>
      <c r="X313" t="str">
        <f t="shared" si="9"/>
        <v/>
      </c>
    </row>
    <row r="314" spans="1:24">
      <c r="A314" s="4"/>
      <c r="B314" s="31"/>
      <c r="C314" s="11" t="e">
        <f t="shared" si="8"/>
        <v>#N/A</v>
      </c>
      <c r="D314" s="5"/>
      <c r="E314" s="5"/>
      <c r="F314" s="5"/>
      <c r="G314" s="5"/>
      <c r="H314" s="5"/>
      <c r="I314" s="5"/>
      <c r="J314" s="5"/>
      <c r="K314" s="5"/>
      <c r="L314" s="5"/>
      <c r="M314" s="5"/>
      <c r="N314" s="5"/>
      <c r="O314" s="5"/>
      <c r="P314" s="5"/>
      <c r="Q314" s="5"/>
      <c r="X314" t="str">
        <f t="shared" si="9"/>
        <v/>
      </c>
    </row>
    <row r="315" spans="1:24">
      <c r="A315" s="4"/>
      <c r="B315" s="31"/>
      <c r="C315" s="11" t="e">
        <f t="shared" si="8"/>
        <v>#N/A</v>
      </c>
      <c r="D315" s="5"/>
      <c r="E315" s="5"/>
      <c r="F315" s="5"/>
      <c r="G315" s="5"/>
      <c r="H315" s="5"/>
      <c r="I315" s="5"/>
      <c r="J315" s="5"/>
      <c r="K315" s="5"/>
      <c r="L315" s="5"/>
      <c r="M315" s="5"/>
      <c r="N315" s="5"/>
      <c r="O315" s="5"/>
      <c r="P315" s="5"/>
      <c r="Q315" s="5"/>
      <c r="X315" t="str">
        <f t="shared" si="9"/>
        <v/>
      </c>
    </row>
    <row r="316" spans="1:24">
      <c r="A316" s="4"/>
      <c r="B316" s="31"/>
      <c r="C316" s="11" t="e">
        <f t="shared" si="8"/>
        <v>#N/A</v>
      </c>
      <c r="D316" s="5"/>
      <c r="E316" s="5"/>
      <c r="F316" s="5"/>
      <c r="G316" s="5"/>
      <c r="H316" s="5"/>
      <c r="I316" s="5"/>
      <c r="J316" s="5"/>
      <c r="K316" s="5"/>
      <c r="L316" s="5"/>
      <c r="M316" s="5"/>
      <c r="N316" s="5"/>
      <c r="O316" s="5"/>
      <c r="P316" s="5"/>
      <c r="Q316" s="5"/>
      <c r="X316" t="str">
        <f t="shared" si="9"/>
        <v/>
      </c>
    </row>
    <row r="317" spans="1:24">
      <c r="A317" s="4"/>
      <c r="B317" s="31"/>
      <c r="C317" s="11" t="e">
        <f t="shared" si="8"/>
        <v>#N/A</v>
      </c>
      <c r="D317" s="5"/>
      <c r="E317" s="5"/>
      <c r="F317" s="5"/>
      <c r="G317" s="5"/>
      <c r="H317" s="5"/>
      <c r="I317" s="5"/>
      <c r="J317" s="5"/>
      <c r="K317" s="5"/>
      <c r="L317" s="5"/>
      <c r="M317" s="5"/>
      <c r="N317" s="5"/>
      <c r="O317" s="5"/>
      <c r="P317" s="5"/>
      <c r="Q317" s="5"/>
      <c r="X317" t="str">
        <f t="shared" si="9"/>
        <v/>
      </c>
    </row>
    <row r="318" spans="1:24">
      <c r="A318" s="4"/>
      <c r="B318" s="31"/>
      <c r="C318" s="11" t="e">
        <f t="shared" si="8"/>
        <v>#N/A</v>
      </c>
      <c r="D318" s="5"/>
      <c r="E318" s="5"/>
      <c r="F318" s="5"/>
      <c r="G318" s="5"/>
      <c r="H318" s="5"/>
      <c r="I318" s="5"/>
      <c r="J318" s="5"/>
      <c r="K318" s="5"/>
      <c r="L318" s="5"/>
      <c r="M318" s="5"/>
      <c r="N318" s="5"/>
      <c r="O318" s="5"/>
      <c r="P318" s="5"/>
      <c r="Q318" s="5"/>
      <c r="X318" t="str">
        <f t="shared" si="9"/>
        <v/>
      </c>
    </row>
    <row r="319" spans="1:24">
      <c r="A319" s="4"/>
      <c r="B319" s="31"/>
      <c r="C319" s="11" t="e">
        <f t="shared" si="8"/>
        <v>#N/A</v>
      </c>
      <c r="D319" s="5"/>
      <c r="E319" s="5"/>
      <c r="F319" s="5"/>
      <c r="G319" s="5"/>
      <c r="H319" s="5"/>
      <c r="I319" s="5"/>
      <c r="J319" s="5"/>
      <c r="K319" s="5"/>
      <c r="L319" s="5"/>
      <c r="M319" s="5"/>
      <c r="N319" s="5"/>
      <c r="O319" s="5"/>
      <c r="P319" s="5"/>
      <c r="Q319" s="5"/>
      <c r="X319" t="str">
        <f t="shared" si="9"/>
        <v/>
      </c>
    </row>
    <row r="320" spans="1:24">
      <c r="A320" s="4"/>
      <c r="B320" s="31"/>
      <c r="C320" s="11" t="e">
        <f t="shared" si="8"/>
        <v>#N/A</v>
      </c>
      <c r="D320" s="5"/>
      <c r="E320" s="5"/>
      <c r="F320" s="5"/>
      <c r="G320" s="5"/>
      <c r="H320" s="5"/>
      <c r="I320" s="5"/>
      <c r="J320" s="5"/>
      <c r="K320" s="5"/>
      <c r="L320" s="5"/>
      <c r="M320" s="5"/>
      <c r="N320" s="5"/>
      <c r="O320" s="5"/>
      <c r="P320" s="5"/>
      <c r="Q320" s="5"/>
      <c r="X320" t="str">
        <f t="shared" si="9"/>
        <v/>
      </c>
    </row>
    <row r="321" spans="1:24">
      <c r="A321" s="4"/>
      <c r="B321" s="31"/>
      <c r="C321" s="11" t="e">
        <f t="shared" si="8"/>
        <v>#N/A</v>
      </c>
      <c r="D321" s="5"/>
      <c r="E321" s="5"/>
      <c r="F321" s="5"/>
      <c r="G321" s="5"/>
      <c r="H321" s="5"/>
      <c r="I321" s="5"/>
      <c r="J321" s="5"/>
      <c r="K321" s="5"/>
      <c r="L321" s="5"/>
      <c r="M321" s="5"/>
      <c r="N321" s="5"/>
      <c r="O321" s="5"/>
      <c r="P321" s="5"/>
      <c r="Q321" s="5"/>
      <c r="X321" t="str">
        <f t="shared" si="9"/>
        <v/>
      </c>
    </row>
    <row r="322" spans="1:24">
      <c r="A322" s="4"/>
      <c r="B322" s="31"/>
      <c r="C322" s="11" t="e">
        <f t="shared" si="8"/>
        <v>#N/A</v>
      </c>
      <c r="D322" s="5"/>
      <c r="E322" s="5"/>
      <c r="F322" s="5"/>
      <c r="G322" s="5"/>
      <c r="H322" s="5"/>
      <c r="I322" s="5"/>
      <c r="J322" s="5"/>
      <c r="K322" s="5"/>
      <c r="L322" s="5"/>
      <c r="M322" s="5"/>
      <c r="N322" s="5"/>
      <c r="O322" s="5"/>
      <c r="P322" s="5"/>
      <c r="Q322" s="5"/>
      <c r="X322" t="str">
        <f t="shared" si="9"/>
        <v/>
      </c>
    </row>
    <row r="323" spans="1:24">
      <c r="A323" s="4"/>
      <c r="B323" s="31"/>
      <c r="C323" s="11" t="e">
        <f t="shared" ref="C323:C386" si="10">IF(OR(ISBLANK(A323),ISBLANK(B323)),NA(),A323-B323)</f>
        <v>#N/A</v>
      </c>
      <c r="D323" s="5"/>
      <c r="E323" s="5"/>
      <c r="F323" s="5"/>
      <c r="G323" s="5"/>
      <c r="H323" s="5"/>
      <c r="I323" s="5"/>
      <c r="J323" s="5"/>
      <c r="K323" s="5"/>
      <c r="L323" s="5"/>
      <c r="M323" s="5"/>
      <c r="N323" s="5"/>
      <c r="O323" s="5"/>
      <c r="P323" s="5"/>
      <c r="Q323" s="5"/>
      <c r="X323" t="str">
        <f t="shared" ref="X323:X386" si="11">IFERROR(C323,"")</f>
        <v/>
      </c>
    </row>
    <row r="324" spans="1:24">
      <c r="A324" s="4"/>
      <c r="B324" s="31"/>
      <c r="C324" s="11" t="e">
        <f t="shared" si="10"/>
        <v>#N/A</v>
      </c>
      <c r="D324" s="5"/>
      <c r="E324" s="5"/>
      <c r="F324" s="5"/>
      <c r="G324" s="5"/>
      <c r="H324" s="5"/>
      <c r="I324" s="5"/>
      <c r="J324" s="5"/>
      <c r="K324" s="5"/>
      <c r="L324" s="5"/>
      <c r="M324" s="5"/>
      <c r="N324" s="5"/>
      <c r="O324" s="5"/>
      <c r="P324" s="5"/>
      <c r="Q324" s="5"/>
      <c r="X324" t="str">
        <f t="shared" si="11"/>
        <v/>
      </c>
    </row>
    <row r="325" spans="1:24">
      <c r="A325" s="4"/>
      <c r="B325" s="31"/>
      <c r="C325" s="11" t="e">
        <f t="shared" si="10"/>
        <v>#N/A</v>
      </c>
      <c r="D325" s="5"/>
      <c r="E325" s="5"/>
      <c r="F325" s="5"/>
      <c r="G325" s="5"/>
      <c r="H325" s="5"/>
      <c r="I325" s="5"/>
      <c r="J325" s="5"/>
      <c r="K325" s="5"/>
      <c r="L325" s="5"/>
      <c r="M325" s="5"/>
      <c r="N325" s="5"/>
      <c r="O325" s="5"/>
      <c r="P325" s="5"/>
      <c r="Q325" s="5"/>
      <c r="X325" t="str">
        <f t="shared" si="11"/>
        <v/>
      </c>
    </row>
    <row r="326" spans="1:24">
      <c r="A326" s="4"/>
      <c r="B326" s="31"/>
      <c r="C326" s="11" t="e">
        <f t="shared" si="10"/>
        <v>#N/A</v>
      </c>
      <c r="D326" s="5"/>
      <c r="E326" s="5"/>
      <c r="F326" s="5"/>
      <c r="G326" s="5"/>
      <c r="H326" s="5"/>
      <c r="I326" s="5"/>
      <c r="J326" s="5"/>
      <c r="K326" s="5"/>
      <c r="L326" s="5"/>
      <c r="M326" s="5"/>
      <c r="N326" s="5"/>
      <c r="O326" s="5"/>
      <c r="P326" s="5"/>
      <c r="Q326" s="5"/>
      <c r="X326" t="str">
        <f t="shared" si="11"/>
        <v/>
      </c>
    </row>
    <row r="327" spans="1:24">
      <c r="A327" s="4"/>
      <c r="B327" s="31"/>
      <c r="C327" s="11" t="e">
        <f t="shared" si="10"/>
        <v>#N/A</v>
      </c>
      <c r="D327" s="5"/>
      <c r="E327" s="5"/>
      <c r="F327" s="5"/>
      <c r="G327" s="5"/>
      <c r="H327" s="5"/>
      <c r="I327" s="5"/>
      <c r="J327" s="5"/>
      <c r="K327" s="5"/>
      <c r="L327" s="5"/>
      <c r="M327" s="5"/>
      <c r="N327" s="5"/>
      <c r="O327" s="5"/>
      <c r="P327" s="5"/>
      <c r="Q327" s="5"/>
      <c r="X327" t="str">
        <f t="shared" si="11"/>
        <v/>
      </c>
    </row>
    <row r="328" spans="1:24">
      <c r="A328" s="4"/>
      <c r="B328" s="31"/>
      <c r="C328" s="11" t="e">
        <f t="shared" si="10"/>
        <v>#N/A</v>
      </c>
      <c r="D328" s="5"/>
      <c r="E328" s="5"/>
      <c r="F328" s="5"/>
      <c r="G328" s="5"/>
      <c r="H328" s="5"/>
      <c r="I328" s="5"/>
      <c r="J328" s="5"/>
      <c r="K328" s="5"/>
      <c r="L328" s="5"/>
      <c r="M328" s="5"/>
      <c r="N328" s="5"/>
      <c r="O328" s="5"/>
      <c r="P328" s="5"/>
      <c r="Q328" s="5"/>
      <c r="X328" t="str">
        <f t="shared" si="11"/>
        <v/>
      </c>
    </row>
    <row r="329" spans="1:24">
      <c r="A329" s="4"/>
      <c r="B329" s="31"/>
      <c r="C329" s="11" t="e">
        <f t="shared" si="10"/>
        <v>#N/A</v>
      </c>
      <c r="D329" s="5"/>
      <c r="E329" s="5"/>
      <c r="F329" s="5"/>
      <c r="G329" s="5"/>
      <c r="H329" s="5"/>
      <c r="I329" s="5"/>
      <c r="J329" s="5"/>
      <c r="K329" s="5"/>
      <c r="L329" s="5"/>
      <c r="M329" s="5"/>
      <c r="N329" s="5"/>
      <c r="O329" s="5"/>
      <c r="P329" s="5"/>
      <c r="Q329" s="5"/>
      <c r="X329" t="str">
        <f t="shared" si="11"/>
        <v/>
      </c>
    </row>
    <row r="330" spans="1:24">
      <c r="A330" s="4"/>
      <c r="B330" s="31"/>
      <c r="C330" s="11" t="e">
        <f t="shared" si="10"/>
        <v>#N/A</v>
      </c>
      <c r="D330" s="5"/>
      <c r="E330" s="5"/>
      <c r="F330" s="5"/>
      <c r="G330" s="5"/>
      <c r="H330" s="5"/>
      <c r="I330" s="5"/>
      <c r="J330" s="5"/>
      <c r="K330" s="5"/>
      <c r="L330" s="5"/>
      <c r="M330" s="5"/>
      <c r="N330" s="5"/>
      <c r="O330" s="5"/>
      <c r="P330" s="5"/>
      <c r="Q330" s="5"/>
      <c r="X330" t="str">
        <f t="shared" si="11"/>
        <v/>
      </c>
    </row>
    <row r="331" spans="1:24">
      <c r="A331" s="4"/>
      <c r="B331" s="31"/>
      <c r="C331" s="11" t="e">
        <f t="shared" si="10"/>
        <v>#N/A</v>
      </c>
      <c r="D331" s="5"/>
      <c r="E331" s="5"/>
      <c r="F331" s="5"/>
      <c r="G331" s="5"/>
      <c r="H331" s="5"/>
      <c r="I331" s="5"/>
      <c r="J331" s="5"/>
      <c r="K331" s="5"/>
      <c r="L331" s="5"/>
      <c r="M331" s="5"/>
      <c r="N331" s="5"/>
      <c r="O331" s="5"/>
      <c r="P331" s="5"/>
      <c r="Q331" s="5"/>
      <c r="X331" t="str">
        <f t="shared" si="11"/>
        <v/>
      </c>
    </row>
    <row r="332" spans="1:24">
      <c r="A332" s="4"/>
      <c r="B332" s="31"/>
      <c r="C332" s="11" t="e">
        <f t="shared" si="10"/>
        <v>#N/A</v>
      </c>
      <c r="D332" s="5"/>
      <c r="E332" s="5"/>
      <c r="F332" s="5"/>
      <c r="G332" s="5"/>
      <c r="H332" s="5"/>
      <c r="I332" s="5"/>
      <c r="J332" s="5"/>
      <c r="K332" s="5"/>
      <c r="L332" s="5"/>
      <c r="M332" s="5"/>
      <c r="N332" s="5"/>
      <c r="O332" s="5"/>
      <c r="P332" s="5"/>
      <c r="Q332" s="5"/>
      <c r="X332" t="str">
        <f t="shared" si="11"/>
        <v/>
      </c>
    </row>
    <row r="333" spans="1:24">
      <c r="A333" s="4"/>
      <c r="B333" s="31"/>
      <c r="C333" s="11" t="e">
        <f t="shared" si="10"/>
        <v>#N/A</v>
      </c>
      <c r="D333" s="5"/>
      <c r="E333" s="5"/>
      <c r="F333" s="5"/>
      <c r="G333" s="5"/>
      <c r="H333" s="5"/>
      <c r="I333" s="5"/>
      <c r="J333" s="5"/>
      <c r="K333" s="5"/>
      <c r="L333" s="5"/>
      <c r="M333" s="5"/>
      <c r="N333" s="5"/>
      <c r="O333" s="5"/>
      <c r="P333" s="5"/>
      <c r="Q333" s="5"/>
      <c r="X333" t="str">
        <f t="shared" si="11"/>
        <v/>
      </c>
    </row>
    <row r="334" spans="1:24">
      <c r="A334" s="4"/>
      <c r="B334" s="31"/>
      <c r="C334" s="11" t="e">
        <f t="shared" si="10"/>
        <v>#N/A</v>
      </c>
      <c r="D334" s="5"/>
      <c r="E334" s="5"/>
      <c r="F334" s="5"/>
      <c r="G334" s="5"/>
      <c r="H334" s="5"/>
      <c r="I334" s="5"/>
      <c r="J334" s="5"/>
      <c r="K334" s="5"/>
      <c r="L334" s="5"/>
      <c r="M334" s="5"/>
      <c r="N334" s="5"/>
      <c r="O334" s="5"/>
      <c r="P334" s="5"/>
      <c r="Q334" s="5"/>
      <c r="X334" t="str">
        <f t="shared" si="11"/>
        <v/>
      </c>
    </row>
    <row r="335" spans="1:24">
      <c r="A335" s="4"/>
      <c r="B335" s="31"/>
      <c r="C335" s="11" t="e">
        <f t="shared" si="10"/>
        <v>#N/A</v>
      </c>
      <c r="D335" s="5"/>
      <c r="E335" s="5"/>
      <c r="F335" s="5"/>
      <c r="G335" s="5"/>
      <c r="H335" s="5"/>
      <c r="I335" s="5"/>
      <c r="J335" s="5"/>
      <c r="K335" s="5"/>
      <c r="L335" s="5"/>
      <c r="M335" s="5"/>
      <c r="N335" s="5"/>
      <c r="O335" s="5"/>
      <c r="P335" s="5"/>
      <c r="Q335" s="5"/>
      <c r="X335" t="str">
        <f t="shared" si="11"/>
        <v/>
      </c>
    </row>
    <row r="336" spans="1:24">
      <c r="A336" s="4"/>
      <c r="B336" s="31"/>
      <c r="C336" s="11" t="e">
        <f t="shared" si="10"/>
        <v>#N/A</v>
      </c>
      <c r="D336" s="5"/>
      <c r="E336" s="5"/>
      <c r="F336" s="5"/>
      <c r="G336" s="5"/>
      <c r="H336" s="5"/>
      <c r="I336" s="5"/>
      <c r="J336" s="5"/>
      <c r="K336" s="5"/>
      <c r="L336" s="5"/>
      <c r="M336" s="5"/>
      <c r="N336" s="5"/>
      <c r="O336" s="5"/>
      <c r="P336" s="5"/>
      <c r="Q336" s="5"/>
      <c r="X336" t="str">
        <f t="shared" si="11"/>
        <v/>
      </c>
    </row>
    <row r="337" spans="1:24">
      <c r="A337" s="4"/>
      <c r="B337" s="31"/>
      <c r="C337" s="11" t="e">
        <f t="shared" si="10"/>
        <v>#N/A</v>
      </c>
      <c r="D337" s="5"/>
      <c r="E337" s="5"/>
      <c r="F337" s="5"/>
      <c r="G337" s="5"/>
      <c r="H337" s="5"/>
      <c r="I337" s="5"/>
      <c r="J337" s="5"/>
      <c r="K337" s="5"/>
      <c r="L337" s="5"/>
      <c r="M337" s="5"/>
      <c r="N337" s="5"/>
      <c r="O337" s="5"/>
      <c r="P337" s="5"/>
      <c r="Q337" s="5"/>
      <c r="X337" t="str">
        <f t="shared" si="11"/>
        <v/>
      </c>
    </row>
    <row r="338" spans="1:24">
      <c r="A338" s="4"/>
      <c r="B338" s="31"/>
      <c r="C338" s="11" t="e">
        <f t="shared" si="10"/>
        <v>#N/A</v>
      </c>
      <c r="D338" s="5"/>
      <c r="E338" s="5"/>
      <c r="F338" s="5"/>
      <c r="G338" s="5"/>
      <c r="H338" s="5"/>
      <c r="I338" s="5"/>
      <c r="J338" s="5"/>
      <c r="K338" s="5"/>
      <c r="L338" s="5"/>
      <c r="M338" s="5"/>
      <c r="N338" s="5"/>
      <c r="O338" s="5"/>
      <c r="P338" s="5"/>
      <c r="Q338" s="5"/>
      <c r="X338" t="str">
        <f t="shared" si="11"/>
        <v/>
      </c>
    </row>
    <row r="339" spans="1:24">
      <c r="A339" s="4"/>
      <c r="B339" s="31"/>
      <c r="C339" s="11" t="e">
        <f t="shared" si="10"/>
        <v>#N/A</v>
      </c>
      <c r="D339" s="5"/>
      <c r="E339" s="5"/>
      <c r="F339" s="5"/>
      <c r="G339" s="5"/>
      <c r="H339" s="5"/>
      <c r="I339" s="5"/>
      <c r="J339" s="5"/>
      <c r="K339" s="5"/>
      <c r="L339" s="5"/>
      <c r="M339" s="5"/>
      <c r="N339" s="5"/>
      <c r="O339" s="5"/>
      <c r="P339" s="5"/>
      <c r="Q339" s="5"/>
      <c r="X339" t="str">
        <f t="shared" si="11"/>
        <v/>
      </c>
    </row>
    <row r="340" spans="1:24">
      <c r="A340" s="4"/>
      <c r="B340" s="31"/>
      <c r="C340" s="11" t="e">
        <f t="shared" si="10"/>
        <v>#N/A</v>
      </c>
      <c r="D340" s="5"/>
      <c r="E340" s="5"/>
      <c r="F340" s="5"/>
      <c r="G340" s="5"/>
      <c r="H340" s="5"/>
      <c r="I340" s="5"/>
      <c r="J340" s="5"/>
      <c r="K340" s="5"/>
      <c r="L340" s="5"/>
      <c r="M340" s="5"/>
      <c r="N340" s="5"/>
      <c r="O340" s="5"/>
      <c r="P340" s="5"/>
      <c r="Q340" s="5"/>
      <c r="X340" t="str">
        <f t="shared" si="11"/>
        <v/>
      </c>
    </row>
    <row r="341" spans="1:24">
      <c r="A341" s="4"/>
      <c r="B341" s="31"/>
      <c r="C341" s="11" t="e">
        <f t="shared" si="10"/>
        <v>#N/A</v>
      </c>
      <c r="D341" s="5"/>
      <c r="E341" s="5"/>
      <c r="F341" s="5"/>
      <c r="G341" s="5"/>
      <c r="H341" s="5"/>
      <c r="I341" s="5"/>
      <c r="J341" s="5"/>
      <c r="K341" s="5"/>
      <c r="L341" s="5"/>
      <c r="M341" s="5"/>
      <c r="N341" s="5"/>
      <c r="O341" s="5"/>
      <c r="P341" s="5"/>
      <c r="Q341" s="5"/>
      <c r="X341" t="str">
        <f t="shared" si="11"/>
        <v/>
      </c>
    </row>
    <row r="342" spans="1:24">
      <c r="A342" s="4"/>
      <c r="B342" s="31"/>
      <c r="C342" s="11" t="e">
        <f t="shared" si="10"/>
        <v>#N/A</v>
      </c>
      <c r="D342" s="5"/>
      <c r="E342" s="5"/>
      <c r="F342" s="5"/>
      <c r="G342" s="5"/>
      <c r="H342" s="5"/>
      <c r="I342" s="5"/>
      <c r="J342" s="5"/>
      <c r="K342" s="5"/>
      <c r="L342" s="5"/>
      <c r="M342" s="5"/>
      <c r="N342" s="5"/>
      <c r="O342" s="5"/>
      <c r="P342" s="5"/>
      <c r="Q342" s="5"/>
      <c r="X342" t="str">
        <f t="shared" si="11"/>
        <v/>
      </c>
    </row>
    <row r="343" spans="1:24">
      <c r="A343" s="4"/>
      <c r="B343" s="31"/>
      <c r="C343" s="11" t="e">
        <f t="shared" si="10"/>
        <v>#N/A</v>
      </c>
      <c r="D343" s="5"/>
      <c r="E343" s="5"/>
      <c r="F343" s="5"/>
      <c r="G343" s="5"/>
      <c r="H343" s="5"/>
      <c r="I343" s="5"/>
      <c r="J343" s="5"/>
      <c r="K343" s="5"/>
      <c r="L343" s="5"/>
      <c r="M343" s="5"/>
      <c r="N343" s="5"/>
      <c r="O343" s="5"/>
      <c r="P343" s="5"/>
      <c r="Q343" s="5"/>
      <c r="X343" t="str">
        <f t="shared" si="11"/>
        <v/>
      </c>
    </row>
    <row r="344" spans="1:24">
      <c r="A344" s="4"/>
      <c r="B344" s="31"/>
      <c r="C344" s="11" t="e">
        <f t="shared" si="10"/>
        <v>#N/A</v>
      </c>
      <c r="D344" s="5"/>
      <c r="E344" s="5"/>
      <c r="F344" s="5"/>
      <c r="G344" s="5"/>
      <c r="H344" s="5"/>
      <c r="I344" s="5"/>
      <c r="J344" s="5"/>
      <c r="K344" s="5"/>
      <c r="L344" s="5"/>
      <c r="M344" s="5"/>
      <c r="N344" s="5"/>
      <c r="O344" s="5"/>
      <c r="P344" s="5"/>
      <c r="Q344" s="5"/>
      <c r="X344" t="str">
        <f t="shared" si="11"/>
        <v/>
      </c>
    </row>
    <row r="345" spans="1:24">
      <c r="A345" s="4"/>
      <c r="B345" s="31"/>
      <c r="C345" s="11" t="e">
        <f t="shared" si="10"/>
        <v>#N/A</v>
      </c>
      <c r="D345" s="5"/>
      <c r="E345" s="5"/>
      <c r="F345" s="5"/>
      <c r="G345" s="5"/>
      <c r="H345" s="5"/>
      <c r="I345" s="5"/>
      <c r="J345" s="5"/>
      <c r="K345" s="5"/>
      <c r="L345" s="5"/>
      <c r="M345" s="5"/>
      <c r="N345" s="5"/>
      <c r="O345" s="5"/>
      <c r="P345" s="5"/>
      <c r="Q345" s="5"/>
      <c r="X345" t="str">
        <f t="shared" si="11"/>
        <v/>
      </c>
    </row>
    <row r="346" spans="1:24">
      <c r="A346" s="4"/>
      <c r="B346" s="31"/>
      <c r="C346" s="11" t="e">
        <f t="shared" si="10"/>
        <v>#N/A</v>
      </c>
      <c r="D346" s="5"/>
      <c r="E346" s="5"/>
      <c r="F346" s="5"/>
      <c r="G346" s="5"/>
      <c r="H346" s="5"/>
      <c r="I346" s="5"/>
      <c r="J346" s="5"/>
      <c r="K346" s="5"/>
      <c r="L346" s="5"/>
      <c r="M346" s="5"/>
      <c r="N346" s="5"/>
      <c r="O346" s="5"/>
      <c r="P346" s="5"/>
      <c r="Q346" s="5"/>
      <c r="X346" t="str">
        <f t="shared" si="11"/>
        <v/>
      </c>
    </row>
    <row r="347" spans="1:24">
      <c r="A347" s="4"/>
      <c r="B347" s="31"/>
      <c r="C347" s="11" t="e">
        <f t="shared" si="10"/>
        <v>#N/A</v>
      </c>
      <c r="D347" s="5"/>
      <c r="E347" s="5"/>
      <c r="F347" s="5"/>
      <c r="G347" s="5"/>
      <c r="H347" s="5"/>
      <c r="I347" s="5"/>
      <c r="J347" s="5"/>
      <c r="K347" s="5"/>
      <c r="L347" s="5"/>
      <c r="M347" s="5"/>
      <c r="N347" s="5"/>
      <c r="O347" s="5"/>
      <c r="P347" s="5"/>
      <c r="Q347" s="5"/>
      <c r="X347" t="str">
        <f t="shared" si="11"/>
        <v/>
      </c>
    </row>
    <row r="348" spans="1:24">
      <c r="A348" s="4"/>
      <c r="B348" s="31"/>
      <c r="C348" s="11" t="e">
        <f t="shared" si="10"/>
        <v>#N/A</v>
      </c>
      <c r="D348" s="5"/>
      <c r="E348" s="5"/>
      <c r="F348" s="5"/>
      <c r="G348" s="5"/>
      <c r="H348" s="5"/>
      <c r="I348" s="5"/>
      <c r="J348" s="5"/>
      <c r="K348" s="5"/>
      <c r="L348" s="5"/>
      <c r="M348" s="5"/>
      <c r="N348" s="5"/>
      <c r="O348" s="5"/>
      <c r="P348" s="5"/>
      <c r="Q348" s="5"/>
      <c r="X348" t="str">
        <f t="shared" si="11"/>
        <v/>
      </c>
    </row>
    <row r="349" spans="1:24">
      <c r="A349" s="4"/>
      <c r="B349" s="31"/>
      <c r="C349" s="11" t="e">
        <f t="shared" si="10"/>
        <v>#N/A</v>
      </c>
      <c r="D349" s="5"/>
      <c r="E349" s="5"/>
      <c r="F349" s="5"/>
      <c r="G349" s="5"/>
      <c r="H349" s="5"/>
      <c r="I349" s="5"/>
      <c r="J349" s="5"/>
      <c r="K349" s="5"/>
      <c r="L349" s="5"/>
      <c r="M349" s="5"/>
      <c r="N349" s="5"/>
      <c r="O349" s="5"/>
      <c r="P349" s="5"/>
      <c r="Q349" s="5"/>
      <c r="X349" t="str">
        <f t="shared" si="11"/>
        <v/>
      </c>
    </row>
    <row r="350" spans="1:24">
      <c r="A350" s="4"/>
      <c r="B350" s="31"/>
      <c r="C350" s="11" t="e">
        <f t="shared" si="10"/>
        <v>#N/A</v>
      </c>
      <c r="D350" s="5"/>
      <c r="E350" s="5"/>
      <c r="F350" s="5"/>
      <c r="G350" s="5"/>
      <c r="H350" s="5"/>
      <c r="I350" s="5"/>
      <c r="J350" s="5"/>
      <c r="K350" s="5"/>
      <c r="L350" s="5"/>
      <c r="M350" s="5"/>
      <c r="N350" s="5"/>
      <c r="O350" s="5"/>
      <c r="P350" s="5"/>
      <c r="Q350" s="5"/>
      <c r="X350" t="str">
        <f t="shared" si="11"/>
        <v/>
      </c>
    </row>
    <row r="351" spans="1:24">
      <c r="A351" s="4"/>
      <c r="B351" s="31"/>
      <c r="C351" s="11" t="e">
        <f t="shared" si="10"/>
        <v>#N/A</v>
      </c>
      <c r="D351" s="5"/>
      <c r="E351" s="5"/>
      <c r="F351" s="5"/>
      <c r="G351" s="5"/>
      <c r="H351" s="5"/>
      <c r="I351" s="5"/>
      <c r="J351" s="5"/>
      <c r="K351" s="5"/>
      <c r="L351" s="5"/>
      <c r="M351" s="5"/>
      <c r="N351" s="5"/>
      <c r="O351" s="5"/>
      <c r="P351" s="5"/>
      <c r="Q351" s="5"/>
      <c r="X351" t="str">
        <f t="shared" si="11"/>
        <v/>
      </c>
    </row>
    <row r="352" spans="1:24">
      <c r="A352" s="4"/>
      <c r="B352" s="31"/>
      <c r="C352" s="11" t="e">
        <f t="shared" si="10"/>
        <v>#N/A</v>
      </c>
      <c r="D352" s="5"/>
      <c r="E352" s="5"/>
      <c r="F352" s="5"/>
      <c r="G352" s="5"/>
      <c r="H352" s="5"/>
      <c r="I352" s="5"/>
      <c r="J352" s="5"/>
      <c r="K352" s="5"/>
      <c r="L352" s="5"/>
      <c r="M352" s="5"/>
      <c r="N352" s="5"/>
      <c r="O352" s="5"/>
      <c r="P352" s="5"/>
      <c r="Q352" s="5"/>
      <c r="X352" t="str">
        <f t="shared" si="11"/>
        <v/>
      </c>
    </row>
    <row r="353" spans="1:24">
      <c r="A353" s="4"/>
      <c r="B353" s="31"/>
      <c r="C353" s="11" t="e">
        <f t="shared" si="10"/>
        <v>#N/A</v>
      </c>
      <c r="D353" s="5"/>
      <c r="E353" s="5"/>
      <c r="F353" s="5"/>
      <c r="G353" s="5"/>
      <c r="H353" s="5"/>
      <c r="I353" s="5"/>
      <c r="J353" s="5"/>
      <c r="K353" s="5"/>
      <c r="L353" s="5"/>
      <c r="M353" s="5"/>
      <c r="N353" s="5"/>
      <c r="O353" s="5"/>
      <c r="P353" s="5"/>
      <c r="Q353" s="5"/>
      <c r="X353" t="str">
        <f t="shared" si="11"/>
        <v/>
      </c>
    </row>
    <row r="354" spans="1:24">
      <c r="A354" s="4"/>
      <c r="B354" s="31"/>
      <c r="C354" s="11" t="e">
        <f t="shared" si="10"/>
        <v>#N/A</v>
      </c>
      <c r="D354" s="5"/>
      <c r="E354" s="5"/>
      <c r="F354" s="5"/>
      <c r="G354" s="5"/>
      <c r="H354" s="5"/>
      <c r="I354" s="5"/>
      <c r="J354" s="5"/>
      <c r="K354" s="5"/>
      <c r="L354" s="5"/>
      <c r="M354" s="5"/>
      <c r="N354" s="5"/>
      <c r="O354" s="5"/>
      <c r="P354" s="5"/>
      <c r="Q354" s="5"/>
      <c r="X354" t="str">
        <f t="shared" si="11"/>
        <v/>
      </c>
    </row>
    <row r="355" spans="1:24">
      <c r="A355" s="4"/>
      <c r="B355" s="31"/>
      <c r="C355" s="11" t="e">
        <f t="shared" si="10"/>
        <v>#N/A</v>
      </c>
      <c r="D355" s="5"/>
      <c r="E355" s="5"/>
      <c r="F355" s="5"/>
      <c r="G355" s="5"/>
      <c r="H355" s="5"/>
      <c r="I355" s="5"/>
      <c r="J355" s="5"/>
      <c r="K355" s="5"/>
      <c r="L355" s="5"/>
      <c r="M355" s="5"/>
      <c r="N355" s="5"/>
      <c r="O355" s="5"/>
      <c r="P355" s="5"/>
      <c r="Q355" s="5"/>
      <c r="X355" t="str">
        <f t="shared" si="11"/>
        <v/>
      </c>
    </row>
    <row r="356" spans="1:24">
      <c r="A356" s="4"/>
      <c r="B356" s="31"/>
      <c r="C356" s="11" t="e">
        <f t="shared" si="10"/>
        <v>#N/A</v>
      </c>
      <c r="D356" s="5"/>
      <c r="E356" s="5"/>
      <c r="F356" s="5"/>
      <c r="G356" s="5"/>
      <c r="H356" s="5"/>
      <c r="I356" s="5"/>
      <c r="J356" s="5"/>
      <c r="K356" s="5"/>
      <c r="L356" s="5"/>
      <c r="M356" s="5"/>
      <c r="N356" s="5"/>
      <c r="O356" s="5"/>
      <c r="P356" s="5"/>
      <c r="Q356" s="5"/>
      <c r="X356" t="str">
        <f t="shared" si="11"/>
        <v/>
      </c>
    </row>
    <row r="357" spans="1:24">
      <c r="A357" s="4"/>
      <c r="B357" s="31"/>
      <c r="C357" s="11" t="e">
        <f t="shared" si="10"/>
        <v>#N/A</v>
      </c>
      <c r="D357" s="5"/>
      <c r="E357" s="5"/>
      <c r="F357" s="5"/>
      <c r="G357" s="5"/>
      <c r="H357" s="5"/>
      <c r="I357" s="5"/>
      <c r="J357" s="5"/>
      <c r="K357" s="5"/>
      <c r="L357" s="5"/>
      <c r="M357" s="5"/>
      <c r="N357" s="5"/>
      <c r="O357" s="5"/>
      <c r="P357" s="5"/>
      <c r="Q357" s="5"/>
      <c r="X357" t="str">
        <f t="shared" si="11"/>
        <v/>
      </c>
    </row>
    <row r="358" spans="1:24">
      <c r="A358" s="4"/>
      <c r="B358" s="31"/>
      <c r="C358" s="11" t="e">
        <f t="shared" si="10"/>
        <v>#N/A</v>
      </c>
      <c r="D358" s="5"/>
      <c r="E358" s="5"/>
      <c r="F358" s="5"/>
      <c r="G358" s="5"/>
      <c r="H358" s="5"/>
      <c r="I358" s="5"/>
      <c r="J358" s="5"/>
      <c r="K358" s="5"/>
      <c r="L358" s="5"/>
      <c r="M358" s="5"/>
      <c r="N358" s="5"/>
      <c r="O358" s="5"/>
      <c r="P358" s="5"/>
      <c r="Q358" s="5"/>
      <c r="X358" t="str">
        <f t="shared" si="11"/>
        <v/>
      </c>
    </row>
    <row r="359" spans="1:24">
      <c r="A359" s="4"/>
      <c r="B359" s="31"/>
      <c r="C359" s="11" t="e">
        <f t="shared" si="10"/>
        <v>#N/A</v>
      </c>
      <c r="D359" s="5"/>
      <c r="E359" s="5"/>
      <c r="F359" s="5"/>
      <c r="G359" s="5"/>
      <c r="H359" s="5"/>
      <c r="I359" s="5"/>
      <c r="J359" s="5"/>
      <c r="K359" s="5"/>
      <c r="L359" s="5"/>
      <c r="M359" s="5"/>
      <c r="N359" s="5"/>
      <c r="O359" s="5"/>
      <c r="P359" s="5"/>
      <c r="Q359" s="5"/>
      <c r="X359" t="str">
        <f t="shared" si="11"/>
        <v/>
      </c>
    </row>
    <row r="360" spans="1:24">
      <c r="A360" s="4"/>
      <c r="B360" s="31"/>
      <c r="C360" s="11" t="e">
        <f t="shared" si="10"/>
        <v>#N/A</v>
      </c>
      <c r="D360" s="5"/>
      <c r="E360" s="5"/>
      <c r="F360" s="5"/>
      <c r="G360" s="5"/>
      <c r="H360" s="5"/>
      <c r="I360" s="5"/>
      <c r="J360" s="5"/>
      <c r="K360" s="5"/>
      <c r="L360" s="5"/>
      <c r="M360" s="5"/>
      <c r="N360" s="5"/>
      <c r="O360" s="5"/>
      <c r="P360" s="5"/>
      <c r="Q360" s="5"/>
      <c r="X360" t="str">
        <f t="shared" si="11"/>
        <v/>
      </c>
    </row>
    <row r="361" spans="1:24">
      <c r="A361" s="4"/>
      <c r="B361" s="31"/>
      <c r="C361" s="11" t="e">
        <f t="shared" si="10"/>
        <v>#N/A</v>
      </c>
      <c r="D361" s="5"/>
      <c r="E361" s="5"/>
      <c r="F361" s="5"/>
      <c r="G361" s="5"/>
      <c r="H361" s="5"/>
      <c r="I361" s="5"/>
      <c r="J361" s="5"/>
      <c r="K361" s="5"/>
      <c r="L361" s="5"/>
      <c r="M361" s="5"/>
      <c r="N361" s="5"/>
      <c r="O361" s="5"/>
      <c r="P361" s="5"/>
      <c r="Q361" s="5"/>
      <c r="X361" t="str">
        <f t="shared" si="11"/>
        <v/>
      </c>
    </row>
    <row r="362" spans="1:24">
      <c r="A362" s="4"/>
      <c r="B362" s="31"/>
      <c r="C362" s="11" t="e">
        <f t="shared" si="10"/>
        <v>#N/A</v>
      </c>
      <c r="D362" s="5"/>
      <c r="E362" s="5"/>
      <c r="F362" s="5"/>
      <c r="G362" s="5"/>
      <c r="H362" s="5"/>
      <c r="I362" s="5"/>
      <c r="J362" s="5"/>
      <c r="K362" s="5"/>
      <c r="L362" s="5"/>
      <c r="M362" s="5"/>
      <c r="N362" s="5"/>
      <c r="O362" s="5"/>
      <c r="P362" s="5"/>
      <c r="Q362" s="5"/>
      <c r="X362" t="str">
        <f t="shared" si="11"/>
        <v/>
      </c>
    </row>
    <row r="363" spans="1:24">
      <c r="A363" s="4"/>
      <c r="B363" s="31"/>
      <c r="C363" s="11" t="e">
        <f t="shared" si="10"/>
        <v>#N/A</v>
      </c>
      <c r="D363" s="5"/>
      <c r="E363" s="5"/>
      <c r="F363" s="5"/>
      <c r="G363" s="5"/>
      <c r="H363" s="5"/>
      <c r="I363" s="5"/>
      <c r="J363" s="5"/>
      <c r="K363" s="5"/>
      <c r="L363" s="5"/>
      <c r="M363" s="5"/>
      <c r="N363" s="5"/>
      <c r="O363" s="5"/>
      <c r="P363" s="5"/>
      <c r="Q363" s="5"/>
      <c r="X363" t="str">
        <f t="shared" si="11"/>
        <v/>
      </c>
    </row>
    <row r="364" spans="1:24">
      <c r="A364" s="4"/>
      <c r="B364" s="31"/>
      <c r="C364" s="11" t="e">
        <f t="shared" si="10"/>
        <v>#N/A</v>
      </c>
      <c r="D364" s="5"/>
      <c r="E364" s="5"/>
      <c r="F364" s="5"/>
      <c r="G364" s="5"/>
      <c r="H364" s="5"/>
      <c r="I364" s="5"/>
      <c r="J364" s="5"/>
      <c r="K364" s="5"/>
      <c r="L364" s="5"/>
      <c r="M364" s="5"/>
      <c r="N364" s="5"/>
      <c r="O364" s="5"/>
      <c r="P364" s="5"/>
      <c r="Q364" s="5"/>
      <c r="X364" t="str">
        <f t="shared" si="11"/>
        <v/>
      </c>
    </row>
    <row r="365" spans="1:24">
      <c r="A365" s="4"/>
      <c r="B365" s="31"/>
      <c r="C365" s="11" t="e">
        <f t="shared" si="10"/>
        <v>#N/A</v>
      </c>
      <c r="D365" s="5"/>
      <c r="E365" s="5"/>
      <c r="F365" s="5"/>
      <c r="G365" s="5"/>
      <c r="H365" s="5"/>
      <c r="I365" s="5"/>
      <c r="J365" s="5"/>
      <c r="K365" s="5"/>
      <c r="L365" s="5"/>
      <c r="M365" s="5"/>
      <c r="N365" s="5"/>
      <c r="O365" s="5"/>
      <c r="P365" s="5"/>
      <c r="Q365" s="5"/>
      <c r="X365" t="str">
        <f t="shared" si="11"/>
        <v/>
      </c>
    </row>
    <row r="366" spans="1:24">
      <c r="A366" s="4"/>
      <c r="B366" s="31"/>
      <c r="C366" s="11" t="e">
        <f t="shared" si="10"/>
        <v>#N/A</v>
      </c>
      <c r="D366" s="5"/>
      <c r="E366" s="5"/>
      <c r="F366" s="5"/>
      <c r="G366" s="5"/>
      <c r="H366" s="5"/>
      <c r="I366" s="5"/>
      <c r="J366" s="5"/>
      <c r="K366" s="5"/>
      <c r="L366" s="5"/>
      <c r="M366" s="5"/>
      <c r="N366" s="5"/>
      <c r="O366" s="5"/>
      <c r="P366" s="5"/>
      <c r="Q366" s="5"/>
      <c r="X366" t="str">
        <f t="shared" si="11"/>
        <v/>
      </c>
    </row>
    <row r="367" spans="1:24">
      <c r="A367" s="4"/>
      <c r="B367" s="31"/>
      <c r="C367" s="11" t="e">
        <f t="shared" si="10"/>
        <v>#N/A</v>
      </c>
      <c r="D367" s="5"/>
      <c r="E367" s="5"/>
      <c r="F367" s="5"/>
      <c r="G367" s="5"/>
      <c r="H367" s="5"/>
      <c r="I367" s="5"/>
      <c r="J367" s="5"/>
      <c r="K367" s="5"/>
      <c r="L367" s="5"/>
      <c r="M367" s="5"/>
      <c r="N367" s="5"/>
      <c r="O367" s="5"/>
      <c r="P367" s="5"/>
      <c r="Q367" s="5"/>
      <c r="X367" t="str">
        <f t="shared" si="11"/>
        <v/>
      </c>
    </row>
    <row r="368" spans="1:24">
      <c r="A368" s="4"/>
      <c r="B368" s="31"/>
      <c r="C368" s="11" t="e">
        <f t="shared" si="10"/>
        <v>#N/A</v>
      </c>
      <c r="D368" s="5"/>
      <c r="E368" s="5"/>
      <c r="F368" s="5"/>
      <c r="G368" s="5"/>
      <c r="H368" s="5"/>
      <c r="I368" s="5"/>
      <c r="J368" s="5"/>
      <c r="K368" s="5"/>
      <c r="L368" s="5"/>
      <c r="M368" s="5"/>
      <c r="N368" s="5"/>
      <c r="O368" s="5"/>
      <c r="P368" s="5"/>
      <c r="Q368" s="5"/>
      <c r="X368" t="str">
        <f t="shared" si="11"/>
        <v/>
      </c>
    </row>
    <row r="369" spans="1:24">
      <c r="A369" s="4"/>
      <c r="B369" s="31"/>
      <c r="C369" s="11" t="e">
        <f t="shared" si="10"/>
        <v>#N/A</v>
      </c>
      <c r="D369" s="5"/>
      <c r="E369" s="5"/>
      <c r="F369" s="5"/>
      <c r="G369" s="5"/>
      <c r="H369" s="5"/>
      <c r="I369" s="5"/>
      <c r="J369" s="5"/>
      <c r="K369" s="5"/>
      <c r="L369" s="5"/>
      <c r="M369" s="5"/>
      <c r="N369" s="5"/>
      <c r="O369" s="5"/>
      <c r="P369" s="5"/>
      <c r="Q369" s="5"/>
      <c r="X369" t="str">
        <f t="shared" si="11"/>
        <v/>
      </c>
    </row>
    <row r="370" spans="1:24">
      <c r="A370" s="4"/>
      <c r="B370" s="31"/>
      <c r="C370" s="11" t="e">
        <f t="shared" si="10"/>
        <v>#N/A</v>
      </c>
      <c r="D370" s="5"/>
      <c r="E370" s="5"/>
      <c r="F370" s="5"/>
      <c r="G370" s="5"/>
      <c r="H370" s="5"/>
      <c r="I370" s="5"/>
      <c r="J370" s="5"/>
      <c r="K370" s="5"/>
      <c r="L370" s="5"/>
      <c r="M370" s="5"/>
      <c r="N370" s="5"/>
      <c r="O370" s="5"/>
      <c r="P370" s="5"/>
      <c r="Q370" s="5"/>
      <c r="X370" t="str">
        <f t="shared" si="11"/>
        <v/>
      </c>
    </row>
    <row r="371" spans="1:24">
      <c r="A371" s="4"/>
      <c r="B371" s="31"/>
      <c r="C371" s="11" t="e">
        <f t="shared" si="10"/>
        <v>#N/A</v>
      </c>
      <c r="D371" s="5"/>
      <c r="E371" s="5"/>
      <c r="F371" s="5"/>
      <c r="G371" s="5"/>
      <c r="H371" s="5"/>
      <c r="I371" s="5"/>
      <c r="J371" s="5"/>
      <c r="K371" s="5"/>
      <c r="L371" s="5"/>
      <c r="M371" s="5"/>
      <c r="N371" s="5"/>
      <c r="O371" s="5"/>
      <c r="P371" s="5"/>
      <c r="Q371" s="5"/>
      <c r="X371" t="str">
        <f t="shared" si="11"/>
        <v/>
      </c>
    </row>
    <row r="372" spans="1:24">
      <c r="A372" s="4"/>
      <c r="B372" s="31"/>
      <c r="C372" s="11" t="e">
        <f t="shared" si="10"/>
        <v>#N/A</v>
      </c>
      <c r="D372" s="5"/>
      <c r="E372" s="5"/>
      <c r="F372" s="5"/>
      <c r="G372" s="5"/>
      <c r="H372" s="5"/>
      <c r="I372" s="5"/>
      <c r="J372" s="5"/>
      <c r="K372" s="5"/>
      <c r="L372" s="5"/>
      <c r="M372" s="5"/>
      <c r="N372" s="5"/>
      <c r="O372" s="5"/>
      <c r="P372" s="5"/>
      <c r="Q372" s="5"/>
      <c r="X372" t="str">
        <f t="shared" si="11"/>
        <v/>
      </c>
    </row>
    <row r="373" spans="1:24">
      <c r="A373" s="4"/>
      <c r="B373" s="31"/>
      <c r="C373" s="11" t="e">
        <f t="shared" si="10"/>
        <v>#N/A</v>
      </c>
      <c r="D373" s="5"/>
      <c r="E373" s="5"/>
      <c r="F373" s="5"/>
      <c r="G373" s="5"/>
      <c r="H373" s="5"/>
      <c r="I373" s="5"/>
      <c r="J373" s="5"/>
      <c r="K373" s="5"/>
      <c r="L373" s="5"/>
      <c r="M373" s="5"/>
      <c r="N373" s="5"/>
      <c r="O373" s="5"/>
      <c r="P373" s="5"/>
      <c r="Q373" s="5"/>
      <c r="X373" t="str">
        <f t="shared" si="11"/>
        <v/>
      </c>
    </row>
    <row r="374" spans="1:24">
      <c r="A374" s="4"/>
      <c r="B374" s="31"/>
      <c r="C374" s="11" t="e">
        <f t="shared" si="10"/>
        <v>#N/A</v>
      </c>
      <c r="D374" s="5"/>
      <c r="E374" s="5"/>
      <c r="F374" s="5"/>
      <c r="G374" s="5"/>
      <c r="H374" s="5"/>
      <c r="I374" s="5"/>
      <c r="J374" s="5"/>
      <c r="K374" s="5"/>
      <c r="L374" s="5"/>
      <c r="M374" s="5"/>
      <c r="N374" s="5"/>
      <c r="O374" s="5"/>
      <c r="P374" s="5"/>
      <c r="Q374" s="5"/>
      <c r="X374" t="str">
        <f t="shared" si="11"/>
        <v/>
      </c>
    </row>
    <row r="375" spans="1:24">
      <c r="A375" s="4"/>
      <c r="B375" s="31"/>
      <c r="C375" s="11" t="e">
        <f t="shared" si="10"/>
        <v>#N/A</v>
      </c>
      <c r="D375" s="5"/>
      <c r="E375" s="5"/>
      <c r="F375" s="5"/>
      <c r="G375" s="5"/>
      <c r="H375" s="5"/>
      <c r="I375" s="5"/>
      <c r="J375" s="5"/>
      <c r="K375" s="5"/>
      <c r="L375" s="5"/>
      <c r="M375" s="5"/>
      <c r="N375" s="5"/>
      <c r="O375" s="5"/>
      <c r="P375" s="5"/>
      <c r="Q375" s="5"/>
      <c r="X375" t="str">
        <f t="shared" si="11"/>
        <v/>
      </c>
    </row>
    <row r="376" spans="1:24">
      <c r="A376" s="4"/>
      <c r="B376" s="31"/>
      <c r="C376" s="11" t="e">
        <f t="shared" si="10"/>
        <v>#N/A</v>
      </c>
      <c r="D376" s="5"/>
      <c r="E376" s="5"/>
      <c r="F376" s="5"/>
      <c r="G376" s="5"/>
      <c r="H376" s="5"/>
      <c r="I376" s="5"/>
      <c r="J376" s="5"/>
      <c r="K376" s="5"/>
      <c r="L376" s="5"/>
      <c r="M376" s="5"/>
      <c r="N376" s="5"/>
      <c r="O376" s="5"/>
      <c r="P376" s="5"/>
      <c r="Q376" s="5"/>
      <c r="X376" t="str">
        <f t="shared" si="11"/>
        <v/>
      </c>
    </row>
    <row r="377" spans="1:24">
      <c r="A377" s="4"/>
      <c r="B377" s="31"/>
      <c r="C377" s="11" t="e">
        <f t="shared" si="10"/>
        <v>#N/A</v>
      </c>
      <c r="D377" s="5"/>
      <c r="E377" s="5"/>
      <c r="F377" s="5"/>
      <c r="G377" s="5"/>
      <c r="H377" s="5"/>
      <c r="I377" s="5"/>
      <c r="J377" s="5"/>
      <c r="K377" s="5"/>
      <c r="L377" s="5"/>
      <c r="M377" s="5"/>
      <c r="N377" s="5"/>
      <c r="O377" s="5"/>
      <c r="P377" s="5"/>
      <c r="Q377" s="5"/>
      <c r="X377" t="str">
        <f t="shared" si="11"/>
        <v/>
      </c>
    </row>
    <row r="378" spans="1:24">
      <c r="A378" s="4"/>
      <c r="B378" s="31"/>
      <c r="C378" s="11" t="e">
        <f t="shared" si="10"/>
        <v>#N/A</v>
      </c>
      <c r="D378" s="5"/>
      <c r="E378" s="5"/>
      <c r="F378" s="5"/>
      <c r="G378" s="5"/>
      <c r="H378" s="5"/>
      <c r="I378" s="5"/>
      <c r="J378" s="5"/>
      <c r="K378" s="5"/>
      <c r="L378" s="5"/>
      <c r="M378" s="5"/>
      <c r="N378" s="5"/>
      <c r="O378" s="5"/>
      <c r="P378" s="5"/>
      <c r="Q378" s="5"/>
      <c r="X378" t="str">
        <f t="shared" si="11"/>
        <v/>
      </c>
    </row>
    <row r="379" spans="1:24">
      <c r="A379" s="4"/>
      <c r="B379" s="31"/>
      <c r="C379" s="11" t="e">
        <f t="shared" si="10"/>
        <v>#N/A</v>
      </c>
      <c r="D379" s="5"/>
      <c r="E379" s="5"/>
      <c r="F379" s="5"/>
      <c r="G379" s="5"/>
      <c r="H379" s="5"/>
      <c r="I379" s="5"/>
      <c r="J379" s="5"/>
      <c r="K379" s="5"/>
      <c r="L379" s="5"/>
      <c r="M379" s="5"/>
      <c r="N379" s="5"/>
      <c r="O379" s="5"/>
      <c r="P379" s="5"/>
      <c r="Q379" s="5"/>
      <c r="X379" t="str">
        <f t="shared" si="11"/>
        <v/>
      </c>
    </row>
    <row r="380" spans="1:24">
      <c r="A380" s="4"/>
      <c r="B380" s="31"/>
      <c r="C380" s="11" t="e">
        <f t="shared" si="10"/>
        <v>#N/A</v>
      </c>
      <c r="D380" s="5"/>
      <c r="E380" s="5"/>
      <c r="F380" s="5"/>
      <c r="G380" s="5"/>
      <c r="H380" s="5"/>
      <c r="I380" s="5"/>
      <c r="J380" s="5"/>
      <c r="K380" s="5"/>
      <c r="L380" s="5"/>
      <c r="M380" s="5"/>
      <c r="N380" s="5"/>
      <c r="O380" s="5"/>
      <c r="P380" s="5"/>
      <c r="Q380" s="5"/>
      <c r="X380" t="str">
        <f t="shared" si="11"/>
        <v/>
      </c>
    </row>
    <row r="381" spans="1:24">
      <c r="A381" s="4"/>
      <c r="B381" s="31"/>
      <c r="C381" s="11" t="e">
        <f t="shared" si="10"/>
        <v>#N/A</v>
      </c>
      <c r="D381" s="5"/>
      <c r="E381" s="5"/>
      <c r="F381" s="5"/>
      <c r="G381" s="5"/>
      <c r="H381" s="5"/>
      <c r="I381" s="5"/>
      <c r="J381" s="5"/>
      <c r="K381" s="5"/>
      <c r="L381" s="5"/>
      <c r="M381" s="5"/>
      <c r="N381" s="5"/>
      <c r="O381" s="5"/>
      <c r="P381" s="5"/>
      <c r="Q381" s="5"/>
      <c r="X381" t="str">
        <f t="shared" si="11"/>
        <v/>
      </c>
    </row>
    <row r="382" spans="1:24">
      <c r="A382" s="4"/>
      <c r="B382" s="31"/>
      <c r="C382" s="11" t="e">
        <f t="shared" si="10"/>
        <v>#N/A</v>
      </c>
      <c r="D382" s="5"/>
      <c r="E382" s="5"/>
      <c r="F382" s="5"/>
      <c r="G382" s="5"/>
      <c r="H382" s="5"/>
      <c r="I382" s="5"/>
      <c r="J382" s="5"/>
      <c r="K382" s="5"/>
      <c r="L382" s="5"/>
      <c r="M382" s="5"/>
      <c r="N382" s="5"/>
      <c r="O382" s="5"/>
      <c r="P382" s="5"/>
      <c r="Q382" s="5"/>
      <c r="X382" t="str">
        <f t="shared" si="11"/>
        <v/>
      </c>
    </row>
    <row r="383" spans="1:24">
      <c r="A383" s="4"/>
      <c r="B383" s="31"/>
      <c r="C383" s="11" t="e">
        <f t="shared" si="10"/>
        <v>#N/A</v>
      </c>
      <c r="D383" s="5"/>
      <c r="E383" s="5"/>
      <c r="F383" s="5"/>
      <c r="G383" s="5"/>
      <c r="H383" s="5"/>
      <c r="I383" s="5"/>
      <c r="J383" s="5"/>
      <c r="K383" s="5"/>
      <c r="L383" s="5"/>
      <c r="M383" s="5"/>
      <c r="N383" s="5"/>
      <c r="O383" s="5"/>
      <c r="P383" s="5"/>
      <c r="Q383" s="5"/>
      <c r="X383" t="str">
        <f t="shared" si="11"/>
        <v/>
      </c>
    </row>
    <row r="384" spans="1:24">
      <c r="A384" s="4"/>
      <c r="B384" s="31"/>
      <c r="C384" s="11" t="e">
        <f t="shared" si="10"/>
        <v>#N/A</v>
      </c>
      <c r="D384" s="5"/>
      <c r="E384" s="5"/>
      <c r="F384" s="5"/>
      <c r="G384" s="5"/>
      <c r="H384" s="5"/>
      <c r="I384" s="5"/>
      <c r="J384" s="5"/>
      <c r="K384" s="5"/>
      <c r="L384" s="5"/>
      <c r="M384" s="5"/>
      <c r="N384" s="5"/>
      <c r="O384" s="5"/>
      <c r="P384" s="5"/>
      <c r="Q384" s="5"/>
      <c r="X384" t="str">
        <f t="shared" si="11"/>
        <v/>
      </c>
    </row>
    <row r="385" spans="1:24">
      <c r="A385" s="4"/>
      <c r="B385" s="31"/>
      <c r="C385" s="11" t="e">
        <f t="shared" si="10"/>
        <v>#N/A</v>
      </c>
      <c r="D385" s="5"/>
      <c r="E385" s="5"/>
      <c r="F385" s="5"/>
      <c r="G385" s="5"/>
      <c r="H385" s="5"/>
      <c r="I385" s="5"/>
      <c r="J385" s="5"/>
      <c r="K385" s="5"/>
      <c r="L385" s="5"/>
      <c r="M385" s="5"/>
      <c r="N385" s="5"/>
      <c r="O385" s="5"/>
      <c r="P385" s="5"/>
      <c r="Q385" s="5"/>
      <c r="X385" t="str">
        <f t="shared" si="11"/>
        <v/>
      </c>
    </row>
    <row r="386" spans="1:24">
      <c r="A386" s="4"/>
      <c r="B386" s="31"/>
      <c r="C386" s="11" t="e">
        <f t="shared" si="10"/>
        <v>#N/A</v>
      </c>
      <c r="D386" s="5"/>
      <c r="E386" s="5"/>
      <c r="F386" s="5"/>
      <c r="G386" s="5"/>
      <c r="H386" s="5"/>
      <c r="I386" s="5"/>
      <c r="J386" s="5"/>
      <c r="K386" s="5"/>
      <c r="L386" s="5"/>
      <c r="M386" s="5"/>
      <c r="N386" s="5"/>
      <c r="O386" s="5"/>
      <c r="P386" s="5"/>
      <c r="Q386" s="5"/>
      <c r="X386" t="str">
        <f t="shared" si="11"/>
        <v/>
      </c>
    </row>
    <row r="387" spans="1:24">
      <c r="A387" s="4"/>
      <c r="B387" s="31"/>
      <c r="C387" s="11" t="e">
        <f t="shared" ref="C387:C450" si="12">IF(OR(ISBLANK(A387),ISBLANK(B387)),NA(),A387-B387)</f>
        <v>#N/A</v>
      </c>
      <c r="D387" s="5"/>
      <c r="E387" s="5"/>
      <c r="F387" s="5"/>
      <c r="G387" s="5"/>
      <c r="H387" s="5"/>
      <c r="I387" s="5"/>
      <c r="J387" s="5"/>
      <c r="K387" s="5"/>
      <c r="L387" s="5"/>
      <c r="M387" s="5"/>
      <c r="N387" s="5"/>
      <c r="O387" s="5"/>
      <c r="P387" s="5"/>
      <c r="Q387" s="5"/>
      <c r="X387" t="str">
        <f t="shared" ref="X387:X450" si="13">IFERROR(C387,"")</f>
        <v/>
      </c>
    </row>
    <row r="388" spans="1:24">
      <c r="A388" s="4"/>
      <c r="B388" s="31"/>
      <c r="C388" s="11" t="e">
        <f t="shared" si="12"/>
        <v>#N/A</v>
      </c>
      <c r="D388" s="5"/>
      <c r="E388" s="5"/>
      <c r="F388" s="5"/>
      <c r="G388" s="5"/>
      <c r="H388" s="5"/>
      <c r="I388" s="5"/>
      <c r="J388" s="5"/>
      <c r="K388" s="5"/>
      <c r="L388" s="5"/>
      <c r="M388" s="5"/>
      <c r="N388" s="5"/>
      <c r="O388" s="5"/>
      <c r="P388" s="5"/>
      <c r="Q388" s="5"/>
      <c r="X388" t="str">
        <f t="shared" si="13"/>
        <v/>
      </c>
    </row>
    <row r="389" spans="1:24">
      <c r="A389" s="4"/>
      <c r="B389" s="31"/>
      <c r="C389" s="11" t="e">
        <f t="shared" si="12"/>
        <v>#N/A</v>
      </c>
      <c r="D389" s="5"/>
      <c r="E389" s="5"/>
      <c r="F389" s="5"/>
      <c r="G389" s="5"/>
      <c r="H389" s="5"/>
      <c r="I389" s="5"/>
      <c r="J389" s="5"/>
      <c r="K389" s="5"/>
      <c r="L389" s="5"/>
      <c r="M389" s="5"/>
      <c r="N389" s="5"/>
      <c r="O389" s="5"/>
      <c r="P389" s="5"/>
      <c r="Q389" s="5"/>
      <c r="X389" t="str">
        <f t="shared" si="13"/>
        <v/>
      </c>
    </row>
    <row r="390" spans="1:24">
      <c r="A390" s="4"/>
      <c r="B390" s="31"/>
      <c r="C390" s="11" t="e">
        <f t="shared" si="12"/>
        <v>#N/A</v>
      </c>
      <c r="D390" s="5"/>
      <c r="E390" s="5"/>
      <c r="F390" s="5"/>
      <c r="G390" s="5"/>
      <c r="H390" s="5"/>
      <c r="I390" s="5"/>
      <c r="J390" s="5"/>
      <c r="K390" s="5"/>
      <c r="L390" s="5"/>
      <c r="M390" s="5"/>
      <c r="N390" s="5"/>
      <c r="O390" s="5"/>
      <c r="P390" s="5"/>
      <c r="Q390" s="5"/>
      <c r="X390" t="str">
        <f t="shared" si="13"/>
        <v/>
      </c>
    </row>
    <row r="391" spans="1:24">
      <c r="A391" s="4"/>
      <c r="B391" s="31"/>
      <c r="C391" s="11" t="e">
        <f t="shared" si="12"/>
        <v>#N/A</v>
      </c>
      <c r="D391" s="5"/>
      <c r="E391" s="5"/>
      <c r="F391" s="5"/>
      <c r="G391" s="5"/>
      <c r="H391" s="5"/>
      <c r="I391" s="5"/>
      <c r="J391" s="5"/>
      <c r="K391" s="5"/>
      <c r="L391" s="5"/>
      <c r="M391" s="5"/>
      <c r="N391" s="5"/>
      <c r="O391" s="5"/>
      <c r="P391" s="5"/>
      <c r="Q391" s="5"/>
      <c r="X391" t="str">
        <f t="shared" si="13"/>
        <v/>
      </c>
    </row>
    <row r="392" spans="1:24">
      <c r="A392" s="4"/>
      <c r="B392" s="31"/>
      <c r="C392" s="11" t="e">
        <f t="shared" si="12"/>
        <v>#N/A</v>
      </c>
      <c r="D392" s="5"/>
      <c r="E392" s="5"/>
      <c r="F392" s="5"/>
      <c r="G392" s="5"/>
      <c r="H392" s="5"/>
      <c r="I392" s="5"/>
      <c r="J392" s="5"/>
      <c r="K392" s="5"/>
      <c r="L392" s="5"/>
      <c r="M392" s="5"/>
      <c r="N392" s="5"/>
      <c r="O392" s="5"/>
      <c r="P392" s="5"/>
      <c r="Q392" s="5"/>
      <c r="X392" t="str">
        <f t="shared" si="13"/>
        <v/>
      </c>
    </row>
    <row r="393" spans="1:24">
      <c r="A393" s="4"/>
      <c r="B393" s="31"/>
      <c r="C393" s="11" t="e">
        <f t="shared" si="12"/>
        <v>#N/A</v>
      </c>
      <c r="D393" s="5"/>
      <c r="E393" s="5"/>
      <c r="F393" s="5"/>
      <c r="G393" s="5"/>
      <c r="H393" s="5"/>
      <c r="I393" s="5"/>
      <c r="J393" s="5"/>
      <c r="K393" s="5"/>
      <c r="L393" s="5"/>
      <c r="M393" s="5"/>
      <c r="N393" s="5"/>
      <c r="O393" s="5"/>
      <c r="P393" s="5"/>
      <c r="Q393" s="5"/>
      <c r="X393" t="str">
        <f t="shared" si="13"/>
        <v/>
      </c>
    </row>
    <row r="394" spans="1:24">
      <c r="A394" s="4"/>
      <c r="B394" s="31"/>
      <c r="C394" s="11" t="e">
        <f t="shared" si="12"/>
        <v>#N/A</v>
      </c>
      <c r="D394" s="5"/>
      <c r="E394" s="5"/>
      <c r="F394" s="5"/>
      <c r="G394" s="5"/>
      <c r="H394" s="5"/>
      <c r="I394" s="5"/>
      <c r="J394" s="5"/>
      <c r="K394" s="5"/>
      <c r="L394" s="5"/>
      <c r="M394" s="5"/>
      <c r="N394" s="5"/>
      <c r="O394" s="5"/>
      <c r="P394" s="5"/>
      <c r="Q394" s="5"/>
      <c r="X394" t="str">
        <f t="shared" si="13"/>
        <v/>
      </c>
    </row>
    <row r="395" spans="1:24">
      <c r="A395" s="4"/>
      <c r="B395" s="31"/>
      <c r="C395" s="11" t="e">
        <f t="shared" si="12"/>
        <v>#N/A</v>
      </c>
      <c r="D395" s="5"/>
      <c r="E395" s="5"/>
      <c r="F395" s="5"/>
      <c r="G395" s="5"/>
      <c r="H395" s="5"/>
      <c r="I395" s="5"/>
      <c r="J395" s="5"/>
      <c r="K395" s="5"/>
      <c r="L395" s="5"/>
      <c r="M395" s="5"/>
      <c r="N395" s="5"/>
      <c r="O395" s="5"/>
      <c r="P395" s="5"/>
      <c r="Q395" s="5"/>
      <c r="X395" t="str">
        <f t="shared" si="13"/>
        <v/>
      </c>
    </row>
    <row r="396" spans="1:24">
      <c r="A396" s="4"/>
      <c r="B396" s="31"/>
      <c r="C396" s="11" t="e">
        <f t="shared" si="12"/>
        <v>#N/A</v>
      </c>
      <c r="D396" s="5"/>
      <c r="E396" s="5"/>
      <c r="F396" s="5"/>
      <c r="G396" s="5"/>
      <c r="H396" s="5"/>
      <c r="I396" s="5"/>
      <c r="J396" s="5"/>
      <c r="K396" s="5"/>
      <c r="L396" s="5"/>
      <c r="M396" s="5"/>
      <c r="N396" s="5"/>
      <c r="O396" s="5"/>
      <c r="P396" s="5"/>
      <c r="Q396" s="5"/>
      <c r="X396" t="str">
        <f t="shared" si="13"/>
        <v/>
      </c>
    </row>
    <row r="397" spans="1:24">
      <c r="A397" s="4"/>
      <c r="B397" s="31"/>
      <c r="C397" s="11" t="e">
        <f t="shared" si="12"/>
        <v>#N/A</v>
      </c>
      <c r="D397" s="5"/>
      <c r="E397" s="5"/>
      <c r="F397" s="5"/>
      <c r="G397" s="5"/>
      <c r="H397" s="5"/>
      <c r="I397" s="5"/>
      <c r="J397" s="5"/>
      <c r="K397" s="5"/>
      <c r="L397" s="5"/>
      <c r="M397" s="5"/>
      <c r="N397" s="5"/>
      <c r="O397" s="5"/>
      <c r="P397" s="5"/>
      <c r="Q397" s="5"/>
      <c r="X397" t="str">
        <f t="shared" si="13"/>
        <v/>
      </c>
    </row>
    <row r="398" spans="1:24">
      <c r="A398" s="4"/>
      <c r="B398" s="31"/>
      <c r="C398" s="11" t="e">
        <f t="shared" si="12"/>
        <v>#N/A</v>
      </c>
      <c r="D398" s="5"/>
      <c r="E398" s="5"/>
      <c r="F398" s="5"/>
      <c r="G398" s="5"/>
      <c r="H398" s="5"/>
      <c r="I398" s="5"/>
      <c r="J398" s="5"/>
      <c r="K398" s="5"/>
      <c r="L398" s="5"/>
      <c r="M398" s="5"/>
      <c r="N398" s="5"/>
      <c r="O398" s="5"/>
      <c r="P398" s="5"/>
      <c r="Q398" s="5"/>
      <c r="X398" t="str">
        <f t="shared" si="13"/>
        <v/>
      </c>
    </row>
    <row r="399" spans="1:24">
      <c r="A399" s="4"/>
      <c r="B399" s="31"/>
      <c r="C399" s="11" t="e">
        <f t="shared" si="12"/>
        <v>#N/A</v>
      </c>
      <c r="D399" s="5"/>
      <c r="E399" s="5"/>
      <c r="F399" s="5"/>
      <c r="G399" s="5"/>
      <c r="H399" s="5"/>
      <c r="I399" s="5"/>
      <c r="J399" s="5"/>
      <c r="K399" s="5"/>
      <c r="L399" s="5"/>
      <c r="M399" s="5"/>
      <c r="N399" s="5"/>
      <c r="O399" s="5"/>
      <c r="P399" s="5"/>
      <c r="Q399" s="5"/>
      <c r="X399" t="str">
        <f t="shared" si="13"/>
        <v/>
      </c>
    </row>
    <row r="400" spans="1:24">
      <c r="A400" s="4"/>
      <c r="B400" s="31"/>
      <c r="C400" s="11" t="e">
        <f t="shared" si="12"/>
        <v>#N/A</v>
      </c>
      <c r="D400" s="5"/>
      <c r="E400" s="5"/>
      <c r="F400" s="5"/>
      <c r="G400" s="5"/>
      <c r="H400" s="5"/>
      <c r="I400" s="5"/>
      <c r="J400" s="5"/>
      <c r="K400" s="5"/>
      <c r="L400" s="5"/>
      <c r="M400" s="5"/>
      <c r="N400" s="5"/>
      <c r="O400" s="5"/>
      <c r="P400" s="5"/>
      <c r="Q400" s="5"/>
      <c r="X400" t="str">
        <f t="shared" si="13"/>
        <v/>
      </c>
    </row>
    <row r="401" spans="1:24">
      <c r="A401" s="4"/>
      <c r="B401" s="31"/>
      <c r="C401" s="11" t="e">
        <f t="shared" si="12"/>
        <v>#N/A</v>
      </c>
      <c r="D401" s="5"/>
      <c r="E401" s="5"/>
      <c r="F401" s="5"/>
      <c r="G401" s="5"/>
      <c r="H401" s="5"/>
      <c r="I401" s="5"/>
      <c r="J401" s="5"/>
      <c r="K401" s="5"/>
      <c r="L401" s="5"/>
      <c r="M401" s="5"/>
      <c r="N401" s="5"/>
      <c r="O401" s="5"/>
      <c r="P401" s="5"/>
      <c r="Q401" s="5"/>
      <c r="X401" t="str">
        <f t="shared" si="13"/>
        <v/>
      </c>
    </row>
    <row r="402" spans="1:24">
      <c r="A402" s="4"/>
      <c r="B402" s="31"/>
      <c r="C402" s="11" t="e">
        <f t="shared" si="12"/>
        <v>#N/A</v>
      </c>
      <c r="D402" s="5"/>
      <c r="E402" s="5"/>
      <c r="F402" s="5"/>
      <c r="G402" s="5"/>
      <c r="H402" s="5"/>
      <c r="I402" s="5"/>
      <c r="J402" s="5"/>
      <c r="K402" s="5"/>
      <c r="L402" s="5"/>
      <c r="M402" s="5"/>
      <c r="N402" s="5"/>
      <c r="O402" s="5"/>
      <c r="P402" s="5"/>
      <c r="Q402" s="5"/>
      <c r="X402" t="str">
        <f t="shared" si="13"/>
        <v/>
      </c>
    </row>
    <row r="403" spans="1:24">
      <c r="A403" s="4"/>
      <c r="B403" s="31"/>
      <c r="C403" s="11" t="e">
        <f t="shared" si="12"/>
        <v>#N/A</v>
      </c>
      <c r="D403" s="5"/>
      <c r="E403" s="5"/>
      <c r="F403" s="5"/>
      <c r="G403" s="5"/>
      <c r="H403" s="5"/>
      <c r="I403" s="5"/>
      <c r="J403" s="5"/>
      <c r="K403" s="5"/>
      <c r="L403" s="5"/>
      <c r="M403" s="5"/>
      <c r="N403" s="5"/>
      <c r="O403" s="5"/>
      <c r="P403" s="5"/>
      <c r="Q403" s="5"/>
      <c r="X403" t="str">
        <f t="shared" si="13"/>
        <v/>
      </c>
    </row>
    <row r="404" spans="1:24">
      <c r="A404" s="4"/>
      <c r="B404" s="31"/>
      <c r="C404" s="11" t="e">
        <f t="shared" si="12"/>
        <v>#N/A</v>
      </c>
      <c r="D404" s="5"/>
      <c r="E404" s="5"/>
      <c r="F404" s="5"/>
      <c r="G404" s="5"/>
      <c r="H404" s="5"/>
      <c r="I404" s="5"/>
      <c r="J404" s="5"/>
      <c r="K404" s="5"/>
      <c r="L404" s="5"/>
      <c r="M404" s="5"/>
      <c r="N404" s="5"/>
      <c r="O404" s="5"/>
      <c r="P404" s="5"/>
      <c r="Q404" s="5"/>
      <c r="X404" t="str">
        <f t="shared" si="13"/>
        <v/>
      </c>
    </row>
    <row r="405" spans="1:24">
      <c r="A405" s="4"/>
      <c r="B405" s="31"/>
      <c r="C405" s="11" t="e">
        <f t="shared" si="12"/>
        <v>#N/A</v>
      </c>
      <c r="D405" s="5"/>
      <c r="E405" s="5"/>
      <c r="F405" s="5"/>
      <c r="G405" s="5"/>
      <c r="H405" s="5"/>
      <c r="I405" s="5"/>
      <c r="J405" s="5"/>
      <c r="K405" s="5"/>
      <c r="L405" s="5"/>
      <c r="M405" s="5"/>
      <c r="N405" s="5"/>
      <c r="O405" s="5"/>
      <c r="P405" s="5"/>
      <c r="Q405" s="5"/>
      <c r="X405" t="str">
        <f t="shared" si="13"/>
        <v/>
      </c>
    </row>
    <row r="406" spans="1:24">
      <c r="A406" s="4"/>
      <c r="B406" s="31"/>
      <c r="C406" s="11" t="e">
        <f t="shared" si="12"/>
        <v>#N/A</v>
      </c>
      <c r="D406" s="5"/>
      <c r="E406" s="5"/>
      <c r="F406" s="5"/>
      <c r="G406" s="5"/>
      <c r="H406" s="5"/>
      <c r="I406" s="5"/>
      <c r="J406" s="5"/>
      <c r="K406" s="5"/>
      <c r="L406" s="5"/>
      <c r="M406" s="5"/>
      <c r="N406" s="5"/>
      <c r="O406" s="5"/>
      <c r="P406" s="5"/>
      <c r="Q406" s="5"/>
      <c r="X406" t="str">
        <f t="shared" si="13"/>
        <v/>
      </c>
    </row>
    <row r="407" spans="1:24">
      <c r="A407" s="4"/>
      <c r="B407" s="31"/>
      <c r="C407" s="11" t="e">
        <f t="shared" si="12"/>
        <v>#N/A</v>
      </c>
      <c r="D407" s="5"/>
      <c r="E407" s="5"/>
      <c r="F407" s="5"/>
      <c r="G407" s="5"/>
      <c r="H407" s="5"/>
      <c r="I407" s="5"/>
      <c r="J407" s="5"/>
      <c r="K407" s="5"/>
      <c r="L407" s="5"/>
      <c r="M407" s="5"/>
      <c r="N407" s="5"/>
      <c r="O407" s="5"/>
      <c r="P407" s="5"/>
      <c r="Q407" s="5"/>
      <c r="X407" t="str">
        <f t="shared" si="13"/>
        <v/>
      </c>
    </row>
    <row r="408" spans="1:24">
      <c r="A408" s="4"/>
      <c r="B408" s="31"/>
      <c r="C408" s="11" t="e">
        <f t="shared" si="12"/>
        <v>#N/A</v>
      </c>
      <c r="D408" s="5"/>
      <c r="E408" s="5"/>
      <c r="F408" s="5"/>
      <c r="G408" s="5"/>
      <c r="H408" s="5"/>
      <c r="I408" s="5"/>
      <c r="J408" s="5"/>
      <c r="K408" s="5"/>
      <c r="L408" s="5"/>
      <c r="M408" s="5"/>
      <c r="N408" s="5"/>
      <c r="O408" s="5"/>
      <c r="P408" s="5"/>
      <c r="Q408" s="5"/>
      <c r="X408" t="str">
        <f t="shared" si="13"/>
        <v/>
      </c>
    </row>
    <row r="409" spans="1:24">
      <c r="A409" s="4"/>
      <c r="B409" s="31"/>
      <c r="C409" s="11" t="e">
        <f t="shared" si="12"/>
        <v>#N/A</v>
      </c>
      <c r="D409" s="5"/>
      <c r="E409" s="5"/>
      <c r="F409" s="5"/>
      <c r="G409" s="5"/>
      <c r="H409" s="5"/>
      <c r="I409" s="5"/>
      <c r="J409" s="5"/>
      <c r="K409" s="5"/>
      <c r="L409" s="5"/>
      <c r="M409" s="5"/>
      <c r="N409" s="5"/>
      <c r="O409" s="5"/>
      <c r="P409" s="5"/>
      <c r="Q409" s="5"/>
      <c r="X409" t="str">
        <f t="shared" si="13"/>
        <v/>
      </c>
    </row>
    <row r="410" spans="1:24">
      <c r="A410" s="4"/>
      <c r="B410" s="31"/>
      <c r="C410" s="11" t="e">
        <f t="shared" si="12"/>
        <v>#N/A</v>
      </c>
      <c r="D410" s="5"/>
      <c r="E410" s="5"/>
      <c r="F410" s="5"/>
      <c r="G410" s="5"/>
      <c r="H410" s="5"/>
      <c r="I410" s="5"/>
      <c r="J410" s="5"/>
      <c r="K410" s="5"/>
      <c r="L410" s="5"/>
      <c r="M410" s="5"/>
      <c r="N410" s="5"/>
      <c r="O410" s="5"/>
      <c r="P410" s="5"/>
      <c r="Q410" s="5"/>
      <c r="X410" t="str">
        <f t="shared" si="13"/>
        <v/>
      </c>
    </row>
    <row r="411" spans="1:24">
      <c r="A411" s="4"/>
      <c r="B411" s="31"/>
      <c r="C411" s="11" t="e">
        <f t="shared" si="12"/>
        <v>#N/A</v>
      </c>
      <c r="D411" s="5"/>
      <c r="E411" s="5"/>
      <c r="F411" s="5"/>
      <c r="G411" s="5"/>
      <c r="H411" s="5"/>
      <c r="I411" s="5"/>
      <c r="J411" s="5"/>
      <c r="K411" s="5"/>
      <c r="L411" s="5"/>
      <c r="M411" s="5"/>
      <c r="N411" s="5"/>
      <c r="O411" s="5"/>
      <c r="P411" s="5"/>
      <c r="Q411" s="5"/>
      <c r="X411" t="str">
        <f t="shared" si="13"/>
        <v/>
      </c>
    </row>
    <row r="412" spans="1:24">
      <c r="A412" s="4"/>
      <c r="B412" s="31"/>
      <c r="C412" s="11" t="e">
        <f t="shared" si="12"/>
        <v>#N/A</v>
      </c>
      <c r="D412" s="5"/>
      <c r="E412" s="5"/>
      <c r="F412" s="5"/>
      <c r="G412" s="5"/>
      <c r="H412" s="5"/>
      <c r="I412" s="5"/>
      <c r="J412" s="5"/>
      <c r="K412" s="5"/>
      <c r="L412" s="5"/>
      <c r="M412" s="5"/>
      <c r="N412" s="5"/>
      <c r="O412" s="5"/>
      <c r="P412" s="5"/>
      <c r="Q412" s="5"/>
      <c r="X412" t="str">
        <f t="shared" si="13"/>
        <v/>
      </c>
    </row>
    <row r="413" spans="1:24">
      <c r="A413" s="4"/>
      <c r="B413" s="31"/>
      <c r="C413" s="11" t="e">
        <f t="shared" si="12"/>
        <v>#N/A</v>
      </c>
      <c r="D413" s="5"/>
      <c r="E413" s="5"/>
      <c r="F413" s="5"/>
      <c r="G413" s="5"/>
      <c r="H413" s="5"/>
      <c r="I413" s="5"/>
      <c r="J413" s="5"/>
      <c r="K413" s="5"/>
      <c r="L413" s="5"/>
      <c r="M413" s="5"/>
      <c r="N413" s="5"/>
      <c r="O413" s="5"/>
      <c r="P413" s="5"/>
      <c r="Q413" s="5"/>
      <c r="X413" t="str">
        <f t="shared" si="13"/>
        <v/>
      </c>
    </row>
    <row r="414" spans="1:24">
      <c r="A414" s="4"/>
      <c r="B414" s="31"/>
      <c r="C414" s="11" t="e">
        <f t="shared" si="12"/>
        <v>#N/A</v>
      </c>
      <c r="D414" s="5"/>
      <c r="E414" s="5"/>
      <c r="F414" s="5"/>
      <c r="G414" s="5"/>
      <c r="H414" s="5"/>
      <c r="I414" s="5"/>
      <c r="J414" s="5"/>
      <c r="K414" s="5"/>
      <c r="L414" s="5"/>
      <c r="M414" s="5"/>
      <c r="N414" s="5"/>
      <c r="O414" s="5"/>
      <c r="P414" s="5"/>
      <c r="Q414" s="5"/>
      <c r="X414" t="str">
        <f t="shared" si="13"/>
        <v/>
      </c>
    </row>
    <row r="415" spans="1:24">
      <c r="A415" s="4"/>
      <c r="B415" s="31"/>
      <c r="C415" s="11" t="e">
        <f t="shared" si="12"/>
        <v>#N/A</v>
      </c>
      <c r="D415" s="5"/>
      <c r="E415" s="5"/>
      <c r="F415" s="5"/>
      <c r="G415" s="5"/>
      <c r="H415" s="5"/>
      <c r="I415" s="5"/>
      <c r="J415" s="5"/>
      <c r="K415" s="5"/>
      <c r="L415" s="5"/>
      <c r="M415" s="5"/>
      <c r="N415" s="5"/>
      <c r="O415" s="5"/>
      <c r="P415" s="5"/>
      <c r="Q415" s="5"/>
      <c r="X415" t="str">
        <f t="shared" si="13"/>
        <v/>
      </c>
    </row>
    <row r="416" spans="1:24">
      <c r="A416" s="4"/>
      <c r="B416" s="31"/>
      <c r="C416" s="11" t="e">
        <f t="shared" si="12"/>
        <v>#N/A</v>
      </c>
      <c r="D416" s="5"/>
      <c r="E416" s="5"/>
      <c r="F416" s="5"/>
      <c r="G416" s="5"/>
      <c r="H416" s="5"/>
      <c r="I416" s="5"/>
      <c r="J416" s="5"/>
      <c r="K416" s="5"/>
      <c r="L416" s="5"/>
      <c r="M416" s="5"/>
      <c r="N416" s="5"/>
      <c r="O416" s="5"/>
      <c r="P416" s="5"/>
      <c r="Q416" s="5"/>
      <c r="X416" t="str">
        <f t="shared" si="13"/>
        <v/>
      </c>
    </row>
    <row r="417" spans="1:24">
      <c r="A417" s="4"/>
      <c r="B417" s="31"/>
      <c r="C417" s="11" t="e">
        <f t="shared" si="12"/>
        <v>#N/A</v>
      </c>
      <c r="D417" s="5"/>
      <c r="E417" s="5"/>
      <c r="F417" s="5"/>
      <c r="G417" s="5"/>
      <c r="H417" s="5"/>
      <c r="I417" s="5"/>
      <c r="J417" s="5"/>
      <c r="K417" s="5"/>
      <c r="L417" s="5"/>
      <c r="M417" s="5"/>
      <c r="N417" s="5"/>
      <c r="O417" s="5"/>
      <c r="P417" s="5"/>
      <c r="Q417" s="5"/>
      <c r="X417" t="str">
        <f t="shared" si="13"/>
        <v/>
      </c>
    </row>
    <row r="418" spans="1:24">
      <c r="A418" s="4"/>
      <c r="B418" s="31"/>
      <c r="C418" s="11" t="e">
        <f t="shared" si="12"/>
        <v>#N/A</v>
      </c>
      <c r="D418" s="5"/>
      <c r="E418" s="5"/>
      <c r="F418" s="5"/>
      <c r="G418" s="5"/>
      <c r="H418" s="5"/>
      <c r="I418" s="5"/>
      <c r="J418" s="5"/>
      <c r="K418" s="5"/>
      <c r="L418" s="5"/>
      <c r="M418" s="5"/>
      <c r="N418" s="5"/>
      <c r="O418" s="5"/>
      <c r="P418" s="5"/>
      <c r="Q418" s="5"/>
      <c r="X418" t="str">
        <f t="shared" si="13"/>
        <v/>
      </c>
    </row>
    <row r="419" spans="1:24">
      <c r="A419" s="4"/>
      <c r="B419" s="31"/>
      <c r="C419" s="11" t="e">
        <f t="shared" si="12"/>
        <v>#N/A</v>
      </c>
      <c r="D419" s="5"/>
      <c r="E419" s="5"/>
      <c r="F419" s="5"/>
      <c r="G419" s="5"/>
      <c r="H419" s="5"/>
      <c r="I419" s="5"/>
      <c r="J419" s="5"/>
      <c r="K419" s="5"/>
      <c r="L419" s="5"/>
      <c r="M419" s="5"/>
      <c r="N419" s="5"/>
      <c r="O419" s="5"/>
      <c r="P419" s="5"/>
      <c r="Q419" s="5"/>
      <c r="X419" t="str">
        <f t="shared" si="13"/>
        <v/>
      </c>
    </row>
    <row r="420" spans="1:24">
      <c r="A420" s="4"/>
      <c r="B420" s="31"/>
      <c r="C420" s="11" t="e">
        <f t="shared" si="12"/>
        <v>#N/A</v>
      </c>
      <c r="D420" s="5"/>
      <c r="E420" s="5"/>
      <c r="F420" s="5"/>
      <c r="G420" s="5"/>
      <c r="H420" s="5"/>
      <c r="I420" s="5"/>
      <c r="J420" s="5"/>
      <c r="K420" s="5"/>
      <c r="L420" s="5"/>
      <c r="M420" s="5"/>
      <c r="N420" s="5"/>
      <c r="O420" s="5"/>
      <c r="P420" s="5"/>
      <c r="Q420" s="5"/>
      <c r="X420" t="str">
        <f t="shared" si="13"/>
        <v/>
      </c>
    </row>
    <row r="421" spans="1:24">
      <c r="A421" s="4"/>
      <c r="B421" s="31"/>
      <c r="C421" s="11" t="e">
        <f t="shared" si="12"/>
        <v>#N/A</v>
      </c>
      <c r="D421" s="5"/>
      <c r="E421" s="5"/>
      <c r="F421" s="5"/>
      <c r="G421" s="5"/>
      <c r="H421" s="5"/>
      <c r="I421" s="5"/>
      <c r="J421" s="5"/>
      <c r="K421" s="5"/>
      <c r="L421" s="5"/>
      <c r="M421" s="5"/>
      <c r="N421" s="5"/>
      <c r="O421" s="5"/>
      <c r="P421" s="5"/>
      <c r="Q421" s="5"/>
      <c r="X421" t="str">
        <f t="shared" si="13"/>
        <v/>
      </c>
    </row>
    <row r="422" spans="1:24">
      <c r="A422" s="4"/>
      <c r="B422" s="31"/>
      <c r="C422" s="11" t="e">
        <f t="shared" si="12"/>
        <v>#N/A</v>
      </c>
      <c r="D422" s="5"/>
      <c r="E422" s="5"/>
      <c r="F422" s="5"/>
      <c r="G422" s="5"/>
      <c r="H422" s="5"/>
      <c r="I422" s="5"/>
      <c r="J422" s="5"/>
      <c r="K422" s="5"/>
      <c r="L422" s="5"/>
      <c r="M422" s="5"/>
      <c r="N422" s="5"/>
      <c r="O422" s="5"/>
      <c r="P422" s="5"/>
      <c r="Q422" s="5"/>
      <c r="X422" t="str">
        <f t="shared" si="13"/>
        <v/>
      </c>
    </row>
    <row r="423" spans="1:24">
      <c r="A423" s="4"/>
      <c r="B423" s="31"/>
      <c r="C423" s="11" t="e">
        <f t="shared" si="12"/>
        <v>#N/A</v>
      </c>
      <c r="D423" s="5"/>
      <c r="E423" s="5"/>
      <c r="F423" s="5"/>
      <c r="G423" s="5"/>
      <c r="H423" s="5"/>
      <c r="I423" s="5"/>
      <c r="J423" s="5"/>
      <c r="K423" s="5"/>
      <c r="L423" s="5"/>
      <c r="M423" s="5"/>
      <c r="N423" s="5"/>
      <c r="O423" s="5"/>
      <c r="P423" s="5"/>
      <c r="Q423" s="5"/>
      <c r="X423" t="str">
        <f t="shared" si="13"/>
        <v/>
      </c>
    </row>
    <row r="424" spans="1:24">
      <c r="A424" s="4"/>
      <c r="B424" s="31"/>
      <c r="C424" s="11" t="e">
        <f t="shared" si="12"/>
        <v>#N/A</v>
      </c>
      <c r="D424" s="5"/>
      <c r="E424" s="5"/>
      <c r="F424" s="5"/>
      <c r="G424" s="5"/>
      <c r="H424" s="5"/>
      <c r="I424" s="5"/>
      <c r="J424" s="5"/>
      <c r="K424" s="5"/>
      <c r="L424" s="5"/>
      <c r="M424" s="5"/>
      <c r="N424" s="5"/>
      <c r="O424" s="5"/>
      <c r="P424" s="5"/>
      <c r="Q424" s="5"/>
      <c r="X424" t="str">
        <f t="shared" si="13"/>
        <v/>
      </c>
    </row>
    <row r="425" spans="1:24">
      <c r="A425" s="4"/>
      <c r="B425" s="31"/>
      <c r="C425" s="11" t="e">
        <f t="shared" si="12"/>
        <v>#N/A</v>
      </c>
      <c r="D425" s="5"/>
      <c r="E425" s="5"/>
      <c r="F425" s="5"/>
      <c r="G425" s="5"/>
      <c r="H425" s="5"/>
      <c r="I425" s="5"/>
      <c r="J425" s="5"/>
      <c r="K425" s="5"/>
      <c r="L425" s="5"/>
      <c r="M425" s="5"/>
      <c r="N425" s="5"/>
      <c r="O425" s="5"/>
      <c r="P425" s="5"/>
      <c r="Q425" s="5"/>
      <c r="X425" t="str">
        <f t="shared" si="13"/>
        <v/>
      </c>
    </row>
    <row r="426" spans="1:24">
      <c r="A426" s="4"/>
      <c r="B426" s="31"/>
      <c r="C426" s="11" t="e">
        <f t="shared" si="12"/>
        <v>#N/A</v>
      </c>
      <c r="D426" s="5"/>
      <c r="E426" s="5"/>
      <c r="F426" s="5"/>
      <c r="G426" s="5"/>
      <c r="H426" s="5"/>
      <c r="I426" s="5"/>
      <c r="J426" s="5"/>
      <c r="K426" s="5"/>
      <c r="L426" s="5"/>
      <c r="M426" s="5"/>
      <c r="N426" s="5"/>
      <c r="O426" s="5"/>
      <c r="P426" s="5"/>
      <c r="Q426" s="5"/>
      <c r="X426" t="str">
        <f t="shared" si="13"/>
        <v/>
      </c>
    </row>
    <row r="427" spans="1:24">
      <c r="A427" s="4"/>
      <c r="B427" s="31"/>
      <c r="C427" s="11" t="e">
        <f t="shared" si="12"/>
        <v>#N/A</v>
      </c>
      <c r="D427" s="5"/>
      <c r="E427" s="5"/>
      <c r="F427" s="5"/>
      <c r="G427" s="5"/>
      <c r="H427" s="5"/>
      <c r="I427" s="5"/>
      <c r="J427" s="5"/>
      <c r="K427" s="5"/>
      <c r="L427" s="5"/>
      <c r="M427" s="5"/>
      <c r="N427" s="5"/>
      <c r="O427" s="5"/>
      <c r="P427" s="5"/>
      <c r="Q427" s="5"/>
      <c r="X427" t="str">
        <f t="shared" si="13"/>
        <v/>
      </c>
    </row>
    <row r="428" spans="1:24">
      <c r="A428" s="4"/>
      <c r="B428" s="31"/>
      <c r="C428" s="11" t="e">
        <f t="shared" si="12"/>
        <v>#N/A</v>
      </c>
      <c r="D428" s="5"/>
      <c r="E428" s="5"/>
      <c r="F428" s="5"/>
      <c r="G428" s="5"/>
      <c r="H428" s="5"/>
      <c r="I428" s="5"/>
      <c r="J428" s="5"/>
      <c r="K428" s="5"/>
      <c r="L428" s="5"/>
      <c r="M428" s="5"/>
      <c r="N428" s="5"/>
      <c r="O428" s="5"/>
      <c r="P428" s="5"/>
      <c r="Q428" s="5"/>
      <c r="X428" t="str">
        <f t="shared" si="13"/>
        <v/>
      </c>
    </row>
    <row r="429" spans="1:24">
      <c r="A429" s="4"/>
      <c r="B429" s="31"/>
      <c r="C429" s="11" t="e">
        <f t="shared" si="12"/>
        <v>#N/A</v>
      </c>
      <c r="D429" s="5"/>
      <c r="E429" s="5"/>
      <c r="F429" s="5"/>
      <c r="G429" s="5"/>
      <c r="H429" s="5"/>
      <c r="I429" s="5"/>
      <c r="J429" s="5"/>
      <c r="K429" s="5"/>
      <c r="L429" s="5"/>
      <c r="M429" s="5"/>
      <c r="N429" s="5"/>
      <c r="O429" s="5"/>
      <c r="P429" s="5"/>
      <c r="Q429" s="5"/>
      <c r="X429" t="str">
        <f t="shared" si="13"/>
        <v/>
      </c>
    </row>
    <row r="430" spans="1:24">
      <c r="A430" s="4"/>
      <c r="B430" s="31"/>
      <c r="C430" s="11" t="e">
        <f t="shared" si="12"/>
        <v>#N/A</v>
      </c>
      <c r="D430" s="5"/>
      <c r="E430" s="5"/>
      <c r="F430" s="5"/>
      <c r="G430" s="5"/>
      <c r="H430" s="5"/>
      <c r="I430" s="5"/>
      <c r="J430" s="5"/>
      <c r="K430" s="5"/>
      <c r="L430" s="5"/>
      <c r="M430" s="5"/>
      <c r="N430" s="5"/>
      <c r="O430" s="5"/>
      <c r="P430" s="5"/>
      <c r="Q430" s="5"/>
      <c r="X430" t="str">
        <f t="shared" si="13"/>
        <v/>
      </c>
    </row>
    <row r="431" spans="1:24">
      <c r="A431" s="4"/>
      <c r="B431" s="31"/>
      <c r="C431" s="11" t="e">
        <f t="shared" si="12"/>
        <v>#N/A</v>
      </c>
      <c r="D431" s="5"/>
      <c r="E431" s="5"/>
      <c r="F431" s="5"/>
      <c r="G431" s="5"/>
      <c r="H431" s="5"/>
      <c r="I431" s="5"/>
      <c r="J431" s="5"/>
      <c r="K431" s="5"/>
      <c r="L431" s="5"/>
      <c r="M431" s="5"/>
      <c r="N431" s="5"/>
      <c r="O431" s="5"/>
      <c r="P431" s="5"/>
      <c r="Q431" s="5"/>
      <c r="X431" t="str">
        <f t="shared" si="13"/>
        <v/>
      </c>
    </row>
    <row r="432" spans="1:24">
      <c r="A432" s="4"/>
      <c r="B432" s="31"/>
      <c r="C432" s="11" t="e">
        <f t="shared" si="12"/>
        <v>#N/A</v>
      </c>
      <c r="D432" s="5"/>
      <c r="E432" s="5"/>
      <c r="F432" s="5"/>
      <c r="G432" s="5"/>
      <c r="H432" s="5"/>
      <c r="I432" s="5"/>
      <c r="J432" s="5"/>
      <c r="K432" s="5"/>
      <c r="L432" s="5"/>
      <c r="M432" s="5"/>
      <c r="N432" s="5"/>
      <c r="O432" s="5"/>
      <c r="P432" s="5"/>
      <c r="Q432" s="5"/>
      <c r="X432" t="str">
        <f t="shared" si="13"/>
        <v/>
      </c>
    </row>
    <row r="433" spans="1:24">
      <c r="A433" s="4"/>
      <c r="B433" s="31"/>
      <c r="C433" s="11" t="e">
        <f t="shared" si="12"/>
        <v>#N/A</v>
      </c>
      <c r="D433" s="5"/>
      <c r="E433" s="5"/>
      <c r="F433" s="5"/>
      <c r="G433" s="5"/>
      <c r="H433" s="5"/>
      <c r="I433" s="5"/>
      <c r="J433" s="5"/>
      <c r="K433" s="5"/>
      <c r="L433" s="5"/>
      <c r="M433" s="5"/>
      <c r="N433" s="5"/>
      <c r="O433" s="5"/>
      <c r="P433" s="5"/>
      <c r="Q433" s="5"/>
      <c r="X433" t="str">
        <f t="shared" si="13"/>
        <v/>
      </c>
    </row>
    <row r="434" spans="1:24">
      <c r="A434" s="4"/>
      <c r="B434" s="31"/>
      <c r="C434" s="11" t="e">
        <f t="shared" si="12"/>
        <v>#N/A</v>
      </c>
      <c r="D434" s="5"/>
      <c r="E434" s="5"/>
      <c r="F434" s="5"/>
      <c r="G434" s="5"/>
      <c r="H434" s="5"/>
      <c r="I434" s="5"/>
      <c r="J434" s="5"/>
      <c r="K434" s="5"/>
      <c r="L434" s="5"/>
      <c r="M434" s="5"/>
      <c r="N434" s="5"/>
      <c r="O434" s="5"/>
      <c r="P434" s="5"/>
      <c r="Q434" s="5"/>
      <c r="X434" t="str">
        <f t="shared" si="13"/>
        <v/>
      </c>
    </row>
    <row r="435" spans="1:24">
      <c r="A435" s="4"/>
      <c r="B435" s="31"/>
      <c r="C435" s="11" t="e">
        <f t="shared" si="12"/>
        <v>#N/A</v>
      </c>
      <c r="D435" s="5"/>
      <c r="E435" s="5"/>
      <c r="F435" s="5"/>
      <c r="G435" s="5"/>
      <c r="H435" s="5"/>
      <c r="I435" s="5"/>
      <c r="J435" s="5"/>
      <c r="K435" s="5"/>
      <c r="L435" s="5"/>
      <c r="M435" s="5"/>
      <c r="N435" s="5"/>
      <c r="O435" s="5"/>
      <c r="P435" s="5"/>
      <c r="Q435" s="5"/>
      <c r="X435" t="str">
        <f t="shared" si="13"/>
        <v/>
      </c>
    </row>
    <row r="436" spans="1:24">
      <c r="A436" s="4"/>
      <c r="B436" s="31"/>
      <c r="C436" s="11" t="e">
        <f t="shared" si="12"/>
        <v>#N/A</v>
      </c>
      <c r="D436" s="5"/>
      <c r="E436" s="5"/>
      <c r="F436" s="5"/>
      <c r="G436" s="5"/>
      <c r="H436" s="5"/>
      <c r="I436" s="5"/>
      <c r="J436" s="5"/>
      <c r="K436" s="5"/>
      <c r="L436" s="5"/>
      <c r="M436" s="5"/>
      <c r="N436" s="5"/>
      <c r="O436" s="5"/>
      <c r="P436" s="5"/>
      <c r="Q436" s="5"/>
      <c r="X436" t="str">
        <f t="shared" si="13"/>
        <v/>
      </c>
    </row>
    <row r="437" spans="1:24">
      <c r="A437" s="4"/>
      <c r="B437" s="31"/>
      <c r="C437" s="11" t="e">
        <f t="shared" si="12"/>
        <v>#N/A</v>
      </c>
      <c r="D437" s="5"/>
      <c r="E437" s="5"/>
      <c r="F437" s="5"/>
      <c r="G437" s="5"/>
      <c r="H437" s="5"/>
      <c r="I437" s="5"/>
      <c r="J437" s="5"/>
      <c r="K437" s="5"/>
      <c r="L437" s="5"/>
      <c r="M437" s="5"/>
      <c r="N437" s="5"/>
      <c r="O437" s="5"/>
      <c r="P437" s="5"/>
      <c r="Q437" s="5"/>
      <c r="X437" t="str">
        <f t="shared" si="13"/>
        <v/>
      </c>
    </row>
    <row r="438" spans="1:24">
      <c r="A438" s="4"/>
      <c r="B438" s="31"/>
      <c r="C438" s="11" t="e">
        <f t="shared" si="12"/>
        <v>#N/A</v>
      </c>
      <c r="D438" s="5"/>
      <c r="E438" s="5"/>
      <c r="F438" s="5"/>
      <c r="G438" s="5"/>
      <c r="H438" s="5"/>
      <c r="I438" s="5"/>
      <c r="J438" s="5"/>
      <c r="K438" s="5"/>
      <c r="L438" s="5"/>
      <c r="M438" s="5"/>
      <c r="N438" s="5"/>
      <c r="O438" s="5"/>
      <c r="P438" s="5"/>
      <c r="Q438" s="5"/>
      <c r="X438" t="str">
        <f t="shared" si="13"/>
        <v/>
      </c>
    </row>
    <row r="439" spans="1:24">
      <c r="A439" s="4"/>
      <c r="B439" s="31"/>
      <c r="C439" s="11" t="e">
        <f t="shared" si="12"/>
        <v>#N/A</v>
      </c>
      <c r="D439" s="5"/>
      <c r="E439" s="5"/>
      <c r="F439" s="5"/>
      <c r="G439" s="5"/>
      <c r="H439" s="5"/>
      <c r="I439" s="5"/>
      <c r="J439" s="5"/>
      <c r="K439" s="5"/>
      <c r="L439" s="5"/>
      <c r="M439" s="5"/>
      <c r="N439" s="5"/>
      <c r="O439" s="5"/>
      <c r="P439" s="5"/>
      <c r="Q439" s="5"/>
      <c r="X439" t="str">
        <f t="shared" si="13"/>
        <v/>
      </c>
    </row>
    <row r="440" spans="1:24">
      <c r="A440" s="4"/>
      <c r="B440" s="31"/>
      <c r="C440" s="11" t="e">
        <f t="shared" si="12"/>
        <v>#N/A</v>
      </c>
      <c r="D440" s="5"/>
      <c r="E440" s="5"/>
      <c r="F440" s="5"/>
      <c r="G440" s="5"/>
      <c r="H440" s="5"/>
      <c r="I440" s="5"/>
      <c r="J440" s="5"/>
      <c r="K440" s="5"/>
      <c r="L440" s="5"/>
      <c r="M440" s="5"/>
      <c r="N440" s="5"/>
      <c r="O440" s="5"/>
      <c r="P440" s="5"/>
      <c r="Q440" s="5"/>
      <c r="X440" t="str">
        <f t="shared" si="13"/>
        <v/>
      </c>
    </row>
    <row r="441" spans="1:24">
      <c r="A441" s="4"/>
      <c r="B441" s="31"/>
      <c r="C441" s="11" t="e">
        <f t="shared" si="12"/>
        <v>#N/A</v>
      </c>
      <c r="D441" s="5"/>
      <c r="E441" s="5"/>
      <c r="F441" s="5"/>
      <c r="G441" s="5"/>
      <c r="H441" s="5"/>
      <c r="I441" s="5"/>
      <c r="J441" s="5"/>
      <c r="K441" s="5"/>
      <c r="L441" s="5"/>
      <c r="M441" s="5"/>
      <c r="N441" s="5"/>
      <c r="O441" s="5"/>
      <c r="P441" s="5"/>
      <c r="Q441" s="5"/>
      <c r="X441" t="str">
        <f t="shared" si="13"/>
        <v/>
      </c>
    </row>
    <row r="442" spans="1:24">
      <c r="A442" s="4"/>
      <c r="B442" s="31"/>
      <c r="C442" s="11" t="e">
        <f t="shared" si="12"/>
        <v>#N/A</v>
      </c>
      <c r="D442" s="5"/>
      <c r="E442" s="5"/>
      <c r="F442" s="5"/>
      <c r="G442" s="5"/>
      <c r="H442" s="5"/>
      <c r="I442" s="5"/>
      <c r="J442" s="5"/>
      <c r="K442" s="5"/>
      <c r="L442" s="5"/>
      <c r="M442" s="5"/>
      <c r="N442" s="5"/>
      <c r="O442" s="5"/>
      <c r="P442" s="5"/>
      <c r="Q442" s="5"/>
      <c r="X442" t="str">
        <f t="shared" si="13"/>
        <v/>
      </c>
    </row>
    <row r="443" spans="1:24">
      <c r="A443" s="4"/>
      <c r="B443" s="31"/>
      <c r="C443" s="11" t="e">
        <f t="shared" si="12"/>
        <v>#N/A</v>
      </c>
      <c r="D443" s="5"/>
      <c r="E443" s="5"/>
      <c r="F443" s="5"/>
      <c r="G443" s="5"/>
      <c r="H443" s="5"/>
      <c r="I443" s="5"/>
      <c r="J443" s="5"/>
      <c r="K443" s="5"/>
      <c r="L443" s="5"/>
      <c r="M443" s="5"/>
      <c r="N443" s="5"/>
      <c r="O443" s="5"/>
      <c r="P443" s="5"/>
      <c r="Q443" s="5"/>
      <c r="X443" t="str">
        <f t="shared" si="13"/>
        <v/>
      </c>
    </row>
    <row r="444" spans="1:24">
      <c r="A444" s="4"/>
      <c r="B444" s="31"/>
      <c r="C444" s="11" t="e">
        <f t="shared" si="12"/>
        <v>#N/A</v>
      </c>
      <c r="D444" s="5"/>
      <c r="E444" s="5"/>
      <c r="F444" s="5"/>
      <c r="G444" s="5"/>
      <c r="H444" s="5"/>
      <c r="I444" s="5"/>
      <c r="J444" s="5"/>
      <c r="K444" s="5"/>
      <c r="L444" s="5"/>
      <c r="M444" s="5"/>
      <c r="N444" s="5"/>
      <c r="O444" s="5"/>
      <c r="P444" s="5"/>
      <c r="Q444" s="5"/>
      <c r="X444" t="str">
        <f t="shared" si="13"/>
        <v/>
      </c>
    </row>
    <row r="445" spans="1:24">
      <c r="A445" s="4"/>
      <c r="B445" s="31"/>
      <c r="C445" s="11" t="e">
        <f t="shared" si="12"/>
        <v>#N/A</v>
      </c>
      <c r="D445" s="5"/>
      <c r="E445" s="5"/>
      <c r="F445" s="5"/>
      <c r="G445" s="5"/>
      <c r="H445" s="5"/>
      <c r="I445" s="5"/>
      <c r="J445" s="5"/>
      <c r="K445" s="5"/>
      <c r="L445" s="5"/>
      <c r="M445" s="5"/>
      <c r="N445" s="5"/>
      <c r="O445" s="5"/>
      <c r="P445" s="5"/>
      <c r="Q445" s="5"/>
      <c r="X445" t="str">
        <f t="shared" si="13"/>
        <v/>
      </c>
    </row>
    <row r="446" spans="1:24">
      <c r="A446" s="4"/>
      <c r="B446" s="31"/>
      <c r="C446" s="11" t="e">
        <f t="shared" si="12"/>
        <v>#N/A</v>
      </c>
      <c r="D446" s="5"/>
      <c r="E446" s="5"/>
      <c r="F446" s="5"/>
      <c r="G446" s="5"/>
      <c r="H446" s="5"/>
      <c r="I446" s="5"/>
      <c r="J446" s="5"/>
      <c r="K446" s="5"/>
      <c r="L446" s="5"/>
      <c r="M446" s="5"/>
      <c r="N446" s="5"/>
      <c r="O446" s="5"/>
      <c r="P446" s="5"/>
      <c r="Q446" s="5"/>
      <c r="X446" t="str">
        <f t="shared" si="13"/>
        <v/>
      </c>
    </row>
    <row r="447" spans="1:24">
      <c r="A447" s="4"/>
      <c r="B447" s="31"/>
      <c r="C447" s="11" t="e">
        <f t="shared" si="12"/>
        <v>#N/A</v>
      </c>
      <c r="D447" s="5"/>
      <c r="E447" s="5"/>
      <c r="F447" s="5"/>
      <c r="G447" s="5"/>
      <c r="H447" s="5"/>
      <c r="I447" s="5"/>
      <c r="J447" s="5"/>
      <c r="K447" s="5"/>
      <c r="L447" s="5"/>
      <c r="M447" s="5"/>
      <c r="N447" s="5"/>
      <c r="O447" s="5"/>
      <c r="P447" s="5"/>
      <c r="Q447" s="5"/>
      <c r="X447" t="str">
        <f t="shared" si="13"/>
        <v/>
      </c>
    </row>
    <row r="448" spans="1:24">
      <c r="A448" s="4"/>
      <c r="B448" s="31"/>
      <c r="C448" s="11" t="e">
        <f t="shared" si="12"/>
        <v>#N/A</v>
      </c>
      <c r="D448" s="5"/>
      <c r="E448" s="5"/>
      <c r="F448" s="5"/>
      <c r="G448" s="5"/>
      <c r="H448" s="5"/>
      <c r="I448" s="5"/>
      <c r="J448" s="5"/>
      <c r="K448" s="5"/>
      <c r="L448" s="5"/>
      <c r="M448" s="5"/>
      <c r="N448" s="5"/>
      <c r="O448" s="5"/>
      <c r="P448" s="5"/>
      <c r="Q448" s="5"/>
      <c r="X448" t="str">
        <f t="shared" si="13"/>
        <v/>
      </c>
    </row>
    <row r="449" spans="1:24">
      <c r="A449" s="4"/>
      <c r="B449" s="31"/>
      <c r="C449" s="11" t="e">
        <f t="shared" si="12"/>
        <v>#N/A</v>
      </c>
      <c r="D449" s="5"/>
      <c r="E449" s="5"/>
      <c r="F449" s="5"/>
      <c r="G449" s="5"/>
      <c r="H449" s="5"/>
      <c r="I449" s="5"/>
      <c r="J449" s="5"/>
      <c r="K449" s="5"/>
      <c r="L449" s="5"/>
      <c r="M449" s="5"/>
      <c r="N449" s="5"/>
      <c r="O449" s="5"/>
      <c r="P449" s="5"/>
      <c r="Q449" s="5"/>
      <c r="X449" t="str">
        <f t="shared" si="13"/>
        <v/>
      </c>
    </row>
    <row r="450" spans="1:24">
      <c r="A450" s="4"/>
      <c r="B450" s="31"/>
      <c r="C450" s="11" t="e">
        <f t="shared" si="12"/>
        <v>#N/A</v>
      </c>
      <c r="D450" s="5"/>
      <c r="E450" s="5"/>
      <c r="F450" s="5"/>
      <c r="G450" s="5"/>
      <c r="H450" s="5"/>
      <c r="I450" s="5"/>
      <c r="J450" s="5"/>
      <c r="K450" s="5"/>
      <c r="L450" s="5"/>
      <c r="M450" s="5"/>
      <c r="N450" s="5"/>
      <c r="O450" s="5"/>
      <c r="P450" s="5"/>
      <c r="Q450" s="5"/>
      <c r="X450" t="str">
        <f t="shared" si="13"/>
        <v/>
      </c>
    </row>
    <row r="451" spans="1:24">
      <c r="A451" s="4"/>
      <c r="B451" s="31"/>
      <c r="C451" s="11" t="e">
        <f t="shared" ref="C451:C514" si="14">IF(OR(ISBLANK(A451),ISBLANK(B451)),NA(),A451-B451)</f>
        <v>#N/A</v>
      </c>
      <c r="D451" s="5"/>
      <c r="E451" s="5"/>
      <c r="F451" s="5"/>
      <c r="G451" s="5"/>
      <c r="H451" s="5"/>
      <c r="I451" s="5"/>
      <c r="J451" s="5"/>
      <c r="K451" s="5"/>
      <c r="L451" s="5"/>
      <c r="M451" s="5"/>
      <c r="N451" s="5"/>
      <c r="O451" s="5"/>
      <c r="P451" s="5"/>
      <c r="Q451" s="5"/>
      <c r="X451" t="str">
        <f t="shared" ref="X451:X514" si="15">IFERROR(C451,"")</f>
        <v/>
      </c>
    </row>
    <row r="452" spans="1:24">
      <c r="A452" s="4"/>
      <c r="B452" s="31"/>
      <c r="C452" s="11" t="e">
        <f t="shared" si="14"/>
        <v>#N/A</v>
      </c>
      <c r="D452" s="5"/>
      <c r="E452" s="5"/>
      <c r="F452" s="5"/>
      <c r="G452" s="5"/>
      <c r="H452" s="5"/>
      <c r="I452" s="5"/>
      <c r="J452" s="5"/>
      <c r="K452" s="5"/>
      <c r="L452" s="5"/>
      <c r="M452" s="5"/>
      <c r="N452" s="5"/>
      <c r="O452" s="5"/>
      <c r="P452" s="5"/>
      <c r="Q452" s="5"/>
      <c r="X452" t="str">
        <f t="shared" si="15"/>
        <v/>
      </c>
    </row>
    <row r="453" spans="1:24">
      <c r="A453" s="4"/>
      <c r="B453" s="31"/>
      <c r="C453" s="11" t="e">
        <f t="shared" si="14"/>
        <v>#N/A</v>
      </c>
      <c r="D453" s="5"/>
      <c r="E453" s="5"/>
      <c r="F453" s="5"/>
      <c r="G453" s="5"/>
      <c r="H453" s="5"/>
      <c r="I453" s="5"/>
      <c r="J453" s="5"/>
      <c r="K453" s="5"/>
      <c r="L453" s="5"/>
      <c r="M453" s="5"/>
      <c r="N453" s="5"/>
      <c r="O453" s="5"/>
      <c r="P453" s="5"/>
      <c r="Q453" s="5"/>
      <c r="X453" t="str">
        <f t="shared" si="15"/>
        <v/>
      </c>
    </row>
    <row r="454" spans="1:24">
      <c r="A454" s="4"/>
      <c r="B454" s="31"/>
      <c r="C454" s="11" t="e">
        <f t="shared" si="14"/>
        <v>#N/A</v>
      </c>
      <c r="D454" s="5"/>
      <c r="E454" s="5"/>
      <c r="F454" s="5"/>
      <c r="G454" s="5"/>
      <c r="H454" s="5"/>
      <c r="I454" s="5"/>
      <c r="J454" s="5"/>
      <c r="K454" s="5"/>
      <c r="L454" s="5"/>
      <c r="M454" s="5"/>
      <c r="N454" s="5"/>
      <c r="O454" s="5"/>
      <c r="P454" s="5"/>
      <c r="Q454" s="5"/>
      <c r="X454" t="str">
        <f t="shared" si="15"/>
        <v/>
      </c>
    </row>
    <row r="455" spans="1:24">
      <c r="A455" s="4"/>
      <c r="B455" s="31"/>
      <c r="C455" s="11" t="e">
        <f t="shared" si="14"/>
        <v>#N/A</v>
      </c>
      <c r="D455" s="5"/>
      <c r="E455" s="5"/>
      <c r="F455" s="5"/>
      <c r="G455" s="5"/>
      <c r="H455" s="5"/>
      <c r="I455" s="5"/>
      <c r="J455" s="5"/>
      <c r="K455" s="5"/>
      <c r="L455" s="5"/>
      <c r="M455" s="5"/>
      <c r="N455" s="5"/>
      <c r="O455" s="5"/>
      <c r="P455" s="5"/>
      <c r="Q455" s="5"/>
      <c r="X455" t="str">
        <f t="shared" si="15"/>
        <v/>
      </c>
    </row>
    <row r="456" spans="1:24">
      <c r="A456" s="4"/>
      <c r="B456" s="31"/>
      <c r="C456" s="11" t="e">
        <f t="shared" si="14"/>
        <v>#N/A</v>
      </c>
      <c r="D456" s="5"/>
      <c r="E456" s="5"/>
      <c r="F456" s="5"/>
      <c r="G456" s="5"/>
      <c r="H456" s="5"/>
      <c r="I456" s="5"/>
      <c r="J456" s="5"/>
      <c r="K456" s="5"/>
      <c r="L456" s="5"/>
      <c r="M456" s="5"/>
      <c r="N456" s="5"/>
      <c r="O456" s="5"/>
      <c r="P456" s="5"/>
      <c r="Q456" s="5"/>
      <c r="X456" t="str">
        <f t="shared" si="15"/>
        <v/>
      </c>
    </row>
    <row r="457" spans="1:24">
      <c r="A457" s="4"/>
      <c r="B457" s="31"/>
      <c r="C457" s="11" t="e">
        <f t="shared" si="14"/>
        <v>#N/A</v>
      </c>
      <c r="D457" s="5"/>
      <c r="E457" s="5"/>
      <c r="F457" s="5"/>
      <c r="G457" s="5"/>
      <c r="H457" s="5"/>
      <c r="I457" s="5"/>
      <c r="J457" s="5"/>
      <c r="K457" s="5"/>
      <c r="L457" s="5"/>
      <c r="M457" s="5"/>
      <c r="N457" s="5"/>
      <c r="O457" s="5"/>
      <c r="P457" s="5"/>
      <c r="Q457" s="5"/>
      <c r="X457" t="str">
        <f t="shared" si="15"/>
        <v/>
      </c>
    </row>
    <row r="458" spans="1:24">
      <c r="A458" s="4"/>
      <c r="B458" s="31"/>
      <c r="C458" s="11" t="e">
        <f t="shared" si="14"/>
        <v>#N/A</v>
      </c>
      <c r="D458" s="5"/>
      <c r="E458" s="5"/>
      <c r="F458" s="5"/>
      <c r="G458" s="5"/>
      <c r="H458" s="5"/>
      <c r="I458" s="5"/>
      <c r="J458" s="5"/>
      <c r="K458" s="5"/>
      <c r="L458" s="5"/>
      <c r="M458" s="5"/>
      <c r="N458" s="5"/>
      <c r="O458" s="5"/>
      <c r="P458" s="5"/>
      <c r="Q458" s="5"/>
      <c r="X458" t="str">
        <f t="shared" si="15"/>
        <v/>
      </c>
    </row>
    <row r="459" spans="1:24">
      <c r="A459" s="4"/>
      <c r="B459" s="31"/>
      <c r="C459" s="11" t="e">
        <f t="shared" si="14"/>
        <v>#N/A</v>
      </c>
      <c r="D459" s="5"/>
      <c r="E459" s="5"/>
      <c r="F459" s="5"/>
      <c r="G459" s="5"/>
      <c r="H459" s="5"/>
      <c r="I459" s="5"/>
      <c r="J459" s="5"/>
      <c r="K459" s="5"/>
      <c r="L459" s="5"/>
      <c r="M459" s="5"/>
      <c r="N459" s="5"/>
      <c r="O459" s="5"/>
      <c r="P459" s="5"/>
      <c r="Q459" s="5"/>
      <c r="X459" t="str">
        <f t="shared" si="15"/>
        <v/>
      </c>
    </row>
    <row r="460" spans="1:24">
      <c r="A460" s="4"/>
      <c r="B460" s="31"/>
      <c r="C460" s="11" t="e">
        <f t="shared" si="14"/>
        <v>#N/A</v>
      </c>
      <c r="D460" s="5"/>
      <c r="E460" s="5"/>
      <c r="F460" s="5"/>
      <c r="G460" s="5"/>
      <c r="H460" s="5"/>
      <c r="I460" s="5"/>
      <c r="J460" s="5"/>
      <c r="K460" s="5"/>
      <c r="L460" s="5"/>
      <c r="M460" s="5"/>
      <c r="N460" s="5"/>
      <c r="O460" s="5"/>
      <c r="P460" s="5"/>
      <c r="Q460" s="5"/>
      <c r="X460" t="str">
        <f t="shared" si="15"/>
        <v/>
      </c>
    </row>
    <row r="461" spans="1:24">
      <c r="A461" s="4"/>
      <c r="B461" s="31"/>
      <c r="C461" s="11" t="e">
        <f t="shared" si="14"/>
        <v>#N/A</v>
      </c>
      <c r="D461" s="5"/>
      <c r="E461" s="5"/>
      <c r="F461" s="5"/>
      <c r="G461" s="5"/>
      <c r="H461" s="5"/>
      <c r="I461" s="5"/>
      <c r="J461" s="5"/>
      <c r="K461" s="5"/>
      <c r="L461" s="5"/>
      <c r="M461" s="5"/>
      <c r="N461" s="5"/>
      <c r="O461" s="5"/>
      <c r="P461" s="5"/>
      <c r="Q461" s="5"/>
      <c r="X461" t="str">
        <f t="shared" si="15"/>
        <v/>
      </c>
    </row>
    <row r="462" spans="1:24">
      <c r="A462" s="4"/>
      <c r="B462" s="31"/>
      <c r="C462" s="11" t="e">
        <f t="shared" si="14"/>
        <v>#N/A</v>
      </c>
      <c r="D462" s="5"/>
      <c r="E462" s="5"/>
      <c r="F462" s="5"/>
      <c r="G462" s="5"/>
      <c r="H462" s="5"/>
      <c r="I462" s="5"/>
      <c r="J462" s="5"/>
      <c r="K462" s="5"/>
      <c r="L462" s="5"/>
      <c r="M462" s="5"/>
      <c r="N462" s="5"/>
      <c r="O462" s="5"/>
      <c r="P462" s="5"/>
      <c r="Q462" s="5"/>
      <c r="X462" t="str">
        <f t="shared" si="15"/>
        <v/>
      </c>
    </row>
    <row r="463" spans="1:24">
      <c r="A463" s="4"/>
      <c r="B463" s="31"/>
      <c r="C463" s="11" t="e">
        <f t="shared" si="14"/>
        <v>#N/A</v>
      </c>
      <c r="D463" s="5"/>
      <c r="E463" s="5"/>
      <c r="F463" s="5"/>
      <c r="G463" s="5"/>
      <c r="H463" s="5"/>
      <c r="I463" s="5"/>
      <c r="J463" s="5"/>
      <c r="K463" s="5"/>
      <c r="L463" s="5"/>
      <c r="M463" s="5"/>
      <c r="N463" s="5"/>
      <c r="O463" s="5"/>
      <c r="P463" s="5"/>
      <c r="Q463" s="5"/>
      <c r="X463" t="str">
        <f t="shared" si="15"/>
        <v/>
      </c>
    </row>
    <row r="464" spans="1:24">
      <c r="A464" s="4"/>
      <c r="B464" s="31"/>
      <c r="C464" s="11" t="e">
        <f t="shared" si="14"/>
        <v>#N/A</v>
      </c>
      <c r="D464" s="5"/>
      <c r="E464" s="5"/>
      <c r="F464" s="5"/>
      <c r="G464" s="5"/>
      <c r="H464" s="5"/>
      <c r="I464" s="5"/>
      <c r="J464" s="5"/>
      <c r="K464" s="5"/>
      <c r="L464" s="5"/>
      <c r="M464" s="5"/>
      <c r="N464" s="5"/>
      <c r="O464" s="5"/>
      <c r="P464" s="5"/>
      <c r="Q464" s="5"/>
      <c r="X464" t="str">
        <f t="shared" si="15"/>
        <v/>
      </c>
    </row>
    <row r="465" spans="1:24">
      <c r="A465" s="4"/>
      <c r="B465" s="31"/>
      <c r="C465" s="11" t="e">
        <f t="shared" si="14"/>
        <v>#N/A</v>
      </c>
      <c r="D465" s="5"/>
      <c r="E465" s="5"/>
      <c r="F465" s="5"/>
      <c r="G465" s="5"/>
      <c r="H465" s="5"/>
      <c r="I465" s="5"/>
      <c r="J465" s="5"/>
      <c r="K465" s="5"/>
      <c r="L465" s="5"/>
      <c r="M465" s="5"/>
      <c r="N465" s="5"/>
      <c r="O465" s="5"/>
      <c r="P465" s="5"/>
      <c r="Q465" s="5"/>
      <c r="X465" t="str">
        <f t="shared" si="15"/>
        <v/>
      </c>
    </row>
    <row r="466" spans="1:24">
      <c r="A466" s="4"/>
      <c r="B466" s="31"/>
      <c r="C466" s="11" t="e">
        <f t="shared" si="14"/>
        <v>#N/A</v>
      </c>
      <c r="D466" s="5"/>
      <c r="E466" s="5"/>
      <c r="F466" s="5"/>
      <c r="G466" s="5"/>
      <c r="H466" s="5"/>
      <c r="I466" s="5"/>
      <c r="J466" s="5"/>
      <c r="K466" s="5"/>
      <c r="L466" s="5"/>
      <c r="M466" s="5"/>
      <c r="N466" s="5"/>
      <c r="O466" s="5"/>
      <c r="P466" s="5"/>
      <c r="Q466" s="5"/>
      <c r="X466" t="str">
        <f t="shared" si="15"/>
        <v/>
      </c>
    </row>
    <row r="467" spans="1:24">
      <c r="A467" s="4"/>
      <c r="B467" s="31"/>
      <c r="C467" s="11" t="e">
        <f t="shared" si="14"/>
        <v>#N/A</v>
      </c>
      <c r="D467" s="5"/>
      <c r="E467" s="5"/>
      <c r="F467" s="5"/>
      <c r="G467" s="5"/>
      <c r="H467" s="5"/>
      <c r="I467" s="5"/>
      <c r="J467" s="5"/>
      <c r="K467" s="5"/>
      <c r="L467" s="5"/>
      <c r="M467" s="5"/>
      <c r="N467" s="5"/>
      <c r="O467" s="5"/>
      <c r="P467" s="5"/>
      <c r="Q467" s="5"/>
      <c r="X467" t="str">
        <f t="shared" si="15"/>
        <v/>
      </c>
    </row>
    <row r="468" spans="1:24">
      <c r="A468" s="4"/>
      <c r="B468" s="31"/>
      <c r="C468" s="11" t="e">
        <f t="shared" si="14"/>
        <v>#N/A</v>
      </c>
      <c r="D468" s="5"/>
      <c r="E468" s="5"/>
      <c r="F468" s="5"/>
      <c r="G468" s="5"/>
      <c r="H468" s="5"/>
      <c r="I468" s="5"/>
      <c r="J468" s="5"/>
      <c r="K468" s="5"/>
      <c r="L468" s="5"/>
      <c r="M468" s="5"/>
      <c r="N468" s="5"/>
      <c r="O468" s="5"/>
      <c r="P468" s="5"/>
      <c r="Q468" s="5"/>
      <c r="X468" t="str">
        <f t="shared" si="15"/>
        <v/>
      </c>
    </row>
    <row r="469" spans="1:24">
      <c r="A469" s="4"/>
      <c r="B469" s="31"/>
      <c r="C469" s="11" t="e">
        <f t="shared" si="14"/>
        <v>#N/A</v>
      </c>
      <c r="D469" s="5"/>
      <c r="E469" s="5"/>
      <c r="F469" s="5"/>
      <c r="G469" s="5"/>
      <c r="H469" s="5"/>
      <c r="I469" s="5"/>
      <c r="J469" s="5"/>
      <c r="K469" s="5"/>
      <c r="L469" s="5"/>
      <c r="M469" s="5"/>
      <c r="N469" s="5"/>
      <c r="O469" s="5"/>
      <c r="P469" s="5"/>
      <c r="Q469" s="5"/>
      <c r="X469" t="str">
        <f t="shared" si="15"/>
        <v/>
      </c>
    </row>
    <row r="470" spans="1:24">
      <c r="A470" s="4"/>
      <c r="B470" s="31"/>
      <c r="C470" s="11" t="e">
        <f t="shared" si="14"/>
        <v>#N/A</v>
      </c>
      <c r="D470" s="5"/>
      <c r="E470" s="5"/>
      <c r="F470" s="5"/>
      <c r="G470" s="5"/>
      <c r="H470" s="5"/>
      <c r="I470" s="5"/>
      <c r="J470" s="5"/>
      <c r="K470" s="5"/>
      <c r="L470" s="5"/>
      <c r="M470" s="5"/>
      <c r="N470" s="5"/>
      <c r="O470" s="5"/>
      <c r="P470" s="5"/>
      <c r="Q470" s="5"/>
      <c r="X470" t="str">
        <f t="shared" si="15"/>
        <v/>
      </c>
    </row>
    <row r="471" spans="1:24">
      <c r="A471" s="4"/>
      <c r="B471" s="31"/>
      <c r="C471" s="11" t="e">
        <f t="shared" si="14"/>
        <v>#N/A</v>
      </c>
      <c r="D471" s="5"/>
      <c r="E471" s="5"/>
      <c r="F471" s="5"/>
      <c r="G471" s="5"/>
      <c r="H471" s="5"/>
      <c r="I471" s="5"/>
      <c r="J471" s="5"/>
      <c r="K471" s="5"/>
      <c r="L471" s="5"/>
      <c r="M471" s="5"/>
      <c r="N471" s="5"/>
      <c r="O471" s="5"/>
      <c r="P471" s="5"/>
      <c r="Q471" s="5"/>
      <c r="X471" t="str">
        <f t="shared" si="15"/>
        <v/>
      </c>
    </row>
    <row r="472" spans="1:24">
      <c r="A472" s="4"/>
      <c r="B472" s="31"/>
      <c r="C472" s="11" t="e">
        <f t="shared" si="14"/>
        <v>#N/A</v>
      </c>
      <c r="D472" s="5"/>
      <c r="E472" s="5"/>
      <c r="F472" s="5"/>
      <c r="G472" s="5"/>
      <c r="H472" s="5"/>
      <c r="I472" s="5"/>
      <c r="J472" s="5"/>
      <c r="K472" s="5"/>
      <c r="L472" s="5"/>
      <c r="M472" s="5"/>
      <c r="N472" s="5"/>
      <c r="O472" s="5"/>
      <c r="P472" s="5"/>
      <c r="Q472" s="5"/>
      <c r="X472" t="str">
        <f t="shared" si="15"/>
        <v/>
      </c>
    </row>
    <row r="473" spans="1:24">
      <c r="A473" s="4"/>
      <c r="B473" s="31"/>
      <c r="C473" s="11" t="e">
        <f t="shared" si="14"/>
        <v>#N/A</v>
      </c>
      <c r="D473" s="5"/>
      <c r="E473" s="5"/>
      <c r="F473" s="5"/>
      <c r="G473" s="5"/>
      <c r="H473" s="5"/>
      <c r="I473" s="5"/>
      <c r="J473" s="5"/>
      <c r="K473" s="5"/>
      <c r="L473" s="5"/>
      <c r="M473" s="5"/>
      <c r="N473" s="5"/>
      <c r="O473" s="5"/>
      <c r="P473" s="5"/>
      <c r="Q473" s="5"/>
      <c r="X473" t="str">
        <f t="shared" si="15"/>
        <v/>
      </c>
    </row>
    <row r="474" spans="1:24">
      <c r="A474" s="4"/>
      <c r="B474" s="31"/>
      <c r="C474" s="11" t="e">
        <f t="shared" si="14"/>
        <v>#N/A</v>
      </c>
      <c r="D474" s="5"/>
      <c r="E474" s="5"/>
      <c r="F474" s="5"/>
      <c r="G474" s="5"/>
      <c r="H474" s="5"/>
      <c r="I474" s="5"/>
      <c r="J474" s="5"/>
      <c r="K474" s="5"/>
      <c r="L474" s="5"/>
      <c r="M474" s="5"/>
      <c r="N474" s="5"/>
      <c r="O474" s="5"/>
      <c r="P474" s="5"/>
      <c r="Q474" s="5"/>
      <c r="X474" t="str">
        <f t="shared" si="15"/>
        <v/>
      </c>
    </row>
    <row r="475" spans="1:24">
      <c r="A475" s="4"/>
      <c r="B475" s="31"/>
      <c r="C475" s="11" t="e">
        <f t="shared" si="14"/>
        <v>#N/A</v>
      </c>
      <c r="D475" s="5"/>
      <c r="E475" s="5"/>
      <c r="F475" s="5"/>
      <c r="G475" s="5"/>
      <c r="H475" s="5"/>
      <c r="I475" s="5"/>
      <c r="J475" s="5"/>
      <c r="K475" s="5"/>
      <c r="L475" s="5"/>
      <c r="M475" s="5"/>
      <c r="N475" s="5"/>
      <c r="O475" s="5"/>
      <c r="P475" s="5"/>
      <c r="Q475" s="5"/>
      <c r="X475" t="str">
        <f t="shared" si="15"/>
        <v/>
      </c>
    </row>
    <row r="476" spans="1:24">
      <c r="A476" s="4"/>
      <c r="B476" s="31"/>
      <c r="C476" s="11" t="e">
        <f t="shared" si="14"/>
        <v>#N/A</v>
      </c>
      <c r="D476" s="5"/>
      <c r="E476" s="5"/>
      <c r="F476" s="5"/>
      <c r="G476" s="5"/>
      <c r="H476" s="5"/>
      <c r="I476" s="5"/>
      <c r="J476" s="5"/>
      <c r="K476" s="5"/>
      <c r="L476" s="5"/>
      <c r="M476" s="5"/>
      <c r="N476" s="5"/>
      <c r="O476" s="5"/>
      <c r="P476" s="5"/>
      <c r="Q476" s="5"/>
      <c r="X476" t="str">
        <f t="shared" si="15"/>
        <v/>
      </c>
    </row>
    <row r="477" spans="1:24">
      <c r="A477" s="4"/>
      <c r="B477" s="31"/>
      <c r="C477" s="11" t="e">
        <f t="shared" si="14"/>
        <v>#N/A</v>
      </c>
      <c r="D477" s="5"/>
      <c r="E477" s="5"/>
      <c r="F477" s="5"/>
      <c r="G477" s="5"/>
      <c r="H477" s="5"/>
      <c r="I477" s="5"/>
      <c r="J477" s="5"/>
      <c r="K477" s="5"/>
      <c r="L477" s="5"/>
      <c r="M477" s="5"/>
      <c r="N477" s="5"/>
      <c r="O477" s="5"/>
      <c r="P477" s="5"/>
      <c r="Q477" s="5"/>
      <c r="X477" t="str">
        <f t="shared" si="15"/>
        <v/>
      </c>
    </row>
    <row r="478" spans="1:24">
      <c r="A478" s="4"/>
      <c r="B478" s="31"/>
      <c r="C478" s="11" t="e">
        <f t="shared" si="14"/>
        <v>#N/A</v>
      </c>
      <c r="D478" s="5"/>
      <c r="E478" s="5"/>
      <c r="F478" s="5"/>
      <c r="G478" s="5"/>
      <c r="H478" s="5"/>
      <c r="I478" s="5"/>
      <c r="J478" s="5"/>
      <c r="K478" s="5"/>
      <c r="L478" s="5"/>
      <c r="M478" s="5"/>
      <c r="N478" s="5"/>
      <c r="O478" s="5"/>
      <c r="P478" s="5"/>
      <c r="Q478" s="5"/>
      <c r="X478" t="str">
        <f t="shared" si="15"/>
        <v/>
      </c>
    </row>
    <row r="479" spans="1:24">
      <c r="A479" s="4"/>
      <c r="B479" s="31"/>
      <c r="C479" s="11" t="e">
        <f t="shared" si="14"/>
        <v>#N/A</v>
      </c>
      <c r="D479" s="5"/>
      <c r="E479" s="5"/>
      <c r="F479" s="5"/>
      <c r="G479" s="5"/>
      <c r="H479" s="5"/>
      <c r="I479" s="5"/>
      <c r="J479" s="5"/>
      <c r="K479" s="5"/>
      <c r="L479" s="5"/>
      <c r="M479" s="5"/>
      <c r="N479" s="5"/>
      <c r="O479" s="5"/>
      <c r="P479" s="5"/>
      <c r="Q479" s="5"/>
      <c r="X479" t="str">
        <f t="shared" si="15"/>
        <v/>
      </c>
    </row>
    <row r="480" spans="1:24">
      <c r="A480" s="4"/>
      <c r="B480" s="31"/>
      <c r="C480" s="11" t="e">
        <f t="shared" si="14"/>
        <v>#N/A</v>
      </c>
      <c r="D480" s="5"/>
      <c r="E480" s="5"/>
      <c r="F480" s="5"/>
      <c r="G480" s="5"/>
      <c r="H480" s="5"/>
      <c r="I480" s="5"/>
      <c r="J480" s="5"/>
      <c r="K480" s="5"/>
      <c r="L480" s="5"/>
      <c r="M480" s="5"/>
      <c r="N480" s="5"/>
      <c r="O480" s="5"/>
      <c r="P480" s="5"/>
      <c r="Q480" s="5"/>
      <c r="X480" t="str">
        <f t="shared" si="15"/>
        <v/>
      </c>
    </row>
    <row r="481" spans="1:24">
      <c r="A481" s="4"/>
      <c r="B481" s="31"/>
      <c r="C481" s="11" t="e">
        <f t="shared" si="14"/>
        <v>#N/A</v>
      </c>
      <c r="D481" s="5"/>
      <c r="E481" s="5"/>
      <c r="F481" s="5"/>
      <c r="G481" s="5"/>
      <c r="H481" s="5"/>
      <c r="I481" s="5"/>
      <c r="J481" s="5"/>
      <c r="K481" s="5"/>
      <c r="L481" s="5"/>
      <c r="M481" s="5"/>
      <c r="N481" s="5"/>
      <c r="O481" s="5"/>
      <c r="P481" s="5"/>
      <c r="Q481" s="5"/>
      <c r="X481" t="str">
        <f t="shared" si="15"/>
        <v/>
      </c>
    </row>
    <row r="482" spans="1:24">
      <c r="A482" s="4"/>
      <c r="B482" s="31"/>
      <c r="C482" s="11" t="e">
        <f t="shared" si="14"/>
        <v>#N/A</v>
      </c>
      <c r="D482" s="5"/>
      <c r="E482" s="5"/>
      <c r="F482" s="5"/>
      <c r="G482" s="5"/>
      <c r="H482" s="5"/>
      <c r="I482" s="5"/>
      <c r="J482" s="5"/>
      <c r="K482" s="5"/>
      <c r="L482" s="5"/>
      <c r="M482" s="5"/>
      <c r="N482" s="5"/>
      <c r="O482" s="5"/>
      <c r="P482" s="5"/>
      <c r="Q482" s="5"/>
      <c r="X482" t="str">
        <f t="shared" si="15"/>
        <v/>
      </c>
    </row>
    <row r="483" spans="1:24">
      <c r="A483" s="4"/>
      <c r="B483" s="31"/>
      <c r="C483" s="11" t="e">
        <f t="shared" si="14"/>
        <v>#N/A</v>
      </c>
      <c r="D483" s="5"/>
      <c r="E483" s="5"/>
      <c r="F483" s="5"/>
      <c r="G483" s="5"/>
      <c r="H483" s="5"/>
      <c r="I483" s="5"/>
      <c r="J483" s="5"/>
      <c r="K483" s="5"/>
      <c r="L483" s="5"/>
      <c r="M483" s="5"/>
      <c r="N483" s="5"/>
      <c r="O483" s="5"/>
      <c r="P483" s="5"/>
      <c r="Q483" s="5"/>
      <c r="X483" t="str">
        <f t="shared" si="15"/>
        <v/>
      </c>
    </row>
    <row r="484" spans="1:24">
      <c r="A484" s="4"/>
      <c r="B484" s="31"/>
      <c r="C484" s="11" t="e">
        <f t="shared" si="14"/>
        <v>#N/A</v>
      </c>
      <c r="D484" s="5"/>
      <c r="E484" s="5"/>
      <c r="F484" s="5"/>
      <c r="G484" s="5"/>
      <c r="H484" s="5"/>
      <c r="I484" s="5"/>
      <c r="J484" s="5"/>
      <c r="K484" s="5"/>
      <c r="L484" s="5"/>
      <c r="M484" s="5"/>
      <c r="N484" s="5"/>
      <c r="O484" s="5"/>
      <c r="P484" s="5"/>
      <c r="Q484" s="5"/>
      <c r="X484" t="str">
        <f t="shared" si="15"/>
        <v/>
      </c>
    </row>
    <row r="485" spans="1:24">
      <c r="A485" s="4"/>
      <c r="B485" s="31"/>
      <c r="C485" s="11" t="e">
        <f t="shared" si="14"/>
        <v>#N/A</v>
      </c>
      <c r="D485" s="5"/>
      <c r="E485" s="5"/>
      <c r="F485" s="5"/>
      <c r="G485" s="5"/>
      <c r="H485" s="5"/>
      <c r="I485" s="5"/>
      <c r="J485" s="5"/>
      <c r="K485" s="5"/>
      <c r="L485" s="5"/>
      <c r="M485" s="5"/>
      <c r="N485" s="5"/>
      <c r="O485" s="5"/>
      <c r="P485" s="5"/>
      <c r="Q485" s="5"/>
      <c r="X485" t="str">
        <f t="shared" si="15"/>
        <v/>
      </c>
    </row>
    <row r="486" spans="1:24">
      <c r="A486" s="4"/>
      <c r="B486" s="31"/>
      <c r="C486" s="11" t="e">
        <f t="shared" si="14"/>
        <v>#N/A</v>
      </c>
      <c r="D486" s="5"/>
      <c r="E486" s="5"/>
      <c r="F486" s="5"/>
      <c r="G486" s="5"/>
      <c r="H486" s="5"/>
      <c r="I486" s="5"/>
      <c r="J486" s="5"/>
      <c r="K486" s="5"/>
      <c r="L486" s="5"/>
      <c r="M486" s="5"/>
      <c r="N486" s="5"/>
      <c r="O486" s="5"/>
      <c r="P486" s="5"/>
      <c r="Q486" s="5"/>
      <c r="X486" t="str">
        <f t="shared" si="15"/>
        <v/>
      </c>
    </row>
    <row r="487" spans="1:24">
      <c r="A487" s="4"/>
      <c r="B487" s="31"/>
      <c r="C487" s="11" t="e">
        <f t="shared" si="14"/>
        <v>#N/A</v>
      </c>
      <c r="D487" s="5"/>
      <c r="E487" s="5"/>
      <c r="F487" s="5"/>
      <c r="G487" s="5"/>
      <c r="H487" s="5"/>
      <c r="I487" s="5"/>
      <c r="J487" s="5"/>
      <c r="K487" s="5"/>
      <c r="L487" s="5"/>
      <c r="M487" s="5"/>
      <c r="N487" s="5"/>
      <c r="O487" s="5"/>
      <c r="P487" s="5"/>
      <c r="Q487" s="5"/>
      <c r="X487" t="str">
        <f t="shared" si="15"/>
        <v/>
      </c>
    </row>
    <row r="488" spans="1:24">
      <c r="A488" s="4"/>
      <c r="B488" s="31"/>
      <c r="C488" s="11" t="e">
        <f t="shared" si="14"/>
        <v>#N/A</v>
      </c>
      <c r="D488" s="5"/>
      <c r="E488" s="5"/>
      <c r="F488" s="5"/>
      <c r="G488" s="5"/>
      <c r="H488" s="5"/>
      <c r="I488" s="5"/>
      <c r="J488" s="5"/>
      <c r="K488" s="5"/>
      <c r="L488" s="5"/>
      <c r="M488" s="5"/>
      <c r="N488" s="5"/>
      <c r="O488" s="5"/>
      <c r="P488" s="5"/>
      <c r="Q488" s="5"/>
      <c r="X488" t="str">
        <f t="shared" si="15"/>
        <v/>
      </c>
    </row>
    <row r="489" spans="1:24">
      <c r="A489" s="4"/>
      <c r="B489" s="31"/>
      <c r="C489" s="11" t="e">
        <f t="shared" si="14"/>
        <v>#N/A</v>
      </c>
      <c r="D489" s="5"/>
      <c r="E489" s="5"/>
      <c r="F489" s="5"/>
      <c r="G489" s="5"/>
      <c r="H489" s="5"/>
      <c r="I489" s="5"/>
      <c r="J489" s="5"/>
      <c r="K489" s="5"/>
      <c r="L489" s="5"/>
      <c r="M489" s="5"/>
      <c r="N489" s="5"/>
      <c r="O489" s="5"/>
      <c r="P489" s="5"/>
      <c r="Q489" s="5"/>
      <c r="X489" t="str">
        <f t="shared" si="15"/>
        <v/>
      </c>
    </row>
    <row r="490" spans="1:24">
      <c r="A490" s="4"/>
      <c r="B490" s="31"/>
      <c r="C490" s="11" t="e">
        <f t="shared" si="14"/>
        <v>#N/A</v>
      </c>
      <c r="D490" s="5"/>
      <c r="E490" s="5"/>
      <c r="F490" s="5"/>
      <c r="G490" s="5"/>
      <c r="H490" s="5"/>
      <c r="I490" s="5"/>
      <c r="J490" s="5"/>
      <c r="K490" s="5"/>
      <c r="L490" s="5"/>
      <c r="M490" s="5"/>
      <c r="N490" s="5"/>
      <c r="O490" s="5"/>
      <c r="P490" s="5"/>
      <c r="Q490" s="5"/>
      <c r="X490" t="str">
        <f t="shared" si="15"/>
        <v/>
      </c>
    </row>
    <row r="491" spans="1:24">
      <c r="A491" s="4"/>
      <c r="B491" s="31"/>
      <c r="C491" s="11" t="e">
        <f t="shared" si="14"/>
        <v>#N/A</v>
      </c>
      <c r="D491" s="5"/>
      <c r="E491" s="5"/>
      <c r="F491" s="5"/>
      <c r="G491" s="5"/>
      <c r="H491" s="5"/>
      <c r="I491" s="5"/>
      <c r="J491" s="5"/>
      <c r="K491" s="5"/>
      <c r="L491" s="5"/>
      <c r="M491" s="5"/>
      <c r="N491" s="5"/>
      <c r="O491" s="5"/>
      <c r="P491" s="5"/>
      <c r="Q491" s="5"/>
      <c r="X491" t="str">
        <f t="shared" si="15"/>
        <v/>
      </c>
    </row>
    <row r="492" spans="1:24">
      <c r="A492" s="4"/>
      <c r="B492" s="31"/>
      <c r="C492" s="11" t="e">
        <f t="shared" si="14"/>
        <v>#N/A</v>
      </c>
      <c r="D492" s="5"/>
      <c r="E492" s="5"/>
      <c r="F492" s="5"/>
      <c r="G492" s="5"/>
      <c r="H492" s="5"/>
      <c r="I492" s="5"/>
      <c r="J492" s="5"/>
      <c r="K492" s="5"/>
      <c r="L492" s="5"/>
      <c r="M492" s="5"/>
      <c r="N492" s="5"/>
      <c r="O492" s="5"/>
      <c r="P492" s="5"/>
      <c r="Q492" s="5"/>
      <c r="X492" t="str">
        <f t="shared" si="15"/>
        <v/>
      </c>
    </row>
    <row r="493" spans="1:24">
      <c r="A493" s="4"/>
      <c r="B493" s="31"/>
      <c r="C493" s="11" t="e">
        <f t="shared" si="14"/>
        <v>#N/A</v>
      </c>
      <c r="D493" s="5"/>
      <c r="E493" s="5"/>
      <c r="F493" s="5"/>
      <c r="G493" s="5"/>
      <c r="H493" s="5"/>
      <c r="I493" s="5"/>
      <c r="J493" s="5"/>
      <c r="K493" s="5"/>
      <c r="L493" s="5"/>
      <c r="M493" s="5"/>
      <c r="N493" s="5"/>
      <c r="O493" s="5"/>
      <c r="P493" s="5"/>
      <c r="Q493" s="5"/>
      <c r="X493" t="str">
        <f t="shared" si="15"/>
        <v/>
      </c>
    </row>
    <row r="494" spans="1:24">
      <c r="A494" s="4"/>
      <c r="B494" s="31"/>
      <c r="C494" s="11" t="e">
        <f t="shared" si="14"/>
        <v>#N/A</v>
      </c>
      <c r="D494" s="5"/>
      <c r="E494" s="5"/>
      <c r="F494" s="5"/>
      <c r="G494" s="5"/>
      <c r="H494" s="5"/>
      <c r="I494" s="5"/>
      <c r="J494" s="5"/>
      <c r="K494" s="5"/>
      <c r="L494" s="5"/>
      <c r="M494" s="5"/>
      <c r="N494" s="5"/>
      <c r="O494" s="5"/>
      <c r="P494" s="5"/>
      <c r="Q494" s="5"/>
      <c r="X494" t="str">
        <f t="shared" si="15"/>
        <v/>
      </c>
    </row>
    <row r="495" spans="1:24">
      <c r="A495" s="4"/>
      <c r="B495" s="31"/>
      <c r="C495" s="11" t="e">
        <f t="shared" si="14"/>
        <v>#N/A</v>
      </c>
      <c r="D495" s="5"/>
      <c r="E495" s="5"/>
      <c r="F495" s="5"/>
      <c r="G495" s="5"/>
      <c r="H495" s="5"/>
      <c r="I495" s="5"/>
      <c r="J495" s="5"/>
      <c r="K495" s="5"/>
      <c r="L495" s="5"/>
      <c r="M495" s="5"/>
      <c r="N495" s="5"/>
      <c r="O495" s="5"/>
      <c r="P495" s="5"/>
      <c r="Q495" s="5"/>
      <c r="X495" t="str">
        <f t="shared" si="15"/>
        <v/>
      </c>
    </row>
    <row r="496" spans="1:24">
      <c r="A496" s="4"/>
      <c r="B496" s="31"/>
      <c r="C496" s="11" t="e">
        <f t="shared" si="14"/>
        <v>#N/A</v>
      </c>
      <c r="D496" s="5"/>
      <c r="E496" s="5"/>
      <c r="F496" s="5"/>
      <c r="G496" s="5"/>
      <c r="H496" s="5"/>
      <c r="I496" s="5"/>
      <c r="J496" s="5"/>
      <c r="K496" s="5"/>
      <c r="L496" s="5"/>
      <c r="M496" s="5"/>
      <c r="N496" s="5"/>
      <c r="O496" s="5"/>
      <c r="P496" s="5"/>
      <c r="Q496" s="5"/>
      <c r="X496" t="str">
        <f t="shared" si="15"/>
        <v/>
      </c>
    </row>
    <row r="497" spans="1:24">
      <c r="A497" s="4"/>
      <c r="B497" s="31"/>
      <c r="C497" s="11" t="e">
        <f t="shared" si="14"/>
        <v>#N/A</v>
      </c>
      <c r="D497" s="5"/>
      <c r="E497" s="5"/>
      <c r="F497" s="5"/>
      <c r="G497" s="5"/>
      <c r="H497" s="5"/>
      <c r="I497" s="5"/>
      <c r="J497" s="5"/>
      <c r="K497" s="5"/>
      <c r="L497" s="5"/>
      <c r="M497" s="5"/>
      <c r="N497" s="5"/>
      <c r="O497" s="5"/>
      <c r="P497" s="5"/>
      <c r="Q497" s="5"/>
      <c r="X497" t="str">
        <f t="shared" si="15"/>
        <v/>
      </c>
    </row>
    <row r="498" spans="1:24">
      <c r="A498" s="4"/>
      <c r="B498" s="31"/>
      <c r="C498" s="11" t="e">
        <f t="shared" si="14"/>
        <v>#N/A</v>
      </c>
      <c r="D498" s="5"/>
      <c r="E498" s="5"/>
      <c r="F498" s="5"/>
      <c r="G498" s="5"/>
      <c r="H498" s="5"/>
      <c r="I498" s="5"/>
      <c r="J498" s="5"/>
      <c r="K498" s="5"/>
      <c r="L498" s="5"/>
      <c r="M498" s="5"/>
      <c r="N498" s="5"/>
      <c r="O498" s="5"/>
      <c r="P498" s="5"/>
      <c r="Q498" s="5"/>
      <c r="X498" t="str">
        <f t="shared" si="15"/>
        <v/>
      </c>
    </row>
    <row r="499" spans="1:24">
      <c r="A499" s="4"/>
      <c r="B499" s="31"/>
      <c r="C499" s="11" t="e">
        <f t="shared" si="14"/>
        <v>#N/A</v>
      </c>
      <c r="D499" s="5"/>
      <c r="E499" s="5"/>
      <c r="F499" s="5"/>
      <c r="G499" s="5"/>
      <c r="H499" s="5"/>
      <c r="I499" s="5"/>
      <c r="J499" s="5"/>
      <c r="K499" s="5"/>
      <c r="L499" s="5"/>
      <c r="M499" s="5"/>
      <c r="N499" s="5"/>
      <c r="O499" s="5"/>
      <c r="P499" s="5"/>
      <c r="Q499" s="5"/>
      <c r="X499" t="str">
        <f t="shared" si="15"/>
        <v/>
      </c>
    </row>
    <row r="500" spans="1:24">
      <c r="A500" s="4"/>
      <c r="B500" s="31"/>
      <c r="C500" s="11" t="e">
        <f t="shared" si="14"/>
        <v>#N/A</v>
      </c>
      <c r="D500" s="5"/>
      <c r="E500" s="5"/>
      <c r="F500" s="5"/>
      <c r="G500" s="5"/>
      <c r="H500" s="5"/>
      <c r="I500" s="5"/>
      <c r="J500" s="5"/>
      <c r="K500" s="5"/>
      <c r="L500" s="5"/>
      <c r="M500" s="5"/>
      <c r="N500" s="5"/>
      <c r="O500" s="5"/>
      <c r="P500" s="5"/>
      <c r="Q500" s="5"/>
      <c r="X500" t="str">
        <f t="shared" si="15"/>
        <v/>
      </c>
    </row>
    <row r="501" spans="1:24">
      <c r="A501" s="4"/>
      <c r="B501" s="31"/>
      <c r="C501" s="11" t="e">
        <f t="shared" si="14"/>
        <v>#N/A</v>
      </c>
      <c r="D501" s="5"/>
      <c r="E501" s="5"/>
      <c r="F501" s="5"/>
      <c r="G501" s="5"/>
      <c r="H501" s="5"/>
      <c r="I501" s="5"/>
      <c r="J501" s="5"/>
      <c r="K501" s="5"/>
      <c r="L501" s="5"/>
      <c r="M501" s="5"/>
      <c r="N501" s="5"/>
      <c r="O501" s="5"/>
      <c r="P501" s="5"/>
      <c r="Q501" s="5"/>
      <c r="X501" t="str">
        <f t="shared" si="15"/>
        <v/>
      </c>
    </row>
    <row r="502" spans="1:24">
      <c r="A502" s="4"/>
      <c r="B502" s="31"/>
      <c r="C502" s="11" t="e">
        <f t="shared" si="14"/>
        <v>#N/A</v>
      </c>
      <c r="D502" s="5"/>
      <c r="E502" s="5"/>
      <c r="F502" s="5"/>
      <c r="G502" s="5"/>
      <c r="H502" s="5"/>
      <c r="I502" s="5"/>
      <c r="J502" s="5"/>
      <c r="K502" s="5"/>
      <c r="L502" s="5"/>
      <c r="M502" s="5"/>
      <c r="N502" s="5"/>
      <c r="O502" s="5"/>
      <c r="P502" s="5"/>
      <c r="Q502" s="5"/>
      <c r="X502" t="str">
        <f t="shared" si="15"/>
        <v/>
      </c>
    </row>
    <row r="503" spans="1:24">
      <c r="A503" s="4"/>
      <c r="B503" s="31"/>
      <c r="C503" s="11" t="e">
        <f t="shared" si="14"/>
        <v>#N/A</v>
      </c>
      <c r="D503" s="5"/>
      <c r="E503" s="5"/>
      <c r="F503" s="5"/>
      <c r="G503" s="5"/>
      <c r="H503" s="5"/>
      <c r="I503" s="5"/>
      <c r="J503" s="5"/>
      <c r="K503" s="5"/>
      <c r="L503" s="5"/>
      <c r="M503" s="5"/>
      <c r="N503" s="5"/>
      <c r="O503" s="5"/>
      <c r="P503" s="5"/>
      <c r="Q503" s="5"/>
      <c r="X503" t="str">
        <f t="shared" si="15"/>
        <v/>
      </c>
    </row>
    <row r="504" spans="1:24">
      <c r="A504" s="4"/>
      <c r="B504" s="31"/>
      <c r="C504" s="11" t="e">
        <f t="shared" si="14"/>
        <v>#N/A</v>
      </c>
      <c r="D504" s="5"/>
      <c r="E504" s="5"/>
      <c r="F504" s="5"/>
      <c r="G504" s="5"/>
      <c r="H504" s="5"/>
      <c r="I504" s="5"/>
      <c r="J504" s="5"/>
      <c r="K504" s="5"/>
      <c r="L504" s="5"/>
      <c r="M504" s="5"/>
      <c r="N504" s="5"/>
      <c r="O504" s="5"/>
      <c r="P504" s="5"/>
      <c r="Q504" s="5"/>
      <c r="X504" t="str">
        <f t="shared" si="15"/>
        <v/>
      </c>
    </row>
    <row r="505" spans="1:24">
      <c r="A505" s="4"/>
      <c r="B505" s="31"/>
      <c r="C505" s="11" t="e">
        <f t="shared" si="14"/>
        <v>#N/A</v>
      </c>
      <c r="D505" s="5"/>
      <c r="E505" s="5"/>
      <c r="F505" s="5"/>
      <c r="G505" s="5"/>
      <c r="H505" s="5"/>
      <c r="I505" s="5"/>
      <c r="J505" s="5"/>
      <c r="K505" s="5"/>
      <c r="L505" s="5"/>
      <c r="M505" s="5"/>
      <c r="N505" s="5"/>
      <c r="O505" s="5"/>
      <c r="P505" s="5"/>
      <c r="Q505" s="5"/>
      <c r="X505" t="str">
        <f t="shared" si="15"/>
        <v/>
      </c>
    </row>
    <row r="506" spans="1:24">
      <c r="A506" s="4"/>
      <c r="B506" s="31"/>
      <c r="C506" s="11" t="e">
        <f t="shared" si="14"/>
        <v>#N/A</v>
      </c>
      <c r="D506" s="5"/>
      <c r="E506" s="5"/>
      <c r="F506" s="5"/>
      <c r="G506" s="5"/>
      <c r="H506" s="5"/>
      <c r="I506" s="5"/>
      <c r="J506" s="5"/>
      <c r="K506" s="5"/>
      <c r="L506" s="5"/>
      <c r="M506" s="5"/>
      <c r="N506" s="5"/>
      <c r="O506" s="5"/>
      <c r="P506" s="5"/>
      <c r="Q506" s="5"/>
      <c r="X506" t="str">
        <f t="shared" si="15"/>
        <v/>
      </c>
    </row>
    <row r="507" spans="1:24">
      <c r="A507" s="4"/>
      <c r="B507" s="31"/>
      <c r="C507" s="11" t="e">
        <f t="shared" si="14"/>
        <v>#N/A</v>
      </c>
      <c r="D507" s="5"/>
      <c r="E507" s="5"/>
      <c r="F507" s="5"/>
      <c r="G507" s="5"/>
      <c r="H507" s="5"/>
      <c r="I507" s="5"/>
      <c r="J507" s="5"/>
      <c r="K507" s="5"/>
      <c r="L507" s="5"/>
      <c r="M507" s="5"/>
      <c r="N507" s="5"/>
      <c r="O507" s="5"/>
      <c r="P507" s="5"/>
      <c r="Q507" s="5"/>
      <c r="X507" t="str">
        <f t="shared" si="15"/>
        <v/>
      </c>
    </row>
    <row r="508" spans="1:24">
      <c r="A508" s="4"/>
      <c r="B508" s="31"/>
      <c r="C508" s="11" t="e">
        <f t="shared" si="14"/>
        <v>#N/A</v>
      </c>
      <c r="D508" s="5"/>
      <c r="E508" s="5"/>
      <c r="F508" s="5"/>
      <c r="G508" s="5"/>
      <c r="H508" s="5"/>
      <c r="I508" s="5"/>
      <c r="J508" s="5"/>
      <c r="K508" s="5"/>
      <c r="L508" s="5"/>
      <c r="M508" s="5"/>
      <c r="N508" s="5"/>
      <c r="O508" s="5"/>
      <c r="P508" s="5"/>
      <c r="Q508" s="5"/>
      <c r="X508" t="str">
        <f t="shared" si="15"/>
        <v/>
      </c>
    </row>
    <row r="509" spans="1:24">
      <c r="A509" s="4"/>
      <c r="B509" s="31"/>
      <c r="C509" s="11" t="e">
        <f t="shared" si="14"/>
        <v>#N/A</v>
      </c>
      <c r="D509" s="5"/>
      <c r="E509" s="5"/>
      <c r="F509" s="5"/>
      <c r="G509" s="5"/>
      <c r="H509" s="5"/>
      <c r="I509" s="5"/>
      <c r="J509" s="5"/>
      <c r="K509" s="5"/>
      <c r="L509" s="5"/>
      <c r="M509" s="5"/>
      <c r="N509" s="5"/>
      <c r="O509" s="5"/>
      <c r="P509" s="5"/>
      <c r="Q509" s="5"/>
      <c r="X509" t="str">
        <f t="shared" si="15"/>
        <v/>
      </c>
    </row>
    <row r="510" spans="1:24">
      <c r="A510" s="4"/>
      <c r="B510" s="31"/>
      <c r="C510" s="11" t="e">
        <f t="shared" si="14"/>
        <v>#N/A</v>
      </c>
      <c r="D510" s="5"/>
      <c r="E510" s="5"/>
      <c r="F510" s="5"/>
      <c r="G510" s="5"/>
      <c r="H510" s="5"/>
      <c r="I510" s="5"/>
      <c r="J510" s="5"/>
      <c r="K510" s="5"/>
      <c r="L510" s="5"/>
      <c r="M510" s="5"/>
      <c r="N510" s="5"/>
      <c r="O510" s="5"/>
      <c r="P510" s="5"/>
      <c r="Q510" s="5"/>
      <c r="X510" t="str">
        <f t="shared" si="15"/>
        <v/>
      </c>
    </row>
    <row r="511" spans="1:24">
      <c r="A511" s="4"/>
      <c r="B511" s="31"/>
      <c r="C511" s="11" t="e">
        <f t="shared" si="14"/>
        <v>#N/A</v>
      </c>
      <c r="D511" s="5"/>
      <c r="E511" s="5"/>
      <c r="F511" s="5"/>
      <c r="G511" s="5"/>
      <c r="H511" s="5"/>
      <c r="I511" s="5"/>
      <c r="J511" s="5"/>
      <c r="K511" s="5"/>
      <c r="L511" s="5"/>
      <c r="M511" s="5"/>
      <c r="N511" s="5"/>
      <c r="O511" s="5"/>
      <c r="P511" s="5"/>
      <c r="Q511" s="5"/>
      <c r="X511" t="str">
        <f t="shared" si="15"/>
        <v/>
      </c>
    </row>
    <row r="512" spans="1:24">
      <c r="A512" s="4"/>
      <c r="B512" s="31"/>
      <c r="C512" s="11" t="e">
        <f t="shared" si="14"/>
        <v>#N/A</v>
      </c>
      <c r="D512" s="5"/>
      <c r="E512" s="5"/>
      <c r="F512" s="5"/>
      <c r="G512" s="5"/>
      <c r="H512" s="5"/>
      <c r="I512" s="5"/>
      <c r="J512" s="5"/>
      <c r="K512" s="5"/>
      <c r="L512" s="5"/>
      <c r="M512" s="5"/>
      <c r="N512" s="5"/>
      <c r="O512" s="5"/>
      <c r="P512" s="5"/>
      <c r="Q512" s="5"/>
      <c r="X512" t="str">
        <f t="shared" si="15"/>
        <v/>
      </c>
    </row>
    <row r="513" spans="1:24">
      <c r="A513" s="4"/>
      <c r="B513" s="31"/>
      <c r="C513" s="11" t="e">
        <f t="shared" si="14"/>
        <v>#N/A</v>
      </c>
      <c r="D513" s="5"/>
      <c r="E513" s="5"/>
      <c r="F513" s="5"/>
      <c r="G513" s="5"/>
      <c r="H513" s="5"/>
      <c r="I513" s="5"/>
      <c r="J513" s="5"/>
      <c r="K513" s="5"/>
      <c r="L513" s="5"/>
      <c r="M513" s="5"/>
      <c r="N513" s="5"/>
      <c r="O513" s="5"/>
      <c r="P513" s="5"/>
      <c r="Q513" s="5"/>
      <c r="X513" t="str">
        <f t="shared" si="15"/>
        <v/>
      </c>
    </row>
    <row r="514" spans="1:24">
      <c r="A514" s="4"/>
      <c r="B514" s="31"/>
      <c r="C514" s="11" t="e">
        <f t="shared" si="14"/>
        <v>#N/A</v>
      </c>
      <c r="D514" s="5"/>
      <c r="E514" s="5"/>
      <c r="F514" s="5"/>
      <c r="G514" s="5"/>
      <c r="H514" s="5"/>
      <c r="I514" s="5"/>
      <c r="J514" s="5"/>
      <c r="K514" s="5"/>
      <c r="L514" s="5"/>
      <c r="M514" s="5"/>
      <c r="N514" s="5"/>
      <c r="O514" s="5"/>
      <c r="P514" s="5"/>
      <c r="Q514" s="5"/>
      <c r="X514" t="str">
        <f t="shared" si="15"/>
        <v/>
      </c>
    </row>
    <row r="515" spans="1:24">
      <c r="A515" s="4"/>
      <c r="B515" s="31"/>
      <c r="C515" s="11" t="e">
        <f t="shared" ref="C515:C578" si="16">IF(OR(ISBLANK(A515),ISBLANK(B515)),NA(),A515-B515)</f>
        <v>#N/A</v>
      </c>
      <c r="D515" s="5"/>
      <c r="E515" s="5"/>
      <c r="F515" s="5"/>
      <c r="G515" s="5"/>
      <c r="H515" s="5"/>
      <c r="I515" s="5"/>
      <c r="J515" s="5"/>
      <c r="K515" s="5"/>
      <c r="L515" s="5"/>
      <c r="M515" s="5"/>
      <c r="N515" s="5"/>
      <c r="O515" s="5"/>
      <c r="P515" s="5"/>
      <c r="Q515" s="5"/>
      <c r="X515" t="str">
        <f t="shared" ref="X515:X578" si="17">IFERROR(C515,"")</f>
        <v/>
      </c>
    </row>
    <row r="516" spans="1:24">
      <c r="A516" s="4"/>
      <c r="B516" s="31"/>
      <c r="C516" s="11" t="e">
        <f t="shared" si="16"/>
        <v>#N/A</v>
      </c>
      <c r="D516" s="5"/>
      <c r="E516" s="5"/>
      <c r="F516" s="5"/>
      <c r="G516" s="5"/>
      <c r="H516" s="5"/>
      <c r="I516" s="5"/>
      <c r="J516" s="5"/>
      <c r="K516" s="5"/>
      <c r="L516" s="5"/>
      <c r="M516" s="5"/>
      <c r="N516" s="5"/>
      <c r="O516" s="5"/>
      <c r="P516" s="5"/>
      <c r="Q516" s="5"/>
      <c r="X516" t="str">
        <f t="shared" si="17"/>
        <v/>
      </c>
    </row>
    <row r="517" spans="1:24">
      <c r="A517" s="4"/>
      <c r="B517" s="31"/>
      <c r="C517" s="11" t="e">
        <f t="shared" si="16"/>
        <v>#N/A</v>
      </c>
      <c r="D517" s="5"/>
      <c r="E517" s="5"/>
      <c r="F517" s="5"/>
      <c r="G517" s="5"/>
      <c r="H517" s="5"/>
      <c r="I517" s="5"/>
      <c r="J517" s="5"/>
      <c r="K517" s="5"/>
      <c r="L517" s="5"/>
      <c r="M517" s="5"/>
      <c r="N517" s="5"/>
      <c r="O517" s="5"/>
      <c r="P517" s="5"/>
      <c r="Q517" s="5"/>
      <c r="X517" t="str">
        <f t="shared" si="17"/>
        <v/>
      </c>
    </row>
    <row r="518" spans="1:24">
      <c r="A518" s="4"/>
      <c r="B518" s="31"/>
      <c r="C518" s="11" t="e">
        <f t="shared" si="16"/>
        <v>#N/A</v>
      </c>
      <c r="D518" s="5"/>
      <c r="E518" s="5"/>
      <c r="F518" s="5"/>
      <c r="G518" s="5"/>
      <c r="H518" s="5"/>
      <c r="I518" s="5"/>
      <c r="J518" s="5"/>
      <c r="K518" s="5"/>
      <c r="L518" s="5"/>
      <c r="M518" s="5"/>
      <c r="N518" s="5"/>
      <c r="O518" s="5"/>
      <c r="P518" s="5"/>
      <c r="Q518" s="5"/>
      <c r="X518" t="str">
        <f t="shared" si="17"/>
        <v/>
      </c>
    </row>
    <row r="519" spans="1:24">
      <c r="A519" s="4"/>
      <c r="B519" s="31"/>
      <c r="C519" s="11" t="e">
        <f t="shared" si="16"/>
        <v>#N/A</v>
      </c>
      <c r="D519" s="5"/>
      <c r="E519" s="5"/>
      <c r="F519" s="5"/>
      <c r="G519" s="5"/>
      <c r="H519" s="5"/>
      <c r="I519" s="5"/>
      <c r="J519" s="5"/>
      <c r="K519" s="5"/>
      <c r="L519" s="5"/>
      <c r="M519" s="5"/>
      <c r="N519" s="5"/>
      <c r="O519" s="5"/>
      <c r="P519" s="5"/>
      <c r="Q519" s="5"/>
      <c r="X519" t="str">
        <f t="shared" si="17"/>
        <v/>
      </c>
    </row>
    <row r="520" spans="1:24">
      <c r="A520" s="4"/>
      <c r="B520" s="31"/>
      <c r="C520" s="11" t="e">
        <f t="shared" si="16"/>
        <v>#N/A</v>
      </c>
      <c r="D520" s="5"/>
      <c r="E520" s="5"/>
      <c r="F520" s="5"/>
      <c r="G520" s="5"/>
      <c r="H520" s="5"/>
      <c r="I520" s="5"/>
      <c r="J520" s="5"/>
      <c r="K520" s="5"/>
      <c r="L520" s="5"/>
      <c r="M520" s="5"/>
      <c r="N520" s="5"/>
      <c r="O520" s="5"/>
      <c r="P520" s="5"/>
      <c r="Q520" s="5"/>
      <c r="X520" t="str">
        <f t="shared" si="17"/>
        <v/>
      </c>
    </row>
    <row r="521" spans="1:24">
      <c r="A521" s="4"/>
      <c r="B521" s="31"/>
      <c r="C521" s="11" t="e">
        <f t="shared" si="16"/>
        <v>#N/A</v>
      </c>
      <c r="D521" s="5"/>
      <c r="E521" s="5"/>
      <c r="F521" s="5"/>
      <c r="G521" s="5"/>
      <c r="H521" s="5"/>
      <c r="I521" s="5"/>
      <c r="J521" s="5"/>
      <c r="K521" s="5"/>
      <c r="L521" s="5"/>
      <c r="M521" s="5"/>
      <c r="N521" s="5"/>
      <c r="O521" s="5"/>
      <c r="P521" s="5"/>
      <c r="Q521" s="5"/>
      <c r="X521" t="str">
        <f t="shared" si="17"/>
        <v/>
      </c>
    </row>
    <row r="522" spans="1:24">
      <c r="A522" s="4"/>
      <c r="B522" s="31"/>
      <c r="C522" s="11" t="e">
        <f t="shared" si="16"/>
        <v>#N/A</v>
      </c>
      <c r="D522" s="5"/>
      <c r="E522" s="5"/>
      <c r="F522" s="5"/>
      <c r="G522" s="5"/>
      <c r="H522" s="5"/>
      <c r="I522" s="5"/>
      <c r="J522" s="5"/>
      <c r="K522" s="5"/>
      <c r="L522" s="5"/>
      <c r="M522" s="5"/>
      <c r="N522" s="5"/>
      <c r="O522" s="5"/>
      <c r="P522" s="5"/>
      <c r="Q522" s="5"/>
      <c r="X522" t="str">
        <f t="shared" si="17"/>
        <v/>
      </c>
    </row>
    <row r="523" spans="1:24">
      <c r="A523" s="4"/>
      <c r="B523" s="31"/>
      <c r="C523" s="11" t="e">
        <f t="shared" si="16"/>
        <v>#N/A</v>
      </c>
      <c r="D523" s="5"/>
      <c r="E523" s="5"/>
      <c r="F523" s="5"/>
      <c r="G523" s="5"/>
      <c r="H523" s="5"/>
      <c r="I523" s="5"/>
      <c r="J523" s="5"/>
      <c r="K523" s="5"/>
      <c r="L523" s="5"/>
      <c r="M523" s="5"/>
      <c r="N523" s="5"/>
      <c r="O523" s="5"/>
      <c r="P523" s="5"/>
      <c r="Q523" s="5"/>
      <c r="X523" t="str">
        <f t="shared" si="17"/>
        <v/>
      </c>
    </row>
    <row r="524" spans="1:24">
      <c r="A524" s="4"/>
      <c r="B524" s="31"/>
      <c r="C524" s="11" t="e">
        <f t="shared" si="16"/>
        <v>#N/A</v>
      </c>
      <c r="D524" s="5"/>
      <c r="E524" s="5"/>
      <c r="F524" s="5"/>
      <c r="G524" s="5"/>
      <c r="H524" s="5"/>
      <c r="I524" s="5"/>
      <c r="J524" s="5"/>
      <c r="K524" s="5"/>
      <c r="L524" s="5"/>
      <c r="M524" s="5"/>
      <c r="N524" s="5"/>
      <c r="O524" s="5"/>
      <c r="P524" s="5"/>
      <c r="Q524" s="5"/>
      <c r="X524" t="str">
        <f t="shared" si="17"/>
        <v/>
      </c>
    </row>
    <row r="525" spans="1:24">
      <c r="A525" s="4"/>
      <c r="B525" s="31"/>
      <c r="C525" s="11" t="e">
        <f t="shared" si="16"/>
        <v>#N/A</v>
      </c>
      <c r="D525" s="5"/>
      <c r="E525" s="5"/>
      <c r="F525" s="5"/>
      <c r="G525" s="5"/>
      <c r="H525" s="5"/>
      <c r="I525" s="5"/>
      <c r="J525" s="5"/>
      <c r="K525" s="5"/>
      <c r="L525" s="5"/>
      <c r="M525" s="5"/>
      <c r="N525" s="5"/>
      <c r="O525" s="5"/>
      <c r="P525" s="5"/>
      <c r="Q525" s="5"/>
      <c r="X525" t="str">
        <f t="shared" si="17"/>
        <v/>
      </c>
    </row>
    <row r="526" spans="1:24">
      <c r="A526" s="4"/>
      <c r="B526" s="31"/>
      <c r="C526" s="11" t="e">
        <f t="shared" si="16"/>
        <v>#N/A</v>
      </c>
      <c r="D526" s="5"/>
      <c r="E526" s="5"/>
      <c r="F526" s="5"/>
      <c r="G526" s="5"/>
      <c r="H526" s="5"/>
      <c r="I526" s="5"/>
      <c r="J526" s="5"/>
      <c r="K526" s="5"/>
      <c r="L526" s="5"/>
      <c r="M526" s="5"/>
      <c r="N526" s="5"/>
      <c r="O526" s="5"/>
      <c r="P526" s="5"/>
      <c r="Q526" s="5"/>
      <c r="X526" t="str">
        <f t="shared" si="17"/>
        <v/>
      </c>
    </row>
    <row r="527" spans="1:24">
      <c r="A527" s="4"/>
      <c r="B527" s="31"/>
      <c r="C527" s="11" t="e">
        <f t="shared" si="16"/>
        <v>#N/A</v>
      </c>
      <c r="D527" s="5"/>
      <c r="E527" s="5"/>
      <c r="F527" s="5"/>
      <c r="G527" s="5"/>
      <c r="H527" s="5"/>
      <c r="I527" s="5"/>
      <c r="J527" s="5"/>
      <c r="K527" s="5"/>
      <c r="L527" s="5"/>
      <c r="M527" s="5"/>
      <c r="N527" s="5"/>
      <c r="O527" s="5"/>
      <c r="P527" s="5"/>
      <c r="Q527" s="5"/>
      <c r="X527" t="str">
        <f t="shared" si="17"/>
        <v/>
      </c>
    </row>
    <row r="528" spans="1:24">
      <c r="A528" s="4"/>
      <c r="B528" s="31"/>
      <c r="C528" s="11" t="e">
        <f t="shared" si="16"/>
        <v>#N/A</v>
      </c>
      <c r="D528" s="5"/>
      <c r="E528" s="5"/>
      <c r="F528" s="5"/>
      <c r="G528" s="5"/>
      <c r="H528" s="5"/>
      <c r="I528" s="5"/>
      <c r="J528" s="5"/>
      <c r="K528" s="5"/>
      <c r="L528" s="5"/>
      <c r="M528" s="5"/>
      <c r="N528" s="5"/>
      <c r="O528" s="5"/>
      <c r="P528" s="5"/>
      <c r="Q528" s="5"/>
      <c r="X528" t="str">
        <f t="shared" si="17"/>
        <v/>
      </c>
    </row>
    <row r="529" spans="1:24">
      <c r="A529" s="4"/>
      <c r="B529" s="31"/>
      <c r="C529" s="11" t="e">
        <f t="shared" si="16"/>
        <v>#N/A</v>
      </c>
      <c r="D529" s="5"/>
      <c r="E529" s="5"/>
      <c r="F529" s="5"/>
      <c r="G529" s="5"/>
      <c r="H529" s="5"/>
      <c r="I529" s="5"/>
      <c r="J529" s="5"/>
      <c r="K529" s="5"/>
      <c r="L529" s="5"/>
      <c r="M529" s="5"/>
      <c r="N529" s="5"/>
      <c r="O529" s="5"/>
      <c r="P529" s="5"/>
      <c r="Q529" s="5"/>
      <c r="X529" t="str">
        <f t="shared" si="17"/>
        <v/>
      </c>
    </row>
    <row r="530" spans="1:24">
      <c r="A530" s="4"/>
      <c r="B530" s="31"/>
      <c r="C530" s="11" t="e">
        <f t="shared" si="16"/>
        <v>#N/A</v>
      </c>
      <c r="D530" s="5"/>
      <c r="E530" s="5"/>
      <c r="F530" s="5"/>
      <c r="G530" s="5"/>
      <c r="H530" s="5"/>
      <c r="I530" s="5"/>
      <c r="J530" s="5"/>
      <c r="K530" s="5"/>
      <c r="L530" s="5"/>
      <c r="M530" s="5"/>
      <c r="N530" s="5"/>
      <c r="O530" s="5"/>
      <c r="P530" s="5"/>
      <c r="Q530" s="5"/>
      <c r="X530" t="str">
        <f t="shared" si="17"/>
        <v/>
      </c>
    </row>
    <row r="531" spans="1:24">
      <c r="A531" s="4"/>
      <c r="B531" s="31"/>
      <c r="C531" s="11" t="e">
        <f t="shared" si="16"/>
        <v>#N/A</v>
      </c>
      <c r="D531" s="5"/>
      <c r="E531" s="5"/>
      <c r="F531" s="5"/>
      <c r="G531" s="5"/>
      <c r="H531" s="5"/>
      <c r="I531" s="5"/>
      <c r="J531" s="5"/>
      <c r="K531" s="5"/>
      <c r="L531" s="5"/>
      <c r="M531" s="5"/>
      <c r="N531" s="5"/>
      <c r="O531" s="5"/>
      <c r="P531" s="5"/>
      <c r="Q531" s="5"/>
      <c r="X531" t="str">
        <f t="shared" si="17"/>
        <v/>
      </c>
    </row>
    <row r="532" spans="1:24">
      <c r="A532" s="4"/>
      <c r="B532" s="31"/>
      <c r="C532" s="11" t="e">
        <f t="shared" si="16"/>
        <v>#N/A</v>
      </c>
      <c r="D532" s="5"/>
      <c r="E532" s="5"/>
      <c r="F532" s="5"/>
      <c r="G532" s="5"/>
      <c r="H532" s="5"/>
      <c r="I532" s="5"/>
      <c r="J532" s="5"/>
      <c r="K532" s="5"/>
      <c r="L532" s="5"/>
      <c r="M532" s="5"/>
      <c r="N532" s="5"/>
      <c r="O532" s="5"/>
      <c r="P532" s="5"/>
      <c r="Q532" s="5"/>
      <c r="X532" t="str">
        <f t="shared" si="17"/>
        <v/>
      </c>
    </row>
    <row r="533" spans="1:24">
      <c r="A533" s="4"/>
      <c r="B533" s="31"/>
      <c r="C533" s="11" t="e">
        <f t="shared" si="16"/>
        <v>#N/A</v>
      </c>
      <c r="D533" s="5"/>
      <c r="E533" s="5"/>
      <c r="F533" s="5"/>
      <c r="G533" s="5"/>
      <c r="H533" s="5"/>
      <c r="I533" s="5"/>
      <c r="J533" s="5"/>
      <c r="K533" s="5"/>
      <c r="L533" s="5"/>
      <c r="M533" s="5"/>
      <c r="N533" s="5"/>
      <c r="O533" s="5"/>
      <c r="P533" s="5"/>
      <c r="Q533" s="5"/>
      <c r="X533" t="str">
        <f t="shared" si="17"/>
        <v/>
      </c>
    </row>
    <row r="534" spans="1:24">
      <c r="A534" s="4"/>
      <c r="B534" s="31"/>
      <c r="C534" s="11" t="e">
        <f t="shared" si="16"/>
        <v>#N/A</v>
      </c>
      <c r="D534" s="5"/>
      <c r="E534" s="5"/>
      <c r="F534" s="5"/>
      <c r="G534" s="5"/>
      <c r="H534" s="5"/>
      <c r="I534" s="5"/>
      <c r="J534" s="5"/>
      <c r="K534" s="5"/>
      <c r="L534" s="5"/>
      <c r="M534" s="5"/>
      <c r="N534" s="5"/>
      <c r="O534" s="5"/>
      <c r="P534" s="5"/>
      <c r="Q534" s="5"/>
      <c r="X534" t="str">
        <f t="shared" si="17"/>
        <v/>
      </c>
    </row>
    <row r="535" spans="1:24">
      <c r="A535" s="4"/>
      <c r="B535" s="31"/>
      <c r="C535" s="11" t="e">
        <f t="shared" si="16"/>
        <v>#N/A</v>
      </c>
      <c r="D535" s="5"/>
      <c r="E535" s="5"/>
      <c r="F535" s="5"/>
      <c r="G535" s="5"/>
      <c r="H535" s="5"/>
      <c r="I535" s="5"/>
      <c r="J535" s="5"/>
      <c r="K535" s="5"/>
      <c r="L535" s="5"/>
      <c r="M535" s="5"/>
      <c r="N535" s="5"/>
      <c r="O535" s="5"/>
      <c r="P535" s="5"/>
      <c r="Q535" s="5"/>
      <c r="X535" t="str">
        <f t="shared" si="17"/>
        <v/>
      </c>
    </row>
    <row r="536" spans="1:24">
      <c r="A536" s="4"/>
      <c r="B536" s="31"/>
      <c r="C536" s="11" t="e">
        <f t="shared" si="16"/>
        <v>#N/A</v>
      </c>
      <c r="D536" s="5"/>
      <c r="E536" s="5"/>
      <c r="F536" s="5"/>
      <c r="G536" s="5"/>
      <c r="H536" s="5"/>
      <c r="I536" s="5"/>
      <c r="J536" s="5"/>
      <c r="K536" s="5"/>
      <c r="L536" s="5"/>
      <c r="M536" s="5"/>
      <c r="N536" s="5"/>
      <c r="O536" s="5"/>
      <c r="P536" s="5"/>
      <c r="Q536" s="5"/>
      <c r="X536" t="str">
        <f t="shared" si="17"/>
        <v/>
      </c>
    </row>
    <row r="537" spans="1:24">
      <c r="A537" s="4"/>
      <c r="B537" s="31"/>
      <c r="C537" s="11" t="e">
        <f t="shared" si="16"/>
        <v>#N/A</v>
      </c>
      <c r="D537" s="5"/>
      <c r="E537" s="5"/>
      <c r="F537" s="5"/>
      <c r="G537" s="5"/>
      <c r="H537" s="5"/>
      <c r="I537" s="5"/>
      <c r="J537" s="5"/>
      <c r="K537" s="5"/>
      <c r="L537" s="5"/>
      <c r="M537" s="5"/>
      <c r="N537" s="5"/>
      <c r="O537" s="5"/>
      <c r="P537" s="5"/>
      <c r="Q537" s="5"/>
      <c r="X537" t="str">
        <f t="shared" si="17"/>
        <v/>
      </c>
    </row>
    <row r="538" spans="1:24">
      <c r="A538" s="4"/>
      <c r="B538" s="31"/>
      <c r="C538" s="11" t="e">
        <f t="shared" si="16"/>
        <v>#N/A</v>
      </c>
      <c r="D538" s="5"/>
      <c r="E538" s="5"/>
      <c r="F538" s="5"/>
      <c r="G538" s="5"/>
      <c r="H538" s="5"/>
      <c r="I538" s="5"/>
      <c r="J538" s="5"/>
      <c r="K538" s="5"/>
      <c r="L538" s="5"/>
      <c r="M538" s="5"/>
      <c r="N538" s="5"/>
      <c r="O538" s="5"/>
      <c r="P538" s="5"/>
      <c r="Q538" s="5"/>
      <c r="X538" t="str">
        <f t="shared" si="17"/>
        <v/>
      </c>
    </row>
    <row r="539" spans="1:24">
      <c r="A539" s="4"/>
      <c r="B539" s="31"/>
      <c r="C539" s="11" t="e">
        <f t="shared" si="16"/>
        <v>#N/A</v>
      </c>
      <c r="D539" s="5"/>
      <c r="E539" s="5"/>
      <c r="F539" s="5"/>
      <c r="G539" s="5"/>
      <c r="H539" s="5"/>
      <c r="I539" s="5"/>
      <c r="J539" s="5"/>
      <c r="K539" s="5"/>
      <c r="L539" s="5"/>
      <c r="M539" s="5"/>
      <c r="N539" s="5"/>
      <c r="O539" s="5"/>
      <c r="P539" s="5"/>
      <c r="Q539" s="5"/>
      <c r="X539" t="str">
        <f t="shared" si="17"/>
        <v/>
      </c>
    </row>
    <row r="540" spans="1:24">
      <c r="A540" s="4"/>
      <c r="B540" s="31"/>
      <c r="C540" s="11" t="e">
        <f t="shared" si="16"/>
        <v>#N/A</v>
      </c>
      <c r="D540" s="5"/>
      <c r="E540" s="5"/>
      <c r="F540" s="5"/>
      <c r="G540" s="5"/>
      <c r="H540" s="5"/>
      <c r="I540" s="5"/>
      <c r="J540" s="5"/>
      <c r="K540" s="5"/>
      <c r="L540" s="5"/>
      <c r="M540" s="5"/>
      <c r="N540" s="5"/>
      <c r="O540" s="5"/>
      <c r="P540" s="5"/>
      <c r="Q540" s="5"/>
      <c r="X540" t="str">
        <f t="shared" si="17"/>
        <v/>
      </c>
    </row>
    <row r="541" spans="1:24">
      <c r="A541" s="4"/>
      <c r="B541" s="31"/>
      <c r="C541" s="11" t="e">
        <f t="shared" si="16"/>
        <v>#N/A</v>
      </c>
      <c r="D541" s="5"/>
      <c r="E541" s="5"/>
      <c r="F541" s="5"/>
      <c r="G541" s="5"/>
      <c r="H541" s="5"/>
      <c r="I541" s="5"/>
      <c r="J541" s="5"/>
      <c r="K541" s="5"/>
      <c r="L541" s="5"/>
      <c r="M541" s="5"/>
      <c r="N541" s="5"/>
      <c r="O541" s="5"/>
      <c r="P541" s="5"/>
      <c r="Q541" s="5"/>
      <c r="X541" t="str">
        <f t="shared" si="17"/>
        <v/>
      </c>
    </row>
    <row r="542" spans="1:24">
      <c r="A542" s="4"/>
      <c r="B542" s="31"/>
      <c r="C542" s="11" t="e">
        <f t="shared" si="16"/>
        <v>#N/A</v>
      </c>
      <c r="D542" s="5"/>
      <c r="E542" s="5"/>
      <c r="F542" s="5"/>
      <c r="G542" s="5"/>
      <c r="H542" s="5"/>
      <c r="I542" s="5"/>
      <c r="J542" s="5"/>
      <c r="K542" s="5"/>
      <c r="L542" s="5"/>
      <c r="M542" s="5"/>
      <c r="N542" s="5"/>
      <c r="O542" s="5"/>
      <c r="P542" s="5"/>
      <c r="Q542" s="5"/>
      <c r="X542" t="str">
        <f t="shared" si="17"/>
        <v/>
      </c>
    </row>
    <row r="543" spans="1:24">
      <c r="A543" s="4"/>
      <c r="B543" s="31"/>
      <c r="C543" s="11" t="e">
        <f t="shared" si="16"/>
        <v>#N/A</v>
      </c>
      <c r="D543" s="5"/>
      <c r="E543" s="5"/>
      <c r="F543" s="5"/>
      <c r="G543" s="5"/>
      <c r="H543" s="5"/>
      <c r="I543" s="5"/>
      <c r="J543" s="5"/>
      <c r="K543" s="5"/>
      <c r="L543" s="5"/>
      <c r="M543" s="5"/>
      <c r="N543" s="5"/>
      <c r="O543" s="5"/>
      <c r="P543" s="5"/>
      <c r="Q543" s="5"/>
      <c r="X543" t="str">
        <f t="shared" si="17"/>
        <v/>
      </c>
    </row>
    <row r="544" spans="1:24">
      <c r="A544" s="4"/>
      <c r="B544" s="31"/>
      <c r="C544" s="11" t="e">
        <f t="shared" si="16"/>
        <v>#N/A</v>
      </c>
      <c r="D544" s="5"/>
      <c r="E544" s="5"/>
      <c r="F544" s="5"/>
      <c r="G544" s="5"/>
      <c r="H544" s="5"/>
      <c r="I544" s="5"/>
      <c r="J544" s="5"/>
      <c r="K544" s="5"/>
      <c r="L544" s="5"/>
      <c r="M544" s="5"/>
      <c r="N544" s="5"/>
      <c r="O544" s="5"/>
      <c r="P544" s="5"/>
      <c r="Q544" s="5"/>
      <c r="X544" t="str">
        <f t="shared" si="17"/>
        <v/>
      </c>
    </row>
    <row r="545" spans="1:24">
      <c r="A545" s="4"/>
      <c r="B545" s="31"/>
      <c r="C545" s="11" t="e">
        <f t="shared" si="16"/>
        <v>#N/A</v>
      </c>
      <c r="D545" s="5"/>
      <c r="E545" s="5"/>
      <c r="F545" s="5"/>
      <c r="G545" s="5"/>
      <c r="H545" s="5"/>
      <c r="I545" s="5"/>
      <c r="J545" s="5"/>
      <c r="K545" s="5"/>
      <c r="L545" s="5"/>
      <c r="M545" s="5"/>
      <c r="N545" s="5"/>
      <c r="O545" s="5"/>
      <c r="P545" s="5"/>
      <c r="Q545" s="5"/>
      <c r="X545" t="str">
        <f t="shared" si="17"/>
        <v/>
      </c>
    </row>
    <row r="546" spans="1:24">
      <c r="A546" s="4"/>
      <c r="B546" s="31"/>
      <c r="C546" s="11" t="e">
        <f t="shared" si="16"/>
        <v>#N/A</v>
      </c>
      <c r="D546" s="5"/>
      <c r="E546" s="5"/>
      <c r="F546" s="5"/>
      <c r="G546" s="5"/>
      <c r="H546" s="5"/>
      <c r="I546" s="5"/>
      <c r="J546" s="5"/>
      <c r="K546" s="5"/>
      <c r="L546" s="5"/>
      <c r="M546" s="5"/>
      <c r="N546" s="5"/>
      <c r="O546" s="5"/>
      <c r="P546" s="5"/>
      <c r="Q546" s="5"/>
      <c r="X546" t="str">
        <f t="shared" si="17"/>
        <v/>
      </c>
    </row>
    <row r="547" spans="1:24">
      <c r="A547" s="4"/>
      <c r="B547" s="31"/>
      <c r="C547" s="11" t="e">
        <f t="shared" si="16"/>
        <v>#N/A</v>
      </c>
      <c r="D547" s="5"/>
      <c r="E547" s="5"/>
      <c r="F547" s="5"/>
      <c r="G547" s="5"/>
      <c r="H547" s="5"/>
      <c r="I547" s="5"/>
      <c r="J547" s="5"/>
      <c r="K547" s="5"/>
      <c r="L547" s="5"/>
      <c r="M547" s="5"/>
      <c r="N547" s="5"/>
      <c r="O547" s="5"/>
      <c r="P547" s="5"/>
      <c r="Q547" s="5"/>
      <c r="X547" t="str">
        <f t="shared" si="17"/>
        <v/>
      </c>
    </row>
    <row r="548" spans="1:24">
      <c r="A548" s="4"/>
      <c r="B548" s="31"/>
      <c r="C548" s="11" t="e">
        <f t="shared" si="16"/>
        <v>#N/A</v>
      </c>
      <c r="D548" s="5"/>
      <c r="E548" s="5"/>
      <c r="F548" s="5"/>
      <c r="G548" s="5"/>
      <c r="H548" s="5"/>
      <c r="I548" s="5"/>
      <c r="J548" s="5"/>
      <c r="K548" s="5"/>
      <c r="L548" s="5"/>
      <c r="M548" s="5"/>
      <c r="N548" s="5"/>
      <c r="O548" s="5"/>
      <c r="P548" s="5"/>
      <c r="Q548" s="5"/>
      <c r="X548" t="str">
        <f t="shared" si="17"/>
        <v/>
      </c>
    </row>
    <row r="549" spans="1:24">
      <c r="A549" s="4"/>
      <c r="B549" s="31"/>
      <c r="C549" s="11" t="e">
        <f t="shared" si="16"/>
        <v>#N/A</v>
      </c>
      <c r="D549" s="5"/>
      <c r="E549" s="5"/>
      <c r="F549" s="5"/>
      <c r="G549" s="5"/>
      <c r="H549" s="5"/>
      <c r="I549" s="5"/>
      <c r="J549" s="5"/>
      <c r="K549" s="5"/>
      <c r="L549" s="5"/>
      <c r="M549" s="5"/>
      <c r="N549" s="5"/>
      <c r="O549" s="5"/>
      <c r="P549" s="5"/>
      <c r="Q549" s="5"/>
      <c r="X549" t="str">
        <f t="shared" si="17"/>
        <v/>
      </c>
    </row>
    <row r="550" spans="1:24">
      <c r="A550" s="4"/>
      <c r="B550" s="31"/>
      <c r="C550" s="11" t="e">
        <f t="shared" si="16"/>
        <v>#N/A</v>
      </c>
      <c r="D550" s="5"/>
      <c r="E550" s="5"/>
      <c r="F550" s="5"/>
      <c r="G550" s="5"/>
      <c r="H550" s="5"/>
      <c r="I550" s="5"/>
      <c r="J550" s="5"/>
      <c r="K550" s="5"/>
      <c r="L550" s="5"/>
      <c r="M550" s="5"/>
      <c r="N550" s="5"/>
      <c r="O550" s="5"/>
      <c r="P550" s="5"/>
      <c r="Q550" s="5"/>
      <c r="X550" t="str">
        <f t="shared" si="17"/>
        <v/>
      </c>
    </row>
    <row r="551" spans="1:24">
      <c r="A551" s="4"/>
      <c r="B551" s="31"/>
      <c r="C551" s="11" t="e">
        <f t="shared" si="16"/>
        <v>#N/A</v>
      </c>
      <c r="D551" s="5"/>
      <c r="E551" s="5"/>
      <c r="F551" s="5"/>
      <c r="G551" s="5"/>
      <c r="H551" s="5"/>
      <c r="I551" s="5"/>
      <c r="J551" s="5"/>
      <c r="K551" s="5"/>
      <c r="L551" s="5"/>
      <c r="M551" s="5"/>
      <c r="N551" s="5"/>
      <c r="O551" s="5"/>
      <c r="P551" s="5"/>
      <c r="Q551" s="5"/>
      <c r="X551" t="str">
        <f t="shared" si="17"/>
        <v/>
      </c>
    </row>
    <row r="552" spans="1:24">
      <c r="A552" s="4"/>
      <c r="B552" s="31"/>
      <c r="C552" s="11" t="e">
        <f t="shared" si="16"/>
        <v>#N/A</v>
      </c>
      <c r="D552" s="5"/>
      <c r="E552" s="5"/>
      <c r="F552" s="5"/>
      <c r="G552" s="5"/>
      <c r="H552" s="5"/>
      <c r="I552" s="5"/>
      <c r="J552" s="5"/>
      <c r="K552" s="5"/>
      <c r="L552" s="5"/>
      <c r="M552" s="5"/>
      <c r="N552" s="5"/>
      <c r="O552" s="5"/>
      <c r="P552" s="5"/>
      <c r="Q552" s="5"/>
      <c r="X552" t="str">
        <f t="shared" si="17"/>
        <v/>
      </c>
    </row>
    <row r="553" spans="1:24">
      <c r="A553" s="4"/>
      <c r="B553" s="31"/>
      <c r="C553" s="11" t="e">
        <f t="shared" si="16"/>
        <v>#N/A</v>
      </c>
      <c r="D553" s="5"/>
      <c r="E553" s="5"/>
      <c r="F553" s="5"/>
      <c r="G553" s="5"/>
      <c r="H553" s="5"/>
      <c r="I553" s="5"/>
      <c r="J553" s="5"/>
      <c r="K553" s="5"/>
      <c r="L553" s="5"/>
      <c r="M553" s="5"/>
      <c r="N553" s="5"/>
      <c r="O553" s="5"/>
      <c r="P553" s="5"/>
      <c r="Q553" s="5"/>
      <c r="X553" t="str">
        <f t="shared" si="17"/>
        <v/>
      </c>
    </row>
    <row r="554" spans="1:24">
      <c r="A554" s="4"/>
      <c r="B554" s="31"/>
      <c r="C554" s="11" t="e">
        <f t="shared" si="16"/>
        <v>#N/A</v>
      </c>
      <c r="D554" s="5"/>
      <c r="E554" s="5"/>
      <c r="F554" s="5"/>
      <c r="G554" s="5"/>
      <c r="H554" s="5"/>
      <c r="I554" s="5"/>
      <c r="J554" s="5"/>
      <c r="K554" s="5"/>
      <c r="L554" s="5"/>
      <c r="M554" s="5"/>
      <c r="N554" s="5"/>
      <c r="O554" s="5"/>
      <c r="P554" s="5"/>
      <c r="Q554" s="5"/>
      <c r="X554" t="str">
        <f t="shared" si="17"/>
        <v/>
      </c>
    </row>
    <row r="555" spans="1:24">
      <c r="A555" s="4"/>
      <c r="B555" s="31"/>
      <c r="C555" s="11" t="e">
        <f t="shared" si="16"/>
        <v>#N/A</v>
      </c>
      <c r="D555" s="5"/>
      <c r="E555" s="5"/>
      <c r="F555" s="5"/>
      <c r="G555" s="5"/>
      <c r="H555" s="5"/>
      <c r="I555" s="5"/>
      <c r="J555" s="5"/>
      <c r="K555" s="5"/>
      <c r="L555" s="5"/>
      <c r="M555" s="5"/>
      <c r="N555" s="5"/>
      <c r="O555" s="5"/>
      <c r="P555" s="5"/>
      <c r="Q555" s="5"/>
      <c r="X555" t="str">
        <f t="shared" si="17"/>
        <v/>
      </c>
    </row>
    <row r="556" spans="1:24">
      <c r="A556" s="4"/>
      <c r="B556" s="31"/>
      <c r="C556" s="11" t="e">
        <f t="shared" si="16"/>
        <v>#N/A</v>
      </c>
      <c r="D556" s="5"/>
      <c r="E556" s="5"/>
      <c r="F556" s="5"/>
      <c r="G556" s="5"/>
      <c r="H556" s="5"/>
      <c r="I556" s="5"/>
      <c r="J556" s="5"/>
      <c r="K556" s="5"/>
      <c r="L556" s="5"/>
      <c r="M556" s="5"/>
      <c r="N556" s="5"/>
      <c r="O556" s="5"/>
      <c r="P556" s="5"/>
      <c r="Q556" s="5"/>
      <c r="X556" t="str">
        <f t="shared" si="17"/>
        <v/>
      </c>
    </row>
    <row r="557" spans="1:24">
      <c r="A557" s="4"/>
      <c r="B557" s="31"/>
      <c r="C557" s="11" t="e">
        <f t="shared" si="16"/>
        <v>#N/A</v>
      </c>
      <c r="D557" s="5"/>
      <c r="E557" s="5"/>
      <c r="F557" s="5"/>
      <c r="G557" s="5"/>
      <c r="H557" s="5"/>
      <c r="I557" s="5"/>
      <c r="J557" s="5"/>
      <c r="K557" s="5"/>
      <c r="L557" s="5"/>
      <c r="M557" s="5"/>
      <c r="N557" s="5"/>
      <c r="O557" s="5"/>
      <c r="P557" s="5"/>
      <c r="Q557" s="5"/>
      <c r="X557" t="str">
        <f t="shared" si="17"/>
        <v/>
      </c>
    </row>
    <row r="558" spans="1:24">
      <c r="A558" s="4"/>
      <c r="B558" s="31"/>
      <c r="C558" s="11" t="e">
        <f t="shared" si="16"/>
        <v>#N/A</v>
      </c>
      <c r="D558" s="5"/>
      <c r="E558" s="5"/>
      <c r="F558" s="5"/>
      <c r="G558" s="5"/>
      <c r="H558" s="5"/>
      <c r="I558" s="5"/>
      <c r="J558" s="5"/>
      <c r="K558" s="5"/>
      <c r="L558" s="5"/>
      <c r="M558" s="5"/>
      <c r="N558" s="5"/>
      <c r="O558" s="5"/>
      <c r="P558" s="5"/>
      <c r="Q558" s="5"/>
      <c r="X558" t="str">
        <f t="shared" si="17"/>
        <v/>
      </c>
    </row>
    <row r="559" spans="1:24">
      <c r="A559" s="4"/>
      <c r="B559" s="31"/>
      <c r="C559" s="11" t="e">
        <f t="shared" si="16"/>
        <v>#N/A</v>
      </c>
      <c r="D559" s="5"/>
      <c r="E559" s="5"/>
      <c r="F559" s="5"/>
      <c r="G559" s="5"/>
      <c r="H559" s="5"/>
      <c r="I559" s="5"/>
      <c r="J559" s="5"/>
      <c r="K559" s="5"/>
      <c r="L559" s="5"/>
      <c r="M559" s="5"/>
      <c r="N559" s="5"/>
      <c r="O559" s="5"/>
      <c r="P559" s="5"/>
      <c r="Q559" s="5"/>
      <c r="X559" t="str">
        <f t="shared" si="17"/>
        <v/>
      </c>
    </row>
    <row r="560" spans="1:24">
      <c r="A560" s="4"/>
      <c r="B560" s="31"/>
      <c r="C560" s="11" t="e">
        <f t="shared" si="16"/>
        <v>#N/A</v>
      </c>
      <c r="D560" s="5"/>
      <c r="E560" s="5"/>
      <c r="F560" s="5"/>
      <c r="G560" s="5"/>
      <c r="H560" s="5"/>
      <c r="I560" s="5"/>
      <c r="J560" s="5"/>
      <c r="K560" s="5"/>
      <c r="L560" s="5"/>
      <c r="M560" s="5"/>
      <c r="N560" s="5"/>
      <c r="O560" s="5"/>
      <c r="P560" s="5"/>
      <c r="Q560" s="5"/>
      <c r="X560" t="str">
        <f t="shared" si="17"/>
        <v/>
      </c>
    </row>
    <row r="561" spans="1:24">
      <c r="A561" s="4"/>
      <c r="B561" s="31"/>
      <c r="C561" s="11" t="e">
        <f t="shared" si="16"/>
        <v>#N/A</v>
      </c>
      <c r="D561" s="5"/>
      <c r="E561" s="5"/>
      <c r="F561" s="5"/>
      <c r="G561" s="5"/>
      <c r="H561" s="5"/>
      <c r="I561" s="5"/>
      <c r="J561" s="5"/>
      <c r="K561" s="5"/>
      <c r="L561" s="5"/>
      <c r="M561" s="5"/>
      <c r="N561" s="5"/>
      <c r="O561" s="5"/>
      <c r="P561" s="5"/>
      <c r="Q561" s="5"/>
      <c r="X561" t="str">
        <f t="shared" si="17"/>
        <v/>
      </c>
    </row>
    <row r="562" spans="1:24">
      <c r="A562" s="4"/>
      <c r="B562" s="31"/>
      <c r="C562" s="11" t="e">
        <f t="shared" si="16"/>
        <v>#N/A</v>
      </c>
      <c r="D562" s="5"/>
      <c r="E562" s="5"/>
      <c r="F562" s="5"/>
      <c r="G562" s="5"/>
      <c r="H562" s="5"/>
      <c r="I562" s="5"/>
      <c r="J562" s="5"/>
      <c r="K562" s="5"/>
      <c r="L562" s="5"/>
      <c r="M562" s="5"/>
      <c r="N562" s="5"/>
      <c r="O562" s="5"/>
      <c r="P562" s="5"/>
      <c r="Q562" s="5"/>
      <c r="X562" t="str">
        <f t="shared" si="17"/>
        <v/>
      </c>
    </row>
    <row r="563" spans="1:24">
      <c r="A563" s="4"/>
      <c r="B563" s="31"/>
      <c r="C563" s="11" t="e">
        <f t="shared" si="16"/>
        <v>#N/A</v>
      </c>
      <c r="D563" s="5"/>
      <c r="E563" s="5"/>
      <c r="F563" s="5"/>
      <c r="G563" s="5"/>
      <c r="H563" s="5"/>
      <c r="I563" s="5"/>
      <c r="J563" s="5"/>
      <c r="K563" s="5"/>
      <c r="L563" s="5"/>
      <c r="M563" s="5"/>
      <c r="N563" s="5"/>
      <c r="O563" s="5"/>
      <c r="P563" s="5"/>
      <c r="Q563" s="5"/>
      <c r="X563" t="str">
        <f t="shared" si="17"/>
        <v/>
      </c>
    </row>
    <row r="564" spans="1:24">
      <c r="A564" s="4"/>
      <c r="B564" s="31"/>
      <c r="C564" s="11" t="e">
        <f t="shared" si="16"/>
        <v>#N/A</v>
      </c>
      <c r="D564" s="5"/>
      <c r="E564" s="5"/>
      <c r="F564" s="5"/>
      <c r="G564" s="5"/>
      <c r="H564" s="5"/>
      <c r="I564" s="5"/>
      <c r="J564" s="5"/>
      <c r="K564" s="5"/>
      <c r="L564" s="5"/>
      <c r="M564" s="5"/>
      <c r="N564" s="5"/>
      <c r="O564" s="5"/>
      <c r="P564" s="5"/>
      <c r="Q564" s="5"/>
      <c r="X564" t="str">
        <f t="shared" si="17"/>
        <v/>
      </c>
    </row>
    <row r="565" spans="1:24">
      <c r="A565" s="4"/>
      <c r="B565" s="31"/>
      <c r="C565" s="11" t="e">
        <f t="shared" si="16"/>
        <v>#N/A</v>
      </c>
      <c r="D565" s="5"/>
      <c r="E565" s="5"/>
      <c r="F565" s="5"/>
      <c r="G565" s="5"/>
      <c r="H565" s="5"/>
      <c r="I565" s="5"/>
      <c r="J565" s="5"/>
      <c r="K565" s="5"/>
      <c r="L565" s="5"/>
      <c r="M565" s="5"/>
      <c r="N565" s="5"/>
      <c r="O565" s="5"/>
      <c r="P565" s="5"/>
      <c r="Q565" s="5"/>
      <c r="X565" t="str">
        <f t="shared" si="17"/>
        <v/>
      </c>
    </row>
    <row r="566" spans="1:24">
      <c r="A566" s="4"/>
      <c r="B566" s="31"/>
      <c r="C566" s="11" t="e">
        <f t="shared" si="16"/>
        <v>#N/A</v>
      </c>
      <c r="D566" s="5"/>
      <c r="E566" s="5"/>
      <c r="F566" s="5"/>
      <c r="G566" s="5"/>
      <c r="H566" s="5"/>
      <c r="I566" s="5"/>
      <c r="J566" s="5"/>
      <c r="K566" s="5"/>
      <c r="L566" s="5"/>
      <c r="M566" s="5"/>
      <c r="N566" s="5"/>
      <c r="O566" s="5"/>
      <c r="P566" s="5"/>
      <c r="Q566" s="5"/>
      <c r="X566" t="str">
        <f t="shared" si="17"/>
        <v/>
      </c>
    </row>
    <row r="567" spans="1:24">
      <c r="A567" s="4"/>
      <c r="B567" s="31"/>
      <c r="C567" s="11" t="e">
        <f t="shared" si="16"/>
        <v>#N/A</v>
      </c>
      <c r="D567" s="5"/>
      <c r="E567" s="5"/>
      <c r="F567" s="5"/>
      <c r="G567" s="5"/>
      <c r="H567" s="5"/>
      <c r="I567" s="5"/>
      <c r="J567" s="5"/>
      <c r="K567" s="5"/>
      <c r="L567" s="5"/>
      <c r="M567" s="5"/>
      <c r="N567" s="5"/>
      <c r="O567" s="5"/>
      <c r="P567" s="5"/>
      <c r="Q567" s="5"/>
      <c r="X567" t="str">
        <f t="shared" si="17"/>
        <v/>
      </c>
    </row>
    <row r="568" spans="1:24">
      <c r="A568" s="4"/>
      <c r="B568" s="31"/>
      <c r="C568" s="11" t="e">
        <f t="shared" si="16"/>
        <v>#N/A</v>
      </c>
      <c r="D568" s="5"/>
      <c r="E568" s="5"/>
      <c r="F568" s="5"/>
      <c r="G568" s="5"/>
      <c r="H568" s="5"/>
      <c r="I568" s="5"/>
      <c r="J568" s="5"/>
      <c r="K568" s="5"/>
      <c r="L568" s="5"/>
      <c r="M568" s="5"/>
      <c r="N568" s="5"/>
      <c r="O568" s="5"/>
      <c r="P568" s="5"/>
      <c r="Q568" s="5"/>
      <c r="X568" t="str">
        <f t="shared" si="17"/>
        <v/>
      </c>
    </row>
    <row r="569" spans="1:24">
      <c r="A569" s="4"/>
      <c r="B569" s="31"/>
      <c r="C569" s="11" t="e">
        <f t="shared" si="16"/>
        <v>#N/A</v>
      </c>
      <c r="D569" s="5"/>
      <c r="E569" s="5"/>
      <c r="F569" s="5"/>
      <c r="G569" s="5"/>
      <c r="H569" s="5"/>
      <c r="I569" s="5"/>
      <c r="J569" s="5"/>
      <c r="K569" s="5"/>
      <c r="L569" s="5"/>
      <c r="M569" s="5"/>
      <c r="N569" s="5"/>
      <c r="O569" s="5"/>
      <c r="P569" s="5"/>
      <c r="Q569" s="5"/>
      <c r="X569" t="str">
        <f t="shared" si="17"/>
        <v/>
      </c>
    </row>
    <row r="570" spans="1:24">
      <c r="A570" s="4"/>
      <c r="B570" s="31"/>
      <c r="C570" s="11" t="e">
        <f t="shared" si="16"/>
        <v>#N/A</v>
      </c>
      <c r="D570" s="5"/>
      <c r="E570" s="5"/>
      <c r="F570" s="5"/>
      <c r="G570" s="5"/>
      <c r="H570" s="5"/>
      <c r="I570" s="5"/>
      <c r="J570" s="5"/>
      <c r="K570" s="5"/>
      <c r="L570" s="5"/>
      <c r="M570" s="5"/>
      <c r="N570" s="5"/>
      <c r="O570" s="5"/>
      <c r="P570" s="5"/>
      <c r="Q570" s="5"/>
      <c r="X570" t="str">
        <f t="shared" si="17"/>
        <v/>
      </c>
    </row>
    <row r="571" spans="1:24">
      <c r="A571" s="4"/>
      <c r="B571" s="31"/>
      <c r="C571" s="11" t="e">
        <f t="shared" si="16"/>
        <v>#N/A</v>
      </c>
      <c r="D571" s="5"/>
      <c r="E571" s="5"/>
      <c r="F571" s="5"/>
      <c r="G571" s="5"/>
      <c r="H571" s="5"/>
      <c r="I571" s="5"/>
      <c r="J571" s="5"/>
      <c r="K571" s="5"/>
      <c r="L571" s="5"/>
      <c r="M571" s="5"/>
      <c r="N571" s="5"/>
      <c r="O571" s="5"/>
      <c r="P571" s="5"/>
      <c r="Q571" s="5"/>
      <c r="X571" t="str">
        <f t="shared" si="17"/>
        <v/>
      </c>
    </row>
    <row r="572" spans="1:24">
      <c r="A572" s="4"/>
      <c r="B572" s="31"/>
      <c r="C572" s="11" t="e">
        <f t="shared" si="16"/>
        <v>#N/A</v>
      </c>
      <c r="D572" s="5"/>
      <c r="E572" s="5"/>
      <c r="F572" s="5"/>
      <c r="G572" s="5"/>
      <c r="H572" s="5"/>
      <c r="I572" s="5"/>
      <c r="J572" s="5"/>
      <c r="K572" s="5"/>
      <c r="L572" s="5"/>
      <c r="M572" s="5"/>
      <c r="N572" s="5"/>
      <c r="O572" s="5"/>
      <c r="P572" s="5"/>
      <c r="Q572" s="5"/>
      <c r="X572" t="str">
        <f t="shared" si="17"/>
        <v/>
      </c>
    </row>
    <row r="573" spans="1:24">
      <c r="A573" s="4"/>
      <c r="B573" s="31"/>
      <c r="C573" s="11" t="e">
        <f t="shared" si="16"/>
        <v>#N/A</v>
      </c>
      <c r="D573" s="5"/>
      <c r="E573" s="5"/>
      <c r="F573" s="5"/>
      <c r="G573" s="5"/>
      <c r="H573" s="5"/>
      <c r="I573" s="5"/>
      <c r="J573" s="5"/>
      <c r="K573" s="5"/>
      <c r="L573" s="5"/>
      <c r="M573" s="5"/>
      <c r="N573" s="5"/>
      <c r="O573" s="5"/>
      <c r="P573" s="5"/>
      <c r="Q573" s="5"/>
      <c r="X573" t="str">
        <f t="shared" si="17"/>
        <v/>
      </c>
    </row>
    <row r="574" spans="1:24">
      <c r="A574" s="4"/>
      <c r="B574" s="31"/>
      <c r="C574" s="11" t="e">
        <f t="shared" si="16"/>
        <v>#N/A</v>
      </c>
      <c r="D574" s="5"/>
      <c r="E574" s="5"/>
      <c r="F574" s="5"/>
      <c r="G574" s="5"/>
      <c r="H574" s="5"/>
      <c r="I574" s="5"/>
      <c r="J574" s="5"/>
      <c r="K574" s="5"/>
      <c r="L574" s="5"/>
      <c r="M574" s="5"/>
      <c r="N574" s="5"/>
      <c r="O574" s="5"/>
      <c r="P574" s="5"/>
      <c r="Q574" s="5"/>
      <c r="X574" t="str">
        <f t="shared" si="17"/>
        <v/>
      </c>
    </row>
    <row r="575" spans="1:24">
      <c r="A575" s="4"/>
      <c r="B575" s="31"/>
      <c r="C575" s="11" t="e">
        <f t="shared" si="16"/>
        <v>#N/A</v>
      </c>
      <c r="D575" s="5"/>
      <c r="E575" s="5"/>
      <c r="F575" s="5"/>
      <c r="G575" s="5"/>
      <c r="H575" s="5"/>
      <c r="I575" s="5"/>
      <c r="J575" s="5"/>
      <c r="K575" s="5"/>
      <c r="L575" s="5"/>
      <c r="M575" s="5"/>
      <c r="N575" s="5"/>
      <c r="O575" s="5"/>
      <c r="P575" s="5"/>
      <c r="Q575" s="5"/>
      <c r="X575" t="str">
        <f t="shared" si="17"/>
        <v/>
      </c>
    </row>
    <row r="576" spans="1:24">
      <c r="A576" s="4"/>
      <c r="B576" s="31"/>
      <c r="C576" s="11" t="e">
        <f t="shared" si="16"/>
        <v>#N/A</v>
      </c>
      <c r="D576" s="5"/>
      <c r="E576" s="5"/>
      <c r="F576" s="5"/>
      <c r="G576" s="5"/>
      <c r="H576" s="5"/>
      <c r="I576" s="5"/>
      <c r="J576" s="5"/>
      <c r="K576" s="5"/>
      <c r="L576" s="5"/>
      <c r="M576" s="5"/>
      <c r="N576" s="5"/>
      <c r="O576" s="5"/>
      <c r="P576" s="5"/>
      <c r="Q576" s="5"/>
      <c r="X576" t="str">
        <f t="shared" si="17"/>
        <v/>
      </c>
    </row>
    <row r="577" spans="1:24">
      <c r="A577" s="4"/>
      <c r="B577" s="31"/>
      <c r="C577" s="11" t="e">
        <f t="shared" si="16"/>
        <v>#N/A</v>
      </c>
      <c r="D577" s="5"/>
      <c r="E577" s="5"/>
      <c r="F577" s="5"/>
      <c r="G577" s="5"/>
      <c r="H577" s="5"/>
      <c r="I577" s="5"/>
      <c r="J577" s="5"/>
      <c r="K577" s="5"/>
      <c r="L577" s="5"/>
      <c r="M577" s="5"/>
      <c r="N577" s="5"/>
      <c r="O577" s="5"/>
      <c r="P577" s="5"/>
      <c r="Q577" s="5"/>
      <c r="X577" t="str">
        <f t="shared" si="17"/>
        <v/>
      </c>
    </row>
    <row r="578" spans="1:24">
      <c r="A578" s="4"/>
      <c r="B578" s="31"/>
      <c r="C578" s="11" t="e">
        <f t="shared" si="16"/>
        <v>#N/A</v>
      </c>
      <c r="D578" s="5"/>
      <c r="E578" s="5"/>
      <c r="F578" s="5"/>
      <c r="G578" s="5"/>
      <c r="H578" s="5"/>
      <c r="I578" s="5"/>
      <c r="J578" s="5"/>
      <c r="K578" s="5"/>
      <c r="L578" s="5"/>
      <c r="M578" s="5"/>
      <c r="N578" s="5"/>
      <c r="O578" s="5"/>
      <c r="P578" s="5"/>
      <c r="Q578" s="5"/>
      <c r="X578" t="str">
        <f t="shared" si="17"/>
        <v/>
      </c>
    </row>
    <row r="579" spans="1:24">
      <c r="A579" s="4"/>
      <c r="B579" s="31"/>
      <c r="C579" s="11" t="e">
        <f t="shared" ref="C579:C642" si="18">IF(OR(ISBLANK(A579),ISBLANK(B579)),NA(),A579-B579)</f>
        <v>#N/A</v>
      </c>
      <c r="D579" s="5"/>
      <c r="E579" s="5"/>
      <c r="F579" s="5"/>
      <c r="G579" s="5"/>
      <c r="H579" s="5"/>
      <c r="I579" s="5"/>
      <c r="J579" s="5"/>
      <c r="K579" s="5"/>
      <c r="L579" s="5"/>
      <c r="M579" s="5"/>
      <c r="N579" s="5"/>
      <c r="O579" s="5"/>
      <c r="P579" s="5"/>
      <c r="Q579" s="5"/>
      <c r="X579" t="str">
        <f t="shared" ref="X579:X642" si="19">IFERROR(C579,"")</f>
        <v/>
      </c>
    </row>
    <row r="580" spans="1:24">
      <c r="A580" s="4"/>
      <c r="B580" s="31"/>
      <c r="C580" s="11" t="e">
        <f t="shared" si="18"/>
        <v>#N/A</v>
      </c>
      <c r="D580" s="5"/>
      <c r="E580" s="5"/>
      <c r="F580" s="5"/>
      <c r="G580" s="5"/>
      <c r="H580" s="5"/>
      <c r="I580" s="5"/>
      <c r="J580" s="5"/>
      <c r="K580" s="5"/>
      <c r="L580" s="5"/>
      <c r="M580" s="5"/>
      <c r="N580" s="5"/>
      <c r="O580" s="5"/>
      <c r="P580" s="5"/>
      <c r="Q580" s="5"/>
      <c r="X580" t="str">
        <f t="shared" si="19"/>
        <v/>
      </c>
    </row>
    <row r="581" spans="1:24">
      <c r="A581" s="4"/>
      <c r="B581" s="31"/>
      <c r="C581" s="11" t="e">
        <f t="shared" si="18"/>
        <v>#N/A</v>
      </c>
      <c r="D581" s="5"/>
      <c r="E581" s="5"/>
      <c r="F581" s="5"/>
      <c r="G581" s="5"/>
      <c r="H581" s="5"/>
      <c r="I581" s="5"/>
      <c r="J581" s="5"/>
      <c r="K581" s="5"/>
      <c r="L581" s="5"/>
      <c r="M581" s="5"/>
      <c r="N581" s="5"/>
      <c r="O581" s="5"/>
      <c r="P581" s="5"/>
      <c r="Q581" s="5"/>
      <c r="X581" t="str">
        <f t="shared" si="19"/>
        <v/>
      </c>
    </row>
    <row r="582" spans="1:24">
      <c r="A582" s="4"/>
      <c r="B582" s="31"/>
      <c r="C582" s="11" t="e">
        <f t="shared" si="18"/>
        <v>#N/A</v>
      </c>
      <c r="D582" s="5"/>
      <c r="E582" s="5"/>
      <c r="F582" s="5"/>
      <c r="G582" s="5"/>
      <c r="H582" s="5"/>
      <c r="I582" s="5"/>
      <c r="J582" s="5"/>
      <c r="K582" s="5"/>
      <c r="L582" s="5"/>
      <c r="M582" s="5"/>
      <c r="N582" s="5"/>
      <c r="O582" s="5"/>
      <c r="P582" s="5"/>
      <c r="Q582" s="5"/>
      <c r="X582" t="str">
        <f t="shared" si="19"/>
        <v/>
      </c>
    </row>
    <row r="583" spans="1:24">
      <c r="A583" s="4"/>
      <c r="B583" s="31"/>
      <c r="C583" s="11" t="e">
        <f t="shared" si="18"/>
        <v>#N/A</v>
      </c>
      <c r="D583" s="5"/>
      <c r="E583" s="5"/>
      <c r="F583" s="5"/>
      <c r="G583" s="5"/>
      <c r="H583" s="5"/>
      <c r="I583" s="5"/>
      <c r="J583" s="5"/>
      <c r="K583" s="5"/>
      <c r="L583" s="5"/>
      <c r="M583" s="5"/>
      <c r="N583" s="5"/>
      <c r="O583" s="5"/>
      <c r="P583" s="5"/>
      <c r="Q583" s="5"/>
      <c r="X583" t="str">
        <f t="shared" si="19"/>
        <v/>
      </c>
    </row>
    <row r="584" spans="1:24">
      <c r="A584" s="4"/>
      <c r="B584" s="31"/>
      <c r="C584" s="11" t="e">
        <f t="shared" si="18"/>
        <v>#N/A</v>
      </c>
      <c r="D584" s="5"/>
      <c r="E584" s="5"/>
      <c r="F584" s="5"/>
      <c r="G584" s="5"/>
      <c r="H584" s="5"/>
      <c r="I584" s="5"/>
      <c r="J584" s="5"/>
      <c r="K584" s="5"/>
      <c r="L584" s="5"/>
      <c r="M584" s="5"/>
      <c r="N584" s="5"/>
      <c r="O584" s="5"/>
      <c r="P584" s="5"/>
      <c r="Q584" s="5"/>
      <c r="X584" t="str">
        <f t="shared" si="19"/>
        <v/>
      </c>
    </row>
    <row r="585" spans="1:24">
      <c r="A585" s="4"/>
      <c r="B585" s="31"/>
      <c r="C585" s="11" t="e">
        <f t="shared" si="18"/>
        <v>#N/A</v>
      </c>
      <c r="D585" s="5"/>
      <c r="E585" s="5"/>
      <c r="F585" s="5"/>
      <c r="G585" s="5"/>
      <c r="H585" s="5"/>
      <c r="I585" s="5"/>
      <c r="J585" s="5"/>
      <c r="K585" s="5"/>
      <c r="L585" s="5"/>
      <c r="M585" s="5"/>
      <c r="N585" s="5"/>
      <c r="O585" s="5"/>
      <c r="P585" s="5"/>
      <c r="Q585" s="5"/>
      <c r="X585" t="str">
        <f t="shared" si="19"/>
        <v/>
      </c>
    </row>
    <row r="586" spans="1:24">
      <c r="A586" s="4"/>
      <c r="B586" s="31"/>
      <c r="C586" s="11" t="e">
        <f t="shared" si="18"/>
        <v>#N/A</v>
      </c>
      <c r="D586" s="5"/>
      <c r="E586" s="5"/>
      <c r="F586" s="5"/>
      <c r="G586" s="5"/>
      <c r="H586" s="5"/>
      <c r="I586" s="5"/>
      <c r="J586" s="5"/>
      <c r="K586" s="5"/>
      <c r="L586" s="5"/>
      <c r="M586" s="5"/>
      <c r="N586" s="5"/>
      <c r="O586" s="5"/>
      <c r="P586" s="5"/>
      <c r="Q586" s="5"/>
      <c r="X586" t="str">
        <f t="shared" si="19"/>
        <v/>
      </c>
    </row>
    <row r="587" spans="1:24">
      <c r="A587" s="4"/>
      <c r="B587" s="31"/>
      <c r="C587" s="11" t="e">
        <f t="shared" si="18"/>
        <v>#N/A</v>
      </c>
      <c r="D587" s="5"/>
      <c r="E587" s="5"/>
      <c r="F587" s="5"/>
      <c r="G587" s="5"/>
      <c r="H587" s="5"/>
      <c r="I587" s="5"/>
      <c r="J587" s="5"/>
      <c r="K587" s="5"/>
      <c r="L587" s="5"/>
      <c r="M587" s="5"/>
      <c r="N587" s="5"/>
      <c r="O587" s="5"/>
      <c r="P587" s="5"/>
      <c r="Q587" s="5"/>
      <c r="X587" t="str">
        <f t="shared" si="19"/>
        <v/>
      </c>
    </row>
    <row r="588" spans="1:24">
      <c r="A588" s="4"/>
      <c r="B588" s="31"/>
      <c r="C588" s="11" t="e">
        <f t="shared" si="18"/>
        <v>#N/A</v>
      </c>
      <c r="D588" s="5"/>
      <c r="E588" s="5"/>
      <c r="F588" s="5"/>
      <c r="G588" s="5"/>
      <c r="H588" s="5"/>
      <c r="I588" s="5"/>
      <c r="J588" s="5"/>
      <c r="K588" s="5"/>
      <c r="L588" s="5"/>
      <c r="M588" s="5"/>
      <c r="N588" s="5"/>
      <c r="O588" s="5"/>
      <c r="P588" s="5"/>
      <c r="Q588" s="5"/>
      <c r="X588" t="str">
        <f t="shared" si="19"/>
        <v/>
      </c>
    </row>
    <row r="589" spans="1:24">
      <c r="A589" s="4"/>
      <c r="B589" s="31"/>
      <c r="C589" s="11" t="e">
        <f t="shared" si="18"/>
        <v>#N/A</v>
      </c>
      <c r="D589" s="5"/>
      <c r="E589" s="5"/>
      <c r="F589" s="5"/>
      <c r="G589" s="5"/>
      <c r="H589" s="5"/>
      <c r="I589" s="5"/>
      <c r="J589" s="5"/>
      <c r="K589" s="5"/>
      <c r="L589" s="5"/>
      <c r="M589" s="5"/>
      <c r="N589" s="5"/>
      <c r="O589" s="5"/>
      <c r="P589" s="5"/>
      <c r="Q589" s="5"/>
      <c r="X589" t="str">
        <f t="shared" si="19"/>
        <v/>
      </c>
    </row>
    <row r="590" spans="1:24">
      <c r="A590" s="4"/>
      <c r="B590" s="31"/>
      <c r="C590" s="11" t="e">
        <f t="shared" si="18"/>
        <v>#N/A</v>
      </c>
      <c r="D590" s="5"/>
      <c r="E590" s="5"/>
      <c r="F590" s="5"/>
      <c r="G590" s="5"/>
      <c r="H590" s="5"/>
      <c r="I590" s="5"/>
      <c r="J590" s="5"/>
      <c r="K590" s="5"/>
      <c r="L590" s="5"/>
      <c r="M590" s="5"/>
      <c r="N590" s="5"/>
      <c r="O590" s="5"/>
      <c r="P590" s="5"/>
      <c r="Q590" s="5"/>
      <c r="X590" t="str">
        <f t="shared" si="19"/>
        <v/>
      </c>
    </row>
    <row r="591" spans="1:24">
      <c r="A591" s="4"/>
      <c r="B591" s="31"/>
      <c r="C591" s="11" t="e">
        <f t="shared" si="18"/>
        <v>#N/A</v>
      </c>
      <c r="D591" s="5"/>
      <c r="E591" s="5"/>
      <c r="F591" s="5"/>
      <c r="G591" s="5"/>
      <c r="H591" s="5"/>
      <c r="I591" s="5"/>
      <c r="J591" s="5"/>
      <c r="K591" s="5"/>
      <c r="L591" s="5"/>
      <c r="M591" s="5"/>
      <c r="N591" s="5"/>
      <c r="O591" s="5"/>
      <c r="P591" s="5"/>
      <c r="Q591" s="5"/>
      <c r="X591" t="str">
        <f t="shared" si="19"/>
        <v/>
      </c>
    </row>
    <row r="592" spans="1:24">
      <c r="A592" s="4"/>
      <c r="B592" s="31"/>
      <c r="C592" s="11" t="e">
        <f t="shared" si="18"/>
        <v>#N/A</v>
      </c>
      <c r="D592" s="5"/>
      <c r="E592" s="5"/>
      <c r="F592" s="5"/>
      <c r="G592" s="5"/>
      <c r="H592" s="5"/>
      <c r="I592" s="5"/>
      <c r="J592" s="5"/>
      <c r="K592" s="5"/>
      <c r="L592" s="5"/>
      <c r="M592" s="5"/>
      <c r="N592" s="5"/>
      <c r="O592" s="5"/>
      <c r="P592" s="5"/>
      <c r="Q592" s="5"/>
      <c r="X592" t="str">
        <f t="shared" si="19"/>
        <v/>
      </c>
    </row>
    <row r="593" spans="1:24">
      <c r="A593" s="4"/>
      <c r="B593" s="31"/>
      <c r="C593" s="11" t="e">
        <f t="shared" si="18"/>
        <v>#N/A</v>
      </c>
      <c r="D593" s="5"/>
      <c r="E593" s="5"/>
      <c r="F593" s="5"/>
      <c r="G593" s="5"/>
      <c r="H593" s="5"/>
      <c r="I593" s="5"/>
      <c r="J593" s="5"/>
      <c r="K593" s="5"/>
      <c r="L593" s="5"/>
      <c r="M593" s="5"/>
      <c r="N593" s="5"/>
      <c r="O593" s="5"/>
      <c r="P593" s="5"/>
      <c r="Q593" s="5"/>
      <c r="X593" t="str">
        <f t="shared" si="19"/>
        <v/>
      </c>
    </row>
    <row r="594" spans="1:24">
      <c r="A594" s="4"/>
      <c r="B594" s="31"/>
      <c r="C594" s="11" t="e">
        <f t="shared" si="18"/>
        <v>#N/A</v>
      </c>
      <c r="D594" s="5"/>
      <c r="E594" s="5"/>
      <c r="F594" s="5"/>
      <c r="G594" s="5"/>
      <c r="H594" s="5"/>
      <c r="I594" s="5"/>
      <c r="J594" s="5"/>
      <c r="K594" s="5"/>
      <c r="L594" s="5"/>
      <c r="M594" s="5"/>
      <c r="N594" s="5"/>
      <c r="O594" s="5"/>
      <c r="P594" s="5"/>
      <c r="Q594" s="5"/>
      <c r="X594" t="str">
        <f t="shared" si="19"/>
        <v/>
      </c>
    </row>
    <row r="595" spans="1:24">
      <c r="A595" s="4"/>
      <c r="B595" s="31"/>
      <c r="C595" s="11" t="e">
        <f t="shared" si="18"/>
        <v>#N/A</v>
      </c>
      <c r="D595" s="5"/>
      <c r="E595" s="5"/>
      <c r="F595" s="5"/>
      <c r="G595" s="5"/>
      <c r="H595" s="5"/>
      <c r="I595" s="5"/>
      <c r="J595" s="5"/>
      <c r="K595" s="5"/>
      <c r="L595" s="5"/>
      <c r="M595" s="5"/>
      <c r="N595" s="5"/>
      <c r="O595" s="5"/>
      <c r="P595" s="5"/>
      <c r="Q595" s="5"/>
      <c r="X595" t="str">
        <f t="shared" si="19"/>
        <v/>
      </c>
    </row>
    <row r="596" spans="1:24">
      <c r="A596" s="4"/>
      <c r="B596" s="31"/>
      <c r="C596" s="11" t="e">
        <f t="shared" si="18"/>
        <v>#N/A</v>
      </c>
      <c r="D596" s="5"/>
      <c r="E596" s="5"/>
      <c r="F596" s="5"/>
      <c r="G596" s="5"/>
      <c r="H596" s="5"/>
      <c r="I596" s="5"/>
      <c r="J596" s="5"/>
      <c r="K596" s="5"/>
      <c r="L596" s="5"/>
      <c r="M596" s="5"/>
      <c r="N596" s="5"/>
      <c r="O596" s="5"/>
      <c r="P596" s="5"/>
      <c r="Q596" s="5"/>
      <c r="X596" t="str">
        <f t="shared" si="19"/>
        <v/>
      </c>
    </row>
    <row r="597" spans="1:24">
      <c r="A597" s="4"/>
      <c r="B597" s="31"/>
      <c r="C597" s="11" t="e">
        <f t="shared" si="18"/>
        <v>#N/A</v>
      </c>
      <c r="D597" s="5"/>
      <c r="E597" s="5"/>
      <c r="F597" s="5"/>
      <c r="G597" s="5"/>
      <c r="H597" s="5"/>
      <c r="I597" s="5"/>
      <c r="J597" s="5"/>
      <c r="K597" s="5"/>
      <c r="L597" s="5"/>
      <c r="M597" s="5"/>
      <c r="N597" s="5"/>
      <c r="O597" s="5"/>
      <c r="P597" s="5"/>
      <c r="Q597" s="5"/>
      <c r="X597" t="str">
        <f t="shared" si="19"/>
        <v/>
      </c>
    </row>
    <row r="598" spans="1:24">
      <c r="A598" s="4"/>
      <c r="B598" s="31"/>
      <c r="C598" s="11" t="e">
        <f t="shared" si="18"/>
        <v>#N/A</v>
      </c>
      <c r="D598" s="5"/>
      <c r="E598" s="5"/>
      <c r="F598" s="5"/>
      <c r="G598" s="5"/>
      <c r="H598" s="5"/>
      <c r="I598" s="5"/>
      <c r="J598" s="5"/>
      <c r="K598" s="5"/>
      <c r="L598" s="5"/>
      <c r="M598" s="5"/>
      <c r="N598" s="5"/>
      <c r="O598" s="5"/>
      <c r="P598" s="5"/>
      <c r="Q598" s="5"/>
      <c r="X598" t="str">
        <f t="shared" si="19"/>
        <v/>
      </c>
    </row>
    <row r="599" spans="1:24">
      <c r="A599" s="4"/>
      <c r="B599" s="31"/>
      <c r="C599" s="11" t="e">
        <f t="shared" si="18"/>
        <v>#N/A</v>
      </c>
      <c r="D599" s="5"/>
      <c r="E599" s="5"/>
      <c r="F599" s="5"/>
      <c r="G599" s="5"/>
      <c r="H599" s="5"/>
      <c r="I599" s="5"/>
      <c r="J599" s="5"/>
      <c r="K599" s="5"/>
      <c r="L599" s="5"/>
      <c r="M599" s="5"/>
      <c r="N599" s="5"/>
      <c r="O599" s="5"/>
      <c r="P599" s="5"/>
      <c r="Q599" s="5"/>
      <c r="X599" t="str">
        <f t="shared" si="19"/>
        <v/>
      </c>
    </row>
    <row r="600" spans="1:24">
      <c r="A600" s="4"/>
      <c r="B600" s="31"/>
      <c r="C600" s="11" t="e">
        <f t="shared" si="18"/>
        <v>#N/A</v>
      </c>
      <c r="D600" s="5"/>
      <c r="E600" s="5"/>
      <c r="F600" s="5"/>
      <c r="G600" s="5"/>
      <c r="H600" s="5"/>
      <c r="I600" s="5"/>
      <c r="J600" s="5"/>
      <c r="K600" s="5"/>
      <c r="L600" s="5"/>
      <c r="M600" s="5"/>
      <c r="N600" s="5"/>
      <c r="O600" s="5"/>
      <c r="P600" s="5"/>
      <c r="Q600" s="5"/>
      <c r="X600" t="str">
        <f t="shared" si="19"/>
        <v/>
      </c>
    </row>
    <row r="601" spans="1:24">
      <c r="A601" s="4"/>
      <c r="B601" s="31"/>
      <c r="C601" s="11" t="e">
        <f t="shared" si="18"/>
        <v>#N/A</v>
      </c>
      <c r="D601" s="5"/>
      <c r="E601" s="5"/>
      <c r="F601" s="5"/>
      <c r="G601" s="5"/>
      <c r="H601" s="5"/>
      <c r="I601" s="5"/>
      <c r="J601" s="5"/>
      <c r="K601" s="5"/>
      <c r="L601" s="5"/>
      <c r="M601" s="5"/>
      <c r="N601" s="5"/>
      <c r="O601" s="5"/>
      <c r="P601" s="5"/>
      <c r="Q601" s="5"/>
      <c r="X601" t="str">
        <f t="shared" si="19"/>
        <v/>
      </c>
    </row>
    <row r="602" spans="1:24">
      <c r="A602" s="4"/>
      <c r="B602" s="31"/>
      <c r="C602" s="11" t="e">
        <f t="shared" si="18"/>
        <v>#N/A</v>
      </c>
      <c r="D602" s="5"/>
      <c r="E602" s="5"/>
      <c r="F602" s="5"/>
      <c r="G602" s="5"/>
      <c r="H602" s="5"/>
      <c r="I602" s="5"/>
      <c r="J602" s="5"/>
      <c r="K602" s="5"/>
      <c r="L602" s="5"/>
      <c r="M602" s="5"/>
      <c r="N602" s="5"/>
      <c r="O602" s="5"/>
      <c r="P602" s="5"/>
      <c r="Q602" s="5"/>
      <c r="X602" t="str">
        <f t="shared" si="19"/>
        <v/>
      </c>
    </row>
    <row r="603" spans="1:24">
      <c r="A603" s="4"/>
      <c r="B603" s="31"/>
      <c r="C603" s="11" t="e">
        <f t="shared" si="18"/>
        <v>#N/A</v>
      </c>
      <c r="D603" s="5"/>
      <c r="E603" s="5"/>
      <c r="F603" s="5"/>
      <c r="G603" s="5"/>
      <c r="H603" s="5"/>
      <c r="I603" s="5"/>
      <c r="J603" s="5"/>
      <c r="K603" s="5"/>
      <c r="L603" s="5"/>
      <c r="M603" s="5"/>
      <c r="N603" s="5"/>
      <c r="O603" s="5"/>
      <c r="P603" s="5"/>
      <c r="Q603" s="5"/>
      <c r="X603" t="str">
        <f t="shared" si="19"/>
        <v/>
      </c>
    </row>
    <row r="604" spans="1:24">
      <c r="A604" s="4"/>
      <c r="B604" s="31"/>
      <c r="C604" s="11" t="e">
        <f t="shared" si="18"/>
        <v>#N/A</v>
      </c>
      <c r="D604" s="5"/>
      <c r="E604" s="5"/>
      <c r="F604" s="5"/>
      <c r="G604" s="5"/>
      <c r="H604" s="5"/>
      <c r="I604" s="5"/>
      <c r="J604" s="5"/>
      <c r="K604" s="5"/>
      <c r="L604" s="5"/>
      <c r="M604" s="5"/>
      <c r="N604" s="5"/>
      <c r="O604" s="5"/>
      <c r="P604" s="5"/>
      <c r="Q604" s="5"/>
      <c r="X604" t="str">
        <f t="shared" si="19"/>
        <v/>
      </c>
    </row>
    <row r="605" spans="1:24">
      <c r="A605" s="4"/>
      <c r="B605" s="31"/>
      <c r="C605" s="11" t="e">
        <f t="shared" si="18"/>
        <v>#N/A</v>
      </c>
      <c r="D605" s="5"/>
      <c r="E605" s="5"/>
      <c r="F605" s="5"/>
      <c r="G605" s="5"/>
      <c r="H605" s="5"/>
      <c r="I605" s="5"/>
      <c r="J605" s="5"/>
      <c r="K605" s="5"/>
      <c r="L605" s="5"/>
      <c r="M605" s="5"/>
      <c r="N605" s="5"/>
      <c r="O605" s="5"/>
      <c r="P605" s="5"/>
      <c r="Q605" s="5"/>
      <c r="X605" t="str">
        <f t="shared" si="19"/>
        <v/>
      </c>
    </row>
    <row r="606" spans="1:24">
      <c r="A606" s="4"/>
      <c r="B606" s="31"/>
      <c r="C606" s="11" t="e">
        <f t="shared" si="18"/>
        <v>#N/A</v>
      </c>
      <c r="D606" s="5"/>
      <c r="E606" s="5"/>
      <c r="F606" s="5"/>
      <c r="G606" s="5"/>
      <c r="H606" s="5"/>
      <c r="I606" s="5"/>
      <c r="J606" s="5"/>
      <c r="K606" s="5"/>
      <c r="L606" s="5"/>
      <c r="M606" s="5"/>
      <c r="N606" s="5"/>
      <c r="O606" s="5"/>
      <c r="P606" s="5"/>
      <c r="Q606" s="5"/>
      <c r="X606" t="str">
        <f t="shared" si="19"/>
        <v/>
      </c>
    </row>
    <row r="607" spans="1:24">
      <c r="A607" s="4"/>
      <c r="B607" s="31"/>
      <c r="C607" s="11" t="e">
        <f t="shared" si="18"/>
        <v>#N/A</v>
      </c>
      <c r="D607" s="5"/>
      <c r="E607" s="5"/>
      <c r="F607" s="5"/>
      <c r="G607" s="5"/>
      <c r="H607" s="5"/>
      <c r="I607" s="5"/>
      <c r="J607" s="5"/>
      <c r="K607" s="5"/>
      <c r="L607" s="5"/>
      <c r="M607" s="5"/>
      <c r="N607" s="5"/>
      <c r="O607" s="5"/>
      <c r="P607" s="5"/>
      <c r="Q607" s="5"/>
      <c r="X607" t="str">
        <f t="shared" si="19"/>
        <v/>
      </c>
    </row>
    <row r="608" spans="1:24">
      <c r="A608" s="4"/>
      <c r="B608" s="31"/>
      <c r="C608" s="11" t="e">
        <f t="shared" si="18"/>
        <v>#N/A</v>
      </c>
      <c r="D608" s="5"/>
      <c r="E608" s="5"/>
      <c r="F608" s="5"/>
      <c r="G608" s="5"/>
      <c r="H608" s="5"/>
      <c r="I608" s="5"/>
      <c r="J608" s="5"/>
      <c r="K608" s="5"/>
      <c r="L608" s="5"/>
      <c r="M608" s="5"/>
      <c r="N608" s="5"/>
      <c r="O608" s="5"/>
      <c r="P608" s="5"/>
      <c r="Q608" s="5"/>
      <c r="X608" t="str">
        <f t="shared" si="19"/>
        <v/>
      </c>
    </row>
    <row r="609" spans="1:24">
      <c r="A609" s="4"/>
      <c r="B609" s="31"/>
      <c r="C609" s="11" t="e">
        <f t="shared" si="18"/>
        <v>#N/A</v>
      </c>
      <c r="D609" s="5"/>
      <c r="E609" s="5"/>
      <c r="F609" s="5"/>
      <c r="G609" s="5"/>
      <c r="H609" s="5"/>
      <c r="I609" s="5"/>
      <c r="J609" s="5"/>
      <c r="K609" s="5"/>
      <c r="L609" s="5"/>
      <c r="M609" s="5"/>
      <c r="N609" s="5"/>
      <c r="O609" s="5"/>
      <c r="P609" s="5"/>
      <c r="Q609" s="5"/>
      <c r="X609" t="str">
        <f t="shared" si="19"/>
        <v/>
      </c>
    </row>
    <row r="610" spans="1:24">
      <c r="A610" s="4"/>
      <c r="B610" s="31"/>
      <c r="C610" s="11" t="e">
        <f t="shared" si="18"/>
        <v>#N/A</v>
      </c>
      <c r="D610" s="5"/>
      <c r="E610" s="5"/>
      <c r="F610" s="5"/>
      <c r="G610" s="5"/>
      <c r="H610" s="5"/>
      <c r="I610" s="5"/>
      <c r="J610" s="5"/>
      <c r="K610" s="5"/>
      <c r="L610" s="5"/>
      <c r="M610" s="5"/>
      <c r="N610" s="5"/>
      <c r="O610" s="5"/>
      <c r="P610" s="5"/>
      <c r="Q610" s="5"/>
      <c r="X610" t="str">
        <f t="shared" si="19"/>
        <v/>
      </c>
    </row>
    <row r="611" spans="1:24">
      <c r="A611" s="4"/>
      <c r="B611" s="31"/>
      <c r="C611" s="11" t="e">
        <f t="shared" si="18"/>
        <v>#N/A</v>
      </c>
      <c r="D611" s="5"/>
      <c r="E611" s="5"/>
      <c r="F611" s="5"/>
      <c r="G611" s="5"/>
      <c r="H611" s="5"/>
      <c r="I611" s="5"/>
      <c r="J611" s="5"/>
      <c r="K611" s="5"/>
      <c r="L611" s="5"/>
      <c r="M611" s="5"/>
      <c r="N611" s="5"/>
      <c r="O611" s="5"/>
      <c r="P611" s="5"/>
      <c r="Q611" s="5"/>
      <c r="X611" t="str">
        <f t="shared" si="19"/>
        <v/>
      </c>
    </row>
    <row r="612" spans="1:24">
      <c r="A612" s="4"/>
      <c r="B612" s="31"/>
      <c r="C612" s="11" t="e">
        <f t="shared" si="18"/>
        <v>#N/A</v>
      </c>
      <c r="D612" s="5"/>
      <c r="E612" s="5"/>
      <c r="F612" s="5"/>
      <c r="G612" s="5"/>
      <c r="H612" s="5"/>
      <c r="I612" s="5"/>
      <c r="J612" s="5"/>
      <c r="K612" s="5"/>
      <c r="L612" s="5"/>
      <c r="M612" s="5"/>
      <c r="N612" s="5"/>
      <c r="O612" s="5"/>
      <c r="P612" s="5"/>
      <c r="Q612" s="5"/>
      <c r="X612" t="str">
        <f t="shared" si="19"/>
        <v/>
      </c>
    </row>
    <row r="613" spans="1:24">
      <c r="A613" s="4"/>
      <c r="B613" s="31"/>
      <c r="C613" s="11" t="e">
        <f t="shared" si="18"/>
        <v>#N/A</v>
      </c>
      <c r="D613" s="5"/>
      <c r="E613" s="5"/>
      <c r="F613" s="5"/>
      <c r="G613" s="5"/>
      <c r="H613" s="5"/>
      <c r="I613" s="5"/>
      <c r="J613" s="5"/>
      <c r="K613" s="5"/>
      <c r="L613" s="5"/>
      <c r="M613" s="5"/>
      <c r="N613" s="5"/>
      <c r="O613" s="5"/>
      <c r="P613" s="5"/>
      <c r="Q613" s="5"/>
      <c r="X613" t="str">
        <f t="shared" si="19"/>
        <v/>
      </c>
    </row>
    <row r="614" spans="1:24">
      <c r="A614" s="4"/>
      <c r="B614" s="31"/>
      <c r="C614" s="11" t="e">
        <f t="shared" si="18"/>
        <v>#N/A</v>
      </c>
      <c r="D614" s="5"/>
      <c r="E614" s="5"/>
      <c r="F614" s="5"/>
      <c r="G614" s="5"/>
      <c r="H614" s="5"/>
      <c r="I614" s="5"/>
      <c r="J614" s="5"/>
      <c r="K614" s="5"/>
      <c r="L614" s="5"/>
      <c r="M614" s="5"/>
      <c r="N614" s="5"/>
      <c r="O614" s="5"/>
      <c r="P614" s="5"/>
      <c r="Q614" s="5"/>
      <c r="X614" t="str">
        <f t="shared" si="19"/>
        <v/>
      </c>
    </row>
    <row r="615" spans="1:24">
      <c r="A615" s="4"/>
      <c r="B615" s="31"/>
      <c r="C615" s="11" t="e">
        <f t="shared" si="18"/>
        <v>#N/A</v>
      </c>
      <c r="D615" s="5"/>
      <c r="E615" s="5"/>
      <c r="F615" s="5"/>
      <c r="G615" s="5"/>
      <c r="H615" s="5"/>
      <c r="I615" s="5"/>
      <c r="J615" s="5"/>
      <c r="K615" s="5"/>
      <c r="L615" s="5"/>
      <c r="M615" s="5"/>
      <c r="N615" s="5"/>
      <c r="O615" s="5"/>
      <c r="P615" s="5"/>
      <c r="Q615" s="5"/>
      <c r="X615" t="str">
        <f t="shared" si="19"/>
        <v/>
      </c>
    </row>
    <row r="616" spans="1:24">
      <c r="A616" s="4"/>
      <c r="B616" s="31"/>
      <c r="C616" s="11" t="e">
        <f t="shared" si="18"/>
        <v>#N/A</v>
      </c>
      <c r="D616" s="5"/>
      <c r="E616" s="5"/>
      <c r="F616" s="5"/>
      <c r="G616" s="5"/>
      <c r="H616" s="5"/>
      <c r="I616" s="5"/>
      <c r="J616" s="5"/>
      <c r="K616" s="5"/>
      <c r="L616" s="5"/>
      <c r="M616" s="5"/>
      <c r="N616" s="5"/>
      <c r="O616" s="5"/>
      <c r="P616" s="5"/>
      <c r="Q616" s="5"/>
      <c r="X616" t="str">
        <f t="shared" si="19"/>
        <v/>
      </c>
    </row>
    <row r="617" spans="1:24">
      <c r="A617" s="4"/>
      <c r="B617" s="31"/>
      <c r="C617" s="11" t="e">
        <f t="shared" si="18"/>
        <v>#N/A</v>
      </c>
      <c r="D617" s="5"/>
      <c r="E617" s="5"/>
      <c r="F617" s="5"/>
      <c r="G617" s="5"/>
      <c r="H617" s="5"/>
      <c r="I617" s="5"/>
      <c r="J617" s="5"/>
      <c r="K617" s="5"/>
      <c r="L617" s="5"/>
      <c r="M617" s="5"/>
      <c r="N617" s="5"/>
      <c r="O617" s="5"/>
      <c r="P617" s="5"/>
      <c r="Q617" s="5"/>
      <c r="X617" t="str">
        <f t="shared" si="19"/>
        <v/>
      </c>
    </row>
    <row r="618" spans="1:24">
      <c r="A618" s="4"/>
      <c r="B618" s="31"/>
      <c r="C618" s="11" t="e">
        <f t="shared" si="18"/>
        <v>#N/A</v>
      </c>
      <c r="D618" s="5"/>
      <c r="E618" s="5"/>
      <c r="F618" s="5"/>
      <c r="G618" s="5"/>
      <c r="H618" s="5"/>
      <c r="I618" s="5"/>
      <c r="J618" s="5"/>
      <c r="K618" s="5"/>
      <c r="L618" s="5"/>
      <c r="M618" s="5"/>
      <c r="N618" s="5"/>
      <c r="O618" s="5"/>
      <c r="P618" s="5"/>
      <c r="Q618" s="5"/>
      <c r="X618" t="str">
        <f t="shared" si="19"/>
        <v/>
      </c>
    </row>
    <row r="619" spans="1:24">
      <c r="A619" s="4"/>
      <c r="B619" s="31"/>
      <c r="C619" s="11" t="e">
        <f t="shared" si="18"/>
        <v>#N/A</v>
      </c>
      <c r="D619" s="5"/>
      <c r="E619" s="5"/>
      <c r="F619" s="5"/>
      <c r="G619" s="5"/>
      <c r="H619" s="5"/>
      <c r="I619" s="5"/>
      <c r="J619" s="5"/>
      <c r="K619" s="5"/>
      <c r="L619" s="5"/>
      <c r="M619" s="5"/>
      <c r="N619" s="5"/>
      <c r="O619" s="5"/>
      <c r="P619" s="5"/>
      <c r="Q619" s="5"/>
      <c r="X619" t="str">
        <f t="shared" si="19"/>
        <v/>
      </c>
    </row>
    <row r="620" spans="1:24">
      <c r="A620" s="4"/>
      <c r="B620" s="31"/>
      <c r="C620" s="11" t="e">
        <f t="shared" si="18"/>
        <v>#N/A</v>
      </c>
      <c r="D620" s="5"/>
      <c r="E620" s="5"/>
      <c r="F620" s="5"/>
      <c r="G620" s="5"/>
      <c r="H620" s="5"/>
      <c r="I620" s="5"/>
      <c r="J620" s="5"/>
      <c r="K620" s="5"/>
      <c r="L620" s="5"/>
      <c r="M620" s="5"/>
      <c r="N620" s="5"/>
      <c r="O620" s="5"/>
      <c r="P620" s="5"/>
      <c r="Q620" s="5"/>
      <c r="X620" t="str">
        <f t="shared" si="19"/>
        <v/>
      </c>
    </row>
    <row r="621" spans="1:24">
      <c r="A621" s="4"/>
      <c r="B621" s="31"/>
      <c r="C621" s="11" t="e">
        <f t="shared" si="18"/>
        <v>#N/A</v>
      </c>
      <c r="D621" s="5"/>
      <c r="E621" s="5"/>
      <c r="F621" s="5"/>
      <c r="G621" s="5"/>
      <c r="H621" s="5"/>
      <c r="I621" s="5"/>
      <c r="J621" s="5"/>
      <c r="K621" s="5"/>
      <c r="L621" s="5"/>
      <c r="M621" s="5"/>
      <c r="N621" s="5"/>
      <c r="O621" s="5"/>
      <c r="P621" s="5"/>
      <c r="Q621" s="5"/>
      <c r="X621" t="str">
        <f t="shared" si="19"/>
        <v/>
      </c>
    </row>
    <row r="622" spans="1:24">
      <c r="A622" s="4"/>
      <c r="B622" s="31"/>
      <c r="C622" s="11" t="e">
        <f t="shared" si="18"/>
        <v>#N/A</v>
      </c>
      <c r="D622" s="5"/>
      <c r="E622" s="5"/>
      <c r="F622" s="5"/>
      <c r="G622" s="5"/>
      <c r="H622" s="5"/>
      <c r="I622" s="5"/>
      <c r="J622" s="5"/>
      <c r="K622" s="5"/>
      <c r="L622" s="5"/>
      <c r="M622" s="5"/>
      <c r="N622" s="5"/>
      <c r="O622" s="5"/>
      <c r="P622" s="5"/>
      <c r="Q622" s="5"/>
      <c r="X622" t="str">
        <f t="shared" si="19"/>
        <v/>
      </c>
    </row>
    <row r="623" spans="1:24">
      <c r="A623" s="4"/>
      <c r="B623" s="31"/>
      <c r="C623" s="11" t="e">
        <f t="shared" si="18"/>
        <v>#N/A</v>
      </c>
      <c r="D623" s="5"/>
      <c r="E623" s="5"/>
      <c r="F623" s="5"/>
      <c r="G623" s="5"/>
      <c r="H623" s="5"/>
      <c r="I623" s="5"/>
      <c r="J623" s="5"/>
      <c r="K623" s="5"/>
      <c r="L623" s="5"/>
      <c r="M623" s="5"/>
      <c r="N623" s="5"/>
      <c r="O623" s="5"/>
      <c r="P623" s="5"/>
      <c r="Q623" s="5"/>
      <c r="X623" t="str">
        <f t="shared" si="19"/>
        <v/>
      </c>
    </row>
    <row r="624" spans="1:24">
      <c r="A624" s="4"/>
      <c r="B624" s="31"/>
      <c r="C624" s="11" t="e">
        <f t="shared" si="18"/>
        <v>#N/A</v>
      </c>
      <c r="D624" s="5"/>
      <c r="E624" s="5"/>
      <c r="F624" s="5"/>
      <c r="G624" s="5"/>
      <c r="H624" s="5"/>
      <c r="I624" s="5"/>
      <c r="J624" s="5"/>
      <c r="K624" s="5"/>
      <c r="L624" s="5"/>
      <c r="M624" s="5"/>
      <c r="N624" s="5"/>
      <c r="O624" s="5"/>
      <c r="P624" s="5"/>
      <c r="Q624" s="5"/>
      <c r="X624" t="str">
        <f t="shared" si="19"/>
        <v/>
      </c>
    </row>
    <row r="625" spans="1:24">
      <c r="A625" s="4"/>
      <c r="B625" s="31"/>
      <c r="C625" s="11" t="e">
        <f t="shared" si="18"/>
        <v>#N/A</v>
      </c>
      <c r="D625" s="5"/>
      <c r="E625" s="5"/>
      <c r="F625" s="5"/>
      <c r="G625" s="5"/>
      <c r="H625" s="5"/>
      <c r="I625" s="5"/>
      <c r="J625" s="5"/>
      <c r="K625" s="5"/>
      <c r="L625" s="5"/>
      <c r="M625" s="5"/>
      <c r="N625" s="5"/>
      <c r="O625" s="5"/>
      <c r="P625" s="5"/>
      <c r="Q625" s="5"/>
      <c r="X625" t="str">
        <f t="shared" si="19"/>
        <v/>
      </c>
    </row>
    <row r="626" spans="1:24">
      <c r="A626" s="4"/>
      <c r="B626" s="31"/>
      <c r="C626" s="11" t="e">
        <f t="shared" si="18"/>
        <v>#N/A</v>
      </c>
      <c r="D626" s="5"/>
      <c r="E626" s="5"/>
      <c r="F626" s="5"/>
      <c r="G626" s="5"/>
      <c r="H626" s="5"/>
      <c r="I626" s="5"/>
      <c r="J626" s="5"/>
      <c r="K626" s="5"/>
      <c r="L626" s="5"/>
      <c r="M626" s="5"/>
      <c r="N626" s="5"/>
      <c r="O626" s="5"/>
      <c r="P626" s="5"/>
      <c r="Q626" s="5"/>
      <c r="X626" t="str">
        <f t="shared" si="19"/>
        <v/>
      </c>
    </row>
    <row r="627" spans="1:24">
      <c r="A627" s="4"/>
      <c r="B627" s="31"/>
      <c r="C627" s="11" t="e">
        <f t="shared" si="18"/>
        <v>#N/A</v>
      </c>
      <c r="D627" s="5"/>
      <c r="E627" s="5"/>
      <c r="F627" s="5"/>
      <c r="G627" s="5"/>
      <c r="H627" s="5"/>
      <c r="I627" s="5"/>
      <c r="J627" s="5"/>
      <c r="K627" s="5"/>
      <c r="L627" s="5"/>
      <c r="M627" s="5"/>
      <c r="N627" s="5"/>
      <c r="O627" s="5"/>
      <c r="P627" s="5"/>
      <c r="Q627" s="5"/>
      <c r="X627" t="str">
        <f t="shared" si="19"/>
        <v/>
      </c>
    </row>
    <row r="628" spans="1:24">
      <c r="A628" s="4"/>
      <c r="B628" s="31"/>
      <c r="C628" s="11" t="e">
        <f t="shared" si="18"/>
        <v>#N/A</v>
      </c>
      <c r="D628" s="5"/>
      <c r="E628" s="5"/>
      <c r="F628" s="5"/>
      <c r="G628" s="5"/>
      <c r="H628" s="5"/>
      <c r="I628" s="5"/>
      <c r="J628" s="5"/>
      <c r="K628" s="5"/>
      <c r="L628" s="5"/>
      <c r="M628" s="5"/>
      <c r="N628" s="5"/>
      <c r="O628" s="5"/>
      <c r="P628" s="5"/>
      <c r="Q628" s="5"/>
      <c r="X628" t="str">
        <f t="shared" si="19"/>
        <v/>
      </c>
    </row>
    <row r="629" spans="1:24">
      <c r="A629" s="4"/>
      <c r="B629" s="31"/>
      <c r="C629" s="11" t="e">
        <f t="shared" si="18"/>
        <v>#N/A</v>
      </c>
      <c r="D629" s="5"/>
      <c r="E629" s="5"/>
      <c r="F629" s="5"/>
      <c r="G629" s="5"/>
      <c r="H629" s="5"/>
      <c r="I629" s="5"/>
      <c r="J629" s="5"/>
      <c r="K629" s="5"/>
      <c r="L629" s="5"/>
      <c r="M629" s="5"/>
      <c r="N629" s="5"/>
      <c r="O629" s="5"/>
      <c r="P629" s="5"/>
      <c r="Q629" s="5"/>
      <c r="X629" t="str">
        <f t="shared" si="19"/>
        <v/>
      </c>
    </row>
    <row r="630" spans="1:24">
      <c r="A630" s="4"/>
      <c r="B630" s="31"/>
      <c r="C630" s="11" t="e">
        <f t="shared" si="18"/>
        <v>#N/A</v>
      </c>
      <c r="D630" s="5"/>
      <c r="E630" s="5"/>
      <c r="F630" s="5"/>
      <c r="G630" s="5"/>
      <c r="H630" s="5"/>
      <c r="I630" s="5"/>
      <c r="J630" s="5"/>
      <c r="K630" s="5"/>
      <c r="L630" s="5"/>
      <c r="M630" s="5"/>
      <c r="N630" s="5"/>
      <c r="O630" s="5"/>
      <c r="P630" s="5"/>
      <c r="Q630" s="5"/>
      <c r="X630" t="str">
        <f t="shared" si="19"/>
        <v/>
      </c>
    </row>
    <row r="631" spans="1:24">
      <c r="A631" s="4"/>
      <c r="B631" s="31"/>
      <c r="C631" s="11" t="e">
        <f t="shared" si="18"/>
        <v>#N/A</v>
      </c>
      <c r="D631" s="5"/>
      <c r="E631" s="5"/>
      <c r="F631" s="5"/>
      <c r="G631" s="5"/>
      <c r="H631" s="5"/>
      <c r="I631" s="5"/>
      <c r="J631" s="5"/>
      <c r="K631" s="5"/>
      <c r="L631" s="5"/>
      <c r="M631" s="5"/>
      <c r="N631" s="5"/>
      <c r="O631" s="5"/>
      <c r="P631" s="5"/>
      <c r="Q631" s="5"/>
      <c r="X631" t="str">
        <f t="shared" si="19"/>
        <v/>
      </c>
    </row>
    <row r="632" spans="1:24">
      <c r="A632" s="4"/>
      <c r="B632" s="31"/>
      <c r="C632" s="11" t="e">
        <f t="shared" si="18"/>
        <v>#N/A</v>
      </c>
      <c r="D632" s="5"/>
      <c r="E632" s="5"/>
      <c r="F632" s="5"/>
      <c r="G632" s="5"/>
      <c r="H632" s="5"/>
      <c r="I632" s="5"/>
      <c r="J632" s="5"/>
      <c r="K632" s="5"/>
      <c r="L632" s="5"/>
      <c r="M632" s="5"/>
      <c r="N632" s="5"/>
      <c r="O632" s="5"/>
      <c r="P632" s="5"/>
      <c r="Q632" s="5"/>
      <c r="X632" t="str">
        <f t="shared" si="19"/>
        <v/>
      </c>
    </row>
    <row r="633" spans="1:24">
      <c r="A633" s="4"/>
      <c r="B633" s="31"/>
      <c r="C633" s="11" t="e">
        <f t="shared" si="18"/>
        <v>#N/A</v>
      </c>
      <c r="D633" s="5"/>
      <c r="E633" s="5"/>
      <c r="F633" s="5"/>
      <c r="G633" s="5"/>
      <c r="H633" s="5"/>
      <c r="I633" s="5"/>
      <c r="J633" s="5"/>
      <c r="K633" s="5"/>
      <c r="L633" s="5"/>
      <c r="M633" s="5"/>
      <c r="N633" s="5"/>
      <c r="O633" s="5"/>
      <c r="P633" s="5"/>
      <c r="Q633" s="5"/>
      <c r="X633" t="str">
        <f t="shared" si="19"/>
        <v/>
      </c>
    </row>
    <row r="634" spans="1:24">
      <c r="A634" s="4"/>
      <c r="B634" s="31"/>
      <c r="C634" s="11" t="e">
        <f t="shared" si="18"/>
        <v>#N/A</v>
      </c>
      <c r="D634" s="5"/>
      <c r="E634" s="5"/>
      <c r="F634" s="5"/>
      <c r="G634" s="5"/>
      <c r="H634" s="5"/>
      <c r="I634" s="5"/>
      <c r="J634" s="5"/>
      <c r="K634" s="5"/>
      <c r="L634" s="5"/>
      <c r="M634" s="5"/>
      <c r="N634" s="5"/>
      <c r="O634" s="5"/>
      <c r="P634" s="5"/>
      <c r="Q634" s="5"/>
      <c r="X634" t="str">
        <f t="shared" si="19"/>
        <v/>
      </c>
    </row>
    <row r="635" spans="1:24">
      <c r="A635" s="4"/>
      <c r="B635" s="31"/>
      <c r="C635" s="11" t="e">
        <f t="shared" si="18"/>
        <v>#N/A</v>
      </c>
      <c r="D635" s="5"/>
      <c r="E635" s="5"/>
      <c r="F635" s="5"/>
      <c r="G635" s="5"/>
      <c r="H635" s="5"/>
      <c r="I635" s="5"/>
      <c r="J635" s="5"/>
      <c r="K635" s="5"/>
      <c r="L635" s="5"/>
      <c r="M635" s="5"/>
      <c r="N635" s="5"/>
      <c r="O635" s="5"/>
      <c r="P635" s="5"/>
      <c r="Q635" s="5"/>
      <c r="X635" t="str">
        <f t="shared" si="19"/>
        <v/>
      </c>
    </row>
    <row r="636" spans="1:24">
      <c r="A636" s="4"/>
      <c r="B636" s="31"/>
      <c r="C636" s="11" t="e">
        <f t="shared" si="18"/>
        <v>#N/A</v>
      </c>
      <c r="D636" s="5"/>
      <c r="E636" s="5"/>
      <c r="F636" s="5"/>
      <c r="G636" s="5"/>
      <c r="H636" s="5"/>
      <c r="I636" s="5"/>
      <c r="J636" s="5"/>
      <c r="K636" s="5"/>
      <c r="L636" s="5"/>
      <c r="M636" s="5"/>
      <c r="N636" s="5"/>
      <c r="O636" s="5"/>
      <c r="P636" s="5"/>
      <c r="Q636" s="5"/>
      <c r="X636" t="str">
        <f t="shared" si="19"/>
        <v/>
      </c>
    </row>
    <row r="637" spans="1:24">
      <c r="A637" s="4"/>
      <c r="B637" s="31"/>
      <c r="C637" s="11" t="e">
        <f t="shared" si="18"/>
        <v>#N/A</v>
      </c>
      <c r="D637" s="5"/>
      <c r="E637" s="5"/>
      <c r="F637" s="5"/>
      <c r="G637" s="5"/>
      <c r="H637" s="5"/>
      <c r="I637" s="5"/>
      <c r="J637" s="5"/>
      <c r="K637" s="5"/>
      <c r="L637" s="5"/>
      <c r="M637" s="5"/>
      <c r="N637" s="5"/>
      <c r="O637" s="5"/>
      <c r="P637" s="5"/>
      <c r="Q637" s="5"/>
      <c r="X637" t="str">
        <f t="shared" si="19"/>
        <v/>
      </c>
    </row>
    <row r="638" spans="1:24">
      <c r="A638" s="4"/>
      <c r="B638" s="31"/>
      <c r="C638" s="11" t="e">
        <f t="shared" si="18"/>
        <v>#N/A</v>
      </c>
      <c r="D638" s="5"/>
      <c r="E638" s="5"/>
      <c r="F638" s="5"/>
      <c r="G638" s="5"/>
      <c r="H638" s="5"/>
      <c r="I638" s="5"/>
      <c r="J638" s="5"/>
      <c r="K638" s="5"/>
      <c r="L638" s="5"/>
      <c r="M638" s="5"/>
      <c r="N638" s="5"/>
      <c r="O638" s="5"/>
      <c r="P638" s="5"/>
      <c r="Q638" s="5"/>
      <c r="X638" t="str">
        <f t="shared" si="19"/>
        <v/>
      </c>
    </row>
    <row r="639" spans="1:24">
      <c r="A639" s="4"/>
      <c r="B639" s="31"/>
      <c r="C639" s="11" t="e">
        <f t="shared" si="18"/>
        <v>#N/A</v>
      </c>
      <c r="D639" s="5"/>
      <c r="E639" s="5"/>
      <c r="F639" s="5"/>
      <c r="G639" s="5"/>
      <c r="H639" s="5"/>
      <c r="I639" s="5"/>
      <c r="J639" s="5"/>
      <c r="K639" s="5"/>
      <c r="L639" s="5"/>
      <c r="M639" s="5"/>
      <c r="N639" s="5"/>
      <c r="O639" s="5"/>
      <c r="P639" s="5"/>
      <c r="Q639" s="5"/>
      <c r="X639" t="str">
        <f t="shared" si="19"/>
        <v/>
      </c>
    </row>
    <row r="640" spans="1:24">
      <c r="A640" s="4"/>
      <c r="B640" s="31"/>
      <c r="C640" s="11" t="e">
        <f t="shared" si="18"/>
        <v>#N/A</v>
      </c>
      <c r="D640" s="5"/>
      <c r="E640" s="5"/>
      <c r="F640" s="5"/>
      <c r="G640" s="5"/>
      <c r="H640" s="5"/>
      <c r="I640" s="5"/>
      <c r="J640" s="5"/>
      <c r="K640" s="5"/>
      <c r="L640" s="5"/>
      <c r="M640" s="5"/>
      <c r="N640" s="5"/>
      <c r="O640" s="5"/>
      <c r="P640" s="5"/>
      <c r="Q640" s="5"/>
      <c r="X640" t="str">
        <f t="shared" si="19"/>
        <v/>
      </c>
    </row>
    <row r="641" spans="1:24">
      <c r="A641" s="4"/>
      <c r="B641" s="31"/>
      <c r="C641" s="11" t="e">
        <f t="shared" si="18"/>
        <v>#N/A</v>
      </c>
      <c r="D641" s="5"/>
      <c r="E641" s="5"/>
      <c r="F641" s="5"/>
      <c r="G641" s="5"/>
      <c r="H641" s="5"/>
      <c r="I641" s="5"/>
      <c r="J641" s="5"/>
      <c r="K641" s="5"/>
      <c r="L641" s="5"/>
      <c r="M641" s="5"/>
      <c r="N641" s="5"/>
      <c r="O641" s="5"/>
      <c r="P641" s="5"/>
      <c r="Q641" s="5"/>
      <c r="X641" t="str">
        <f t="shared" si="19"/>
        <v/>
      </c>
    </row>
    <row r="642" spans="1:24">
      <c r="A642" s="4"/>
      <c r="B642" s="31"/>
      <c r="C642" s="11" t="e">
        <f t="shared" si="18"/>
        <v>#N/A</v>
      </c>
      <c r="D642" s="5"/>
      <c r="E642" s="5"/>
      <c r="F642" s="5"/>
      <c r="G642" s="5"/>
      <c r="H642" s="5"/>
      <c r="I642" s="5"/>
      <c r="J642" s="5"/>
      <c r="K642" s="5"/>
      <c r="L642" s="5"/>
      <c r="M642" s="5"/>
      <c r="N642" s="5"/>
      <c r="O642" s="5"/>
      <c r="P642" s="5"/>
      <c r="Q642" s="5"/>
      <c r="X642" t="str">
        <f t="shared" si="19"/>
        <v/>
      </c>
    </row>
    <row r="643" spans="1:24">
      <c r="A643" s="4"/>
      <c r="B643" s="31"/>
      <c r="C643" s="11" t="e">
        <f t="shared" ref="C643:C706" si="20">IF(OR(ISBLANK(A643),ISBLANK(B643)),NA(),A643-B643)</f>
        <v>#N/A</v>
      </c>
      <c r="D643" s="5"/>
      <c r="E643" s="5"/>
      <c r="F643" s="5"/>
      <c r="G643" s="5"/>
      <c r="H643" s="5"/>
      <c r="I643" s="5"/>
      <c r="J643" s="5"/>
      <c r="K643" s="5"/>
      <c r="L643" s="5"/>
      <c r="M643" s="5"/>
      <c r="N643" s="5"/>
      <c r="O643" s="5"/>
      <c r="P643" s="5"/>
      <c r="Q643" s="5"/>
      <c r="X643" t="str">
        <f t="shared" ref="X643:X706" si="21">IFERROR(C643,"")</f>
        <v/>
      </c>
    </row>
    <row r="644" spans="1:24">
      <c r="A644" s="4"/>
      <c r="B644" s="31"/>
      <c r="C644" s="11" t="e">
        <f t="shared" si="20"/>
        <v>#N/A</v>
      </c>
      <c r="D644" s="5"/>
      <c r="E644" s="5"/>
      <c r="F644" s="5"/>
      <c r="G644" s="5"/>
      <c r="H644" s="5"/>
      <c r="I644" s="5"/>
      <c r="J644" s="5"/>
      <c r="K644" s="5"/>
      <c r="L644" s="5"/>
      <c r="M644" s="5"/>
      <c r="N644" s="5"/>
      <c r="O644" s="5"/>
      <c r="P644" s="5"/>
      <c r="Q644" s="5"/>
      <c r="X644" t="str">
        <f t="shared" si="21"/>
        <v/>
      </c>
    </row>
    <row r="645" spans="1:24">
      <c r="A645" s="4"/>
      <c r="B645" s="31"/>
      <c r="C645" s="11" t="e">
        <f t="shared" si="20"/>
        <v>#N/A</v>
      </c>
      <c r="D645" s="5"/>
      <c r="E645" s="5"/>
      <c r="F645" s="5"/>
      <c r="G645" s="5"/>
      <c r="H645" s="5"/>
      <c r="I645" s="5"/>
      <c r="J645" s="5"/>
      <c r="K645" s="5"/>
      <c r="L645" s="5"/>
      <c r="M645" s="5"/>
      <c r="N645" s="5"/>
      <c r="O645" s="5"/>
      <c r="P645" s="5"/>
      <c r="Q645" s="5"/>
      <c r="X645" t="str">
        <f t="shared" si="21"/>
        <v/>
      </c>
    </row>
    <row r="646" spans="1:24">
      <c r="A646" s="4"/>
      <c r="B646" s="31"/>
      <c r="C646" s="11" t="e">
        <f t="shared" si="20"/>
        <v>#N/A</v>
      </c>
      <c r="D646" s="5"/>
      <c r="E646" s="5"/>
      <c r="F646" s="5"/>
      <c r="G646" s="5"/>
      <c r="H646" s="5"/>
      <c r="I646" s="5"/>
      <c r="J646" s="5"/>
      <c r="K646" s="5"/>
      <c r="L646" s="5"/>
      <c r="M646" s="5"/>
      <c r="N646" s="5"/>
      <c r="O646" s="5"/>
      <c r="P646" s="5"/>
      <c r="Q646" s="5"/>
      <c r="X646" t="str">
        <f t="shared" si="21"/>
        <v/>
      </c>
    </row>
    <row r="647" spans="1:24">
      <c r="A647" s="4"/>
      <c r="B647" s="31"/>
      <c r="C647" s="11" t="e">
        <f t="shared" si="20"/>
        <v>#N/A</v>
      </c>
      <c r="D647" s="5"/>
      <c r="E647" s="5"/>
      <c r="F647" s="5"/>
      <c r="G647" s="5"/>
      <c r="H647" s="5"/>
      <c r="I647" s="5"/>
      <c r="J647" s="5"/>
      <c r="K647" s="5"/>
      <c r="L647" s="5"/>
      <c r="M647" s="5"/>
      <c r="N647" s="5"/>
      <c r="O647" s="5"/>
      <c r="P647" s="5"/>
      <c r="Q647" s="5"/>
      <c r="X647" t="str">
        <f t="shared" si="21"/>
        <v/>
      </c>
    </row>
    <row r="648" spans="1:24">
      <c r="A648" s="4"/>
      <c r="B648" s="31"/>
      <c r="C648" s="11" t="e">
        <f t="shared" si="20"/>
        <v>#N/A</v>
      </c>
      <c r="D648" s="5"/>
      <c r="E648" s="5"/>
      <c r="F648" s="5"/>
      <c r="G648" s="5"/>
      <c r="H648" s="5"/>
      <c r="I648" s="5"/>
      <c r="J648" s="5"/>
      <c r="K648" s="5"/>
      <c r="L648" s="5"/>
      <c r="M648" s="5"/>
      <c r="N648" s="5"/>
      <c r="O648" s="5"/>
      <c r="P648" s="5"/>
      <c r="Q648" s="5"/>
      <c r="X648" t="str">
        <f t="shared" si="21"/>
        <v/>
      </c>
    </row>
    <row r="649" spans="1:24">
      <c r="A649" s="4"/>
      <c r="B649" s="31"/>
      <c r="C649" s="11" t="e">
        <f t="shared" si="20"/>
        <v>#N/A</v>
      </c>
      <c r="D649" s="5"/>
      <c r="E649" s="5"/>
      <c r="F649" s="5"/>
      <c r="G649" s="5"/>
      <c r="H649" s="5"/>
      <c r="I649" s="5"/>
      <c r="J649" s="5"/>
      <c r="K649" s="5"/>
      <c r="L649" s="5"/>
      <c r="M649" s="5"/>
      <c r="N649" s="5"/>
      <c r="O649" s="5"/>
      <c r="P649" s="5"/>
      <c r="Q649" s="5"/>
      <c r="X649" t="str">
        <f t="shared" si="21"/>
        <v/>
      </c>
    </row>
    <row r="650" spans="1:24">
      <c r="A650" s="4"/>
      <c r="B650" s="31"/>
      <c r="C650" s="11" t="e">
        <f t="shared" si="20"/>
        <v>#N/A</v>
      </c>
      <c r="D650" s="5"/>
      <c r="E650" s="5"/>
      <c r="F650" s="5"/>
      <c r="G650" s="5"/>
      <c r="H650" s="5"/>
      <c r="I650" s="5"/>
      <c r="J650" s="5"/>
      <c r="K650" s="5"/>
      <c r="L650" s="5"/>
      <c r="M650" s="5"/>
      <c r="N650" s="5"/>
      <c r="O650" s="5"/>
      <c r="P650" s="5"/>
      <c r="Q650" s="5"/>
      <c r="X650" t="str">
        <f t="shared" si="21"/>
        <v/>
      </c>
    </row>
    <row r="651" spans="1:24">
      <c r="A651" s="4"/>
      <c r="B651" s="31"/>
      <c r="C651" s="11" t="e">
        <f t="shared" si="20"/>
        <v>#N/A</v>
      </c>
      <c r="D651" s="5"/>
      <c r="E651" s="5"/>
      <c r="F651" s="5"/>
      <c r="G651" s="5"/>
      <c r="H651" s="5"/>
      <c r="I651" s="5"/>
      <c r="J651" s="5"/>
      <c r="K651" s="5"/>
      <c r="L651" s="5"/>
      <c r="M651" s="5"/>
      <c r="N651" s="5"/>
      <c r="O651" s="5"/>
      <c r="P651" s="5"/>
      <c r="Q651" s="5"/>
      <c r="X651" t="str">
        <f t="shared" si="21"/>
        <v/>
      </c>
    </row>
    <row r="652" spans="1:24">
      <c r="A652" s="4"/>
      <c r="B652" s="31"/>
      <c r="C652" s="11" t="e">
        <f t="shared" si="20"/>
        <v>#N/A</v>
      </c>
      <c r="D652" s="5"/>
      <c r="E652" s="5"/>
      <c r="F652" s="5"/>
      <c r="G652" s="5"/>
      <c r="H652" s="5"/>
      <c r="I652" s="5"/>
      <c r="J652" s="5"/>
      <c r="K652" s="5"/>
      <c r="L652" s="5"/>
      <c r="M652" s="5"/>
      <c r="N652" s="5"/>
      <c r="O652" s="5"/>
      <c r="P652" s="5"/>
      <c r="Q652" s="5"/>
      <c r="X652" t="str">
        <f t="shared" si="21"/>
        <v/>
      </c>
    </row>
    <row r="653" spans="1:24">
      <c r="A653" s="4"/>
      <c r="B653" s="31"/>
      <c r="C653" s="11" t="e">
        <f t="shared" si="20"/>
        <v>#N/A</v>
      </c>
      <c r="D653" s="5"/>
      <c r="E653" s="5"/>
      <c r="F653" s="5"/>
      <c r="G653" s="5"/>
      <c r="H653" s="5"/>
      <c r="I653" s="5"/>
      <c r="J653" s="5"/>
      <c r="K653" s="5"/>
      <c r="L653" s="5"/>
      <c r="M653" s="5"/>
      <c r="N653" s="5"/>
      <c r="O653" s="5"/>
      <c r="P653" s="5"/>
      <c r="Q653" s="5"/>
      <c r="X653" t="str">
        <f t="shared" si="21"/>
        <v/>
      </c>
    </row>
    <row r="654" spans="1:24">
      <c r="A654" s="4"/>
      <c r="B654" s="31"/>
      <c r="C654" s="11" t="e">
        <f t="shared" si="20"/>
        <v>#N/A</v>
      </c>
      <c r="D654" s="5"/>
      <c r="E654" s="5"/>
      <c r="F654" s="5"/>
      <c r="G654" s="5"/>
      <c r="H654" s="5"/>
      <c r="I654" s="5"/>
      <c r="J654" s="5"/>
      <c r="K654" s="5"/>
      <c r="L654" s="5"/>
      <c r="M654" s="5"/>
      <c r="N654" s="5"/>
      <c r="O654" s="5"/>
      <c r="P654" s="5"/>
      <c r="Q654" s="5"/>
      <c r="X654" t="str">
        <f t="shared" si="21"/>
        <v/>
      </c>
    </row>
    <row r="655" spans="1:24">
      <c r="A655" s="4"/>
      <c r="B655" s="31"/>
      <c r="C655" s="11" t="e">
        <f t="shared" si="20"/>
        <v>#N/A</v>
      </c>
      <c r="D655" s="5"/>
      <c r="E655" s="5"/>
      <c r="F655" s="5"/>
      <c r="G655" s="5"/>
      <c r="H655" s="5"/>
      <c r="I655" s="5"/>
      <c r="J655" s="5"/>
      <c r="K655" s="5"/>
      <c r="L655" s="5"/>
      <c r="M655" s="5"/>
      <c r="N655" s="5"/>
      <c r="O655" s="5"/>
      <c r="P655" s="5"/>
      <c r="Q655" s="5"/>
      <c r="X655" t="str">
        <f t="shared" si="21"/>
        <v/>
      </c>
    </row>
    <row r="656" spans="1:24">
      <c r="A656" s="4"/>
      <c r="B656" s="31"/>
      <c r="C656" s="11" t="e">
        <f t="shared" si="20"/>
        <v>#N/A</v>
      </c>
      <c r="D656" s="5"/>
      <c r="E656" s="5"/>
      <c r="F656" s="5"/>
      <c r="G656" s="5"/>
      <c r="H656" s="5"/>
      <c r="I656" s="5"/>
      <c r="J656" s="5"/>
      <c r="K656" s="5"/>
      <c r="L656" s="5"/>
      <c r="M656" s="5"/>
      <c r="N656" s="5"/>
      <c r="O656" s="5"/>
      <c r="P656" s="5"/>
      <c r="Q656" s="5"/>
      <c r="X656" t="str">
        <f t="shared" si="21"/>
        <v/>
      </c>
    </row>
    <row r="657" spans="1:24">
      <c r="A657" s="4"/>
      <c r="B657" s="31"/>
      <c r="C657" s="11" t="e">
        <f t="shared" si="20"/>
        <v>#N/A</v>
      </c>
      <c r="D657" s="5"/>
      <c r="E657" s="5"/>
      <c r="F657" s="5"/>
      <c r="G657" s="5"/>
      <c r="H657" s="5"/>
      <c r="I657" s="5"/>
      <c r="J657" s="5"/>
      <c r="K657" s="5"/>
      <c r="L657" s="5"/>
      <c r="M657" s="5"/>
      <c r="N657" s="5"/>
      <c r="O657" s="5"/>
      <c r="P657" s="5"/>
      <c r="Q657" s="5"/>
      <c r="X657" t="str">
        <f t="shared" si="21"/>
        <v/>
      </c>
    </row>
    <row r="658" spans="1:24">
      <c r="A658" s="4"/>
      <c r="B658" s="31"/>
      <c r="C658" s="11" t="e">
        <f t="shared" si="20"/>
        <v>#N/A</v>
      </c>
      <c r="D658" s="5"/>
      <c r="E658" s="5"/>
      <c r="F658" s="5"/>
      <c r="G658" s="5"/>
      <c r="H658" s="5"/>
      <c r="I658" s="5"/>
      <c r="J658" s="5"/>
      <c r="K658" s="5"/>
      <c r="L658" s="5"/>
      <c r="M658" s="5"/>
      <c r="N658" s="5"/>
      <c r="O658" s="5"/>
      <c r="P658" s="5"/>
      <c r="Q658" s="5"/>
      <c r="X658" t="str">
        <f t="shared" si="21"/>
        <v/>
      </c>
    </row>
    <row r="659" spans="1:24">
      <c r="A659" s="4"/>
      <c r="B659" s="31"/>
      <c r="C659" s="11" t="e">
        <f t="shared" si="20"/>
        <v>#N/A</v>
      </c>
      <c r="D659" s="5"/>
      <c r="E659" s="5"/>
      <c r="F659" s="5"/>
      <c r="G659" s="5"/>
      <c r="H659" s="5"/>
      <c r="I659" s="5"/>
      <c r="J659" s="5"/>
      <c r="K659" s="5"/>
      <c r="L659" s="5"/>
      <c r="M659" s="5"/>
      <c r="N659" s="5"/>
      <c r="O659" s="5"/>
      <c r="P659" s="5"/>
      <c r="Q659" s="5"/>
      <c r="X659" t="str">
        <f t="shared" si="21"/>
        <v/>
      </c>
    </row>
    <row r="660" spans="1:24">
      <c r="A660" s="4"/>
      <c r="B660" s="31"/>
      <c r="C660" s="11" t="e">
        <f t="shared" si="20"/>
        <v>#N/A</v>
      </c>
      <c r="D660" s="5"/>
      <c r="E660" s="5"/>
      <c r="F660" s="5"/>
      <c r="G660" s="5"/>
      <c r="H660" s="5"/>
      <c r="I660" s="5"/>
      <c r="J660" s="5"/>
      <c r="K660" s="5"/>
      <c r="L660" s="5"/>
      <c r="M660" s="5"/>
      <c r="N660" s="5"/>
      <c r="O660" s="5"/>
      <c r="P660" s="5"/>
      <c r="Q660" s="5"/>
      <c r="X660" t="str">
        <f t="shared" si="21"/>
        <v/>
      </c>
    </row>
    <row r="661" spans="1:24">
      <c r="A661" s="4"/>
      <c r="B661" s="31"/>
      <c r="C661" s="11" t="e">
        <f t="shared" si="20"/>
        <v>#N/A</v>
      </c>
      <c r="D661" s="5"/>
      <c r="E661" s="5"/>
      <c r="F661" s="5"/>
      <c r="G661" s="5"/>
      <c r="H661" s="5"/>
      <c r="I661" s="5"/>
      <c r="J661" s="5"/>
      <c r="K661" s="5"/>
      <c r="L661" s="5"/>
      <c r="M661" s="5"/>
      <c r="N661" s="5"/>
      <c r="O661" s="5"/>
      <c r="P661" s="5"/>
      <c r="Q661" s="5"/>
      <c r="X661" t="str">
        <f t="shared" si="21"/>
        <v/>
      </c>
    </row>
    <row r="662" spans="1:24">
      <c r="A662" s="4"/>
      <c r="B662" s="31"/>
      <c r="C662" s="11" t="e">
        <f t="shared" si="20"/>
        <v>#N/A</v>
      </c>
      <c r="D662" s="5"/>
      <c r="E662" s="5"/>
      <c r="F662" s="5"/>
      <c r="G662" s="5"/>
      <c r="H662" s="5"/>
      <c r="I662" s="5"/>
      <c r="J662" s="5"/>
      <c r="K662" s="5"/>
      <c r="L662" s="5"/>
      <c r="M662" s="5"/>
      <c r="N662" s="5"/>
      <c r="O662" s="5"/>
      <c r="P662" s="5"/>
      <c r="Q662" s="5"/>
      <c r="X662" t="str">
        <f t="shared" si="21"/>
        <v/>
      </c>
    </row>
    <row r="663" spans="1:24">
      <c r="A663" s="4"/>
      <c r="B663" s="31"/>
      <c r="C663" s="11" t="e">
        <f t="shared" si="20"/>
        <v>#N/A</v>
      </c>
      <c r="D663" s="5"/>
      <c r="E663" s="5"/>
      <c r="F663" s="5"/>
      <c r="G663" s="5"/>
      <c r="H663" s="5"/>
      <c r="I663" s="5"/>
      <c r="J663" s="5"/>
      <c r="K663" s="5"/>
      <c r="L663" s="5"/>
      <c r="M663" s="5"/>
      <c r="N663" s="5"/>
      <c r="O663" s="5"/>
      <c r="P663" s="5"/>
      <c r="Q663" s="5"/>
      <c r="X663" t="str">
        <f t="shared" si="21"/>
        <v/>
      </c>
    </row>
    <row r="664" spans="1:24">
      <c r="A664" s="4"/>
      <c r="B664" s="31"/>
      <c r="C664" s="11" t="e">
        <f t="shared" si="20"/>
        <v>#N/A</v>
      </c>
      <c r="D664" s="5"/>
      <c r="E664" s="5"/>
      <c r="F664" s="5"/>
      <c r="G664" s="5"/>
      <c r="H664" s="5"/>
      <c r="I664" s="5"/>
      <c r="J664" s="5"/>
      <c r="K664" s="5"/>
      <c r="L664" s="5"/>
      <c r="M664" s="5"/>
      <c r="N664" s="5"/>
      <c r="O664" s="5"/>
      <c r="P664" s="5"/>
      <c r="Q664" s="5"/>
      <c r="X664" t="str">
        <f t="shared" si="21"/>
        <v/>
      </c>
    </row>
    <row r="665" spans="1:24">
      <c r="A665" s="4"/>
      <c r="B665" s="31"/>
      <c r="C665" s="11" t="e">
        <f t="shared" si="20"/>
        <v>#N/A</v>
      </c>
      <c r="D665" s="5"/>
      <c r="E665" s="5"/>
      <c r="F665" s="5"/>
      <c r="G665" s="5"/>
      <c r="H665" s="5"/>
      <c r="I665" s="5"/>
      <c r="J665" s="5"/>
      <c r="K665" s="5"/>
      <c r="L665" s="5"/>
      <c r="M665" s="5"/>
      <c r="N665" s="5"/>
      <c r="O665" s="5"/>
      <c r="P665" s="5"/>
      <c r="Q665" s="5"/>
      <c r="X665" t="str">
        <f t="shared" si="21"/>
        <v/>
      </c>
    </row>
    <row r="666" spans="1:24">
      <c r="A666" s="4"/>
      <c r="B666" s="31"/>
      <c r="C666" s="11" t="e">
        <f t="shared" si="20"/>
        <v>#N/A</v>
      </c>
      <c r="D666" s="5"/>
      <c r="E666" s="5"/>
      <c r="F666" s="5"/>
      <c r="G666" s="5"/>
      <c r="H666" s="5"/>
      <c r="I666" s="5"/>
      <c r="J666" s="5"/>
      <c r="K666" s="5"/>
      <c r="L666" s="5"/>
      <c r="M666" s="5"/>
      <c r="N666" s="5"/>
      <c r="O666" s="5"/>
      <c r="P666" s="5"/>
      <c r="Q666" s="5"/>
      <c r="X666" t="str">
        <f t="shared" si="21"/>
        <v/>
      </c>
    </row>
    <row r="667" spans="1:24">
      <c r="A667" s="4"/>
      <c r="B667" s="31"/>
      <c r="C667" s="11" t="e">
        <f t="shared" si="20"/>
        <v>#N/A</v>
      </c>
      <c r="D667" s="5"/>
      <c r="E667" s="5"/>
      <c r="F667" s="5"/>
      <c r="G667" s="5"/>
      <c r="H667" s="5"/>
      <c r="I667" s="5"/>
      <c r="J667" s="5"/>
      <c r="K667" s="5"/>
      <c r="L667" s="5"/>
      <c r="M667" s="5"/>
      <c r="N667" s="5"/>
      <c r="O667" s="5"/>
      <c r="P667" s="5"/>
      <c r="Q667" s="5"/>
      <c r="X667" t="str">
        <f t="shared" si="21"/>
        <v/>
      </c>
    </row>
    <row r="668" spans="1:24">
      <c r="A668" s="4"/>
      <c r="B668" s="31"/>
      <c r="C668" s="11" t="e">
        <f t="shared" si="20"/>
        <v>#N/A</v>
      </c>
      <c r="D668" s="5"/>
      <c r="E668" s="5"/>
      <c r="F668" s="5"/>
      <c r="G668" s="5"/>
      <c r="H668" s="5"/>
      <c r="I668" s="5"/>
      <c r="J668" s="5"/>
      <c r="K668" s="5"/>
      <c r="L668" s="5"/>
      <c r="M668" s="5"/>
      <c r="N668" s="5"/>
      <c r="O668" s="5"/>
      <c r="P668" s="5"/>
      <c r="Q668" s="5"/>
      <c r="X668" t="str">
        <f t="shared" si="21"/>
        <v/>
      </c>
    </row>
    <row r="669" spans="1:24">
      <c r="A669" s="4"/>
      <c r="B669" s="31"/>
      <c r="C669" s="11" t="e">
        <f t="shared" si="20"/>
        <v>#N/A</v>
      </c>
      <c r="D669" s="5"/>
      <c r="E669" s="5"/>
      <c r="F669" s="5"/>
      <c r="G669" s="5"/>
      <c r="H669" s="5"/>
      <c r="I669" s="5"/>
      <c r="J669" s="5"/>
      <c r="K669" s="5"/>
      <c r="L669" s="5"/>
      <c r="M669" s="5"/>
      <c r="N669" s="5"/>
      <c r="O669" s="5"/>
      <c r="P669" s="5"/>
      <c r="Q669" s="5"/>
      <c r="X669" t="str">
        <f t="shared" si="21"/>
        <v/>
      </c>
    </row>
    <row r="670" spans="1:24">
      <c r="A670" s="4"/>
      <c r="B670" s="31"/>
      <c r="C670" s="11" t="e">
        <f t="shared" si="20"/>
        <v>#N/A</v>
      </c>
      <c r="D670" s="5"/>
      <c r="E670" s="5"/>
      <c r="F670" s="5"/>
      <c r="G670" s="5"/>
      <c r="H670" s="5"/>
      <c r="I670" s="5"/>
      <c r="J670" s="5"/>
      <c r="K670" s="5"/>
      <c r="L670" s="5"/>
      <c r="M670" s="5"/>
      <c r="N670" s="5"/>
      <c r="O670" s="5"/>
      <c r="P670" s="5"/>
      <c r="Q670" s="5"/>
      <c r="X670" t="str">
        <f t="shared" si="21"/>
        <v/>
      </c>
    </row>
    <row r="671" spans="1:24">
      <c r="A671" s="4"/>
      <c r="B671" s="31"/>
      <c r="C671" s="11" t="e">
        <f t="shared" si="20"/>
        <v>#N/A</v>
      </c>
      <c r="D671" s="5"/>
      <c r="E671" s="5"/>
      <c r="F671" s="5"/>
      <c r="G671" s="5"/>
      <c r="H671" s="5"/>
      <c r="I671" s="5"/>
      <c r="J671" s="5"/>
      <c r="K671" s="5"/>
      <c r="L671" s="5"/>
      <c r="M671" s="5"/>
      <c r="N671" s="5"/>
      <c r="O671" s="5"/>
      <c r="P671" s="5"/>
      <c r="Q671" s="5"/>
      <c r="X671" t="str">
        <f t="shared" si="21"/>
        <v/>
      </c>
    </row>
    <row r="672" spans="1:24">
      <c r="A672" s="4"/>
      <c r="B672" s="31"/>
      <c r="C672" s="11" t="e">
        <f t="shared" si="20"/>
        <v>#N/A</v>
      </c>
      <c r="D672" s="5"/>
      <c r="E672" s="5"/>
      <c r="F672" s="5"/>
      <c r="G672" s="5"/>
      <c r="H672" s="5"/>
      <c r="I672" s="5"/>
      <c r="J672" s="5"/>
      <c r="K672" s="5"/>
      <c r="L672" s="5"/>
      <c r="M672" s="5"/>
      <c r="N672" s="5"/>
      <c r="O672" s="5"/>
      <c r="P672" s="5"/>
      <c r="Q672" s="5"/>
      <c r="X672" t="str">
        <f t="shared" si="21"/>
        <v/>
      </c>
    </row>
    <row r="673" spans="1:24">
      <c r="A673" s="4"/>
      <c r="B673" s="31"/>
      <c r="C673" s="11" t="e">
        <f t="shared" si="20"/>
        <v>#N/A</v>
      </c>
      <c r="D673" s="5"/>
      <c r="E673" s="5"/>
      <c r="F673" s="5"/>
      <c r="G673" s="5"/>
      <c r="H673" s="5"/>
      <c r="I673" s="5"/>
      <c r="J673" s="5"/>
      <c r="K673" s="5"/>
      <c r="L673" s="5"/>
      <c r="M673" s="5"/>
      <c r="N673" s="5"/>
      <c r="O673" s="5"/>
      <c r="P673" s="5"/>
      <c r="Q673" s="5"/>
      <c r="X673" t="str">
        <f t="shared" si="21"/>
        <v/>
      </c>
    </row>
    <row r="674" spans="1:24">
      <c r="A674" s="4"/>
      <c r="B674" s="31"/>
      <c r="C674" s="11" t="e">
        <f t="shared" si="20"/>
        <v>#N/A</v>
      </c>
      <c r="D674" s="5"/>
      <c r="E674" s="5"/>
      <c r="F674" s="5"/>
      <c r="G674" s="5"/>
      <c r="H674" s="5"/>
      <c r="I674" s="5"/>
      <c r="J674" s="5"/>
      <c r="K674" s="5"/>
      <c r="L674" s="5"/>
      <c r="M674" s="5"/>
      <c r="N674" s="5"/>
      <c r="O674" s="5"/>
      <c r="P674" s="5"/>
      <c r="Q674" s="5"/>
      <c r="X674" t="str">
        <f t="shared" si="21"/>
        <v/>
      </c>
    </row>
    <row r="675" spans="1:24">
      <c r="A675" s="4"/>
      <c r="B675" s="31"/>
      <c r="C675" s="11" t="e">
        <f t="shared" si="20"/>
        <v>#N/A</v>
      </c>
      <c r="D675" s="5"/>
      <c r="E675" s="5"/>
      <c r="F675" s="5"/>
      <c r="G675" s="5"/>
      <c r="H675" s="5"/>
      <c r="I675" s="5"/>
      <c r="J675" s="5"/>
      <c r="K675" s="5"/>
      <c r="L675" s="5"/>
      <c r="M675" s="5"/>
      <c r="N675" s="5"/>
      <c r="O675" s="5"/>
      <c r="P675" s="5"/>
      <c r="Q675" s="5"/>
      <c r="X675" t="str">
        <f t="shared" si="21"/>
        <v/>
      </c>
    </row>
    <row r="676" spans="1:24">
      <c r="A676" s="4"/>
      <c r="B676" s="31"/>
      <c r="C676" s="11" t="e">
        <f t="shared" si="20"/>
        <v>#N/A</v>
      </c>
      <c r="D676" s="5"/>
      <c r="E676" s="5"/>
      <c r="F676" s="5"/>
      <c r="G676" s="5"/>
      <c r="H676" s="5"/>
      <c r="I676" s="5"/>
      <c r="J676" s="5"/>
      <c r="K676" s="5"/>
      <c r="L676" s="5"/>
      <c r="M676" s="5"/>
      <c r="N676" s="5"/>
      <c r="O676" s="5"/>
      <c r="P676" s="5"/>
      <c r="Q676" s="5"/>
      <c r="X676" t="str">
        <f t="shared" si="21"/>
        <v/>
      </c>
    </row>
    <row r="677" spans="1:24">
      <c r="A677" s="4"/>
      <c r="B677" s="31"/>
      <c r="C677" s="11" t="e">
        <f t="shared" si="20"/>
        <v>#N/A</v>
      </c>
      <c r="D677" s="5"/>
      <c r="E677" s="5"/>
      <c r="F677" s="5"/>
      <c r="G677" s="5"/>
      <c r="H677" s="5"/>
      <c r="I677" s="5"/>
      <c r="J677" s="5"/>
      <c r="K677" s="5"/>
      <c r="L677" s="5"/>
      <c r="M677" s="5"/>
      <c r="N677" s="5"/>
      <c r="O677" s="5"/>
      <c r="P677" s="5"/>
      <c r="Q677" s="5"/>
      <c r="X677" t="str">
        <f t="shared" si="21"/>
        <v/>
      </c>
    </row>
    <row r="678" spans="1:24">
      <c r="A678" s="4"/>
      <c r="B678" s="31"/>
      <c r="C678" s="11" t="e">
        <f t="shared" si="20"/>
        <v>#N/A</v>
      </c>
      <c r="D678" s="5"/>
      <c r="E678" s="5"/>
      <c r="F678" s="5"/>
      <c r="G678" s="5"/>
      <c r="H678" s="5"/>
      <c r="I678" s="5"/>
      <c r="J678" s="5"/>
      <c r="K678" s="5"/>
      <c r="L678" s="5"/>
      <c r="M678" s="5"/>
      <c r="N678" s="5"/>
      <c r="O678" s="5"/>
      <c r="P678" s="5"/>
      <c r="Q678" s="5"/>
      <c r="X678" t="str">
        <f t="shared" si="21"/>
        <v/>
      </c>
    </row>
    <row r="679" spans="1:24">
      <c r="A679" s="4"/>
      <c r="B679" s="31"/>
      <c r="C679" s="11" t="e">
        <f t="shared" si="20"/>
        <v>#N/A</v>
      </c>
      <c r="D679" s="5"/>
      <c r="E679" s="5"/>
      <c r="F679" s="5"/>
      <c r="G679" s="5"/>
      <c r="H679" s="5"/>
      <c r="I679" s="5"/>
      <c r="J679" s="5"/>
      <c r="K679" s="5"/>
      <c r="L679" s="5"/>
      <c r="M679" s="5"/>
      <c r="N679" s="5"/>
      <c r="O679" s="5"/>
      <c r="P679" s="5"/>
      <c r="Q679" s="5"/>
      <c r="X679" t="str">
        <f t="shared" si="21"/>
        <v/>
      </c>
    </row>
    <row r="680" spans="1:24">
      <c r="A680" s="4"/>
      <c r="B680" s="31"/>
      <c r="C680" s="11" t="e">
        <f t="shared" si="20"/>
        <v>#N/A</v>
      </c>
      <c r="D680" s="5"/>
      <c r="E680" s="5"/>
      <c r="F680" s="5"/>
      <c r="G680" s="5"/>
      <c r="H680" s="5"/>
      <c r="I680" s="5"/>
      <c r="J680" s="5"/>
      <c r="K680" s="5"/>
      <c r="L680" s="5"/>
      <c r="M680" s="5"/>
      <c r="N680" s="5"/>
      <c r="O680" s="5"/>
      <c r="P680" s="5"/>
      <c r="Q680" s="5"/>
      <c r="X680" t="str">
        <f t="shared" si="21"/>
        <v/>
      </c>
    </row>
    <row r="681" spans="1:24">
      <c r="A681" s="4"/>
      <c r="B681" s="31"/>
      <c r="C681" s="11" t="e">
        <f t="shared" si="20"/>
        <v>#N/A</v>
      </c>
      <c r="D681" s="5"/>
      <c r="E681" s="5"/>
      <c r="F681" s="5"/>
      <c r="G681" s="5"/>
      <c r="H681" s="5"/>
      <c r="I681" s="5"/>
      <c r="J681" s="5"/>
      <c r="K681" s="5"/>
      <c r="L681" s="5"/>
      <c r="M681" s="5"/>
      <c r="N681" s="5"/>
      <c r="O681" s="5"/>
      <c r="P681" s="5"/>
      <c r="Q681" s="5"/>
      <c r="X681" t="str">
        <f t="shared" si="21"/>
        <v/>
      </c>
    </row>
    <row r="682" spans="1:24">
      <c r="A682" s="4"/>
      <c r="B682" s="31"/>
      <c r="C682" s="11" t="e">
        <f t="shared" si="20"/>
        <v>#N/A</v>
      </c>
      <c r="D682" s="5"/>
      <c r="E682" s="5"/>
      <c r="F682" s="5"/>
      <c r="G682" s="5"/>
      <c r="H682" s="5"/>
      <c r="I682" s="5"/>
      <c r="J682" s="5"/>
      <c r="K682" s="5"/>
      <c r="L682" s="5"/>
      <c r="M682" s="5"/>
      <c r="N682" s="5"/>
      <c r="O682" s="5"/>
      <c r="P682" s="5"/>
      <c r="Q682" s="5"/>
      <c r="X682" t="str">
        <f t="shared" si="21"/>
        <v/>
      </c>
    </row>
    <row r="683" spans="1:24">
      <c r="A683" s="4"/>
      <c r="B683" s="31"/>
      <c r="C683" s="11" t="e">
        <f t="shared" si="20"/>
        <v>#N/A</v>
      </c>
      <c r="D683" s="5"/>
      <c r="E683" s="5"/>
      <c r="F683" s="5"/>
      <c r="G683" s="5"/>
      <c r="H683" s="5"/>
      <c r="I683" s="5"/>
      <c r="J683" s="5"/>
      <c r="K683" s="5"/>
      <c r="L683" s="5"/>
      <c r="M683" s="5"/>
      <c r="N683" s="5"/>
      <c r="O683" s="5"/>
      <c r="P683" s="5"/>
      <c r="Q683" s="5"/>
      <c r="X683" t="str">
        <f t="shared" si="21"/>
        <v/>
      </c>
    </row>
    <row r="684" spans="1:24">
      <c r="A684" s="4"/>
      <c r="B684" s="31"/>
      <c r="C684" s="11" t="e">
        <f t="shared" si="20"/>
        <v>#N/A</v>
      </c>
      <c r="D684" s="5"/>
      <c r="E684" s="5"/>
      <c r="F684" s="5"/>
      <c r="G684" s="5"/>
      <c r="H684" s="5"/>
      <c r="I684" s="5"/>
      <c r="J684" s="5"/>
      <c r="K684" s="5"/>
      <c r="L684" s="5"/>
      <c r="M684" s="5"/>
      <c r="N684" s="5"/>
      <c r="O684" s="5"/>
      <c r="P684" s="5"/>
      <c r="Q684" s="5"/>
      <c r="X684" t="str">
        <f t="shared" si="21"/>
        <v/>
      </c>
    </row>
    <row r="685" spans="1:24">
      <c r="A685" s="4"/>
      <c r="B685" s="31"/>
      <c r="C685" s="11" t="e">
        <f t="shared" si="20"/>
        <v>#N/A</v>
      </c>
      <c r="D685" s="5"/>
      <c r="E685" s="5"/>
      <c r="F685" s="5"/>
      <c r="G685" s="5"/>
      <c r="H685" s="5"/>
      <c r="I685" s="5"/>
      <c r="J685" s="5"/>
      <c r="K685" s="5"/>
      <c r="L685" s="5"/>
      <c r="M685" s="5"/>
      <c r="N685" s="5"/>
      <c r="O685" s="5"/>
      <c r="P685" s="5"/>
      <c r="Q685" s="5"/>
      <c r="X685" t="str">
        <f t="shared" si="21"/>
        <v/>
      </c>
    </row>
    <row r="686" spans="1:24">
      <c r="A686" s="4"/>
      <c r="B686" s="31"/>
      <c r="C686" s="11" t="e">
        <f t="shared" si="20"/>
        <v>#N/A</v>
      </c>
      <c r="D686" s="5"/>
      <c r="E686" s="5"/>
      <c r="F686" s="5"/>
      <c r="G686" s="5"/>
      <c r="H686" s="5"/>
      <c r="I686" s="5"/>
      <c r="J686" s="5"/>
      <c r="K686" s="5"/>
      <c r="L686" s="5"/>
      <c r="M686" s="5"/>
      <c r="N686" s="5"/>
      <c r="O686" s="5"/>
      <c r="P686" s="5"/>
      <c r="Q686" s="5"/>
      <c r="X686" t="str">
        <f t="shared" si="21"/>
        <v/>
      </c>
    </row>
    <row r="687" spans="1:24">
      <c r="A687" s="4"/>
      <c r="B687" s="31"/>
      <c r="C687" s="11" t="e">
        <f t="shared" si="20"/>
        <v>#N/A</v>
      </c>
      <c r="D687" s="5"/>
      <c r="E687" s="5"/>
      <c r="F687" s="5"/>
      <c r="G687" s="5"/>
      <c r="H687" s="5"/>
      <c r="I687" s="5"/>
      <c r="J687" s="5"/>
      <c r="K687" s="5"/>
      <c r="L687" s="5"/>
      <c r="M687" s="5"/>
      <c r="N687" s="5"/>
      <c r="O687" s="5"/>
      <c r="P687" s="5"/>
      <c r="Q687" s="5"/>
      <c r="X687" t="str">
        <f t="shared" si="21"/>
        <v/>
      </c>
    </row>
    <row r="688" spans="1:24">
      <c r="A688" s="4"/>
      <c r="B688" s="31"/>
      <c r="C688" s="11" t="e">
        <f t="shared" si="20"/>
        <v>#N/A</v>
      </c>
      <c r="D688" s="5"/>
      <c r="E688" s="5"/>
      <c r="F688" s="5"/>
      <c r="G688" s="5"/>
      <c r="H688" s="5"/>
      <c r="I688" s="5"/>
      <c r="J688" s="5"/>
      <c r="K688" s="5"/>
      <c r="L688" s="5"/>
      <c r="M688" s="5"/>
      <c r="N688" s="5"/>
      <c r="O688" s="5"/>
      <c r="P688" s="5"/>
      <c r="Q688" s="5"/>
      <c r="X688" t="str">
        <f t="shared" si="21"/>
        <v/>
      </c>
    </row>
    <row r="689" spans="1:24">
      <c r="A689" s="4"/>
      <c r="B689" s="31"/>
      <c r="C689" s="11" t="e">
        <f t="shared" si="20"/>
        <v>#N/A</v>
      </c>
      <c r="D689" s="5"/>
      <c r="E689" s="5"/>
      <c r="F689" s="5"/>
      <c r="G689" s="5"/>
      <c r="H689" s="5"/>
      <c r="I689" s="5"/>
      <c r="J689" s="5"/>
      <c r="K689" s="5"/>
      <c r="L689" s="5"/>
      <c r="M689" s="5"/>
      <c r="N689" s="5"/>
      <c r="O689" s="5"/>
      <c r="P689" s="5"/>
      <c r="Q689" s="5"/>
      <c r="X689" t="str">
        <f t="shared" si="21"/>
        <v/>
      </c>
    </row>
    <row r="690" spans="1:24">
      <c r="A690" s="4"/>
      <c r="B690" s="31"/>
      <c r="C690" s="11" t="e">
        <f t="shared" si="20"/>
        <v>#N/A</v>
      </c>
      <c r="D690" s="5"/>
      <c r="E690" s="5"/>
      <c r="F690" s="5"/>
      <c r="G690" s="5"/>
      <c r="H690" s="5"/>
      <c r="I690" s="5"/>
      <c r="J690" s="5"/>
      <c r="K690" s="5"/>
      <c r="L690" s="5"/>
      <c r="M690" s="5"/>
      <c r="N690" s="5"/>
      <c r="O690" s="5"/>
      <c r="P690" s="5"/>
      <c r="Q690" s="5"/>
      <c r="X690" t="str">
        <f t="shared" si="21"/>
        <v/>
      </c>
    </row>
    <row r="691" spans="1:24">
      <c r="A691" s="4"/>
      <c r="B691" s="31"/>
      <c r="C691" s="11" t="e">
        <f t="shared" si="20"/>
        <v>#N/A</v>
      </c>
      <c r="D691" s="5"/>
      <c r="E691" s="5"/>
      <c r="F691" s="5"/>
      <c r="G691" s="5"/>
      <c r="H691" s="5"/>
      <c r="I691" s="5"/>
      <c r="J691" s="5"/>
      <c r="K691" s="5"/>
      <c r="L691" s="5"/>
      <c r="M691" s="5"/>
      <c r="N691" s="5"/>
      <c r="O691" s="5"/>
      <c r="P691" s="5"/>
      <c r="Q691" s="5"/>
      <c r="X691" t="str">
        <f t="shared" si="21"/>
        <v/>
      </c>
    </row>
    <row r="692" spans="1:24">
      <c r="A692" s="4"/>
      <c r="B692" s="31"/>
      <c r="C692" s="11" t="e">
        <f t="shared" si="20"/>
        <v>#N/A</v>
      </c>
      <c r="D692" s="5"/>
      <c r="E692" s="5"/>
      <c r="F692" s="5"/>
      <c r="G692" s="5"/>
      <c r="H692" s="5"/>
      <c r="I692" s="5"/>
      <c r="J692" s="5"/>
      <c r="K692" s="5"/>
      <c r="L692" s="5"/>
      <c r="M692" s="5"/>
      <c r="N692" s="5"/>
      <c r="O692" s="5"/>
      <c r="P692" s="5"/>
      <c r="Q692" s="5"/>
      <c r="X692" t="str">
        <f t="shared" si="21"/>
        <v/>
      </c>
    </row>
    <row r="693" spans="1:24">
      <c r="A693" s="4"/>
      <c r="B693" s="31"/>
      <c r="C693" s="11" t="e">
        <f t="shared" si="20"/>
        <v>#N/A</v>
      </c>
      <c r="D693" s="5"/>
      <c r="E693" s="5"/>
      <c r="F693" s="5"/>
      <c r="G693" s="5"/>
      <c r="H693" s="5"/>
      <c r="I693" s="5"/>
      <c r="J693" s="5"/>
      <c r="K693" s="5"/>
      <c r="L693" s="5"/>
      <c r="M693" s="5"/>
      <c r="N693" s="5"/>
      <c r="O693" s="5"/>
      <c r="P693" s="5"/>
      <c r="Q693" s="5"/>
      <c r="X693" t="str">
        <f t="shared" si="21"/>
        <v/>
      </c>
    </row>
    <row r="694" spans="1:24">
      <c r="A694" s="4"/>
      <c r="B694" s="31"/>
      <c r="C694" s="11" t="e">
        <f t="shared" si="20"/>
        <v>#N/A</v>
      </c>
      <c r="D694" s="5"/>
      <c r="E694" s="5"/>
      <c r="F694" s="5"/>
      <c r="G694" s="5"/>
      <c r="H694" s="5"/>
      <c r="I694" s="5"/>
      <c r="J694" s="5"/>
      <c r="K694" s="5"/>
      <c r="L694" s="5"/>
      <c r="M694" s="5"/>
      <c r="N694" s="5"/>
      <c r="O694" s="5"/>
      <c r="P694" s="5"/>
      <c r="Q694" s="5"/>
      <c r="X694" t="str">
        <f t="shared" si="21"/>
        <v/>
      </c>
    </row>
    <row r="695" spans="1:24">
      <c r="A695" s="4"/>
      <c r="B695" s="31"/>
      <c r="C695" s="11" t="e">
        <f t="shared" si="20"/>
        <v>#N/A</v>
      </c>
      <c r="D695" s="5"/>
      <c r="E695" s="5"/>
      <c r="F695" s="5"/>
      <c r="G695" s="5"/>
      <c r="H695" s="5"/>
      <c r="I695" s="5"/>
      <c r="J695" s="5"/>
      <c r="K695" s="5"/>
      <c r="L695" s="5"/>
      <c r="M695" s="5"/>
      <c r="N695" s="5"/>
      <c r="O695" s="5"/>
      <c r="P695" s="5"/>
      <c r="Q695" s="5"/>
      <c r="X695" t="str">
        <f t="shared" si="21"/>
        <v/>
      </c>
    </row>
    <row r="696" spans="1:24">
      <c r="A696" s="4"/>
      <c r="B696" s="31"/>
      <c r="C696" s="11" t="e">
        <f t="shared" si="20"/>
        <v>#N/A</v>
      </c>
      <c r="D696" s="5"/>
      <c r="E696" s="5"/>
      <c r="F696" s="5"/>
      <c r="G696" s="5"/>
      <c r="H696" s="5"/>
      <c r="I696" s="5"/>
      <c r="J696" s="5"/>
      <c r="K696" s="5"/>
      <c r="L696" s="5"/>
      <c r="M696" s="5"/>
      <c r="N696" s="5"/>
      <c r="O696" s="5"/>
      <c r="P696" s="5"/>
      <c r="Q696" s="5"/>
      <c r="X696" t="str">
        <f t="shared" si="21"/>
        <v/>
      </c>
    </row>
    <row r="697" spans="1:24">
      <c r="A697" s="4"/>
      <c r="B697" s="31"/>
      <c r="C697" s="11" t="e">
        <f t="shared" si="20"/>
        <v>#N/A</v>
      </c>
      <c r="D697" s="5"/>
      <c r="E697" s="5"/>
      <c r="F697" s="5"/>
      <c r="G697" s="5"/>
      <c r="H697" s="5"/>
      <c r="I697" s="5"/>
      <c r="J697" s="5"/>
      <c r="K697" s="5"/>
      <c r="L697" s="5"/>
      <c r="M697" s="5"/>
      <c r="N697" s="5"/>
      <c r="O697" s="5"/>
      <c r="P697" s="5"/>
      <c r="Q697" s="5"/>
      <c r="X697" t="str">
        <f t="shared" si="21"/>
        <v/>
      </c>
    </row>
    <row r="698" spans="1:24">
      <c r="A698" s="4"/>
      <c r="B698" s="31"/>
      <c r="C698" s="11" t="e">
        <f t="shared" si="20"/>
        <v>#N/A</v>
      </c>
      <c r="D698" s="5"/>
      <c r="E698" s="5"/>
      <c r="F698" s="5"/>
      <c r="G698" s="5"/>
      <c r="H698" s="5"/>
      <c r="I698" s="5"/>
      <c r="J698" s="5"/>
      <c r="K698" s="5"/>
      <c r="L698" s="5"/>
      <c r="M698" s="5"/>
      <c r="N698" s="5"/>
      <c r="O698" s="5"/>
      <c r="P698" s="5"/>
      <c r="Q698" s="5"/>
      <c r="X698" t="str">
        <f t="shared" si="21"/>
        <v/>
      </c>
    </row>
    <row r="699" spans="1:24">
      <c r="A699" s="4"/>
      <c r="B699" s="31"/>
      <c r="C699" s="11" t="e">
        <f t="shared" si="20"/>
        <v>#N/A</v>
      </c>
      <c r="D699" s="5"/>
      <c r="E699" s="5"/>
      <c r="F699" s="5"/>
      <c r="G699" s="5"/>
      <c r="H699" s="5"/>
      <c r="I699" s="5"/>
      <c r="J699" s="5"/>
      <c r="K699" s="5"/>
      <c r="L699" s="5"/>
      <c r="M699" s="5"/>
      <c r="N699" s="5"/>
      <c r="O699" s="5"/>
      <c r="P699" s="5"/>
      <c r="Q699" s="5"/>
      <c r="X699" t="str">
        <f t="shared" si="21"/>
        <v/>
      </c>
    </row>
    <row r="700" spans="1:24">
      <c r="A700" s="4"/>
      <c r="B700" s="31"/>
      <c r="C700" s="11" t="e">
        <f t="shared" si="20"/>
        <v>#N/A</v>
      </c>
      <c r="D700" s="5"/>
      <c r="E700" s="5"/>
      <c r="F700" s="5"/>
      <c r="G700" s="5"/>
      <c r="H700" s="5"/>
      <c r="I700" s="5"/>
      <c r="J700" s="5"/>
      <c r="K700" s="5"/>
      <c r="L700" s="5"/>
      <c r="M700" s="5"/>
      <c r="N700" s="5"/>
      <c r="O700" s="5"/>
      <c r="P700" s="5"/>
      <c r="Q700" s="5"/>
      <c r="X700" t="str">
        <f t="shared" si="21"/>
        <v/>
      </c>
    </row>
    <row r="701" spans="1:24">
      <c r="A701" s="4"/>
      <c r="B701" s="31"/>
      <c r="C701" s="11" t="e">
        <f t="shared" si="20"/>
        <v>#N/A</v>
      </c>
      <c r="D701" s="5"/>
      <c r="E701" s="5"/>
      <c r="F701" s="5"/>
      <c r="G701" s="5"/>
      <c r="H701" s="5"/>
      <c r="I701" s="5"/>
      <c r="J701" s="5"/>
      <c r="K701" s="5"/>
      <c r="L701" s="5"/>
      <c r="M701" s="5"/>
      <c r="N701" s="5"/>
      <c r="O701" s="5"/>
      <c r="P701" s="5"/>
      <c r="Q701" s="5"/>
      <c r="X701" t="str">
        <f t="shared" si="21"/>
        <v/>
      </c>
    </row>
    <row r="702" spans="1:24">
      <c r="A702" s="4"/>
      <c r="B702" s="31"/>
      <c r="C702" s="11" t="e">
        <f t="shared" si="20"/>
        <v>#N/A</v>
      </c>
      <c r="D702" s="5"/>
      <c r="E702" s="5"/>
      <c r="F702" s="5"/>
      <c r="G702" s="5"/>
      <c r="H702" s="5"/>
      <c r="I702" s="5"/>
      <c r="J702" s="5"/>
      <c r="K702" s="5"/>
      <c r="L702" s="5"/>
      <c r="M702" s="5"/>
      <c r="N702" s="5"/>
      <c r="O702" s="5"/>
      <c r="P702" s="5"/>
      <c r="Q702" s="5"/>
      <c r="X702" t="str">
        <f t="shared" si="21"/>
        <v/>
      </c>
    </row>
    <row r="703" spans="1:24">
      <c r="A703" s="4"/>
      <c r="B703" s="31"/>
      <c r="C703" s="11" t="e">
        <f t="shared" si="20"/>
        <v>#N/A</v>
      </c>
      <c r="D703" s="5"/>
      <c r="E703" s="5"/>
      <c r="F703" s="5"/>
      <c r="G703" s="5"/>
      <c r="H703" s="5"/>
      <c r="I703" s="5"/>
      <c r="J703" s="5"/>
      <c r="K703" s="5"/>
      <c r="L703" s="5"/>
      <c r="M703" s="5"/>
      <c r="N703" s="5"/>
      <c r="O703" s="5"/>
      <c r="P703" s="5"/>
      <c r="Q703" s="5"/>
      <c r="X703" t="str">
        <f t="shared" si="21"/>
        <v/>
      </c>
    </row>
    <row r="704" spans="1:24">
      <c r="A704" s="4"/>
      <c r="B704" s="31"/>
      <c r="C704" s="11" t="e">
        <f t="shared" si="20"/>
        <v>#N/A</v>
      </c>
      <c r="D704" s="5"/>
      <c r="E704" s="5"/>
      <c r="F704" s="5"/>
      <c r="G704" s="5"/>
      <c r="H704" s="5"/>
      <c r="I704" s="5"/>
      <c r="J704" s="5"/>
      <c r="K704" s="5"/>
      <c r="L704" s="5"/>
      <c r="M704" s="5"/>
      <c r="N704" s="5"/>
      <c r="O704" s="5"/>
      <c r="P704" s="5"/>
      <c r="Q704" s="5"/>
      <c r="X704" t="str">
        <f t="shared" si="21"/>
        <v/>
      </c>
    </row>
    <row r="705" spans="1:24">
      <c r="A705" s="4"/>
      <c r="B705" s="31"/>
      <c r="C705" s="11" t="e">
        <f t="shared" si="20"/>
        <v>#N/A</v>
      </c>
      <c r="D705" s="5"/>
      <c r="E705" s="5"/>
      <c r="F705" s="5"/>
      <c r="G705" s="5"/>
      <c r="H705" s="5"/>
      <c r="I705" s="5"/>
      <c r="J705" s="5"/>
      <c r="K705" s="5"/>
      <c r="L705" s="5"/>
      <c r="M705" s="5"/>
      <c r="N705" s="5"/>
      <c r="O705" s="5"/>
      <c r="P705" s="5"/>
      <c r="Q705" s="5"/>
      <c r="X705" t="str">
        <f t="shared" si="21"/>
        <v/>
      </c>
    </row>
    <row r="706" spans="1:24">
      <c r="A706" s="4"/>
      <c r="B706" s="31"/>
      <c r="C706" s="11" t="e">
        <f t="shared" si="20"/>
        <v>#N/A</v>
      </c>
      <c r="D706" s="5"/>
      <c r="E706" s="5"/>
      <c r="F706" s="5"/>
      <c r="G706" s="5"/>
      <c r="H706" s="5"/>
      <c r="I706" s="5"/>
      <c r="J706" s="5"/>
      <c r="K706" s="5"/>
      <c r="L706" s="5"/>
      <c r="M706" s="5"/>
      <c r="N706" s="5"/>
      <c r="O706" s="5"/>
      <c r="P706" s="5"/>
      <c r="Q706" s="5"/>
      <c r="X706" t="str">
        <f t="shared" si="21"/>
        <v/>
      </c>
    </row>
    <row r="707" spans="1:24">
      <c r="A707" s="4"/>
      <c r="B707" s="31"/>
      <c r="C707" s="11" t="e">
        <f t="shared" ref="C707:C770" si="22">IF(OR(ISBLANK(A707),ISBLANK(B707)),NA(),A707-B707)</f>
        <v>#N/A</v>
      </c>
      <c r="D707" s="5"/>
      <c r="E707" s="5"/>
      <c r="F707" s="5"/>
      <c r="G707" s="5"/>
      <c r="H707" s="5"/>
      <c r="I707" s="5"/>
      <c r="J707" s="5"/>
      <c r="K707" s="5"/>
      <c r="L707" s="5"/>
      <c r="M707" s="5"/>
      <c r="N707" s="5"/>
      <c r="O707" s="5"/>
      <c r="P707" s="5"/>
      <c r="Q707" s="5"/>
      <c r="X707" t="str">
        <f t="shared" ref="X707:X770" si="23">IFERROR(C707,"")</f>
        <v/>
      </c>
    </row>
    <row r="708" spans="1:24">
      <c r="A708" s="4"/>
      <c r="B708" s="31"/>
      <c r="C708" s="11" t="e">
        <f t="shared" si="22"/>
        <v>#N/A</v>
      </c>
      <c r="D708" s="5"/>
      <c r="E708" s="5"/>
      <c r="F708" s="5"/>
      <c r="G708" s="5"/>
      <c r="H708" s="5"/>
      <c r="I708" s="5"/>
      <c r="J708" s="5"/>
      <c r="K708" s="5"/>
      <c r="L708" s="5"/>
      <c r="M708" s="5"/>
      <c r="N708" s="5"/>
      <c r="O708" s="5"/>
      <c r="P708" s="5"/>
      <c r="Q708" s="5"/>
      <c r="X708" t="str">
        <f t="shared" si="23"/>
        <v/>
      </c>
    </row>
    <row r="709" spans="1:24">
      <c r="A709" s="4"/>
      <c r="B709" s="31"/>
      <c r="C709" s="11" t="e">
        <f t="shared" si="22"/>
        <v>#N/A</v>
      </c>
      <c r="D709" s="5"/>
      <c r="E709" s="5"/>
      <c r="F709" s="5"/>
      <c r="G709" s="5"/>
      <c r="H709" s="5"/>
      <c r="I709" s="5"/>
      <c r="J709" s="5"/>
      <c r="K709" s="5"/>
      <c r="L709" s="5"/>
      <c r="M709" s="5"/>
      <c r="N709" s="5"/>
      <c r="O709" s="5"/>
      <c r="P709" s="5"/>
      <c r="Q709" s="5"/>
      <c r="X709" t="str">
        <f t="shared" si="23"/>
        <v/>
      </c>
    </row>
    <row r="710" spans="1:24">
      <c r="A710" s="4"/>
      <c r="B710" s="31"/>
      <c r="C710" s="11" t="e">
        <f t="shared" si="22"/>
        <v>#N/A</v>
      </c>
      <c r="D710" s="5"/>
      <c r="E710" s="5"/>
      <c r="F710" s="5"/>
      <c r="G710" s="5"/>
      <c r="H710" s="5"/>
      <c r="I710" s="5"/>
      <c r="J710" s="5"/>
      <c r="K710" s="5"/>
      <c r="L710" s="5"/>
      <c r="M710" s="5"/>
      <c r="N710" s="5"/>
      <c r="O710" s="5"/>
      <c r="P710" s="5"/>
      <c r="Q710" s="5"/>
      <c r="X710" t="str">
        <f t="shared" si="23"/>
        <v/>
      </c>
    </row>
    <row r="711" spans="1:24">
      <c r="A711" s="4"/>
      <c r="B711" s="31"/>
      <c r="C711" s="11" t="e">
        <f t="shared" si="22"/>
        <v>#N/A</v>
      </c>
      <c r="D711" s="5"/>
      <c r="E711" s="5"/>
      <c r="F711" s="5"/>
      <c r="G711" s="5"/>
      <c r="H711" s="5"/>
      <c r="I711" s="5"/>
      <c r="J711" s="5"/>
      <c r="K711" s="5"/>
      <c r="L711" s="5"/>
      <c r="M711" s="5"/>
      <c r="N711" s="5"/>
      <c r="O711" s="5"/>
      <c r="P711" s="5"/>
      <c r="Q711" s="5"/>
      <c r="X711" t="str">
        <f t="shared" si="23"/>
        <v/>
      </c>
    </row>
    <row r="712" spans="1:24">
      <c r="A712" s="4"/>
      <c r="B712" s="31"/>
      <c r="C712" s="11" t="e">
        <f t="shared" si="22"/>
        <v>#N/A</v>
      </c>
      <c r="D712" s="5"/>
      <c r="E712" s="5"/>
      <c r="F712" s="5"/>
      <c r="G712" s="5"/>
      <c r="H712" s="5"/>
      <c r="I712" s="5"/>
      <c r="J712" s="5"/>
      <c r="K712" s="5"/>
      <c r="L712" s="5"/>
      <c r="M712" s="5"/>
      <c r="N712" s="5"/>
      <c r="O712" s="5"/>
      <c r="P712" s="5"/>
      <c r="Q712" s="5"/>
      <c r="X712" t="str">
        <f t="shared" si="23"/>
        <v/>
      </c>
    </row>
    <row r="713" spans="1:24">
      <c r="A713" s="4"/>
      <c r="B713" s="31"/>
      <c r="C713" s="11" t="e">
        <f t="shared" si="22"/>
        <v>#N/A</v>
      </c>
      <c r="D713" s="5"/>
      <c r="E713" s="5"/>
      <c r="F713" s="5"/>
      <c r="G713" s="5"/>
      <c r="H713" s="5"/>
      <c r="I713" s="5"/>
      <c r="J713" s="5"/>
      <c r="K713" s="5"/>
      <c r="L713" s="5"/>
      <c r="M713" s="5"/>
      <c r="N713" s="5"/>
      <c r="O713" s="5"/>
      <c r="P713" s="5"/>
      <c r="Q713" s="5"/>
      <c r="X713" t="str">
        <f t="shared" si="23"/>
        <v/>
      </c>
    </row>
    <row r="714" spans="1:24">
      <c r="A714" s="4"/>
      <c r="B714" s="31"/>
      <c r="C714" s="11" t="e">
        <f t="shared" si="22"/>
        <v>#N/A</v>
      </c>
      <c r="D714" s="5"/>
      <c r="E714" s="5"/>
      <c r="F714" s="5"/>
      <c r="G714" s="5"/>
      <c r="H714" s="5"/>
      <c r="I714" s="5"/>
      <c r="J714" s="5"/>
      <c r="K714" s="5"/>
      <c r="L714" s="5"/>
      <c r="M714" s="5"/>
      <c r="N714" s="5"/>
      <c r="O714" s="5"/>
      <c r="P714" s="5"/>
      <c r="Q714" s="5"/>
      <c r="X714" t="str">
        <f t="shared" si="23"/>
        <v/>
      </c>
    </row>
    <row r="715" spans="1:24">
      <c r="A715" s="4"/>
      <c r="B715" s="31"/>
      <c r="C715" s="11" t="e">
        <f t="shared" si="22"/>
        <v>#N/A</v>
      </c>
      <c r="D715" s="5"/>
      <c r="E715" s="5"/>
      <c r="F715" s="5"/>
      <c r="G715" s="5"/>
      <c r="H715" s="5"/>
      <c r="I715" s="5"/>
      <c r="J715" s="5"/>
      <c r="K715" s="5"/>
      <c r="L715" s="5"/>
      <c r="M715" s="5"/>
      <c r="N715" s="5"/>
      <c r="O715" s="5"/>
      <c r="P715" s="5"/>
      <c r="Q715" s="5"/>
      <c r="X715" t="str">
        <f t="shared" si="23"/>
        <v/>
      </c>
    </row>
    <row r="716" spans="1:24">
      <c r="A716" s="4"/>
      <c r="B716" s="31"/>
      <c r="C716" s="11" t="e">
        <f t="shared" si="22"/>
        <v>#N/A</v>
      </c>
      <c r="D716" s="5"/>
      <c r="E716" s="5"/>
      <c r="F716" s="5"/>
      <c r="G716" s="5"/>
      <c r="H716" s="5"/>
      <c r="I716" s="5"/>
      <c r="J716" s="5"/>
      <c r="K716" s="5"/>
      <c r="L716" s="5"/>
      <c r="M716" s="5"/>
      <c r="N716" s="5"/>
      <c r="O716" s="5"/>
      <c r="P716" s="5"/>
      <c r="Q716" s="5"/>
      <c r="X716" t="str">
        <f t="shared" si="23"/>
        <v/>
      </c>
    </row>
    <row r="717" spans="1:24">
      <c r="A717" s="4"/>
      <c r="B717" s="31"/>
      <c r="C717" s="11" t="e">
        <f t="shared" si="22"/>
        <v>#N/A</v>
      </c>
      <c r="D717" s="5"/>
      <c r="E717" s="5"/>
      <c r="F717" s="5"/>
      <c r="G717" s="5"/>
      <c r="H717" s="5"/>
      <c r="I717" s="5"/>
      <c r="J717" s="5"/>
      <c r="K717" s="5"/>
      <c r="L717" s="5"/>
      <c r="M717" s="5"/>
      <c r="N717" s="5"/>
      <c r="O717" s="5"/>
      <c r="P717" s="5"/>
      <c r="Q717" s="5"/>
      <c r="X717" t="str">
        <f t="shared" si="23"/>
        <v/>
      </c>
    </row>
    <row r="718" spans="1:24">
      <c r="A718" s="4"/>
      <c r="B718" s="31"/>
      <c r="C718" s="11" t="e">
        <f t="shared" si="22"/>
        <v>#N/A</v>
      </c>
      <c r="D718" s="5"/>
      <c r="E718" s="5"/>
      <c r="F718" s="5"/>
      <c r="G718" s="5"/>
      <c r="H718" s="5"/>
      <c r="I718" s="5"/>
      <c r="J718" s="5"/>
      <c r="K718" s="5"/>
      <c r="L718" s="5"/>
      <c r="M718" s="5"/>
      <c r="N718" s="5"/>
      <c r="O718" s="5"/>
      <c r="P718" s="5"/>
      <c r="Q718" s="5"/>
      <c r="X718" t="str">
        <f t="shared" si="23"/>
        <v/>
      </c>
    </row>
    <row r="719" spans="1:24">
      <c r="A719" s="4"/>
      <c r="B719" s="31"/>
      <c r="C719" s="11" t="e">
        <f t="shared" si="22"/>
        <v>#N/A</v>
      </c>
      <c r="D719" s="5"/>
      <c r="E719" s="5"/>
      <c r="F719" s="5"/>
      <c r="G719" s="5"/>
      <c r="H719" s="5"/>
      <c r="I719" s="5"/>
      <c r="J719" s="5"/>
      <c r="K719" s="5"/>
      <c r="L719" s="5"/>
      <c r="M719" s="5"/>
      <c r="N719" s="5"/>
      <c r="O719" s="5"/>
      <c r="P719" s="5"/>
      <c r="Q719" s="5"/>
      <c r="X719" t="str">
        <f t="shared" si="23"/>
        <v/>
      </c>
    </row>
    <row r="720" spans="1:24">
      <c r="A720" s="4"/>
      <c r="B720" s="31"/>
      <c r="C720" s="11" t="e">
        <f t="shared" si="22"/>
        <v>#N/A</v>
      </c>
      <c r="D720" s="5"/>
      <c r="E720" s="5"/>
      <c r="F720" s="5"/>
      <c r="G720" s="5"/>
      <c r="H720" s="5"/>
      <c r="I720" s="5"/>
      <c r="J720" s="5"/>
      <c r="K720" s="5"/>
      <c r="L720" s="5"/>
      <c r="M720" s="5"/>
      <c r="N720" s="5"/>
      <c r="O720" s="5"/>
      <c r="P720" s="5"/>
      <c r="Q720" s="5"/>
      <c r="X720" t="str">
        <f t="shared" si="23"/>
        <v/>
      </c>
    </row>
    <row r="721" spans="1:24">
      <c r="A721" s="4"/>
      <c r="B721" s="31"/>
      <c r="C721" s="11" t="e">
        <f t="shared" si="22"/>
        <v>#N/A</v>
      </c>
      <c r="D721" s="5"/>
      <c r="E721" s="5"/>
      <c r="F721" s="5"/>
      <c r="G721" s="5"/>
      <c r="H721" s="5"/>
      <c r="I721" s="5"/>
      <c r="J721" s="5"/>
      <c r="K721" s="5"/>
      <c r="L721" s="5"/>
      <c r="M721" s="5"/>
      <c r="N721" s="5"/>
      <c r="O721" s="5"/>
      <c r="P721" s="5"/>
      <c r="Q721" s="5"/>
      <c r="X721" t="str">
        <f t="shared" si="23"/>
        <v/>
      </c>
    </row>
    <row r="722" spans="1:24">
      <c r="A722" s="4"/>
      <c r="B722" s="31"/>
      <c r="C722" s="11" t="e">
        <f t="shared" si="22"/>
        <v>#N/A</v>
      </c>
      <c r="D722" s="5"/>
      <c r="E722" s="5"/>
      <c r="F722" s="5"/>
      <c r="G722" s="5"/>
      <c r="H722" s="5"/>
      <c r="I722" s="5"/>
      <c r="J722" s="5"/>
      <c r="K722" s="5"/>
      <c r="L722" s="5"/>
      <c r="M722" s="5"/>
      <c r="N722" s="5"/>
      <c r="O722" s="5"/>
      <c r="P722" s="5"/>
      <c r="Q722" s="5"/>
      <c r="X722" t="str">
        <f t="shared" si="23"/>
        <v/>
      </c>
    </row>
    <row r="723" spans="1:24">
      <c r="A723" s="4"/>
      <c r="B723" s="31"/>
      <c r="C723" s="11" t="e">
        <f t="shared" si="22"/>
        <v>#N/A</v>
      </c>
      <c r="D723" s="5"/>
      <c r="E723" s="5"/>
      <c r="F723" s="5"/>
      <c r="G723" s="5"/>
      <c r="H723" s="5"/>
      <c r="I723" s="5"/>
      <c r="J723" s="5"/>
      <c r="K723" s="5"/>
      <c r="L723" s="5"/>
      <c r="M723" s="5"/>
      <c r="N723" s="5"/>
      <c r="O723" s="5"/>
      <c r="P723" s="5"/>
      <c r="Q723" s="5"/>
      <c r="X723" t="str">
        <f t="shared" si="23"/>
        <v/>
      </c>
    </row>
    <row r="724" spans="1:24">
      <c r="A724" s="4"/>
      <c r="B724" s="31"/>
      <c r="C724" s="11" t="e">
        <f t="shared" si="22"/>
        <v>#N/A</v>
      </c>
      <c r="D724" s="5"/>
      <c r="E724" s="5"/>
      <c r="F724" s="5"/>
      <c r="G724" s="5"/>
      <c r="H724" s="5"/>
      <c r="I724" s="5"/>
      <c r="J724" s="5"/>
      <c r="K724" s="5"/>
      <c r="L724" s="5"/>
      <c r="M724" s="5"/>
      <c r="N724" s="5"/>
      <c r="O724" s="5"/>
      <c r="P724" s="5"/>
      <c r="Q724" s="5"/>
      <c r="X724" t="str">
        <f t="shared" si="23"/>
        <v/>
      </c>
    </row>
    <row r="725" spans="1:24">
      <c r="A725" s="4"/>
      <c r="B725" s="31"/>
      <c r="C725" s="11" t="e">
        <f t="shared" si="22"/>
        <v>#N/A</v>
      </c>
      <c r="D725" s="5"/>
      <c r="E725" s="5"/>
      <c r="F725" s="5"/>
      <c r="G725" s="5"/>
      <c r="H725" s="5"/>
      <c r="I725" s="5"/>
      <c r="J725" s="5"/>
      <c r="K725" s="5"/>
      <c r="L725" s="5"/>
      <c r="M725" s="5"/>
      <c r="N725" s="5"/>
      <c r="O725" s="5"/>
      <c r="P725" s="5"/>
      <c r="Q725" s="5"/>
      <c r="X725" t="str">
        <f t="shared" si="23"/>
        <v/>
      </c>
    </row>
    <row r="726" spans="1:24">
      <c r="A726" s="4"/>
      <c r="B726" s="31"/>
      <c r="C726" s="11" t="e">
        <f t="shared" si="22"/>
        <v>#N/A</v>
      </c>
      <c r="D726" s="5"/>
      <c r="E726" s="5"/>
      <c r="F726" s="5"/>
      <c r="G726" s="5"/>
      <c r="H726" s="5"/>
      <c r="I726" s="5"/>
      <c r="J726" s="5"/>
      <c r="K726" s="5"/>
      <c r="L726" s="5"/>
      <c r="M726" s="5"/>
      <c r="N726" s="5"/>
      <c r="O726" s="5"/>
      <c r="P726" s="5"/>
      <c r="Q726" s="5"/>
      <c r="X726" t="str">
        <f t="shared" si="23"/>
        <v/>
      </c>
    </row>
    <row r="727" spans="1:24">
      <c r="A727" s="4"/>
      <c r="B727" s="31"/>
      <c r="C727" s="11" t="e">
        <f t="shared" si="22"/>
        <v>#N/A</v>
      </c>
      <c r="D727" s="5"/>
      <c r="E727" s="5"/>
      <c r="F727" s="5"/>
      <c r="G727" s="5"/>
      <c r="H727" s="5"/>
      <c r="I727" s="5"/>
      <c r="J727" s="5"/>
      <c r="K727" s="5"/>
      <c r="L727" s="5"/>
      <c r="M727" s="5"/>
      <c r="N727" s="5"/>
      <c r="O727" s="5"/>
      <c r="P727" s="5"/>
      <c r="Q727" s="5"/>
      <c r="X727" t="str">
        <f t="shared" si="23"/>
        <v/>
      </c>
    </row>
    <row r="728" spans="1:24">
      <c r="A728" s="4"/>
      <c r="B728" s="31"/>
      <c r="C728" s="11" t="e">
        <f t="shared" si="22"/>
        <v>#N/A</v>
      </c>
      <c r="D728" s="5"/>
      <c r="E728" s="5"/>
      <c r="F728" s="5"/>
      <c r="G728" s="5"/>
      <c r="H728" s="5"/>
      <c r="I728" s="5"/>
      <c r="J728" s="5"/>
      <c r="K728" s="5"/>
      <c r="L728" s="5"/>
      <c r="M728" s="5"/>
      <c r="N728" s="5"/>
      <c r="O728" s="5"/>
      <c r="P728" s="5"/>
      <c r="Q728" s="5"/>
      <c r="X728" t="str">
        <f t="shared" si="23"/>
        <v/>
      </c>
    </row>
    <row r="729" spans="1:24">
      <c r="A729" s="4"/>
      <c r="B729" s="31"/>
      <c r="C729" s="11" t="e">
        <f t="shared" si="22"/>
        <v>#N/A</v>
      </c>
      <c r="D729" s="5"/>
      <c r="E729" s="5"/>
      <c r="F729" s="5"/>
      <c r="G729" s="5"/>
      <c r="H729" s="5"/>
      <c r="I729" s="5"/>
      <c r="J729" s="5"/>
      <c r="K729" s="5"/>
      <c r="L729" s="5"/>
      <c r="M729" s="5"/>
      <c r="N729" s="5"/>
      <c r="O729" s="5"/>
      <c r="P729" s="5"/>
      <c r="Q729" s="5"/>
      <c r="X729" t="str">
        <f t="shared" si="23"/>
        <v/>
      </c>
    </row>
    <row r="730" spans="1:24">
      <c r="A730" s="4"/>
      <c r="B730" s="31"/>
      <c r="C730" s="11" t="e">
        <f t="shared" si="22"/>
        <v>#N/A</v>
      </c>
      <c r="D730" s="5"/>
      <c r="E730" s="5"/>
      <c r="F730" s="5"/>
      <c r="G730" s="5"/>
      <c r="H730" s="5"/>
      <c r="I730" s="5"/>
      <c r="J730" s="5"/>
      <c r="K730" s="5"/>
      <c r="L730" s="5"/>
      <c r="M730" s="5"/>
      <c r="N730" s="5"/>
      <c r="O730" s="5"/>
      <c r="P730" s="5"/>
      <c r="Q730" s="5"/>
      <c r="X730" t="str">
        <f t="shared" si="23"/>
        <v/>
      </c>
    </row>
    <row r="731" spans="1:24">
      <c r="A731" s="4"/>
      <c r="B731" s="31"/>
      <c r="C731" s="11" t="e">
        <f t="shared" si="22"/>
        <v>#N/A</v>
      </c>
      <c r="D731" s="5"/>
      <c r="E731" s="5"/>
      <c r="F731" s="5"/>
      <c r="G731" s="5"/>
      <c r="H731" s="5"/>
      <c r="I731" s="5"/>
      <c r="J731" s="5"/>
      <c r="K731" s="5"/>
      <c r="L731" s="5"/>
      <c r="M731" s="5"/>
      <c r="N731" s="5"/>
      <c r="O731" s="5"/>
      <c r="P731" s="5"/>
      <c r="Q731" s="5"/>
      <c r="X731" t="str">
        <f t="shared" si="23"/>
        <v/>
      </c>
    </row>
    <row r="732" spans="1:24">
      <c r="A732" s="4"/>
      <c r="B732" s="31"/>
      <c r="C732" s="11" t="e">
        <f t="shared" si="22"/>
        <v>#N/A</v>
      </c>
      <c r="D732" s="5"/>
      <c r="E732" s="5"/>
      <c r="F732" s="5"/>
      <c r="G732" s="5"/>
      <c r="H732" s="5"/>
      <c r="I732" s="5"/>
      <c r="J732" s="5"/>
      <c r="K732" s="5"/>
      <c r="L732" s="5"/>
      <c r="M732" s="5"/>
      <c r="N732" s="5"/>
      <c r="O732" s="5"/>
      <c r="P732" s="5"/>
      <c r="Q732" s="5"/>
      <c r="X732" t="str">
        <f t="shared" si="23"/>
        <v/>
      </c>
    </row>
    <row r="733" spans="1:24">
      <c r="A733" s="4"/>
      <c r="B733" s="31"/>
      <c r="C733" s="11" t="e">
        <f t="shared" si="22"/>
        <v>#N/A</v>
      </c>
      <c r="D733" s="5"/>
      <c r="E733" s="5"/>
      <c r="F733" s="5"/>
      <c r="G733" s="5"/>
      <c r="H733" s="5"/>
      <c r="I733" s="5"/>
      <c r="J733" s="5"/>
      <c r="K733" s="5"/>
      <c r="L733" s="5"/>
      <c r="M733" s="5"/>
      <c r="N733" s="5"/>
      <c r="O733" s="5"/>
      <c r="P733" s="5"/>
      <c r="Q733" s="5"/>
      <c r="X733" t="str">
        <f t="shared" si="23"/>
        <v/>
      </c>
    </row>
    <row r="734" spans="1:24">
      <c r="A734" s="4"/>
      <c r="B734" s="31"/>
      <c r="C734" s="11" t="e">
        <f t="shared" si="22"/>
        <v>#N/A</v>
      </c>
      <c r="D734" s="5"/>
      <c r="E734" s="5"/>
      <c r="F734" s="5"/>
      <c r="G734" s="5"/>
      <c r="H734" s="5"/>
      <c r="I734" s="5"/>
      <c r="J734" s="5"/>
      <c r="K734" s="5"/>
      <c r="L734" s="5"/>
      <c r="M734" s="5"/>
      <c r="N734" s="5"/>
      <c r="O734" s="5"/>
      <c r="P734" s="5"/>
      <c r="Q734" s="5"/>
      <c r="X734" t="str">
        <f t="shared" si="23"/>
        <v/>
      </c>
    </row>
    <row r="735" spans="1:24">
      <c r="A735" s="4"/>
      <c r="B735" s="31"/>
      <c r="C735" s="11" t="e">
        <f t="shared" si="22"/>
        <v>#N/A</v>
      </c>
      <c r="D735" s="5"/>
      <c r="E735" s="5"/>
      <c r="F735" s="5"/>
      <c r="G735" s="5"/>
      <c r="H735" s="5"/>
      <c r="I735" s="5"/>
      <c r="J735" s="5"/>
      <c r="K735" s="5"/>
      <c r="L735" s="5"/>
      <c r="M735" s="5"/>
      <c r="N735" s="5"/>
      <c r="O735" s="5"/>
      <c r="P735" s="5"/>
      <c r="Q735" s="5"/>
      <c r="X735" t="str">
        <f t="shared" si="23"/>
        <v/>
      </c>
    </row>
    <row r="736" spans="1:24">
      <c r="A736" s="4"/>
      <c r="B736" s="31"/>
      <c r="C736" s="11" t="e">
        <f t="shared" si="22"/>
        <v>#N/A</v>
      </c>
      <c r="D736" s="5"/>
      <c r="E736" s="5"/>
      <c r="F736" s="5"/>
      <c r="G736" s="5"/>
      <c r="H736" s="5"/>
      <c r="I736" s="5"/>
      <c r="J736" s="5"/>
      <c r="K736" s="5"/>
      <c r="L736" s="5"/>
      <c r="M736" s="5"/>
      <c r="N736" s="5"/>
      <c r="O736" s="5"/>
      <c r="P736" s="5"/>
      <c r="Q736" s="5"/>
      <c r="X736" t="str">
        <f t="shared" si="23"/>
        <v/>
      </c>
    </row>
    <row r="737" spans="1:24">
      <c r="A737" s="4"/>
      <c r="B737" s="31"/>
      <c r="C737" s="11" t="e">
        <f t="shared" si="22"/>
        <v>#N/A</v>
      </c>
      <c r="D737" s="5"/>
      <c r="E737" s="5"/>
      <c r="F737" s="5"/>
      <c r="G737" s="5"/>
      <c r="H737" s="5"/>
      <c r="I737" s="5"/>
      <c r="J737" s="5"/>
      <c r="K737" s="5"/>
      <c r="L737" s="5"/>
      <c r="M737" s="5"/>
      <c r="N737" s="5"/>
      <c r="O737" s="5"/>
      <c r="P737" s="5"/>
      <c r="Q737" s="5"/>
      <c r="X737" t="str">
        <f t="shared" si="23"/>
        <v/>
      </c>
    </row>
    <row r="738" spans="1:24">
      <c r="A738" s="4"/>
      <c r="B738" s="31"/>
      <c r="C738" s="11" t="e">
        <f t="shared" si="22"/>
        <v>#N/A</v>
      </c>
      <c r="D738" s="5"/>
      <c r="E738" s="5"/>
      <c r="F738" s="5"/>
      <c r="G738" s="5"/>
      <c r="H738" s="5"/>
      <c r="I738" s="5"/>
      <c r="J738" s="5"/>
      <c r="K738" s="5"/>
      <c r="L738" s="5"/>
      <c r="M738" s="5"/>
      <c r="N738" s="5"/>
      <c r="O738" s="5"/>
      <c r="P738" s="5"/>
      <c r="Q738" s="5"/>
      <c r="X738" t="str">
        <f t="shared" si="23"/>
        <v/>
      </c>
    </row>
    <row r="739" spans="1:24">
      <c r="A739" s="4"/>
      <c r="B739" s="31"/>
      <c r="C739" s="11" t="e">
        <f t="shared" si="22"/>
        <v>#N/A</v>
      </c>
      <c r="D739" s="5"/>
      <c r="E739" s="5"/>
      <c r="F739" s="5"/>
      <c r="G739" s="5"/>
      <c r="H739" s="5"/>
      <c r="I739" s="5"/>
      <c r="J739" s="5"/>
      <c r="K739" s="5"/>
      <c r="L739" s="5"/>
      <c r="M739" s="5"/>
      <c r="N739" s="5"/>
      <c r="O739" s="5"/>
      <c r="P739" s="5"/>
      <c r="Q739" s="5"/>
      <c r="X739" t="str">
        <f t="shared" si="23"/>
        <v/>
      </c>
    </row>
    <row r="740" spans="1:24">
      <c r="A740" s="4"/>
      <c r="B740" s="31"/>
      <c r="C740" s="11" t="e">
        <f t="shared" si="22"/>
        <v>#N/A</v>
      </c>
      <c r="D740" s="5"/>
      <c r="E740" s="5"/>
      <c r="F740" s="5"/>
      <c r="G740" s="5"/>
      <c r="H740" s="5"/>
      <c r="I740" s="5"/>
      <c r="J740" s="5"/>
      <c r="K740" s="5"/>
      <c r="L740" s="5"/>
      <c r="M740" s="5"/>
      <c r="N740" s="5"/>
      <c r="O740" s="5"/>
      <c r="P740" s="5"/>
      <c r="Q740" s="5"/>
      <c r="X740" t="str">
        <f t="shared" si="23"/>
        <v/>
      </c>
    </row>
    <row r="741" spans="1:24">
      <c r="A741" s="4"/>
      <c r="B741" s="31"/>
      <c r="C741" s="11" t="e">
        <f t="shared" si="22"/>
        <v>#N/A</v>
      </c>
      <c r="D741" s="5"/>
      <c r="E741" s="5"/>
      <c r="F741" s="5"/>
      <c r="G741" s="5"/>
      <c r="H741" s="5"/>
      <c r="I741" s="5"/>
      <c r="J741" s="5"/>
      <c r="K741" s="5"/>
      <c r="L741" s="5"/>
      <c r="M741" s="5"/>
      <c r="N741" s="5"/>
      <c r="O741" s="5"/>
      <c r="P741" s="5"/>
      <c r="Q741" s="5"/>
      <c r="X741" t="str">
        <f t="shared" si="23"/>
        <v/>
      </c>
    </row>
    <row r="742" spans="1:24">
      <c r="A742" s="4"/>
      <c r="B742" s="31"/>
      <c r="C742" s="11" t="e">
        <f t="shared" si="22"/>
        <v>#N/A</v>
      </c>
      <c r="D742" s="5"/>
      <c r="E742" s="5"/>
      <c r="F742" s="5"/>
      <c r="G742" s="5"/>
      <c r="H742" s="5"/>
      <c r="I742" s="5"/>
      <c r="J742" s="5"/>
      <c r="K742" s="5"/>
      <c r="L742" s="5"/>
      <c r="M742" s="5"/>
      <c r="N742" s="5"/>
      <c r="O742" s="5"/>
      <c r="P742" s="5"/>
      <c r="Q742" s="5"/>
      <c r="X742" t="str">
        <f t="shared" si="23"/>
        <v/>
      </c>
    </row>
    <row r="743" spans="1:24">
      <c r="A743" s="4"/>
      <c r="B743" s="31"/>
      <c r="C743" s="11" t="e">
        <f t="shared" si="22"/>
        <v>#N/A</v>
      </c>
      <c r="D743" s="5"/>
      <c r="E743" s="5"/>
      <c r="F743" s="5"/>
      <c r="G743" s="5"/>
      <c r="H743" s="5"/>
      <c r="I743" s="5"/>
      <c r="J743" s="5"/>
      <c r="K743" s="5"/>
      <c r="L743" s="5"/>
      <c r="M743" s="5"/>
      <c r="N743" s="5"/>
      <c r="O743" s="5"/>
      <c r="P743" s="5"/>
      <c r="Q743" s="5"/>
      <c r="X743" t="str">
        <f t="shared" si="23"/>
        <v/>
      </c>
    </row>
    <row r="744" spans="1:24">
      <c r="A744" s="4"/>
      <c r="B744" s="31"/>
      <c r="C744" s="11" t="e">
        <f t="shared" si="22"/>
        <v>#N/A</v>
      </c>
      <c r="D744" s="5"/>
      <c r="E744" s="5"/>
      <c r="F744" s="5"/>
      <c r="G744" s="5"/>
      <c r="H744" s="5"/>
      <c r="I744" s="5"/>
      <c r="J744" s="5"/>
      <c r="K744" s="5"/>
      <c r="L744" s="5"/>
      <c r="M744" s="5"/>
      <c r="N744" s="5"/>
      <c r="O744" s="5"/>
      <c r="P744" s="5"/>
      <c r="Q744" s="5"/>
      <c r="X744" t="str">
        <f t="shared" si="23"/>
        <v/>
      </c>
    </row>
    <row r="745" spans="1:24">
      <c r="A745" s="4"/>
      <c r="B745" s="31"/>
      <c r="C745" s="11" t="e">
        <f t="shared" si="22"/>
        <v>#N/A</v>
      </c>
      <c r="D745" s="5"/>
      <c r="E745" s="5"/>
      <c r="F745" s="5"/>
      <c r="G745" s="5"/>
      <c r="H745" s="5"/>
      <c r="I745" s="5"/>
      <c r="J745" s="5"/>
      <c r="K745" s="5"/>
      <c r="L745" s="5"/>
      <c r="M745" s="5"/>
      <c r="N745" s="5"/>
      <c r="O745" s="5"/>
      <c r="P745" s="5"/>
      <c r="Q745" s="5"/>
      <c r="X745" t="str">
        <f t="shared" si="23"/>
        <v/>
      </c>
    </row>
    <row r="746" spans="1:24">
      <c r="A746" s="4"/>
      <c r="B746" s="31"/>
      <c r="C746" s="11" t="e">
        <f t="shared" si="22"/>
        <v>#N/A</v>
      </c>
      <c r="D746" s="5"/>
      <c r="E746" s="5"/>
      <c r="F746" s="5"/>
      <c r="G746" s="5"/>
      <c r="H746" s="5"/>
      <c r="I746" s="5"/>
      <c r="J746" s="5"/>
      <c r="K746" s="5"/>
      <c r="L746" s="5"/>
      <c r="M746" s="5"/>
      <c r="N746" s="5"/>
      <c r="O746" s="5"/>
      <c r="P746" s="5"/>
      <c r="Q746" s="5"/>
      <c r="X746" t="str">
        <f t="shared" si="23"/>
        <v/>
      </c>
    </row>
    <row r="747" spans="1:24">
      <c r="A747" s="4"/>
      <c r="B747" s="31"/>
      <c r="C747" s="11" t="e">
        <f t="shared" si="22"/>
        <v>#N/A</v>
      </c>
      <c r="D747" s="5"/>
      <c r="E747" s="5"/>
      <c r="F747" s="5"/>
      <c r="G747" s="5"/>
      <c r="H747" s="5"/>
      <c r="I747" s="5"/>
      <c r="J747" s="5"/>
      <c r="K747" s="5"/>
      <c r="L747" s="5"/>
      <c r="M747" s="5"/>
      <c r="N747" s="5"/>
      <c r="O747" s="5"/>
      <c r="P747" s="5"/>
      <c r="Q747" s="5"/>
      <c r="X747" t="str">
        <f t="shared" si="23"/>
        <v/>
      </c>
    </row>
    <row r="748" spans="1:24">
      <c r="A748" s="4"/>
      <c r="B748" s="31"/>
      <c r="C748" s="11" t="e">
        <f t="shared" si="22"/>
        <v>#N/A</v>
      </c>
      <c r="D748" s="5"/>
      <c r="E748" s="5"/>
      <c r="F748" s="5"/>
      <c r="G748" s="5"/>
      <c r="H748" s="5"/>
      <c r="I748" s="5"/>
      <c r="J748" s="5"/>
      <c r="K748" s="5"/>
      <c r="L748" s="5"/>
      <c r="M748" s="5"/>
      <c r="N748" s="5"/>
      <c r="O748" s="5"/>
      <c r="P748" s="5"/>
      <c r="Q748" s="5"/>
      <c r="X748" t="str">
        <f t="shared" si="23"/>
        <v/>
      </c>
    </row>
    <row r="749" spans="1:24">
      <c r="A749" s="4"/>
      <c r="B749" s="31"/>
      <c r="C749" s="11" t="e">
        <f t="shared" si="22"/>
        <v>#N/A</v>
      </c>
      <c r="D749" s="5"/>
      <c r="E749" s="5"/>
      <c r="F749" s="5"/>
      <c r="G749" s="5"/>
      <c r="H749" s="5"/>
      <c r="I749" s="5"/>
      <c r="J749" s="5"/>
      <c r="K749" s="5"/>
      <c r="L749" s="5"/>
      <c r="M749" s="5"/>
      <c r="N749" s="5"/>
      <c r="O749" s="5"/>
      <c r="P749" s="5"/>
      <c r="Q749" s="5"/>
      <c r="X749" t="str">
        <f t="shared" si="23"/>
        <v/>
      </c>
    </row>
    <row r="750" spans="1:24">
      <c r="A750" s="4"/>
      <c r="B750" s="31"/>
      <c r="C750" s="11" t="e">
        <f t="shared" si="22"/>
        <v>#N/A</v>
      </c>
      <c r="D750" s="5"/>
      <c r="E750" s="5"/>
      <c r="F750" s="5"/>
      <c r="G750" s="5"/>
      <c r="H750" s="5"/>
      <c r="I750" s="5"/>
      <c r="J750" s="5"/>
      <c r="K750" s="5"/>
      <c r="L750" s="5"/>
      <c r="M750" s="5"/>
      <c r="N750" s="5"/>
      <c r="O750" s="5"/>
      <c r="P750" s="5"/>
      <c r="Q750" s="5"/>
      <c r="X750" t="str">
        <f t="shared" si="23"/>
        <v/>
      </c>
    </row>
    <row r="751" spans="1:24">
      <c r="A751" s="4"/>
      <c r="B751" s="31"/>
      <c r="C751" s="11" t="e">
        <f t="shared" si="22"/>
        <v>#N/A</v>
      </c>
      <c r="D751" s="5"/>
      <c r="E751" s="5"/>
      <c r="F751" s="5"/>
      <c r="G751" s="5"/>
      <c r="H751" s="5"/>
      <c r="I751" s="5"/>
      <c r="J751" s="5"/>
      <c r="K751" s="5"/>
      <c r="L751" s="5"/>
      <c r="M751" s="5"/>
      <c r="N751" s="5"/>
      <c r="O751" s="5"/>
      <c r="P751" s="5"/>
      <c r="Q751" s="5"/>
      <c r="X751" t="str">
        <f t="shared" si="23"/>
        <v/>
      </c>
    </row>
    <row r="752" spans="1:24">
      <c r="A752" s="4"/>
      <c r="B752" s="31"/>
      <c r="C752" s="11" t="e">
        <f t="shared" si="22"/>
        <v>#N/A</v>
      </c>
      <c r="D752" s="5"/>
      <c r="E752" s="5"/>
      <c r="F752" s="5"/>
      <c r="G752" s="5"/>
      <c r="H752" s="5"/>
      <c r="I752" s="5"/>
      <c r="J752" s="5"/>
      <c r="K752" s="5"/>
      <c r="L752" s="5"/>
      <c r="M752" s="5"/>
      <c r="N752" s="5"/>
      <c r="O752" s="5"/>
      <c r="P752" s="5"/>
      <c r="Q752" s="5"/>
      <c r="X752" t="str">
        <f t="shared" si="23"/>
        <v/>
      </c>
    </row>
    <row r="753" spans="1:24">
      <c r="A753" s="4"/>
      <c r="B753" s="31"/>
      <c r="C753" s="11" t="e">
        <f t="shared" si="22"/>
        <v>#N/A</v>
      </c>
      <c r="D753" s="5"/>
      <c r="E753" s="5"/>
      <c r="F753" s="5"/>
      <c r="G753" s="5"/>
      <c r="H753" s="5"/>
      <c r="I753" s="5"/>
      <c r="J753" s="5"/>
      <c r="K753" s="5"/>
      <c r="L753" s="5"/>
      <c r="M753" s="5"/>
      <c r="N753" s="5"/>
      <c r="O753" s="5"/>
      <c r="P753" s="5"/>
      <c r="Q753" s="5"/>
      <c r="X753" t="str">
        <f t="shared" si="23"/>
        <v/>
      </c>
    </row>
    <row r="754" spans="1:24">
      <c r="A754" s="4"/>
      <c r="B754" s="31"/>
      <c r="C754" s="11" t="e">
        <f t="shared" si="22"/>
        <v>#N/A</v>
      </c>
      <c r="D754" s="5"/>
      <c r="E754" s="5"/>
      <c r="F754" s="5"/>
      <c r="G754" s="5"/>
      <c r="H754" s="5"/>
      <c r="I754" s="5"/>
      <c r="J754" s="5"/>
      <c r="K754" s="5"/>
      <c r="L754" s="5"/>
      <c r="M754" s="5"/>
      <c r="N754" s="5"/>
      <c r="O754" s="5"/>
      <c r="P754" s="5"/>
      <c r="Q754" s="5"/>
      <c r="X754" t="str">
        <f t="shared" si="23"/>
        <v/>
      </c>
    </row>
    <row r="755" spans="1:24">
      <c r="A755" s="4"/>
      <c r="B755" s="31"/>
      <c r="C755" s="11" t="e">
        <f t="shared" si="22"/>
        <v>#N/A</v>
      </c>
      <c r="D755" s="5"/>
      <c r="E755" s="5"/>
      <c r="F755" s="5"/>
      <c r="G755" s="5"/>
      <c r="H755" s="5"/>
      <c r="I755" s="5"/>
      <c r="J755" s="5"/>
      <c r="K755" s="5"/>
      <c r="L755" s="5"/>
      <c r="M755" s="5"/>
      <c r="N755" s="5"/>
      <c r="O755" s="5"/>
      <c r="P755" s="5"/>
      <c r="Q755" s="5"/>
      <c r="X755" t="str">
        <f t="shared" si="23"/>
        <v/>
      </c>
    </row>
    <row r="756" spans="1:24">
      <c r="A756" s="4"/>
      <c r="B756" s="31"/>
      <c r="C756" s="11" t="e">
        <f t="shared" si="22"/>
        <v>#N/A</v>
      </c>
      <c r="D756" s="5"/>
      <c r="E756" s="5"/>
      <c r="F756" s="5"/>
      <c r="G756" s="5"/>
      <c r="H756" s="5"/>
      <c r="I756" s="5"/>
      <c r="J756" s="5"/>
      <c r="K756" s="5"/>
      <c r="L756" s="5"/>
      <c r="M756" s="5"/>
      <c r="N756" s="5"/>
      <c r="O756" s="5"/>
      <c r="P756" s="5"/>
      <c r="Q756" s="5"/>
      <c r="X756" t="str">
        <f t="shared" si="23"/>
        <v/>
      </c>
    </row>
    <row r="757" spans="1:24">
      <c r="A757" s="4"/>
      <c r="B757" s="31"/>
      <c r="C757" s="11" t="e">
        <f t="shared" si="22"/>
        <v>#N/A</v>
      </c>
      <c r="D757" s="5"/>
      <c r="E757" s="5"/>
      <c r="F757" s="5"/>
      <c r="G757" s="5"/>
      <c r="H757" s="5"/>
      <c r="I757" s="5"/>
      <c r="J757" s="5"/>
      <c r="K757" s="5"/>
      <c r="L757" s="5"/>
      <c r="M757" s="5"/>
      <c r="N757" s="5"/>
      <c r="O757" s="5"/>
      <c r="P757" s="5"/>
      <c r="Q757" s="5"/>
      <c r="X757" t="str">
        <f t="shared" si="23"/>
        <v/>
      </c>
    </row>
    <row r="758" spans="1:24">
      <c r="A758" s="4"/>
      <c r="B758" s="31"/>
      <c r="C758" s="11" t="e">
        <f t="shared" si="22"/>
        <v>#N/A</v>
      </c>
      <c r="D758" s="5"/>
      <c r="E758" s="5"/>
      <c r="F758" s="5"/>
      <c r="G758" s="5"/>
      <c r="H758" s="5"/>
      <c r="I758" s="5"/>
      <c r="J758" s="5"/>
      <c r="K758" s="5"/>
      <c r="L758" s="5"/>
      <c r="M758" s="5"/>
      <c r="N758" s="5"/>
      <c r="O758" s="5"/>
      <c r="P758" s="5"/>
      <c r="Q758" s="5"/>
      <c r="X758" t="str">
        <f t="shared" si="23"/>
        <v/>
      </c>
    </row>
    <row r="759" spans="1:24">
      <c r="A759" s="4"/>
      <c r="B759" s="31"/>
      <c r="C759" s="11" t="e">
        <f t="shared" si="22"/>
        <v>#N/A</v>
      </c>
      <c r="D759" s="5"/>
      <c r="E759" s="5"/>
      <c r="F759" s="5"/>
      <c r="G759" s="5"/>
      <c r="H759" s="5"/>
      <c r="I759" s="5"/>
      <c r="J759" s="5"/>
      <c r="K759" s="5"/>
      <c r="L759" s="5"/>
      <c r="M759" s="5"/>
      <c r="N759" s="5"/>
      <c r="O759" s="5"/>
      <c r="P759" s="5"/>
      <c r="Q759" s="5"/>
      <c r="X759" t="str">
        <f t="shared" si="23"/>
        <v/>
      </c>
    </row>
    <row r="760" spans="1:24">
      <c r="A760" s="4"/>
      <c r="B760" s="31"/>
      <c r="C760" s="11" t="e">
        <f t="shared" si="22"/>
        <v>#N/A</v>
      </c>
      <c r="D760" s="5"/>
      <c r="E760" s="5"/>
      <c r="F760" s="5"/>
      <c r="G760" s="5"/>
      <c r="H760" s="5"/>
      <c r="I760" s="5"/>
      <c r="J760" s="5"/>
      <c r="K760" s="5"/>
      <c r="L760" s="5"/>
      <c r="M760" s="5"/>
      <c r="N760" s="5"/>
      <c r="O760" s="5"/>
      <c r="P760" s="5"/>
      <c r="Q760" s="5"/>
      <c r="X760" t="str">
        <f t="shared" si="23"/>
        <v/>
      </c>
    </row>
    <row r="761" spans="1:24">
      <c r="A761" s="4"/>
      <c r="B761" s="31"/>
      <c r="C761" s="11" t="e">
        <f t="shared" si="22"/>
        <v>#N/A</v>
      </c>
      <c r="D761" s="5"/>
      <c r="E761" s="5"/>
      <c r="F761" s="5"/>
      <c r="G761" s="5"/>
      <c r="H761" s="5"/>
      <c r="I761" s="5"/>
      <c r="J761" s="5"/>
      <c r="K761" s="5"/>
      <c r="L761" s="5"/>
      <c r="M761" s="5"/>
      <c r="N761" s="5"/>
      <c r="O761" s="5"/>
      <c r="P761" s="5"/>
      <c r="Q761" s="5"/>
      <c r="X761" t="str">
        <f t="shared" si="23"/>
        <v/>
      </c>
    </row>
    <row r="762" spans="1:24">
      <c r="A762" s="4"/>
      <c r="B762" s="31"/>
      <c r="C762" s="11" t="e">
        <f t="shared" si="22"/>
        <v>#N/A</v>
      </c>
      <c r="D762" s="5"/>
      <c r="E762" s="5"/>
      <c r="F762" s="5"/>
      <c r="G762" s="5"/>
      <c r="H762" s="5"/>
      <c r="I762" s="5"/>
      <c r="J762" s="5"/>
      <c r="K762" s="5"/>
      <c r="L762" s="5"/>
      <c r="M762" s="5"/>
      <c r="N762" s="5"/>
      <c r="O762" s="5"/>
      <c r="P762" s="5"/>
      <c r="Q762" s="5"/>
      <c r="X762" t="str">
        <f t="shared" si="23"/>
        <v/>
      </c>
    </row>
    <row r="763" spans="1:24">
      <c r="A763" s="4"/>
      <c r="B763" s="31"/>
      <c r="C763" s="11" t="e">
        <f t="shared" si="22"/>
        <v>#N/A</v>
      </c>
      <c r="D763" s="5"/>
      <c r="E763" s="5"/>
      <c r="F763" s="5"/>
      <c r="G763" s="5"/>
      <c r="H763" s="5"/>
      <c r="I763" s="5"/>
      <c r="J763" s="5"/>
      <c r="K763" s="5"/>
      <c r="L763" s="5"/>
      <c r="M763" s="5"/>
      <c r="N763" s="5"/>
      <c r="O763" s="5"/>
      <c r="P763" s="5"/>
      <c r="Q763" s="5"/>
      <c r="X763" t="str">
        <f t="shared" si="23"/>
        <v/>
      </c>
    </row>
    <row r="764" spans="1:24">
      <c r="A764" s="4"/>
      <c r="B764" s="31"/>
      <c r="C764" s="11" t="e">
        <f t="shared" si="22"/>
        <v>#N/A</v>
      </c>
      <c r="D764" s="5"/>
      <c r="E764" s="5"/>
      <c r="F764" s="5"/>
      <c r="G764" s="5"/>
      <c r="H764" s="5"/>
      <c r="I764" s="5"/>
      <c r="J764" s="5"/>
      <c r="K764" s="5"/>
      <c r="L764" s="5"/>
      <c r="M764" s="5"/>
      <c r="N764" s="5"/>
      <c r="O764" s="5"/>
      <c r="P764" s="5"/>
      <c r="Q764" s="5"/>
      <c r="X764" t="str">
        <f t="shared" si="23"/>
        <v/>
      </c>
    </row>
    <row r="765" spans="1:24">
      <c r="A765" s="4"/>
      <c r="B765" s="31"/>
      <c r="C765" s="11" t="e">
        <f t="shared" si="22"/>
        <v>#N/A</v>
      </c>
      <c r="D765" s="5"/>
      <c r="E765" s="5"/>
      <c r="F765" s="5"/>
      <c r="G765" s="5"/>
      <c r="H765" s="5"/>
      <c r="I765" s="5"/>
      <c r="J765" s="5"/>
      <c r="K765" s="5"/>
      <c r="L765" s="5"/>
      <c r="M765" s="5"/>
      <c r="N765" s="5"/>
      <c r="O765" s="5"/>
      <c r="P765" s="5"/>
      <c r="Q765" s="5"/>
      <c r="X765" t="str">
        <f t="shared" si="23"/>
        <v/>
      </c>
    </row>
    <row r="766" spans="1:24">
      <c r="A766" s="4"/>
      <c r="B766" s="31"/>
      <c r="C766" s="11" t="e">
        <f t="shared" si="22"/>
        <v>#N/A</v>
      </c>
      <c r="D766" s="5"/>
      <c r="E766" s="5"/>
      <c r="F766" s="5"/>
      <c r="G766" s="5"/>
      <c r="H766" s="5"/>
      <c r="I766" s="5"/>
      <c r="J766" s="5"/>
      <c r="K766" s="5"/>
      <c r="L766" s="5"/>
      <c r="M766" s="5"/>
      <c r="N766" s="5"/>
      <c r="O766" s="5"/>
      <c r="P766" s="5"/>
      <c r="Q766" s="5"/>
      <c r="X766" t="str">
        <f t="shared" si="23"/>
        <v/>
      </c>
    </row>
    <row r="767" spans="1:24">
      <c r="A767" s="4"/>
      <c r="B767" s="31"/>
      <c r="C767" s="11" t="e">
        <f t="shared" si="22"/>
        <v>#N/A</v>
      </c>
      <c r="D767" s="5"/>
      <c r="E767" s="5"/>
      <c r="F767" s="5"/>
      <c r="G767" s="5"/>
      <c r="H767" s="5"/>
      <c r="I767" s="5"/>
      <c r="J767" s="5"/>
      <c r="K767" s="5"/>
      <c r="L767" s="5"/>
      <c r="M767" s="5"/>
      <c r="N767" s="5"/>
      <c r="O767" s="5"/>
      <c r="P767" s="5"/>
      <c r="Q767" s="5"/>
      <c r="X767" t="str">
        <f t="shared" si="23"/>
        <v/>
      </c>
    </row>
    <row r="768" spans="1:24">
      <c r="A768" s="4"/>
      <c r="B768" s="31"/>
      <c r="C768" s="11" t="e">
        <f t="shared" si="22"/>
        <v>#N/A</v>
      </c>
      <c r="D768" s="5"/>
      <c r="E768" s="5"/>
      <c r="F768" s="5"/>
      <c r="G768" s="5"/>
      <c r="H768" s="5"/>
      <c r="I768" s="5"/>
      <c r="J768" s="5"/>
      <c r="K768" s="5"/>
      <c r="L768" s="5"/>
      <c r="M768" s="5"/>
      <c r="N768" s="5"/>
      <c r="O768" s="5"/>
      <c r="P768" s="5"/>
      <c r="Q768" s="5"/>
      <c r="X768" t="str">
        <f t="shared" si="23"/>
        <v/>
      </c>
    </row>
    <row r="769" spans="1:24">
      <c r="A769" s="4"/>
      <c r="B769" s="31"/>
      <c r="C769" s="11" t="e">
        <f t="shared" si="22"/>
        <v>#N/A</v>
      </c>
      <c r="D769" s="5"/>
      <c r="E769" s="5"/>
      <c r="F769" s="5"/>
      <c r="G769" s="5"/>
      <c r="H769" s="5"/>
      <c r="I769" s="5"/>
      <c r="J769" s="5"/>
      <c r="K769" s="5"/>
      <c r="L769" s="5"/>
      <c r="M769" s="5"/>
      <c r="N769" s="5"/>
      <c r="O769" s="5"/>
      <c r="P769" s="5"/>
      <c r="Q769" s="5"/>
      <c r="X769" t="str">
        <f t="shared" si="23"/>
        <v/>
      </c>
    </row>
    <row r="770" spans="1:24">
      <c r="A770" s="4"/>
      <c r="B770" s="31"/>
      <c r="C770" s="11" t="e">
        <f t="shared" si="22"/>
        <v>#N/A</v>
      </c>
      <c r="D770" s="5"/>
      <c r="E770" s="5"/>
      <c r="F770" s="5"/>
      <c r="G770" s="5"/>
      <c r="H770" s="5"/>
      <c r="I770" s="5"/>
      <c r="J770" s="5"/>
      <c r="K770" s="5"/>
      <c r="L770" s="5"/>
      <c r="M770" s="5"/>
      <c r="N770" s="5"/>
      <c r="O770" s="5"/>
      <c r="P770" s="5"/>
      <c r="Q770" s="5"/>
      <c r="X770" t="str">
        <f t="shared" si="23"/>
        <v/>
      </c>
    </row>
    <row r="771" spans="1:24">
      <c r="A771" s="4"/>
      <c r="B771" s="31"/>
      <c r="C771" s="11" t="e">
        <f t="shared" ref="C771:C834" si="24">IF(OR(ISBLANK(A771),ISBLANK(B771)),NA(),A771-B771)</f>
        <v>#N/A</v>
      </c>
      <c r="D771" s="5"/>
      <c r="E771" s="5"/>
      <c r="F771" s="5"/>
      <c r="G771" s="5"/>
      <c r="H771" s="5"/>
      <c r="I771" s="5"/>
      <c r="J771" s="5"/>
      <c r="K771" s="5"/>
      <c r="L771" s="5"/>
      <c r="M771" s="5"/>
      <c r="N771" s="5"/>
      <c r="O771" s="5"/>
      <c r="P771" s="5"/>
      <c r="Q771" s="5"/>
      <c r="X771" t="str">
        <f t="shared" ref="X771:X834" si="25">IFERROR(C771,"")</f>
        <v/>
      </c>
    </row>
    <row r="772" spans="1:24">
      <c r="A772" s="4"/>
      <c r="B772" s="31"/>
      <c r="C772" s="11" t="e">
        <f t="shared" si="24"/>
        <v>#N/A</v>
      </c>
      <c r="D772" s="5"/>
      <c r="E772" s="5"/>
      <c r="F772" s="5"/>
      <c r="G772" s="5"/>
      <c r="H772" s="5"/>
      <c r="I772" s="5"/>
      <c r="J772" s="5"/>
      <c r="K772" s="5"/>
      <c r="L772" s="5"/>
      <c r="M772" s="5"/>
      <c r="N772" s="5"/>
      <c r="O772" s="5"/>
      <c r="P772" s="5"/>
      <c r="Q772" s="5"/>
      <c r="X772" t="str">
        <f t="shared" si="25"/>
        <v/>
      </c>
    </row>
    <row r="773" spans="1:24">
      <c r="A773" s="4"/>
      <c r="B773" s="31"/>
      <c r="C773" s="11" t="e">
        <f t="shared" si="24"/>
        <v>#N/A</v>
      </c>
      <c r="D773" s="5"/>
      <c r="E773" s="5"/>
      <c r="F773" s="5"/>
      <c r="G773" s="5"/>
      <c r="H773" s="5"/>
      <c r="I773" s="5"/>
      <c r="J773" s="5"/>
      <c r="K773" s="5"/>
      <c r="L773" s="5"/>
      <c r="M773" s="5"/>
      <c r="N773" s="5"/>
      <c r="O773" s="5"/>
      <c r="P773" s="5"/>
      <c r="Q773" s="5"/>
      <c r="X773" t="str">
        <f t="shared" si="25"/>
        <v/>
      </c>
    </row>
    <row r="774" spans="1:24">
      <c r="A774" s="4"/>
      <c r="B774" s="31"/>
      <c r="C774" s="11" t="e">
        <f t="shared" si="24"/>
        <v>#N/A</v>
      </c>
      <c r="D774" s="5"/>
      <c r="E774" s="5"/>
      <c r="F774" s="5"/>
      <c r="G774" s="5"/>
      <c r="H774" s="5"/>
      <c r="I774" s="5"/>
      <c r="J774" s="5"/>
      <c r="K774" s="5"/>
      <c r="L774" s="5"/>
      <c r="M774" s="5"/>
      <c r="N774" s="5"/>
      <c r="O774" s="5"/>
      <c r="P774" s="5"/>
      <c r="Q774" s="5"/>
      <c r="X774" t="str">
        <f t="shared" si="25"/>
        <v/>
      </c>
    </row>
    <row r="775" spans="1:24">
      <c r="A775" s="4"/>
      <c r="B775" s="31"/>
      <c r="C775" s="11" t="e">
        <f t="shared" si="24"/>
        <v>#N/A</v>
      </c>
      <c r="D775" s="5"/>
      <c r="E775" s="5"/>
      <c r="F775" s="5"/>
      <c r="G775" s="5"/>
      <c r="H775" s="5"/>
      <c r="I775" s="5"/>
      <c r="J775" s="5"/>
      <c r="K775" s="5"/>
      <c r="L775" s="5"/>
      <c r="M775" s="5"/>
      <c r="N775" s="5"/>
      <c r="O775" s="5"/>
      <c r="P775" s="5"/>
      <c r="Q775" s="5"/>
      <c r="X775" t="str">
        <f t="shared" si="25"/>
        <v/>
      </c>
    </row>
    <row r="776" spans="1:24">
      <c r="A776" s="4"/>
      <c r="B776" s="31"/>
      <c r="C776" s="11" t="e">
        <f t="shared" si="24"/>
        <v>#N/A</v>
      </c>
      <c r="D776" s="5"/>
      <c r="E776" s="5"/>
      <c r="F776" s="5"/>
      <c r="G776" s="5"/>
      <c r="H776" s="5"/>
      <c r="I776" s="5"/>
      <c r="J776" s="5"/>
      <c r="K776" s="5"/>
      <c r="L776" s="5"/>
      <c r="M776" s="5"/>
      <c r="N776" s="5"/>
      <c r="O776" s="5"/>
      <c r="P776" s="5"/>
      <c r="Q776" s="5"/>
      <c r="X776" t="str">
        <f t="shared" si="25"/>
        <v/>
      </c>
    </row>
    <row r="777" spans="1:24">
      <c r="A777" s="4"/>
      <c r="B777" s="31"/>
      <c r="C777" s="11" t="e">
        <f t="shared" si="24"/>
        <v>#N/A</v>
      </c>
      <c r="D777" s="5"/>
      <c r="E777" s="5"/>
      <c r="F777" s="5"/>
      <c r="G777" s="5"/>
      <c r="H777" s="5"/>
      <c r="I777" s="5"/>
      <c r="J777" s="5"/>
      <c r="K777" s="5"/>
      <c r="L777" s="5"/>
      <c r="M777" s="5"/>
      <c r="N777" s="5"/>
      <c r="O777" s="5"/>
      <c r="P777" s="5"/>
      <c r="Q777" s="5"/>
      <c r="X777" t="str">
        <f t="shared" si="25"/>
        <v/>
      </c>
    </row>
    <row r="778" spans="1:24">
      <c r="A778" s="4"/>
      <c r="B778" s="31"/>
      <c r="C778" s="11" t="e">
        <f t="shared" si="24"/>
        <v>#N/A</v>
      </c>
      <c r="D778" s="5"/>
      <c r="E778" s="5"/>
      <c r="F778" s="5"/>
      <c r="G778" s="5"/>
      <c r="H778" s="5"/>
      <c r="I778" s="5"/>
      <c r="J778" s="5"/>
      <c r="K778" s="5"/>
      <c r="L778" s="5"/>
      <c r="M778" s="5"/>
      <c r="N778" s="5"/>
      <c r="O778" s="5"/>
      <c r="P778" s="5"/>
      <c r="Q778" s="5"/>
      <c r="X778" t="str">
        <f t="shared" si="25"/>
        <v/>
      </c>
    </row>
    <row r="779" spans="1:24">
      <c r="A779" s="4"/>
      <c r="B779" s="31"/>
      <c r="C779" s="11" t="e">
        <f t="shared" si="24"/>
        <v>#N/A</v>
      </c>
      <c r="D779" s="5"/>
      <c r="E779" s="5"/>
      <c r="F779" s="5"/>
      <c r="G779" s="5"/>
      <c r="H779" s="5"/>
      <c r="I779" s="5"/>
      <c r="J779" s="5"/>
      <c r="K779" s="5"/>
      <c r="L779" s="5"/>
      <c r="M779" s="5"/>
      <c r="N779" s="5"/>
      <c r="O779" s="5"/>
      <c r="P779" s="5"/>
      <c r="Q779" s="5"/>
      <c r="X779" t="str">
        <f t="shared" si="25"/>
        <v/>
      </c>
    </row>
    <row r="780" spans="1:24">
      <c r="A780" s="4"/>
      <c r="B780" s="31"/>
      <c r="C780" s="11" t="e">
        <f t="shared" si="24"/>
        <v>#N/A</v>
      </c>
      <c r="D780" s="5"/>
      <c r="E780" s="5"/>
      <c r="F780" s="5"/>
      <c r="G780" s="5"/>
      <c r="H780" s="5"/>
      <c r="I780" s="5"/>
      <c r="J780" s="5"/>
      <c r="K780" s="5"/>
      <c r="L780" s="5"/>
      <c r="M780" s="5"/>
      <c r="N780" s="5"/>
      <c r="O780" s="5"/>
      <c r="P780" s="5"/>
      <c r="Q780" s="5"/>
      <c r="X780" t="str">
        <f t="shared" si="25"/>
        <v/>
      </c>
    </row>
    <row r="781" spans="1:24">
      <c r="A781" s="4"/>
      <c r="B781" s="31"/>
      <c r="C781" s="11" t="e">
        <f t="shared" si="24"/>
        <v>#N/A</v>
      </c>
      <c r="D781" s="5"/>
      <c r="E781" s="5"/>
      <c r="F781" s="5"/>
      <c r="G781" s="5"/>
      <c r="H781" s="5"/>
      <c r="I781" s="5"/>
      <c r="J781" s="5"/>
      <c r="K781" s="5"/>
      <c r="L781" s="5"/>
      <c r="M781" s="5"/>
      <c r="N781" s="5"/>
      <c r="O781" s="5"/>
      <c r="P781" s="5"/>
      <c r="Q781" s="5"/>
      <c r="X781" t="str">
        <f t="shared" si="25"/>
        <v/>
      </c>
    </row>
    <row r="782" spans="1:24">
      <c r="A782" s="4"/>
      <c r="B782" s="31"/>
      <c r="C782" s="11" t="e">
        <f t="shared" si="24"/>
        <v>#N/A</v>
      </c>
      <c r="D782" s="5"/>
      <c r="E782" s="5"/>
      <c r="F782" s="5"/>
      <c r="G782" s="5"/>
      <c r="H782" s="5"/>
      <c r="I782" s="5"/>
      <c r="J782" s="5"/>
      <c r="K782" s="5"/>
      <c r="L782" s="5"/>
      <c r="M782" s="5"/>
      <c r="N782" s="5"/>
      <c r="O782" s="5"/>
      <c r="P782" s="5"/>
      <c r="Q782" s="5"/>
      <c r="X782" t="str">
        <f t="shared" si="25"/>
        <v/>
      </c>
    </row>
    <row r="783" spans="1:24">
      <c r="A783" s="4"/>
      <c r="B783" s="31"/>
      <c r="C783" s="11" t="e">
        <f t="shared" si="24"/>
        <v>#N/A</v>
      </c>
      <c r="D783" s="5"/>
      <c r="E783" s="5"/>
      <c r="F783" s="5"/>
      <c r="G783" s="5"/>
      <c r="H783" s="5"/>
      <c r="I783" s="5"/>
      <c r="J783" s="5"/>
      <c r="K783" s="5"/>
      <c r="L783" s="5"/>
      <c r="M783" s="5"/>
      <c r="N783" s="5"/>
      <c r="O783" s="5"/>
      <c r="P783" s="5"/>
      <c r="Q783" s="5"/>
      <c r="X783" t="str">
        <f t="shared" si="25"/>
        <v/>
      </c>
    </row>
    <row r="784" spans="1:24">
      <c r="A784" s="4"/>
      <c r="B784" s="31"/>
      <c r="C784" s="11" t="e">
        <f t="shared" si="24"/>
        <v>#N/A</v>
      </c>
      <c r="D784" s="5"/>
      <c r="E784" s="5"/>
      <c r="F784" s="5"/>
      <c r="G784" s="5"/>
      <c r="H784" s="5"/>
      <c r="I784" s="5"/>
      <c r="J784" s="5"/>
      <c r="K784" s="5"/>
      <c r="L784" s="5"/>
      <c r="M784" s="5"/>
      <c r="N784" s="5"/>
      <c r="O784" s="5"/>
      <c r="P784" s="5"/>
      <c r="Q784" s="5"/>
      <c r="X784" t="str">
        <f t="shared" si="25"/>
        <v/>
      </c>
    </row>
    <row r="785" spans="1:24">
      <c r="A785" s="4"/>
      <c r="B785" s="31"/>
      <c r="C785" s="11" t="e">
        <f t="shared" si="24"/>
        <v>#N/A</v>
      </c>
      <c r="D785" s="5"/>
      <c r="E785" s="5"/>
      <c r="F785" s="5"/>
      <c r="G785" s="5"/>
      <c r="H785" s="5"/>
      <c r="I785" s="5"/>
      <c r="J785" s="5"/>
      <c r="K785" s="5"/>
      <c r="L785" s="5"/>
      <c r="M785" s="5"/>
      <c r="N785" s="5"/>
      <c r="O785" s="5"/>
      <c r="P785" s="5"/>
      <c r="Q785" s="5"/>
      <c r="X785" t="str">
        <f t="shared" si="25"/>
        <v/>
      </c>
    </row>
    <row r="786" spans="1:24">
      <c r="A786" s="4"/>
      <c r="B786" s="31"/>
      <c r="C786" s="11" t="e">
        <f t="shared" si="24"/>
        <v>#N/A</v>
      </c>
      <c r="D786" s="5"/>
      <c r="E786" s="5"/>
      <c r="F786" s="5"/>
      <c r="G786" s="5"/>
      <c r="H786" s="5"/>
      <c r="I786" s="5"/>
      <c r="J786" s="5"/>
      <c r="K786" s="5"/>
      <c r="L786" s="5"/>
      <c r="M786" s="5"/>
      <c r="N786" s="5"/>
      <c r="O786" s="5"/>
      <c r="P786" s="5"/>
      <c r="Q786" s="5"/>
      <c r="X786" t="str">
        <f t="shared" si="25"/>
        <v/>
      </c>
    </row>
    <row r="787" spans="1:24">
      <c r="A787" s="4"/>
      <c r="B787" s="31"/>
      <c r="C787" s="11" t="e">
        <f t="shared" si="24"/>
        <v>#N/A</v>
      </c>
      <c r="D787" s="5"/>
      <c r="E787" s="5"/>
      <c r="F787" s="5"/>
      <c r="G787" s="5"/>
      <c r="H787" s="5"/>
      <c r="I787" s="5"/>
      <c r="J787" s="5"/>
      <c r="K787" s="5"/>
      <c r="L787" s="5"/>
      <c r="M787" s="5"/>
      <c r="N787" s="5"/>
      <c r="O787" s="5"/>
      <c r="P787" s="5"/>
      <c r="Q787" s="5"/>
      <c r="X787" t="str">
        <f t="shared" si="25"/>
        <v/>
      </c>
    </row>
    <row r="788" spans="1:24">
      <c r="A788" s="4"/>
      <c r="B788" s="31"/>
      <c r="C788" s="11" t="e">
        <f t="shared" si="24"/>
        <v>#N/A</v>
      </c>
      <c r="D788" s="5"/>
      <c r="E788" s="5"/>
      <c r="F788" s="5"/>
      <c r="G788" s="5"/>
      <c r="H788" s="5"/>
      <c r="I788" s="5"/>
      <c r="J788" s="5"/>
      <c r="K788" s="5"/>
      <c r="L788" s="5"/>
      <c r="M788" s="5"/>
      <c r="N788" s="5"/>
      <c r="O788" s="5"/>
      <c r="P788" s="5"/>
      <c r="Q788" s="5"/>
      <c r="X788" t="str">
        <f t="shared" si="25"/>
        <v/>
      </c>
    </row>
    <row r="789" spans="1:24">
      <c r="A789" s="4"/>
      <c r="B789" s="31"/>
      <c r="C789" s="11" t="e">
        <f t="shared" si="24"/>
        <v>#N/A</v>
      </c>
      <c r="D789" s="5"/>
      <c r="E789" s="5"/>
      <c r="F789" s="5"/>
      <c r="G789" s="5"/>
      <c r="H789" s="5"/>
      <c r="I789" s="5"/>
      <c r="J789" s="5"/>
      <c r="K789" s="5"/>
      <c r="L789" s="5"/>
      <c r="M789" s="5"/>
      <c r="N789" s="5"/>
      <c r="O789" s="5"/>
      <c r="P789" s="5"/>
      <c r="Q789" s="5"/>
      <c r="X789" t="str">
        <f t="shared" si="25"/>
        <v/>
      </c>
    </row>
    <row r="790" spans="1:24">
      <c r="A790" s="4"/>
      <c r="B790" s="31"/>
      <c r="C790" s="11" t="e">
        <f t="shared" si="24"/>
        <v>#N/A</v>
      </c>
      <c r="D790" s="5"/>
      <c r="E790" s="5"/>
      <c r="F790" s="5"/>
      <c r="G790" s="5"/>
      <c r="H790" s="5"/>
      <c r="I790" s="5"/>
      <c r="J790" s="5"/>
      <c r="K790" s="5"/>
      <c r="L790" s="5"/>
      <c r="M790" s="5"/>
      <c r="N790" s="5"/>
      <c r="O790" s="5"/>
      <c r="P790" s="5"/>
      <c r="Q790" s="5"/>
      <c r="X790" t="str">
        <f t="shared" si="25"/>
        <v/>
      </c>
    </row>
    <row r="791" spans="1:24">
      <c r="A791" s="4"/>
      <c r="B791" s="31"/>
      <c r="C791" s="11" t="e">
        <f t="shared" si="24"/>
        <v>#N/A</v>
      </c>
      <c r="D791" s="5"/>
      <c r="E791" s="5"/>
      <c r="F791" s="5"/>
      <c r="G791" s="5"/>
      <c r="H791" s="5"/>
      <c r="I791" s="5"/>
      <c r="J791" s="5"/>
      <c r="K791" s="5"/>
      <c r="L791" s="5"/>
      <c r="M791" s="5"/>
      <c r="N791" s="5"/>
      <c r="O791" s="5"/>
      <c r="P791" s="5"/>
      <c r="Q791" s="5"/>
      <c r="X791" t="str">
        <f t="shared" si="25"/>
        <v/>
      </c>
    </row>
    <row r="792" spans="1:24">
      <c r="A792" s="4"/>
      <c r="B792" s="31"/>
      <c r="C792" s="11" t="e">
        <f t="shared" si="24"/>
        <v>#N/A</v>
      </c>
      <c r="D792" s="5"/>
      <c r="E792" s="5"/>
      <c r="F792" s="5"/>
      <c r="G792" s="5"/>
      <c r="H792" s="5"/>
      <c r="I792" s="5"/>
      <c r="J792" s="5"/>
      <c r="K792" s="5"/>
      <c r="L792" s="5"/>
      <c r="M792" s="5"/>
      <c r="N792" s="5"/>
      <c r="O792" s="5"/>
      <c r="P792" s="5"/>
      <c r="Q792" s="5"/>
      <c r="X792" t="str">
        <f t="shared" si="25"/>
        <v/>
      </c>
    </row>
    <row r="793" spans="1:24">
      <c r="A793" s="4"/>
      <c r="B793" s="31"/>
      <c r="C793" s="11" t="e">
        <f t="shared" si="24"/>
        <v>#N/A</v>
      </c>
      <c r="D793" s="5"/>
      <c r="E793" s="5"/>
      <c r="F793" s="5"/>
      <c r="G793" s="5"/>
      <c r="H793" s="5"/>
      <c r="I793" s="5"/>
      <c r="J793" s="5"/>
      <c r="K793" s="5"/>
      <c r="L793" s="5"/>
      <c r="M793" s="5"/>
      <c r="N793" s="5"/>
      <c r="O793" s="5"/>
      <c r="P793" s="5"/>
      <c r="Q793" s="5"/>
      <c r="X793" t="str">
        <f t="shared" si="25"/>
        <v/>
      </c>
    </row>
    <row r="794" spans="1:24">
      <c r="A794" s="4"/>
      <c r="B794" s="31"/>
      <c r="C794" s="11" t="e">
        <f t="shared" si="24"/>
        <v>#N/A</v>
      </c>
      <c r="D794" s="5"/>
      <c r="E794" s="5"/>
      <c r="F794" s="5"/>
      <c r="G794" s="5"/>
      <c r="H794" s="5"/>
      <c r="I794" s="5"/>
      <c r="J794" s="5"/>
      <c r="K794" s="5"/>
      <c r="L794" s="5"/>
      <c r="M794" s="5"/>
      <c r="N794" s="5"/>
      <c r="O794" s="5"/>
      <c r="P794" s="5"/>
      <c r="Q794" s="5"/>
      <c r="X794" t="str">
        <f t="shared" si="25"/>
        <v/>
      </c>
    </row>
    <row r="795" spans="1:24">
      <c r="A795" s="4"/>
      <c r="B795" s="31"/>
      <c r="C795" s="11" t="e">
        <f t="shared" si="24"/>
        <v>#N/A</v>
      </c>
      <c r="D795" s="5"/>
      <c r="E795" s="5"/>
      <c r="F795" s="5"/>
      <c r="G795" s="5"/>
      <c r="H795" s="5"/>
      <c r="I795" s="5"/>
      <c r="J795" s="5"/>
      <c r="K795" s="5"/>
      <c r="L795" s="5"/>
      <c r="M795" s="5"/>
      <c r="N795" s="5"/>
      <c r="O795" s="5"/>
      <c r="P795" s="5"/>
      <c r="Q795" s="5"/>
      <c r="X795" t="str">
        <f t="shared" si="25"/>
        <v/>
      </c>
    </row>
    <row r="796" spans="1:24">
      <c r="A796" s="4"/>
      <c r="B796" s="31"/>
      <c r="C796" s="11" t="e">
        <f t="shared" si="24"/>
        <v>#N/A</v>
      </c>
      <c r="D796" s="5"/>
      <c r="E796" s="5"/>
      <c r="F796" s="5"/>
      <c r="G796" s="5"/>
      <c r="H796" s="5"/>
      <c r="I796" s="5"/>
      <c r="J796" s="5"/>
      <c r="K796" s="5"/>
      <c r="L796" s="5"/>
      <c r="M796" s="5"/>
      <c r="N796" s="5"/>
      <c r="O796" s="5"/>
      <c r="P796" s="5"/>
      <c r="Q796" s="5"/>
      <c r="X796" t="str">
        <f t="shared" si="25"/>
        <v/>
      </c>
    </row>
    <row r="797" spans="1:24">
      <c r="A797" s="4"/>
      <c r="B797" s="31"/>
      <c r="C797" s="11" t="e">
        <f t="shared" si="24"/>
        <v>#N/A</v>
      </c>
      <c r="D797" s="5"/>
      <c r="E797" s="5"/>
      <c r="F797" s="5"/>
      <c r="G797" s="5"/>
      <c r="H797" s="5"/>
      <c r="I797" s="5"/>
      <c r="J797" s="5"/>
      <c r="K797" s="5"/>
      <c r="L797" s="5"/>
      <c r="M797" s="5"/>
      <c r="N797" s="5"/>
      <c r="O797" s="5"/>
      <c r="P797" s="5"/>
      <c r="Q797" s="5"/>
      <c r="X797" t="str">
        <f t="shared" si="25"/>
        <v/>
      </c>
    </row>
    <row r="798" spans="1:24">
      <c r="A798" s="4"/>
      <c r="B798" s="31"/>
      <c r="C798" s="11" t="e">
        <f t="shared" si="24"/>
        <v>#N/A</v>
      </c>
      <c r="D798" s="5"/>
      <c r="E798" s="5"/>
      <c r="F798" s="5"/>
      <c r="G798" s="5"/>
      <c r="H798" s="5"/>
      <c r="I798" s="5"/>
      <c r="J798" s="5"/>
      <c r="K798" s="5"/>
      <c r="L798" s="5"/>
      <c r="M798" s="5"/>
      <c r="N798" s="5"/>
      <c r="O798" s="5"/>
      <c r="P798" s="5"/>
      <c r="Q798" s="5"/>
      <c r="X798" t="str">
        <f t="shared" si="25"/>
        <v/>
      </c>
    </row>
    <row r="799" spans="1:24">
      <c r="A799" s="4"/>
      <c r="B799" s="31"/>
      <c r="C799" s="11" t="e">
        <f t="shared" si="24"/>
        <v>#N/A</v>
      </c>
      <c r="D799" s="5"/>
      <c r="E799" s="5"/>
      <c r="F799" s="5"/>
      <c r="G799" s="5"/>
      <c r="H799" s="5"/>
      <c r="I799" s="5"/>
      <c r="J799" s="5"/>
      <c r="K799" s="5"/>
      <c r="L799" s="5"/>
      <c r="M799" s="5"/>
      <c r="N799" s="5"/>
      <c r="O799" s="5"/>
      <c r="P799" s="5"/>
      <c r="Q799" s="5"/>
      <c r="X799" t="str">
        <f t="shared" si="25"/>
        <v/>
      </c>
    </row>
    <row r="800" spans="1:24">
      <c r="A800" s="4"/>
      <c r="B800" s="31"/>
      <c r="C800" s="11" t="e">
        <f t="shared" si="24"/>
        <v>#N/A</v>
      </c>
      <c r="D800" s="5"/>
      <c r="E800" s="5"/>
      <c r="F800" s="5"/>
      <c r="G800" s="5"/>
      <c r="H800" s="5"/>
      <c r="I800" s="5"/>
      <c r="J800" s="5"/>
      <c r="K800" s="5"/>
      <c r="L800" s="5"/>
      <c r="M800" s="5"/>
      <c r="N800" s="5"/>
      <c r="O800" s="5"/>
      <c r="P800" s="5"/>
      <c r="Q800" s="5"/>
      <c r="X800" t="str">
        <f t="shared" si="25"/>
        <v/>
      </c>
    </row>
    <row r="801" spans="1:24">
      <c r="A801" s="4"/>
      <c r="B801" s="31"/>
      <c r="C801" s="11" t="e">
        <f t="shared" si="24"/>
        <v>#N/A</v>
      </c>
      <c r="D801" s="5"/>
      <c r="E801" s="5"/>
      <c r="F801" s="5"/>
      <c r="G801" s="5"/>
      <c r="H801" s="5"/>
      <c r="I801" s="5"/>
      <c r="J801" s="5"/>
      <c r="K801" s="5"/>
      <c r="L801" s="5"/>
      <c r="M801" s="5"/>
      <c r="N801" s="5"/>
      <c r="O801" s="5"/>
      <c r="P801" s="5"/>
      <c r="Q801" s="5"/>
      <c r="X801" t="str">
        <f t="shared" si="25"/>
        <v/>
      </c>
    </row>
    <row r="802" spans="1:24">
      <c r="A802" s="4"/>
      <c r="B802" s="31"/>
      <c r="C802" s="11" t="e">
        <f t="shared" si="24"/>
        <v>#N/A</v>
      </c>
      <c r="D802" s="5"/>
      <c r="E802" s="5"/>
      <c r="F802" s="5"/>
      <c r="G802" s="5"/>
      <c r="H802" s="5"/>
      <c r="I802" s="5"/>
      <c r="J802" s="5"/>
      <c r="K802" s="5"/>
      <c r="L802" s="5"/>
      <c r="M802" s="5"/>
      <c r="N802" s="5"/>
      <c r="O802" s="5"/>
      <c r="P802" s="5"/>
      <c r="Q802" s="5"/>
      <c r="X802" t="str">
        <f t="shared" si="25"/>
        <v/>
      </c>
    </row>
    <row r="803" spans="1:24">
      <c r="A803" s="4"/>
      <c r="B803" s="31"/>
      <c r="C803" s="11" t="e">
        <f t="shared" si="24"/>
        <v>#N/A</v>
      </c>
      <c r="D803" s="5"/>
      <c r="E803" s="5"/>
      <c r="F803" s="5"/>
      <c r="G803" s="5"/>
      <c r="H803" s="5"/>
      <c r="I803" s="5"/>
      <c r="J803" s="5"/>
      <c r="K803" s="5"/>
      <c r="L803" s="5"/>
      <c r="M803" s="5"/>
      <c r="N803" s="5"/>
      <c r="O803" s="5"/>
      <c r="P803" s="5"/>
      <c r="Q803" s="5"/>
      <c r="X803" t="str">
        <f t="shared" si="25"/>
        <v/>
      </c>
    </row>
    <row r="804" spans="1:24">
      <c r="A804" s="4"/>
      <c r="B804" s="31"/>
      <c r="C804" s="11" t="e">
        <f t="shared" si="24"/>
        <v>#N/A</v>
      </c>
      <c r="D804" s="5"/>
      <c r="E804" s="5"/>
      <c r="F804" s="5"/>
      <c r="G804" s="5"/>
      <c r="H804" s="5"/>
      <c r="I804" s="5"/>
      <c r="J804" s="5"/>
      <c r="K804" s="5"/>
      <c r="L804" s="5"/>
      <c r="M804" s="5"/>
      <c r="N804" s="5"/>
      <c r="O804" s="5"/>
      <c r="P804" s="5"/>
      <c r="Q804" s="5"/>
      <c r="X804" t="str">
        <f t="shared" si="25"/>
        <v/>
      </c>
    </row>
    <row r="805" spans="1:24">
      <c r="A805" s="4"/>
      <c r="B805" s="31"/>
      <c r="C805" s="11" t="e">
        <f t="shared" si="24"/>
        <v>#N/A</v>
      </c>
      <c r="D805" s="5"/>
      <c r="E805" s="5"/>
      <c r="F805" s="5"/>
      <c r="G805" s="5"/>
      <c r="H805" s="5"/>
      <c r="I805" s="5"/>
      <c r="J805" s="5"/>
      <c r="K805" s="5"/>
      <c r="L805" s="5"/>
      <c r="M805" s="5"/>
      <c r="N805" s="5"/>
      <c r="O805" s="5"/>
      <c r="P805" s="5"/>
      <c r="Q805" s="5"/>
      <c r="X805" t="str">
        <f t="shared" si="25"/>
        <v/>
      </c>
    </row>
    <row r="806" spans="1:24">
      <c r="A806" s="4"/>
      <c r="B806" s="31"/>
      <c r="C806" s="11" t="e">
        <f t="shared" si="24"/>
        <v>#N/A</v>
      </c>
      <c r="D806" s="5"/>
      <c r="E806" s="5"/>
      <c r="F806" s="5"/>
      <c r="G806" s="5"/>
      <c r="H806" s="5"/>
      <c r="I806" s="5"/>
      <c r="J806" s="5"/>
      <c r="K806" s="5"/>
      <c r="L806" s="5"/>
      <c r="M806" s="5"/>
      <c r="N806" s="5"/>
      <c r="O806" s="5"/>
      <c r="P806" s="5"/>
      <c r="Q806" s="5"/>
      <c r="X806" t="str">
        <f t="shared" si="25"/>
        <v/>
      </c>
    </row>
    <row r="807" spans="1:24">
      <c r="A807" s="4"/>
      <c r="B807" s="31"/>
      <c r="C807" s="11" t="e">
        <f t="shared" si="24"/>
        <v>#N/A</v>
      </c>
      <c r="D807" s="5"/>
      <c r="E807" s="5"/>
      <c r="F807" s="5"/>
      <c r="G807" s="5"/>
      <c r="H807" s="5"/>
      <c r="I807" s="5"/>
      <c r="J807" s="5"/>
      <c r="K807" s="5"/>
      <c r="L807" s="5"/>
      <c r="M807" s="5"/>
      <c r="N807" s="5"/>
      <c r="O807" s="5"/>
      <c r="P807" s="5"/>
      <c r="Q807" s="5"/>
      <c r="X807" t="str">
        <f t="shared" si="25"/>
        <v/>
      </c>
    </row>
    <row r="808" spans="1:24">
      <c r="A808" s="4"/>
      <c r="B808" s="31"/>
      <c r="C808" s="11" t="e">
        <f t="shared" si="24"/>
        <v>#N/A</v>
      </c>
      <c r="D808" s="5"/>
      <c r="E808" s="5"/>
      <c r="F808" s="5"/>
      <c r="G808" s="5"/>
      <c r="H808" s="5"/>
      <c r="I808" s="5"/>
      <c r="J808" s="5"/>
      <c r="K808" s="5"/>
      <c r="L808" s="5"/>
      <c r="M808" s="5"/>
      <c r="N808" s="5"/>
      <c r="O808" s="5"/>
      <c r="P808" s="5"/>
      <c r="Q808" s="5"/>
      <c r="X808" t="str">
        <f t="shared" si="25"/>
        <v/>
      </c>
    </row>
    <row r="809" spans="1:24">
      <c r="A809" s="4"/>
      <c r="B809" s="31"/>
      <c r="C809" s="11" t="e">
        <f t="shared" si="24"/>
        <v>#N/A</v>
      </c>
      <c r="D809" s="5"/>
      <c r="E809" s="5"/>
      <c r="F809" s="5"/>
      <c r="G809" s="5"/>
      <c r="H809" s="5"/>
      <c r="I809" s="5"/>
      <c r="J809" s="5"/>
      <c r="K809" s="5"/>
      <c r="L809" s="5"/>
      <c r="M809" s="5"/>
      <c r="N809" s="5"/>
      <c r="O809" s="5"/>
      <c r="P809" s="5"/>
      <c r="Q809" s="5"/>
      <c r="X809" t="str">
        <f t="shared" si="25"/>
        <v/>
      </c>
    </row>
    <row r="810" spans="1:24">
      <c r="A810" s="4"/>
      <c r="B810" s="31"/>
      <c r="C810" s="11" t="e">
        <f t="shared" si="24"/>
        <v>#N/A</v>
      </c>
      <c r="D810" s="5"/>
      <c r="E810" s="5"/>
      <c r="F810" s="5"/>
      <c r="G810" s="5"/>
      <c r="H810" s="5"/>
      <c r="I810" s="5"/>
      <c r="J810" s="5"/>
      <c r="K810" s="5"/>
      <c r="L810" s="5"/>
      <c r="M810" s="5"/>
      <c r="N810" s="5"/>
      <c r="O810" s="5"/>
      <c r="P810" s="5"/>
      <c r="Q810" s="5"/>
      <c r="X810" t="str">
        <f t="shared" si="25"/>
        <v/>
      </c>
    </row>
    <row r="811" spans="1:24">
      <c r="A811" s="4"/>
      <c r="B811" s="31"/>
      <c r="C811" s="11" t="e">
        <f t="shared" si="24"/>
        <v>#N/A</v>
      </c>
      <c r="D811" s="5"/>
      <c r="E811" s="5"/>
      <c r="F811" s="5"/>
      <c r="G811" s="5"/>
      <c r="H811" s="5"/>
      <c r="I811" s="5"/>
      <c r="J811" s="5"/>
      <c r="K811" s="5"/>
      <c r="L811" s="5"/>
      <c r="M811" s="5"/>
      <c r="N811" s="5"/>
      <c r="O811" s="5"/>
      <c r="P811" s="5"/>
      <c r="Q811" s="5"/>
      <c r="X811" t="str">
        <f t="shared" si="25"/>
        <v/>
      </c>
    </row>
    <row r="812" spans="1:24">
      <c r="A812" s="4"/>
      <c r="B812" s="31"/>
      <c r="C812" s="11" t="e">
        <f t="shared" si="24"/>
        <v>#N/A</v>
      </c>
      <c r="D812" s="5"/>
      <c r="E812" s="5"/>
      <c r="F812" s="5"/>
      <c r="G812" s="5"/>
      <c r="H812" s="5"/>
      <c r="I812" s="5"/>
      <c r="J812" s="5"/>
      <c r="K812" s="5"/>
      <c r="L812" s="5"/>
      <c r="M812" s="5"/>
      <c r="N812" s="5"/>
      <c r="O812" s="5"/>
      <c r="P812" s="5"/>
      <c r="Q812" s="5"/>
      <c r="X812" t="str">
        <f t="shared" si="25"/>
        <v/>
      </c>
    </row>
    <row r="813" spans="1:24">
      <c r="A813" s="4"/>
      <c r="B813" s="31"/>
      <c r="C813" s="11" t="e">
        <f t="shared" si="24"/>
        <v>#N/A</v>
      </c>
      <c r="D813" s="5"/>
      <c r="E813" s="5"/>
      <c r="F813" s="5"/>
      <c r="G813" s="5"/>
      <c r="H813" s="5"/>
      <c r="I813" s="5"/>
      <c r="J813" s="5"/>
      <c r="K813" s="5"/>
      <c r="L813" s="5"/>
      <c r="M813" s="5"/>
      <c r="N813" s="5"/>
      <c r="O813" s="5"/>
      <c r="P813" s="5"/>
      <c r="Q813" s="5"/>
      <c r="X813" t="str">
        <f t="shared" si="25"/>
        <v/>
      </c>
    </row>
    <row r="814" spans="1:24">
      <c r="A814" s="4"/>
      <c r="B814" s="31"/>
      <c r="C814" s="11" t="e">
        <f t="shared" si="24"/>
        <v>#N/A</v>
      </c>
      <c r="D814" s="5"/>
      <c r="E814" s="5"/>
      <c r="F814" s="5"/>
      <c r="G814" s="5"/>
      <c r="H814" s="5"/>
      <c r="I814" s="5"/>
      <c r="J814" s="5"/>
      <c r="K814" s="5"/>
      <c r="L814" s="5"/>
      <c r="M814" s="5"/>
      <c r="N814" s="5"/>
      <c r="O814" s="5"/>
      <c r="P814" s="5"/>
      <c r="Q814" s="5"/>
      <c r="X814" t="str">
        <f t="shared" si="25"/>
        <v/>
      </c>
    </row>
    <row r="815" spans="1:24">
      <c r="A815" s="4"/>
      <c r="B815" s="31"/>
      <c r="C815" s="11" t="e">
        <f t="shared" si="24"/>
        <v>#N/A</v>
      </c>
      <c r="D815" s="5"/>
      <c r="E815" s="5"/>
      <c r="F815" s="5"/>
      <c r="G815" s="5"/>
      <c r="H815" s="5"/>
      <c r="I815" s="5"/>
      <c r="J815" s="5"/>
      <c r="K815" s="5"/>
      <c r="L815" s="5"/>
      <c r="M815" s="5"/>
      <c r="N815" s="5"/>
      <c r="O815" s="5"/>
      <c r="P815" s="5"/>
      <c r="Q815" s="5"/>
      <c r="X815" t="str">
        <f t="shared" si="25"/>
        <v/>
      </c>
    </row>
    <row r="816" spans="1:24">
      <c r="A816" s="4"/>
      <c r="B816" s="31"/>
      <c r="C816" s="11" t="e">
        <f t="shared" si="24"/>
        <v>#N/A</v>
      </c>
      <c r="D816" s="5"/>
      <c r="E816" s="5"/>
      <c r="F816" s="5"/>
      <c r="G816" s="5"/>
      <c r="H816" s="5"/>
      <c r="I816" s="5"/>
      <c r="J816" s="5"/>
      <c r="K816" s="5"/>
      <c r="L816" s="5"/>
      <c r="M816" s="5"/>
      <c r="N816" s="5"/>
      <c r="O816" s="5"/>
      <c r="P816" s="5"/>
      <c r="Q816" s="5"/>
      <c r="X816" t="str">
        <f t="shared" si="25"/>
        <v/>
      </c>
    </row>
    <row r="817" spans="1:24">
      <c r="A817" s="4"/>
      <c r="B817" s="31"/>
      <c r="C817" s="11" t="e">
        <f t="shared" si="24"/>
        <v>#N/A</v>
      </c>
      <c r="D817" s="5"/>
      <c r="E817" s="5"/>
      <c r="F817" s="5"/>
      <c r="G817" s="5"/>
      <c r="H817" s="5"/>
      <c r="I817" s="5"/>
      <c r="J817" s="5"/>
      <c r="K817" s="5"/>
      <c r="L817" s="5"/>
      <c r="M817" s="5"/>
      <c r="N817" s="5"/>
      <c r="O817" s="5"/>
      <c r="P817" s="5"/>
      <c r="Q817" s="5"/>
      <c r="X817" t="str">
        <f t="shared" si="25"/>
        <v/>
      </c>
    </row>
    <row r="818" spans="1:24">
      <c r="A818" s="4"/>
      <c r="B818" s="31"/>
      <c r="C818" s="11" t="e">
        <f t="shared" si="24"/>
        <v>#N/A</v>
      </c>
      <c r="D818" s="5"/>
      <c r="E818" s="5"/>
      <c r="F818" s="5"/>
      <c r="G818" s="5"/>
      <c r="H818" s="5"/>
      <c r="I818" s="5"/>
      <c r="J818" s="5"/>
      <c r="K818" s="5"/>
      <c r="L818" s="5"/>
      <c r="M818" s="5"/>
      <c r="N818" s="5"/>
      <c r="O818" s="5"/>
      <c r="P818" s="5"/>
      <c r="Q818" s="5"/>
      <c r="X818" t="str">
        <f t="shared" si="25"/>
        <v/>
      </c>
    </row>
    <row r="819" spans="1:24">
      <c r="A819" s="4"/>
      <c r="B819" s="31"/>
      <c r="C819" s="11" t="e">
        <f t="shared" si="24"/>
        <v>#N/A</v>
      </c>
      <c r="D819" s="5"/>
      <c r="E819" s="5"/>
      <c r="F819" s="5"/>
      <c r="G819" s="5"/>
      <c r="H819" s="5"/>
      <c r="I819" s="5"/>
      <c r="J819" s="5"/>
      <c r="K819" s="5"/>
      <c r="L819" s="5"/>
      <c r="M819" s="5"/>
      <c r="N819" s="5"/>
      <c r="O819" s="5"/>
      <c r="P819" s="5"/>
      <c r="Q819" s="5"/>
      <c r="X819" t="str">
        <f t="shared" si="25"/>
        <v/>
      </c>
    </row>
    <row r="820" spans="1:24">
      <c r="A820" s="4"/>
      <c r="B820" s="31"/>
      <c r="C820" s="11" t="e">
        <f t="shared" si="24"/>
        <v>#N/A</v>
      </c>
      <c r="D820" s="5"/>
      <c r="E820" s="5"/>
      <c r="F820" s="5"/>
      <c r="G820" s="5"/>
      <c r="H820" s="5"/>
      <c r="I820" s="5"/>
      <c r="J820" s="5"/>
      <c r="K820" s="5"/>
      <c r="L820" s="5"/>
      <c r="M820" s="5"/>
      <c r="N820" s="5"/>
      <c r="O820" s="5"/>
      <c r="P820" s="5"/>
      <c r="Q820" s="5"/>
      <c r="X820" t="str">
        <f t="shared" si="25"/>
        <v/>
      </c>
    </row>
    <row r="821" spans="1:24">
      <c r="A821" s="4"/>
      <c r="B821" s="31"/>
      <c r="C821" s="11" t="e">
        <f t="shared" si="24"/>
        <v>#N/A</v>
      </c>
      <c r="D821" s="5"/>
      <c r="E821" s="5"/>
      <c r="F821" s="5"/>
      <c r="G821" s="5"/>
      <c r="H821" s="5"/>
      <c r="I821" s="5"/>
      <c r="J821" s="5"/>
      <c r="K821" s="5"/>
      <c r="L821" s="5"/>
      <c r="M821" s="5"/>
      <c r="N821" s="5"/>
      <c r="O821" s="5"/>
      <c r="P821" s="5"/>
      <c r="Q821" s="5"/>
      <c r="X821" t="str">
        <f t="shared" si="25"/>
        <v/>
      </c>
    </row>
    <row r="822" spans="1:24">
      <c r="A822" s="4"/>
      <c r="B822" s="31"/>
      <c r="C822" s="11" t="e">
        <f t="shared" si="24"/>
        <v>#N/A</v>
      </c>
      <c r="D822" s="5"/>
      <c r="E822" s="5"/>
      <c r="F822" s="5"/>
      <c r="G822" s="5"/>
      <c r="H822" s="5"/>
      <c r="I822" s="5"/>
      <c r="J822" s="5"/>
      <c r="K822" s="5"/>
      <c r="L822" s="5"/>
      <c r="M822" s="5"/>
      <c r="N822" s="5"/>
      <c r="O822" s="5"/>
      <c r="P822" s="5"/>
      <c r="Q822" s="5"/>
      <c r="X822" t="str">
        <f t="shared" si="25"/>
        <v/>
      </c>
    </row>
    <row r="823" spans="1:24">
      <c r="A823" s="4"/>
      <c r="B823" s="31"/>
      <c r="C823" s="11" t="e">
        <f t="shared" si="24"/>
        <v>#N/A</v>
      </c>
      <c r="D823" s="5"/>
      <c r="E823" s="5"/>
      <c r="F823" s="5"/>
      <c r="G823" s="5"/>
      <c r="H823" s="5"/>
      <c r="I823" s="5"/>
      <c r="J823" s="5"/>
      <c r="K823" s="5"/>
      <c r="L823" s="5"/>
      <c r="M823" s="5"/>
      <c r="N823" s="5"/>
      <c r="O823" s="5"/>
      <c r="P823" s="5"/>
      <c r="Q823" s="5"/>
      <c r="X823" t="str">
        <f t="shared" si="25"/>
        <v/>
      </c>
    </row>
    <row r="824" spans="1:24">
      <c r="A824" s="4"/>
      <c r="B824" s="31"/>
      <c r="C824" s="11" t="e">
        <f t="shared" si="24"/>
        <v>#N/A</v>
      </c>
      <c r="D824" s="5"/>
      <c r="E824" s="5"/>
      <c r="F824" s="5"/>
      <c r="G824" s="5"/>
      <c r="H824" s="5"/>
      <c r="I824" s="5"/>
      <c r="J824" s="5"/>
      <c r="K824" s="5"/>
      <c r="L824" s="5"/>
      <c r="M824" s="5"/>
      <c r="N824" s="5"/>
      <c r="O824" s="5"/>
      <c r="P824" s="5"/>
      <c r="Q824" s="5"/>
      <c r="X824" t="str">
        <f t="shared" si="25"/>
        <v/>
      </c>
    </row>
    <row r="825" spans="1:24">
      <c r="A825" s="4"/>
      <c r="B825" s="31"/>
      <c r="C825" s="11" t="e">
        <f t="shared" si="24"/>
        <v>#N/A</v>
      </c>
      <c r="D825" s="5"/>
      <c r="E825" s="5"/>
      <c r="F825" s="5"/>
      <c r="G825" s="5"/>
      <c r="H825" s="5"/>
      <c r="I825" s="5"/>
      <c r="J825" s="5"/>
      <c r="K825" s="5"/>
      <c r="L825" s="5"/>
      <c r="M825" s="5"/>
      <c r="N825" s="5"/>
      <c r="O825" s="5"/>
      <c r="P825" s="5"/>
      <c r="Q825" s="5"/>
      <c r="X825" t="str">
        <f t="shared" si="25"/>
        <v/>
      </c>
    </row>
    <row r="826" spans="1:24">
      <c r="A826" s="4"/>
      <c r="B826" s="31"/>
      <c r="C826" s="11" t="e">
        <f t="shared" si="24"/>
        <v>#N/A</v>
      </c>
      <c r="D826" s="5"/>
      <c r="E826" s="5"/>
      <c r="F826" s="5"/>
      <c r="G826" s="5"/>
      <c r="H826" s="5"/>
      <c r="I826" s="5"/>
      <c r="J826" s="5"/>
      <c r="K826" s="5"/>
      <c r="L826" s="5"/>
      <c r="M826" s="5"/>
      <c r="N826" s="5"/>
      <c r="O826" s="5"/>
      <c r="P826" s="5"/>
      <c r="Q826" s="5"/>
      <c r="X826" t="str">
        <f t="shared" si="25"/>
        <v/>
      </c>
    </row>
    <row r="827" spans="1:24">
      <c r="A827" s="4"/>
      <c r="B827" s="31"/>
      <c r="C827" s="11" t="e">
        <f t="shared" si="24"/>
        <v>#N/A</v>
      </c>
      <c r="D827" s="5"/>
      <c r="E827" s="5"/>
      <c r="F827" s="5"/>
      <c r="G827" s="5"/>
      <c r="H827" s="5"/>
      <c r="I827" s="5"/>
      <c r="J827" s="5"/>
      <c r="K827" s="5"/>
      <c r="L827" s="5"/>
      <c r="M827" s="5"/>
      <c r="N827" s="5"/>
      <c r="O827" s="5"/>
      <c r="P827" s="5"/>
      <c r="Q827" s="5"/>
      <c r="X827" t="str">
        <f t="shared" si="25"/>
        <v/>
      </c>
    </row>
    <row r="828" spans="1:24">
      <c r="A828" s="4"/>
      <c r="B828" s="31"/>
      <c r="C828" s="11" t="e">
        <f t="shared" si="24"/>
        <v>#N/A</v>
      </c>
      <c r="D828" s="5"/>
      <c r="E828" s="5"/>
      <c r="F828" s="5"/>
      <c r="G828" s="5"/>
      <c r="H828" s="5"/>
      <c r="I828" s="5"/>
      <c r="J828" s="5"/>
      <c r="K828" s="5"/>
      <c r="L828" s="5"/>
      <c r="M828" s="5"/>
      <c r="N828" s="5"/>
      <c r="O828" s="5"/>
      <c r="P828" s="5"/>
      <c r="Q828" s="5"/>
      <c r="X828" t="str">
        <f t="shared" si="25"/>
        <v/>
      </c>
    </row>
    <row r="829" spans="1:24">
      <c r="A829" s="4"/>
      <c r="B829" s="31"/>
      <c r="C829" s="11" t="e">
        <f t="shared" si="24"/>
        <v>#N/A</v>
      </c>
      <c r="D829" s="5"/>
      <c r="E829" s="5"/>
      <c r="F829" s="5"/>
      <c r="G829" s="5"/>
      <c r="H829" s="5"/>
      <c r="I829" s="5"/>
      <c r="J829" s="5"/>
      <c r="K829" s="5"/>
      <c r="L829" s="5"/>
      <c r="M829" s="5"/>
      <c r="N829" s="5"/>
      <c r="O829" s="5"/>
      <c r="P829" s="5"/>
      <c r="Q829" s="5"/>
      <c r="X829" t="str">
        <f t="shared" si="25"/>
        <v/>
      </c>
    </row>
    <row r="830" spans="1:24">
      <c r="A830" s="4"/>
      <c r="B830" s="31"/>
      <c r="C830" s="11" t="e">
        <f t="shared" si="24"/>
        <v>#N/A</v>
      </c>
      <c r="D830" s="5"/>
      <c r="E830" s="5"/>
      <c r="F830" s="5"/>
      <c r="G830" s="5"/>
      <c r="H830" s="5"/>
      <c r="I830" s="5"/>
      <c r="J830" s="5"/>
      <c r="K830" s="5"/>
      <c r="L830" s="5"/>
      <c r="M830" s="5"/>
      <c r="N830" s="5"/>
      <c r="O830" s="5"/>
      <c r="P830" s="5"/>
      <c r="Q830" s="5"/>
      <c r="X830" t="str">
        <f t="shared" si="25"/>
        <v/>
      </c>
    </row>
    <row r="831" spans="1:24">
      <c r="A831" s="4"/>
      <c r="B831" s="31"/>
      <c r="C831" s="11" t="e">
        <f t="shared" si="24"/>
        <v>#N/A</v>
      </c>
      <c r="D831" s="5"/>
      <c r="E831" s="5"/>
      <c r="F831" s="5"/>
      <c r="G831" s="5"/>
      <c r="H831" s="5"/>
      <c r="I831" s="5"/>
      <c r="J831" s="5"/>
      <c r="K831" s="5"/>
      <c r="L831" s="5"/>
      <c r="M831" s="5"/>
      <c r="N831" s="5"/>
      <c r="O831" s="5"/>
      <c r="P831" s="5"/>
      <c r="Q831" s="5"/>
      <c r="X831" t="str">
        <f t="shared" si="25"/>
        <v/>
      </c>
    </row>
    <row r="832" spans="1:24">
      <c r="A832" s="4"/>
      <c r="B832" s="31"/>
      <c r="C832" s="11" t="e">
        <f t="shared" si="24"/>
        <v>#N/A</v>
      </c>
      <c r="D832" s="5"/>
      <c r="E832" s="5"/>
      <c r="F832" s="5"/>
      <c r="G832" s="5"/>
      <c r="H832" s="5"/>
      <c r="I832" s="5"/>
      <c r="J832" s="5"/>
      <c r="K832" s="5"/>
      <c r="L832" s="5"/>
      <c r="M832" s="5"/>
      <c r="N832" s="5"/>
      <c r="O832" s="5"/>
      <c r="P832" s="5"/>
      <c r="Q832" s="5"/>
      <c r="X832" t="str">
        <f t="shared" si="25"/>
        <v/>
      </c>
    </row>
    <row r="833" spans="1:24">
      <c r="A833" s="4"/>
      <c r="B833" s="31"/>
      <c r="C833" s="11" t="e">
        <f t="shared" si="24"/>
        <v>#N/A</v>
      </c>
      <c r="D833" s="5"/>
      <c r="E833" s="5"/>
      <c r="F833" s="5"/>
      <c r="G833" s="5"/>
      <c r="H833" s="5"/>
      <c r="I833" s="5"/>
      <c r="J833" s="5"/>
      <c r="K833" s="5"/>
      <c r="L833" s="5"/>
      <c r="M833" s="5"/>
      <c r="N833" s="5"/>
      <c r="O833" s="5"/>
      <c r="P833" s="5"/>
      <c r="Q833" s="5"/>
      <c r="X833" t="str">
        <f t="shared" si="25"/>
        <v/>
      </c>
    </row>
    <row r="834" spans="1:24">
      <c r="A834" s="4"/>
      <c r="B834" s="31"/>
      <c r="C834" s="11" t="e">
        <f t="shared" si="24"/>
        <v>#N/A</v>
      </c>
      <c r="D834" s="5"/>
      <c r="E834" s="5"/>
      <c r="F834" s="5"/>
      <c r="G834" s="5"/>
      <c r="H834" s="5"/>
      <c r="I834" s="5"/>
      <c r="J834" s="5"/>
      <c r="K834" s="5"/>
      <c r="L834" s="5"/>
      <c r="M834" s="5"/>
      <c r="N834" s="5"/>
      <c r="O834" s="5"/>
      <c r="P834" s="5"/>
      <c r="Q834" s="5"/>
      <c r="X834" t="str">
        <f t="shared" si="25"/>
        <v/>
      </c>
    </row>
    <row r="835" spans="1:24">
      <c r="A835" s="4"/>
      <c r="B835" s="31"/>
      <c r="C835" s="11" t="e">
        <f t="shared" ref="C835:C898" si="26">IF(OR(ISBLANK(A835),ISBLANK(B835)),NA(),A835-B835)</f>
        <v>#N/A</v>
      </c>
      <c r="D835" s="5"/>
      <c r="E835" s="5"/>
      <c r="F835" s="5"/>
      <c r="G835" s="5"/>
      <c r="H835" s="5"/>
      <c r="I835" s="5"/>
      <c r="J835" s="5"/>
      <c r="K835" s="5"/>
      <c r="L835" s="5"/>
      <c r="M835" s="5"/>
      <c r="N835" s="5"/>
      <c r="O835" s="5"/>
      <c r="P835" s="5"/>
      <c r="Q835" s="5"/>
      <c r="X835" t="str">
        <f t="shared" ref="X835:X898" si="27">IFERROR(C835,"")</f>
        <v/>
      </c>
    </row>
    <row r="836" spans="1:24">
      <c r="A836" s="4"/>
      <c r="B836" s="31"/>
      <c r="C836" s="11" t="e">
        <f t="shared" si="26"/>
        <v>#N/A</v>
      </c>
      <c r="D836" s="5"/>
      <c r="E836" s="5"/>
      <c r="F836" s="5"/>
      <c r="G836" s="5"/>
      <c r="H836" s="5"/>
      <c r="I836" s="5"/>
      <c r="J836" s="5"/>
      <c r="K836" s="5"/>
      <c r="L836" s="5"/>
      <c r="M836" s="5"/>
      <c r="N836" s="5"/>
      <c r="O836" s="5"/>
      <c r="P836" s="5"/>
      <c r="Q836" s="5"/>
      <c r="X836" t="str">
        <f t="shared" si="27"/>
        <v/>
      </c>
    </row>
    <row r="837" spans="1:24">
      <c r="A837" s="4"/>
      <c r="B837" s="31"/>
      <c r="C837" s="11" t="e">
        <f t="shared" si="26"/>
        <v>#N/A</v>
      </c>
      <c r="D837" s="5"/>
      <c r="E837" s="5"/>
      <c r="F837" s="5"/>
      <c r="G837" s="5"/>
      <c r="H837" s="5"/>
      <c r="I837" s="5"/>
      <c r="J837" s="5"/>
      <c r="K837" s="5"/>
      <c r="L837" s="5"/>
      <c r="M837" s="5"/>
      <c r="N837" s="5"/>
      <c r="O837" s="5"/>
      <c r="P837" s="5"/>
      <c r="Q837" s="5"/>
      <c r="X837" t="str">
        <f t="shared" si="27"/>
        <v/>
      </c>
    </row>
    <row r="838" spans="1:24">
      <c r="A838" s="4"/>
      <c r="B838" s="31"/>
      <c r="C838" s="11" t="e">
        <f t="shared" si="26"/>
        <v>#N/A</v>
      </c>
      <c r="D838" s="5"/>
      <c r="E838" s="5"/>
      <c r="F838" s="5"/>
      <c r="G838" s="5"/>
      <c r="H838" s="5"/>
      <c r="I838" s="5"/>
      <c r="J838" s="5"/>
      <c r="K838" s="5"/>
      <c r="L838" s="5"/>
      <c r="M838" s="5"/>
      <c r="N838" s="5"/>
      <c r="O838" s="5"/>
      <c r="P838" s="5"/>
      <c r="Q838" s="5"/>
      <c r="X838" t="str">
        <f t="shared" si="27"/>
        <v/>
      </c>
    </row>
    <row r="839" spans="1:24">
      <c r="A839" s="4"/>
      <c r="B839" s="31"/>
      <c r="C839" s="11" t="e">
        <f t="shared" si="26"/>
        <v>#N/A</v>
      </c>
      <c r="D839" s="5"/>
      <c r="E839" s="5"/>
      <c r="F839" s="5"/>
      <c r="G839" s="5"/>
      <c r="H839" s="5"/>
      <c r="I839" s="5"/>
      <c r="J839" s="5"/>
      <c r="K839" s="5"/>
      <c r="L839" s="5"/>
      <c r="M839" s="5"/>
      <c r="N839" s="5"/>
      <c r="O839" s="5"/>
      <c r="P839" s="5"/>
      <c r="Q839" s="5"/>
      <c r="X839" t="str">
        <f t="shared" si="27"/>
        <v/>
      </c>
    </row>
    <row r="840" spans="1:24">
      <c r="A840" s="4"/>
      <c r="B840" s="31"/>
      <c r="C840" s="11" t="e">
        <f t="shared" si="26"/>
        <v>#N/A</v>
      </c>
      <c r="D840" s="5"/>
      <c r="E840" s="5"/>
      <c r="F840" s="5"/>
      <c r="G840" s="5"/>
      <c r="H840" s="5"/>
      <c r="I840" s="5"/>
      <c r="J840" s="5"/>
      <c r="K840" s="5"/>
      <c r="L840" s="5"/>
      <c r="M840" s="5"/>
      <c r="N840" s="5"/>
      <c r="O840" s="5"/>
      <c r="P840" s="5"/>
      <c r="Q840" s="5"/>
      <c r="X840" t="str">
        <f t="shared" si="27"/>
        <v/>
      </c>
    </row>
    <row r="841" spans="1:24">
      <c r="A841" s="4"/>
      <c r="B841" s="31"/>
      <c r="C841" s="11" t="e">
        <f t="shared" si="26"/>
        <v>#N/A</v>
      </c>
      <c r="D841" s="5"/>
      <c r="E841" s="5"/>
      <c r="F841" s="5"/>
      <c r="G841" s="5"/>
      <c r="H841" s="5"/>
      <c r="I841" s="5"/>
      <c r="J841" s="5"/>
      <c r="K841" s="5"/>
      <c r="L841" s="5"/>
      <c r="M841" s="5"/>
      <c r="N841" s="5"/>
      <c r="O841" s="5"/>
      <c r="P841" s="5"/>
      <c r="Q841" s="5"/>
      <c r="X841" t="str">
        <f t="shared" si="27"/>
        <v/>
      </c>
    </row>
    <row r="842" spans="1:24">
      <c r="A842" s="4"/>
      <c r="B842" s="31"/>
      <c r="C842" s="11" t="e">
        <f t="shared" si="26"/>
        <v>#N/A</v>
      </c>
      <c r="D842" s="5"/>
      <c r="E842" s="5"/>
      <c r="F842" s="5"/>
      <c r="G842" s="5"/>
      <c r="H842" s="5"/>
      <c r="I842" s="5"/>
      <c r="J842" s="5"/>
      <c r="K842" s="5"/>
      <c r="L842" s="5"/>
      <c r="M842" s="5"/>
      <c r="N842" s="5"/>
      <c r="O842" s="5"/>
      <c r="P842" s="5"/>
      <c r="Q842" s="5"/>
      <c r="X842" t="str">
        <f t="shared" si="27"/>
        <v/>
      </c>
    </row>
    <row r="843" spans="1:24">
      <c r="A843" s="4"/>
      <c r="B843" s="31"/>
      <c r="C843" s="11" t="e">
        <f t="shared" si="26"/>
        <v>#N/A</v>
      </c>
      <c r="D843" s="5"/>
      <c r="E843" s="5"/>
      <c r="F843" s="5"/>
      <c r="G843" s="5"/>
      <c r="H843" s="5"/>
      <c r="I843" s="5"/>
      <c r="J843" s="5"/>
      <c r="K843" s="5"/>
      <c r="L843" s="5"/>
      <c r="M843" s="5"/>
      <c r="N843" s="5"/>
      <c r="O843" s="5"/>
      <c r="P843" s="5"/>
      <c r="Q843" s="5"/>
      <c r="X843" t="str">
        <f t="shared" si="27"/>
        <v/>
      </c>
    </row>
    <row r="844" spans="1:24">
      <c r="A844" s="4"/>
      <c r="B844" s="31"/>
      <c r="C844" s="11" t="e">
        <f t="shared" si="26"/>
        <v>#N/A</v>
      </c>
      <c r="D844" s="5"/>
      <c r="E844" s="5"/>
      <c r="F844" s="5"/>
      <c r="G844" s="5"/>
      <c r="H844" s="5"/>
      <c r="I844" s="5"/>
      <c r="J844" s="5"/>
      <c r="K844" s="5"/>
      <c r="L844" s="5"/>
      <c r="M844" s="5"/>
      <c r="N844" s="5"/>
      <c r="O844" s="5"/>
      <c r="P844" s="5"/>
      <c r="Q844" s="5"/>
      <c r="X844" t="str">
        <f t="shared" si="27"/>
        <v/>
      </c>
    </row>
    <row r="845" spans="1:24">
      <c r="A845" s="4"/>
      <c r="B845" s="31"/>
      <c r="C845" s="11" t="e">
        <f t="shared" si="26"/>
        <v>#N/A</v>
      </c>
      <c r="D845" s="5"/>
      <c r="E845" s="5"/>
      <c r="F845" s="5"/>
      <c r="G845" s="5"/>
      <c r="H845" s="5"/>
      <c r="I845" s="5"/>
      <c r="J845" s="5"/>
      <c r="K845" s="5"/>
      <c r="L845" s="5"/>
      <c r="M845" s="5"/>
      <c r="N845" s="5"/>
      <c r="O845" s="5"/>
      <c r="P845" s="5"/>
      <c r="Q845" s="5"/>
      <c r="X845" t="str">
        <f t="shared" si="27"/>
        <v/>
      </c>
    </row>
    <row r="846" spans="1:24">
      <c r="A846" s="4"/>
      <c r="B846" s="31"/>
      <c r="C846" s="11" t="e">
        <f t="shared" si="26"/>
        <v>#N/A</v>
      </c>
      <c r="D846" s="5"/>
      <c r="E846" s="5"/>
      <c r="F846" s="5"/>
      <c r="G846" s="5"/>
      <c r="H846" s="5"/>
      <c r="I846" s="5"/>
      <c r="J846" s="5"/>
      <c r="K846" s="5"/>
      <c r="L846" s="5"/>
      <c r="M846" s="5"/>
      <c r="N846" s="5"/>
      <c r="O846" s="5"/>
      <c r="P846" s="5"/>
      <c r="Q846" s="5"/>
      <c r="X846" t="str">
        <f t="shared" si="27"/>
        <v/>
      </c>
    </row>
    <row r="847" spans="1:24">
      <c r="A847" s="4"/>
      <c r="B847" s="31"/>
      <c r="C847" s="11" t="e">
        <f t="shared" si="26"/>
        <v>#N/A</v>
      </c>
      <c r="D847" s="5"/>
      <c r="E847" s="5"/>
      <c r="F847" s="5"/>
      <c r="G847" s="5"/>
      <c r="H847" s="5"/>
      <c r="I847" s="5"/>
      <c r="J847" s="5"/>
      <c r="K847" s="5"/>
      <c r="L847" s="5"/>
      <c r="M847" s="5"/>
      <c r="N847" s="5"/>
      <c r="O847" s="5"/>
      <c r="P847" s="5"/>
      <c r="Q847" s="5"/>
      <c r="X847" t="str">
        <f t="shared" si="27"/>
        <v/>
      </c>
    </row>
    <row r="848" spans="1:24">
      <c r="A848" s="4"/>
      <c r="B848" s="31"/>
      <c r="C848" s="11" t="e">
        <f t="shared" si="26"/>
        <v>#N/A</v>
      </c>
      <c r="D848" s="5"/>
      <c r="E848" s="5"/>
      <c r="F848" s="5"/>
      <c r="G848" s="5"/>
      <c r="H848" s="5"/>
      <c r="I848" s="5"/>
      <c r="J848" s="5"/>
      <c r="K848" s="5"/>
      <c r="L848" s="5"/>
      <c r="M848" s="5"/>
      <c r="N848" s="5"/>
      <c r="O848" s="5"/>
      <c r="P848" s="5"/>
      <c r="Q848" s="5"/>
      <c r="X848" t="str">
        <f t="shared" si="27"/>
        <v/>
      </c>
    </row>
    <row r="849" spans="1:24">
      <c r="A849" s="4"/>
      <c r="B849" s="31"/>
      <c r="C849" s="11" t="e">
        <f t="shared" si="26"/>
        <v>#N/A</v>
      </c>
      <c r="D849" s="5"/>
      <c r="E849" s="5"/>
      <c r="F849" s="5"/>
      <c r="G849" s="5"/>
      <c r="H849" s="5"/>
      <c r="I849" s="5"/>
      <c r="J849" s="5"/>
      <c r="K849" s="5"/>
      <c r="L849" s="5"/>
      <c r="M849" s="5"/>
      <c r="N849" s="5"/>
      <c r="O849" s="5"/>
      <c r="P849" s="5"/>
      <c r="Q849" s="5"/>
      <c r="X849" t="str">
        <f t="shared" si="27"/>
        <v/>
      </c>
    </row>
    <row r="850" spans="1:24">
      <c r="A850" s="4"/>
      <c r="B850" s="31"/>
      <c r="C850" s="11" t="e">
        <f t="shared" si="26"/>
        <v>#N/A</v>
      </c>
      <c r="D850" s="5"/>
      <c r="E850" s="5"/>
      <c r="F850" s="5"/>
      <c r="G850" s="5"/>
      <c r="H850" s="5"/>
      <c r="I850" s="5"/>
      <c r="J850" s="5"/>
      <c r="K850" s="5"/>
      <c r="L850" s="5"/>
      <c r="M850" s="5"/>
      <c r="N850" s="5"/>
      <c r="O850" s="5"/>
      <c r="P850" s="5"/>
      <c r="Q850" s="5"/>
      <c r="X850" t="str">
        <f t="shared" si="27"/>
        <v/>
      </c>
    </row>
    <row r="851" spans="1:24">
      <c r="A851" s="4"/>
      <c r="B851" s="31"/>
      <c r="C851" s="11" t="e">
        <f t="shared" si="26"/>
        <v>#N/A</v>
      </c>
      <c r="D851" s="5"/>
      <c r="E851" s="5"/>
      <c r="F851" s="5"/>
      <c r="G851" s="5"/>
      <c r="H851" s="5"/>
      <c r="I851" s="5"/>
      <c r="J851" s="5"/>
      <c r="K851" s="5"/>
      <c r="L851" s="5"/>
      <c r="M851" s="5"/>
      <c r="N851" s="5"/>
      <c r="O851" s="5"/>
      <c r="P851" s="5"/>
      <c r="Q851" s="5"/>
      <c r="X851" t="str">
        <f t="shared" si="27"/>
        <v/>
      </c>
    </row>
    <row r="852" spans="1:24">
      <c r="A852" s="4"/>
      <c r="B852" s="31"/>
      <c r="C852" s="11" t="e">
        <f t="shared" si="26"/>
        <v>#N/A</v>
      </c>
      <c r="D852" s="5"/>
      <c r="E852" s="5"/>
      <c r="F852" s="5"/>
      <c r="G852" s="5"/>
      <c r="H852" s="5"/>
      <c r="I852" s="5"/>
      <c r="J852" s="5"/>
      <c r="K852" s="5"/>
      <c r="L852" s="5"/>
      <c r="M852" s="5"/>
      <c r="N852" s="5"/>
      <c r="O852" s="5"/>
      <c r="P852" s="5"/>
      <c r="Q852" s="5"/>
      <c r="X852" t="str">
        <f t="shared" si="27"/>
        <v/>
      </c>
    </row>
    <row r="853" spans="1:24">
      <c r="A853" s="4"/>
      <c r="B853" s="31"/>
      <c r="C853" s="11" t="e">
        <f t="shared" si="26"/>
        <v>#N/A</v>
      </c>
      <c r="D853" s="5"/>
      <c r="E853" s="5"/>
      <c r="F853" s="5"/>
      <c r="G853" s="5"/>
      <c r="H853" s="5"/>
      <c r="I853" s="5"/>
      <c r="J853" s="5"/>
      <c r="K853" s="5"/>
      <c r="L853" s="5"/>
      <c r="M853" s="5"/>
      <c r="N853" s="5"/>
      <c r="O853" s="5"/>
      <c r="P853" s="5"/>
      <c r="Q853" s="5"/>
      <c r="X853" t="str">
        <f t="shared" si="27"/>
        <v/>
      </c>
    </row>
    <row r="854" spans="1:24">
      <c r="A854" s="4"/>
      <c r="B854" s="31"/>
      <c r="C854" s="11" t="e">
        <f t="shared" si="26"/>
        <v>#N/A</v>
      </c>
      <c r="D854" s="5"/>
      <c r="E854" s="5"/>
      <c r="F854" s="5"/>
      <c r="G854" s="5"/>
      <c r="H854" s="5"/>
      <c r="I854" s="5"/>
      <c r="J854" s="5"/>
      <c r="K854" s="5"/>
      <c r="L854" s="5"/>
      <c r="M854" s="5"/>
      <c r="N854" s="5"/>
      <c r="O854" s="5"/>
      <c r="P854" s="5"/>
      <c r="Q854" s="5"/>
      <c r="X854" t="str">
        <f t="shared" si="27"/>
        <v/>
      </c>
    </row>
    <row r="855" spans="1:24">
      <c r="A855" s="4"/>
      <c r="B855" s="31"/>
      <c r="C855" s="11" t="e">
        <f t="shared" si="26"/>
        <v>#N/A</v>
      </c>
      <c r="D855" s="5"/>
      <c r="E855" s="5"/>
      <c r="F855" s="5"/>
      <c r="G855" s="5"/>
      <c r="H855" s="5"/>
      <c r="I855" s="5"/>
      <c r="J855" s="5"/>
      <c r="K855" s="5"/>
      <c r="L855" s="5"/>
      <c r="M855" s="5"/>
      <c r="N855" s="5"/>
      <c r="O855" s="5"/>
      <c r="P855" s="5"/>
      <c r="Q855" s="5"/>
      <c r="X855" t="str">
        <f t="shared" si="27"/>
        <v/>
      </c>
    </row>
    <row r="856" spans="1:24">
      <c r="A856" s="4"/>
      <c r="B856" s="31"/>
      <c r="C856" s="11" t="e">
        <f t="shared" si="26"/>
        <v>#N/A</v>
      </c>
      <c r="D856" s="5"/>
      <c r="E856" s="5"/>
      <c r="F856" s="5"/>
      <c r="G856" s="5"/>
      <c r="H856" s="5"/>
      <c r="I856" s="5"/>
      <c r="J856" s="5"/>
      <c r="K856" s="5"/>
      <c r="L856" s="5"/>
      <c r="M856" s="5"/>
      <c r="N856" s="5"/>
      <c r="O856" s="5"/>
      <c r="P856" s="5"/>
      <c r="Q856" s="5"/>
      <c r="X856" t="str">
        <f t="shared" si="27"/>
        <v/>
      </c>
    </row>
    <row r="857" spans="1:24">
      <c r="A857" s="4"/>
      <c r="B857" s="31"/>
      <c r="C857" s="11" t="e">
        <f t="shared" si="26"/>
        <v>#N/A</v>
      </c>
      <c r="D857" s="5"/>
      <c r="E857" s="5"/>
      <c r="F857" s="5"/>
      <c r="G857" s="5"/>
      <c r="H857" s="5"/>
      <c r="I857" s="5"/>
      <c r="J857" s="5"/>
      <c r="K857" s="5"/>
      <c r="L857" s="5"/>
      <c r="M857" s="5"/>
      <c r="N857" s="5"/>
      <c r="O857" s="5"/>
      <c r="P857" s="5"/>
      <c r="Q857" s="5"/>
      <c r="X857" t="str">
        <f t="shared" si="27"/>
        <v/>
      </c>
    </row>
    <row r="858" spans="1:24">
      <c r="A858" s="4"/>
      <c r="B858" s="31"/>
      <c r="C858" s="11" t="e">
        <f t="shared" si="26"/>
        <v>#N/A</v>
      </c>
      <c r="D858" s="5"/>
      <c r="E858" s="5"/>
      <c r="F858" s="5"/>
      <c r="G858" s="5"/>
      <c r="H858" s="5"/>
      <c r="I858" s="5"/>
      <c r="J858" s="5"/>
      <c r="K858" s="5"/>
      <c r="L858" s="5"/>
      <c r="M858" s="5"/>
      <c r="N858" s="5"/>
      <c r="O858" s="5"/>
      <c r="P858" s="5"/>
      <c r="Q858" s="5"/>
      <c r="X858" t="str">
        <f t="shared" si="27"/>
        <v/>
      </c>
    </row>
    <row r="859" spans="1:24">
      <c r="A859" s="4"/>
      <c r="B859" s="31"/>
      <c r="C859" s="11" t="e">
        <f t="shared" si="26"/>
        <v>#N/A</v>
      </c>
      <c r="D859" s="5"/>
      <c r="E859" s="5"/>
      <c r="F859" s="5"/>
      <c r="G859" s="5"/>
      <c r="H859" s="5"/>
      <c r="I859" s="5"/>
      <c r="J859" s="5"/>
      <c r="K859" s="5"/>
      <c r="L859" s="5"/>
      <c r="M859" s="5"/>
      <c r="N859" s="5"/>
      <c r="O859" s="5"/>
      <c r="P859" s="5"/>
      <c r="Q859" s="5"/>
      <c r="X859" t="str">
        <f t="shared" si="27"/>
        <v/>
      </c>
    </row>
    <row r="860" spans="1:24">
      <c r="A860" s="4"/>
      <c r="B860" s="31"/>
      <c r="C860" s="11" t="e">
        <f t="shared" si="26"/>
        <v>#N/A</v>
      </c>
      <c r="D860" s="5"/>
      <c r="E860" s="5"/>
      <c r="F860" s="5"/>
      <c r="G860" s="5"/>
      <c r="H860" s="5"/>
      <c r="I860" s="5"/>
      <c r="J860" s="5"/>
      <c r="K860" s="5"/>
      <c r="L860" s="5"/>
      <c r="M860" s="5"/>
      <c r="N860" s="5"/>
      <c r="O860" s="5"/>
      <c r="P860" s="5"/>
      <c r="Q860" s="5"/>
      <c r="X860" t="str">
        <f t="shared" si="27"/>
        <v/>
      </c>
    </row>
    <row r="861" spans="1:24">
      <c r="A861" s="4"/>
      <c r="B861" s="31"/>
      <c r="C861" s="11" t="e">
        <f t="shared" si="26"/>
        <v>#N/A</v>
      </c>
      <c r="D861" s="5"/>
      <c r="E861" s="5"/>
      <c r="F861" s="5"/>
      <c r="G861" s="5"/>
      <c r="H861" s="5"/>
      <c r="I861" s="5"/>
      <c r="J861" s="5"/>
      <c r="K861" s="5"/>
      <c r="L861" s="5"/>
      <c r="M861" s="5"/>
      <c r="N861" s="5"/>
      <c r="O861" s="5"/>
      <c r="P861" s="5"/>
      <c r="Q861" s="5"/>
      <c r="X861" t="str">
        <f t="shared" si="27"/>
        <v/>
      </c>
    </row>
    <row r="862" spans="1:24">
      <c r="A862" s="4"/>
      <c r="B862" s="31"/>
      <c r="C862" s="11" t="e">
        <f t="shared" si="26"/>
        <v>#N/A</v>
      </c>
      <c r="D862" s="5"/>
      <c r="E862" s="5"/>
      <c r="F862" s="5"/>
      <c r="G862" s="5"/>
      <c r="H862" s="5"/>
      <c r="I862" s="5"/>
      <c r="J862" s="5"/>
      <c r="K862" s="5"/>
      <c r="L862" s="5"/>
      <c r="M862" s="5"/>
      <c r="N862" s="5"/>
      <c r="O862" s="5"/>
      <c r="P862" s="5"/>
      <c r="Q862" s="5"/>
      <c r="X862" t="str">
        <f t="shared" si="27"/>
        <v/>
      </c>
    </row>
    <row r="863" spans="1:24">
      <c r="A863" s="4"/>
      <c r="B863" s="31"/>
      <c r="C863" s="11" t="e">
        <f t="shared" si="26"/>
        <v>#N/A</v>
      </c>
      <c r="D863" s="5"/>
      <c r="E863" s="5"/>
      <c r="F863" s="5"/>
      <c r="G863" s="5"/>
      <c r="H863" s="5"/>
      <c r="I863" s="5"/>
      <c r="J863" s="5"/>
      <c r="K863" s="5"/>
      <c r="L863" s="5"/>
      <c r="M863" s="5"/>
      <c r="N863" s="5"/>
      <c r="O863" s="5"/>
      <c r="P863" s="5"/>
      <c r="Q863" s="5"/>
      <c r="X863" t="str">
        <f t="shared" si="27"/>
        <v/>
      </c>
    </row>
    <row r="864" spans="1:24">
      <c r="A864" s="4"/>
      <c r="B864" s="31"/>
      <c r="C864" s="11" t="e">
        <f t="shared" si="26"/>
        <v>#N/A</v>
      </c>
      <c r="D864" s="5"/>
      <c r="E864" s="5"/>
      <c r="F864" s="5"/>
      <c r="G864" s="5"/>
      <c r="H864" s="5"/>
      <c r="I864" s="5"/>
      <c r="J864" s="5"/>
      <c r="K864" s="5"/>
      <c r="L864" s="5"/>
      <c r="M864" s="5"/>
      <c r="N864" s="5"/>
      <c r="O864" s="5"/>
      <c r="P864" s="5"/>
      <c r="Q864" s="5"/>
      <c r="X864" t="str">
        <f t="shared" si="27"/>
        <v/>
      </c>
    </row>
    <row r="865" spans="1:24">
      <c r="A865" s="4"/>
      <c r="B865" s="31"/>
      <c r="C865" s="11" t="e">
        <f t="shared" si="26"/>
        <v>#N/A</v>
      </c>
      <c r="D865" s="5"/>
      <c r="E865" s="5"/>
      <c r="F865" s="5"/>
      <c r="G865" s="5"/>
      <c r="H865" s="5"/>
      <c r="I865" s="5"/>
      <c r="J865" s="5"/>
      <c r="K865" s="5"/>
      <c r="L865" s="5"/>
      <c r="M865" s="5"/>
      <c r="N865" s="5"/>
      <c r="O865" s="5"/>
      <c r="P865" s="5"/>
      <c r="Q865" s="5"/>
      <c r="X865" t="str">
        <f t="shared" si="27"/>
        <v/>
      </c>
    </row>
    <row r="866" spans="1:24">
      <c r="A866" s="4"/>
      <c r="B866" s="31"/>
      <c r="C866" s="11" t="e">
        <f t="shared" si="26"/>
        <v>#N/A</v>
      </c>
      <c r="D866" s="5"/>
      <c r="E866" s="5"/>
      <c r="F866" s="5"/>
      <c r="G866" s="5"/>
      <c r="H866" s="5"/>
      <c r="I866" s="5"/>
      <c r="J866" s="5"/>
      <c r="K866" s="5"/>
      <c r="L866" s="5"/>
      <c r="M866" s="5"/>
      <c r="N866" s="5"/>
      <c r="O866" s="5"/>
      <c r="P866" s="5"/>
      <c r="Q866" s="5"/>
      <c r="X866" t="str">
        <f t="shared" si="27"/>
        <v/>
      </c>
    </row>
    <row r="867" spans="1:24">
      <c r="A867" s="4"/>
      <c r="B867" s="31"/>
      <c r="C867" s="11" t="e">
        <f t="shared" si="26"/>
        <v>#N/A</v>
      </c>
      <c r="D867" s="5"/>
      <c r="E867" s="5"/>
      <c r="F867" s="5"/>
      <c r="G867" s="5"/>
      <c r="H867" s="5"/>
      <c r="I867" s="5"/>
      <c r="J867" s="5"/>
      <c r="K867" s="5"/>
      <c r="L867" s="5"/>
      <c r="M867" s="5"/>
      <c r="N867" s="5"/>
      <c r="O867" s="5"/>
      <c r="P867" s="5"/>
      <c r="Q867" s="5"/>
      <c r="X867" t="str">
        <f t="shared" si="27"/>
        <v/>
      </c>
    </row>
    <row r="868" spans="1:24">
      <c r="A868" s="4"/>
      <c r="B868" s="31"/>
      <c r="C868" s="11" t="e">
        <f t="shared" si="26"/>
        <v>#N/A</v>
      </c>
      <c r="D868" s="5"/>
      <c r="E868" s="5"/>
      <c r="F868" s="5"/>
      <c r="G868" s="5"/>
      <c r="H868" s="5"/>
      <c r="I868" s="5"/>
      <c r="J868" s="5"/>
      <c r="K868" s="5"/>
      <c r="L868" s="5"/>
      <c r="M868" s="5"/>
      <c r="N868" s="5"/>
      <c r="O868" s="5"/>
      <c r="P868" s="5"/>
      <c r="Q868" s="5"/>
      <c r="X868" t="str">
        <f t="shared" si="27"/>
        <v/>
      </c>
    </row>
    <row r="869" spans="1:24">
      <c r="A869" s="4"/>
      <c r="B869" s="31"/>
      <c r="C869" s="11" t="e">
        <f t="shared" si="26"/>
        <v>#N/A</v>
      </c>
      <c r="D869" s="5"/>
      <c r="E869" s="5"/>
      <c r="F869" s="5"/>
      <c r="G869" s="5"/>
      <c r="H869" s="5"/>
      <c r="I869" s="5"/>
      <c r="J869" s="5"/>
      <c r="K869" s="5"/>
      <c r="L869" s="5"/>
      <c r="M869" s="5"/>
      <c r="N869" s="5"/>
      <c r="O869" s="5"/>
      <c r="P869" s="5"/>
      <c r="Q869" s="5"/>
      <c r="X869" t="str">
        <f t="shared" si="27"/>
        <v/>
      </c>
    </row>
    <row r="870" spans="1:24">
      <c r="A870" s="4"/>
      <c r="B870" s="31"/>
      <c r="C870" s="11" t="e">
        <f t="shared" si="26"/>
        <v>#N/A</v>
      </c>
      <c r="D870" s="5"/>
      <c r="E870" s="5"/>
      <c r="F870" s="5"/>
      <c r="G870" s="5"/>
      <c r="H870" s="5"/>
      <c r="I870" s="5"/>
      <c r="J870" s="5"/>
      <c r="K870" s="5"/>
      <c r="L870" s="5"/>
      <c r="M870" s="5"/>
      <c r="N870" s="5"/>
      <c r="O870" s="5"/>
      <c r="P870" s="5"/>
      <c r="Q870" s="5"/>
      <c r="X870" t="str">
        <f t="shared" si="27"/>
        <v/>
      </c>
    </row>
    <row r="871" spans="1:24">
      <c r="A871" s="4"/>
      <c r="B871" s="31"/>
      <c r="C871" s="11" t="e">
        <f t="shared" si="26"/>
        <v>#N/A</v>
      </c>
      <c r="D871" s="5"/>
      <c r="E871" s="5"/>
      <c r="F871" s="5"/>
      <c r="G871" s="5"/>
      <c r="H871" s="5"/>
      <c r="I871" s="5"/>
      <c r="J871" s="5"/>
      <c r="K871" s="5"/>
      <c r="L871" s="5"/>
      <c r="M871" s="5"/>
      <c r="N871" s="5"/>
      <c r="O871" s="5"/>
      <c r="P871" s="5"/>
      <c r="Q871" s="5"/>
      <c r="X871" t="str">
        <f t="shared" si="27"/>
        <v/>
      </c>
    </row>
    <row r="872" spans="1:24">
      <c r="A872" s="4"/>
      <c r="B872" s="31"/>
      <c r="C872" s="11" t="e">
        <f t="shared" si="26"/>
        <v>#N/A</v>
      </c>
      <c r="D872" s="5"/>
      <c r="E872" s="5"/>
      <c r="F872" s="5"/>
      <c r="G872" s="5"/>
      <c r="H872" s="5"/>
      <c r="I872" s="5"/>
      <c r="J872" s="5"/>
      <c r="K872" s="5"/>
      <c r="L872" s="5"/>
      <c r="M872" s="5"/>
      <c r="N872" s="5"/>
      <c r="O872" s="5"/>
      <c r="P872" s="5"/>
      <c r="Q872" s="5"/>
      <c r="X872" t="str">
        <f t="shared" si="27"/>
        <v/>
      </c>
    </row>
    <row r="873" spans="1:24">
      <c r="A873" s="4"/>
      <c r="B873" s="31"/>
      <c r="C873" s="11" t="e">
        <f t="shared" si="26"/>
        <v>#N/A</v>
      </c>
      <c r="D873" s="5"/>
      <c r="E873" s="5"/>
      <c r="F873" s="5"/>
      <c r="G873" s="5"/>
      <c r="H873" s="5"/>
      <c r="I873" s="5"/>
      <c r="J873" s="5"/>
      <c r="K873" s="5"/>
      <c r="L873" s="5"/>
      <c r="M873" s="5"/>
      <c r="N873" s="5"/>
      <c r="O873" s="5"/>
      <c r="P873" s="5"/>
      <c r="Q873" s="5"/>
      <c r="X873" t="str">
        <f t="shared" si="27"/>
        <v/>
      </c>
    </row>
    <row r="874" spans="1:24">
      <c r="A874" s="4"/>
      <c r="B874" s="31"/>
      <c r="C874" s="11" t="e">
        <f t="shared" si="26"/>
        <v>#N/A</v>
      </c>
      <c r="D874" s="5"/>
      <c r="E874" s="5"/>
      <c r="F874" s="5"/>
      <c r="G874" s="5"/>
      <c r="H874" s="5"/>
      <c r="I874" s="5"/>
      <c r="J874" s="5"/>
      <c r="K874" s="5"/>
      <c r="L874" s="5"/>
      <c r="M874" s="5"/>
      <c r="N874" s="5"/>
      <c r="O874" s="5"/>
      <c r="P874" s="5"/>
      <c r="Q874" s="5"/>
      <c r="X874" t="str">
        <f t="shared" si="27"/>
        <v/>
      </c>
    </row>
    <row r="875" spans="1:24">
      <c r="A875" s="4"/>
      <c r="B875" s="31"/>
      <c r="C875" s="11" t="e">
        <f t="shared" si="26"/>
        <v>#N/A</v>
      </c>
      <c r="D875" s="5"/>
      <c r="E875" s="5"/>
      <c r="F875" s="5"/>
      <c r="G875" s="5"/>
      <c r="H875" s="5"/>
      <c r="I875" s="5"/>
      <c r="J875" s="5"/>
      <c r="K875" s="5"/>
      <c r="L875" s="5"/>
      <c r="M875" s="5"/>
      <c r="N875" s="5"/>
      <c r="O875" s="5"/>
      <c r="P875" s="5"/>
      <c r="Q875" s="5"/>
      <c r="X875" t="str">
        <f t="shared" si="27"/>
        <v/>
      </c>
    </row>
    <row r="876" spans="1:24">
      <c r="A876" s="4"/>
      <c r="B876" s="31"/>
      <c r="C876" s="11" t="e">
        <f t="shared" si="26"/>
        <v>#N/A</v>
      </c>
      <c r="D876" s="5"/>
      <c r="E876" s="5"/>
      <c r="F876" s="5"/>
      <c r="G876" s="5"/>
      <c r="H876" s="5"/>
      <c r="I876" s="5"/>
      <c r="J876" s="5"/>
      <c r="K876" s="5"/>
      <c r="L876" s="5"/>
      <c r="M876" s="5"/>
      <c r="N876" s="5"/>
      <c r="O876" s="5"/>
      <c r="P876" s="5"/>
      <c r="Q876" s="5"/>
      <c r="X876" t="str">
        <f t="shared" si="27"/>
        <v/>
      </c>
    </row>
    <row r="877" spans="1:24">
      <c r="A877" s="4"/>
      <c r="B877" s="31"/>
      <c r="C877" s="11" t="e">
        <f t="shared" si="26"/>
        <v>#N/A</v>
      </c>
      <c r="D877" s="5"/>
      <c r="E877" s="5"/>
      <c r="F877" s="5"/>
      <c r="G877" s="5"/>
      <c r="H877" s="5"/>
      <c r="I877" s="5"/>
      <c r="J877" s="5"/>
      <c r="K877" s="5"/>
      <c r="L877" s="5"/>
      <c r="M877" s="5"/>
      <c r="N877" s="5"/>
      <c r="O877" s="5"/>
      <c r="P877" s="5"/>
      <c r="Q877" s="5"/>
      <c r="X877" t="str">
        <f t="shared" si="27"/>
        <v/>
      </c>
    </row>
    <row r="878" spans="1:24">
      <c r="A878" s="4"/>
      <c r="B878" s="31"/>
      <c r="C878" s="11" t="e">
        <f t="shared" si="26"/>
        <v>#N/A</v>
      </c>
      <c r="D878" s="5"/>
      <c r="E878" s="5"/>
      <c r="F878" s="5"/>
      <c r="G878" s="5"/>
      <c r="H878" s="5"/>
      <c r="I878" s="5"/>
      <c r="J878" s="5"/>
      <c r="K878" s="5"/>
      <c r="L878" s="5"/>
      <c r="M878" s="5"/>
      <c r="N878" s="5"/>
      <c r="O878" s="5"/>
      <c r="P878" s="5"/>
      <c r="Q878" s="5"/>
      <c r="X878" t="str">
        <f t="shared" si="27"/>
        <v/>
      </c>
    </row>
    <row r="879" spans="1:24">
      <c r="A879" s="4"/>
      <c r="B879" s="31"/>
      <c r="C879" s="11" t="e">
        <f t="shared" si="26"/>
        <v>#N/A</v>
      </c>
      <c r="D879" s="5"/>
      <c r="E879" s="5"/>
      <c r="F879" s="5"/>
      <c r="G879" s="5"/>
      <c r="H879" s="5"/>
      <c r="I879" s="5"/>
      <c r="J879" s="5"/>
      <c r="K879" s="5"/>
      <c r="L879" s="5"/>
      <c r="M879" s="5"/>
      <c r="N879" s="5"/>
      <c r="O879" s="5"/>
      <c r="P879" s="5"/>
      <c r="Q879" s="5"/>
      <c r="X879" t="str">
        <f t="shared" si="27"/>
        <v/>
      </c>
    </row>
    <row r="880" spans="1:24">
      <c r="A880" s="4"/>
      <c r="B880" s="31"/>
      <c r="C880" s="11" t="e">
        <f t="shared" si="26"/>
        <v>#N/A</v>
      </c>
      <c r="D880" s="5"/>
      <c r="E880" s="5"/>
      <c r="F880" s="5"/>
      <c r="G880" s="5"/>
      <c r="H880" s="5"/>
      <c r="I880" s="5"/>
      <c r="J880" s="5"/>
      <c r="K880" s="5"/>
      <c r="L880" s="5"/>
      <c r="M880" s="5"/>
      <c r="N880" s="5"/>
      <c r="O880" s="5"/>
      <c r="P880" s="5"/>
      <c r="Q880" s="5"/>
      <c r="X880" t="str">
        <f t="shared" si="27"/>
        <v/>
      </c>
    </row>
    <row r="881" spans="1:24">
      <c r="A881" s="4"/>
      <c r="B881" s="31"/>
      <c r="C881" s="11" t="e">
        <f t="shared" si="26"/>
        <v>#N/A</v>
      </c>
      <c r="D881" s="5"/>
      <c r="E881" s="5"/>
      <c r="F881" s="5"/>
      <c r="G881" s="5"/>
      <c r="H881" s="5"/>
      <c r="I881" s="5"/>
      <c r="J881" s="5"/>
      <c r="K881" s="5"/>
      <c r="L881" s="5"/>
      <c r="M881" s="5"/>
      <c r="N881" s="5"/>
      <c r="O881" s="5"/>
      <c r="P881" s="5"/>
      <c r="Q881" s="5"/>
      <c r="X881" t="str">
        <f t="shared" si="27"/>
        <v/>
      </c>
    </row>
    <row r="882" spans="1:24">
      <c r="A882" s="4"/>
      <c r="B882" s="31"/>
      <c r="C882" s="11" t="e">
        <f t="shared" si="26"/>
        <v>#N/A</v>
      </c>
      <c r="D882" s="5"/>
      <c r="E882" s="5"/>
      <c r="F882" s="5"/>
      <c r="G882" s="5"/>
      <c r="H882" s="5"/>
      <c r="I882" s="5"/>
      <c r="J882" s="5"/>
      <c r="K882" s="5"/>
      <c r="L882" s="5"/>
      <c r="M882" s="5"/>
      <c r="N882" s="5"/>
      <c r="O882" s="5"/>
      <c r="P882" s="5"/>
      <c r="Q882" s="5"/>
      <c r="X882" t="str">
        <f t="shared" si="27"/>
        <v/>
      </c>
    </row>
    <row r="883" spans="1:24">
      <c r="A883" s="4"/>
      <c r="B883" s="31"/>
      <c r="C883" s="11" t="e">
        <f t="shared" si="26"/>
        <v>#N/A</v>
      </c>
      <c r="D883" s="5"/>
      <c r="E883" s="5"/>
      <c r="F883" s="5"/>
      <c r="G883" s="5"/>
      <c r="H883" s="5"/>
      <c r="I883" s="5"/>
      <c r="J883" s="5"/>
      <c r="K883" s="5"/>
      <c r="L883" s="5"/>
      <c r="M883" s="5"/>
      <c r="N883" s="5"/>
      <c r="O883" s="5"/>
      <c r="P883" s="5"/>
      <c r="Q883" s="5"/>
      <c r="X883" t="str">
        <f t="shared" si="27"/>
        <v/>
      </c>
    </row>
    <row r="884" spans="1:24">
      <c r="A884" s="4"/>
      <c r="B884" s="31"/>
      <c r="C884" s="11" t="e">
        <f t="shared" si="26"/>
        <v>#N/A</v>
      </c>
      <c r="D884" s="5"/>
      <c r="E884" s="5"/>
      <c r="F884" s="5"/>
      <c r="G884" s="5"/>
      <c r="H884" s="5"/>
      <c r="I884" s="5"/>
      <c r="J884" s="5"/>
      <c r="K884" s="5"/>
      <c r="L884" s="5"/>
      <c r="M884" s="5"/>
      <c r="N884" s="5"/>
      <c r="O884" s="5"/>
      <c r="P884" s="5"/>
      <c r="Q884" s="5"/>
      <c r="X884" t="str">
        <f t="shared" si="27"/>
        <v/>
      </c>
    </row>
    <row r="885" spans="1:24">
      <c r="A885" s="4"/>
      <c r="B885" s="31"/>
      <c r="C885" s="11" t="e">
        <f t="shared" si="26"/>
        <v>#N/A</v>
      </c>
      <c r="D885" s="5"/>
      <c r="E885" s="5"/>
      <c r="F885" s="5"/>
      <c r="G885" s="5"/>
      <c r="H885" s="5"/>
      <c r="I885" s="5"/>
      <c r="J885" s="5"/>
      <c r="K885" s="5"/>
      <c r="L885" s="5"/>
      <c r="M885" s="5"/>
      <c r="N885" s="5"/>
      <c r="O885" s="5"/>
      <c r="P885" s="5"/>
      <c r="Q885" s="5"/>
      <c r="X885" t="str">
        <f t="shared" si="27"/>
        <v/>
      </c>
    </row>
    <row r="886" spans="1:24">
      <c r="A886" s="4"/>
      <c r="B886" s="31"/>
      <c r="C886" s="11" t="e">
        <f t="shared" si="26"/>
        <v>#N/A</v>
      </c>
      <c r="D886" s="5"/>
      <c r="E886" s="5"/>
      <c r="F886" s="5"/>
      <c r="G886" s="5"/>
      <c r="H886" s="5"/>
      <c r="I886" s="5"/>
      <c r="J886" s="5"/>
      <c r="K886" s="5"/>
      <c r="L886" s="5"/>
      <c r="M886" s="5"/>
      <c r="N886" s="5"/>
      <c r="O886" s="5"/>
      <c r="P886" s="5"/>
      <c r="Q886" s="5"/>
      <c r="X886" t="str">
        <f t="shared" si="27"/>
        <v/>
      </c>
    </row>
    <row r="887" spans="1:24">
      <c r="A887" s="4"/>
      <c r="B887" s="31"/>
      <c r="C887" s="11" t="e">
        <f t="shared" si="26"/>
        <v>#N/A</v>
      </c>
      <c r="D887" s="5"/>
      <c r="E887" s="5"/>
      <c r="F887" s="5"/>
      <c r="G887" s="5"/>
      <c r="H887" s="5"/>
      <c r="I887" s="5"/>
      <c r="J887" s="5"/>
      <c r="K887" s="5"/>
      <c r="L887" s="5"/>
      <c r="M887" s="5"/>
      <c r="N887" s="5"/>
      <c r="O887" s="5"/>
      <c r="P887" s="5"/>
      <c r="Q887" s="5"/>
      <c r="X887" t="str">
        <f t="shared" si="27"/>
        <v/>
      </c>
    </row>
    <row r="888" spans="1:24">
      <c r="A888" s="4"/>
      <c r="B888" s="31"/>
      <c r="C888" s="11" t="e">
        <f t="shared" si="26"/>
        <v>#N/A</v>
      </c>
      <c r="D888" s="5"/>
      <c r="E888" s="5"/>
      <c r="F888" s="5"/>
      <c r="G888" s="5"/>
      <c r="H888" s="5"/>
      <c r="I888" s="5"/>
      <c r="J888" s="5"/>
      <c r="K888" s="5"/>
      <c r="L888" s="5"/>
      <c r="M888" s="5"/>
      <c r="N888" s="5"/>
      <c r="O888" s="5"/>
      <c r="P888" s="5"/>
      <c r="Q888" s="5"/>
      <c r="X888" t="str">
        <f t="shared" si="27"/>
        <v/>
      </c>
    </row>
    <row r="889" spans="1:24">
      <c r="A889" s="4"/>
      <c r="B889" s="31"/>
      <c r="C889" s="11" t="e">
        <f t="shared" si="26"/>
        <v>#N/A</v>
      </c>
      <c r="D889" s="5"/>
      <c r="E889" s="5"/>
      <c r="F889" s="5"/>
      <c r="G889" s="5"/>
      <c r="H889" s="5"/>
      <c r="I889" s="5"/>
      <c r="J889" s="5"/>
      <c r="K889" s="5"/>
      <c r="L889" s="5"/>
      <c r="M889" s="5"/>
      <c r="N889" s="5"/>
      <c r="O889" s="5"/>
      <c r="P889" s="5"/>
      <c r="Q889" s="5"/>
      <c r="X889" t="str">
        <f t="shared" si="27"/>
        <v/>
      </c>
    </row>
    <row r="890" spans="1:24">
      <c r="A890" s="4"/>
      <c r="B890" s="31"/>
      <c r="C890" s="11" t="e">
        <f t="shared" si="26"/>
        <v>#N/A</v>
      </c>
      <c r="D890" s="5"/>
      <c r="E890" s="5"/>
      <c r="F890" s="5"/>
      <c r="G890" s="5"/>
      <c r="H890" s="5"/>
      <c r="I890" s="5"/>
      <c r="J890" s="5"/>
      <c r="K890" s="5"/>
      <c r="L890" s="5"/>
      <c r="M890" s="5"/>
      <c r="N890" s="5"/>
      <c r="O890" s="5"/>
      <c r="P890" s="5"/>
      <c r="Q890" s="5"/>
      <c r="X890" t="str">
        <f t="shared" si="27"/>
        <v/>
      </c>
    </row>
    <row r="891" spans="1:24">
      <c r="A891" s="4"/>
      <c r="B891" s="31"/>
      <c r="C891" s="11" t="e">
        <f t="shared" si="26"/>
        <v>#N/A</v>
      </c>
      <c r="D891" s="5"/>
      <c r="E891" s="5"/>
      <c r="F891" s="5"/>
      <c r="G891" s="5"/>
      <c r="H891" s="5"/>
      <c r="I891" s="5"/>
      <c r="J891" s="5"/>
      <c r="K891" s="5"/>
      <c r="L891" s="5"/>
      <c r="M891" s="5"/>
      <c r="N891" s="5"/>
      <c r="O891" s="5"/>
      <c r="P891" s="5"/>
      <c r="Q891" s="5"/>
      <c r="X891" t="str">
        <f t="shared" si="27"/>
        <v/>
      </c>
    </row>
    <row r="892" spans="1:24">
      <c r="A892" s="4"/>
      <c r="B892" s="31"/>
      <c r="C892" s="11" t="e">
        <f t="shared" si="26"/>
        <v>#N/A</v>
      </c>
      <c r="D892" s="5"/>
      <c r="E892" s="5"/>
      <c r="F892" s="5"/>
      <c r="G892" s="5"/>
      <c r="H892" s="5"/>
      <c r="I892" s="5"/>
      <c r="J892" s="5"/>
      <c r="K892" s="5"/>
      <c r="L892" s="5"/>
      <c r="M892" s="5"/>
      <c r="N892" s="5"/>
      <c r="O892" s="5"/>
      <c r="P892" s="5"/>
      <c r="Q892" s="5"/>
      <c r="X892" t="str">
        <f t="shared" si="27"/>
        <v/>
      </c>
    </row>
    <row r="893" spans="1:24">
      <c r="A893" s="4"/>
      <c r="B893" s="31"/>
      <c r="C893" s="11" t="e">
        <f t="shared" si="26"/>
        <v>#N/A</v>
      </c>
      <c r="D893" s="5"/>
      <c r="E893" s="5"/>
      <c r="F893" s="5"/>
      <c r="G893" s="5"/>
      <c r="H893" s="5"/>
      <c r="I893" s="5"/>
      <c r="J893" s="5"/>
      <c r="K893" s="5"/>
      <c r="L893" s="5"/>
      <c r="M893" s="5"/>
      <c r="N893" s="5"/>
      <c r="O893" s="5"/>
      <c r="P893" s="5"/>
      <c r="Q893" s="5"/>
      <c r="X893" t="str">
        <f t="shared" si="27"/>
        <v/>
      </c>
    </row>
    <row r="894" spans="1:24">
      <c r="A894" s="4"/>
      <c r="B894" s="31"/>
      <c r="C894" s="11" t="e">
        <f t="shared" si="26"/>
        <v>#N/A</v>
      </c>
      <c r="D894" s="5"/>
      <c r="E894" s="5"/>
      <c r="F894" s="5"/>
      <c r="G894" s="5"/>
      <c r="H894" s="5"/>
      <c r="I894" s="5"/>
      <c r="J894" s="5"/>
      <c r="K894" s="5"/>
      <c r="L894" s="5"/>
      <c r="M894" s="5"/>
      <c r="N894" s="5"/>
      <c r="O894" s="5"/>
      <c r="P894" s="5"/>
      <c r="Q894" s="5"/>
      <c r="X894" t="str">
        <f t="shared" si="27"/>
        <v/>
      </c>
    </row>
    <row r="895" spans="1:24">
      <c r="A895" s="4"/>
      <c r="B895" s="31"/>
      <c r="C895" s="11" t="e">
        <f t="shared" si="26"/>
        <v>#N/A</v>
      </c>
      <c r="D895" s="5"/>
      <c r="E895" s="5"/>
      <c r="F895" s="5"/>
      <c r="G895" s="5"/>
      <c r="H895" s="5"/>
      <c r="I895" s="5"/>
      <c r="J895" s="5"/>
      <c r="K895" s="5"/>
      <c r="L895" s="5"/>
      <c r="M895" s="5"/>
      <c r="N895" s="5"/>
      <c r="O895" s="5"/>
      <c r="P895" s="5"/>
      <c r="Q895" s="5"/>
      <c r="X895" t="str">
        <f t="shared" si="27"/>
        <v/>
      </c>
    </row>
    <row r="896" spans="1:24">
      <c r="A896" s="4"/>
      <c r="B896" s="31"/>
      <c r="C896" s="11" t="e">
        <f t="shared" si="26"/>
        <v>#N/A</v>
      </c>
      <c r="D896" s="5"/>
      <c r="E896" s="5"/>
      <c r="F896" s="5"/>
      <c r="G896" s="5"/>
      <c r="H896" s="5"/>
      <c r="I896" s="5"/>
      <c r="J896" s="5"/>
      <c r="K896" s="5"/>
      <c r="L896" s="5"/>
      <c r="M896" s="5"/>
      <c r="N896" s="5"/>
      <c r="O896" s="5"/>
      <c r="P896" s="5"/>
      <c r="Q896" s="5"/>
      <c r="X896" t="str">
        <f t="shared" si="27"/>
        <v/>
      </c>
    </row>
    <row r="897" spans="1:24">
      <c r="A897" s="4"/>
      <c r="B897" s="31"/>
      <c r="C897" s="11" t="e">
        <f t="shared" si="26"/>
        <v>#N/A</v>
      </c>
      <c r="D897" s="5"/>
      <c r="E897" s="5"/>
      <c r="F897" s="5"/>
      <c r="G897" s="5"/>
      <c r="H897" s="5"/>
      <c r="I897" s="5"/>
      <c r="J897" s="5"/>
      <c r="K897" s="5"/>
      <c r="L897" s="5"/>
      <c r="M897" s="5"/>
      <c r="N897" s="5"/>
      <c r="O897" s="5"/>
      <c r="P897" s="5"/>
      <c r="Q897" s="5"/>
      <c r="X897" t="str">
        <f t="shared" si="27"/>
        <v/>
      </c>
    </row>
    <row r="898" spans="1:24">
      <c r="A898" s="4"/>
      <c r="B898" s="31"/>
      <c r="C898" s="11" t="e">
        <f t="shared" si="26"/>
        <v>#N/A</v>
      </c>
      <c r="D898" s="5"/>
      <c r="E898" s="5"/>
      <c r="F898" s="5"/>
      <c r="G898" s="5"/>
      <c r="H898" s="5"/>
      <c r="I898" s="5"/>
      <c r="J898" s="5"/>
      <c r="K898" s="5"/>
      <c r="L898" s="5"/>
      <c r="M898" s="5"/>
      <c r="N898" s="5"/>
      <c r="O898" s="5"/>
      <c r="P898" s="5"/>
      <c r="Q898" s="5"/>
      <c r="X898" t="str">
        <f t="shared" si="27"/>
        <v/>
      </c>
    </row>
    <row r="899" spans="1:24">
      <c r="A899" s="4"/>
      <c r="B899" s="31"/>
      <c r="C899" s="11" t="e">
        <f t="shared" ref="C899:C962" si="28">IF(OR(ISBLANK(A899),ISBLANK(B899)),NA(),A899-B899)</f>
        <v>#N/A</v>
      </c>
      <c r="D899" s="5"/>
      <c r="E899" s="5"/>
      <c r="F899" s="5"/>
      <c r="G899" s="5"/>
      <c r="H899" s="5"/>
      <c r="I899" s="5"/>
      <c r="J899" s="5"/>
      <c r="K899" s="5"/>
      <c r="L899" s="5"/>
      <c r="M899" s="5"/>
      <c r="N899" s="5"/>
      <c r="O899" s="5"/>
      <c r="P899" s="5"/>
      <c r="Q899" s="5"/>
      <c r="X899" t="str">
        <f t="shared" ref="X899:X962" si="29">IFERROR(C899,"")</f>
        <v/>
      </c>
    </row>
    <row r="900" spans="1:24">
      <c r="A900" s="4"/>
      <c r="B900" s="31"/>
      <c r="C900" s="11" t="e">
        <f t="shared" si="28"/>
        <v>#N/A</v>
      </c>
      <c r="D900" s="5"/>
      <c r="E900" s="5"/>
      <c r="F900" s="5"/>
      <c r="G900" s="5"/>
      <c r="H900" s="5"/>
      <c r="I900" s="5"/>
      <c r="J900" s="5"/>
      <c r="K900" s="5"/>
      <c r="L900" s="5"/>
      <c r="M900" s="5"/>
      <c r="N900" s="5"/>
      <c r="O900" s="5"/>
      <c r="P900" s="5"/>
      <c r="Q900" s="5"/>
      <c r="X900" t="str">
        <f t="shared" si="29"/>
        <v/>
      </c>
    </row>
    <row r="901" spans="1:24">
      <c r="A901" s="4"/>
      <c r="B901" s="31"/>
      <c r="C901" s="11" t="e">
        <f t="shared" si="28"/>
        <v>#N/A</v>
      </c>
      <c r="D901" s="5"/>
      <c r="E901" s="5"/>
      <c r="F901" s="5"/>
      <c r="G901" s="5"/>
      <c r="H901" s="5"/>
      <c r="I901" s="5"/>
      <c r="J901" s="5"/>
      <c r="K901" s="5"/>
      <c r="L901" s="5"/>
      <c r="M901" s="5"/>
      <c r="N901" s="5"/>
      <c r="O901" s="5"/>
      <c r="P901" s="5"/>
      <c r="Q901" s="5"/>
      <c r="X901" t="str">
        <f t="shared" si="29"/>
        <v/>
      </c>
    </row>
    <row r="902" spans="1:24">
      <c r="A902" s="4"/>
      <c r="B902" s="31"/>
      <c r="C902" s="11" t="e">
        <f t="shared" si="28"/>
        <v>#N/A</v>
      </c>
      <c r="D902" s="5"/>
      <c r="E902" s="5"/>
      <c r="F902" s="5"/>
      <c r="G902" s="5"/>
      <c r="H902" s="5"/>
      <c r="I902" s="5"/>
      <c r="J902" s="5"/>
      <c r="K902" s="5"/>
      <c r="L902" s="5"/>
      <c r="M902" s="5"/>
      <c r="N902" s="5"/>
      <c r="O902" s="5"/>
      <c r="P902" s="5"/>
      <c r="Q902" s="5"/>
      <c r="X902" t="str">
        <f t="shared" si="29"/>
        <v/>
      </c>
    </row>
    <row r="903" spans="1:24">
      <c r="A903" s="4"/>
      <c r="B903" s="31"/>
      <c r="C903" s="11" t="e">
        <f t="shared" si="28"/>
        <v>#N/A</v>
      </c>
      <c r="D903" s="5"/>
      <c r="E903" s="5"/>
      <c r="F903" s="5"/>
      <c r="G903" s="5"/>
      <c r="H903" s="5"/>
      <c r="I903" s="5"/>
      <c r="J903" s="5"/>
      <c r="K903" s="5"/>
      <c r="L903" s="5"/>
      <c r="M903" s="5"/>
      <c r="N903" s="5"/>
      <c r="O903" s="5"/>
      <c r="P903" s="5"/>
      <c r="Q903" s="5"/>
      <c r="X903" t="str">
        <f t="shared" si="29"/>
        <v/>
      </c>
    </row>
    <row r="904" spans="1:24">
      <c r="A904" s="4"/>
      <c r="B904" s="31"/>
      <c r="C904" s="11" t="e">
        <f t="shared" si="28"/>
        <v>#N/A</v>
      </c>
      <c r="D904" s="5"/>
      <c r="E904" s="5"/>
      <c r="F904" s="5"/>
      <c r="G904" s="5"/>
      <c r="H904" s="5"/>
      <c r="I904" s="5"/>
      <c r="J904" s="5"/>
      <c r="K904" s="5"/>
      <c r="L904" s="5"/>
      <c r="M904" s="5"/>
      <c r="N904" s="5"/>
      <c r="O904" s="5"/>
      <c r="P904" s="5"/>
      <c r="Q904" s="5"/>
      <c r="X904" t="str">
        <f t="shared" si="29"/>
        <v/>
      </c>
    </row>
    <row r="905" spans="1:24">
      <c r="A905" s="4"/>
      <c r="B905" s="31"/>
      <c r="C905" s="11" t="e">
        <f t="shared" si="28"/>
        <v>#N/A</v>
      </c>
      <c r="D905" s="5"/>
      <c r="E905" s="5"/>
      <c r="F905" s="5"/>
      <c r="G905" s="5"/>
      <c r="H905" s="5"/>
      <c r="I905" s="5"/>
      <c r="J905" s="5"/>
      <c r="K905" s="5"/>
      <c r="L905" s="5"/>
      <c r="M905" s="5"/>
      <c r="N905" s="5"/>
      <c r="O905" s="5"/>
      <c r="P905" s="5"/>
      <c r="Q905" s="5"/>
      <c r="X905" t="str">
        <f t="shared" si="29"/>
        <v/>
      </c>
    </row>
    <row r="906" spans="1:24">
      <c r="A906" s="4"/>
      <c r="B906" s="31"/>
      <c r="C906" s="11" t="e">
        <f t="shared" si="28"/>
        <v>#N/A</v>
      </c>
      <c r="D906" s="5"/>
      <c r="E906" s="5"/>
      <c r="F906" s="5"/>
      <c r="G906" s="5"/>
      <c r="H906" s="5"/>
      <c r="I906" s="5"/>
      <c r="J906" s="5"/>
      <c r="K906" s="5"/>
      <c r="L906" s="5"/>
      <c r="M906" s="5"/>
      <c r="N906" s="5"/>
      <c r="O906" s="5"/>
      <c r="P906" s="5"/>
      <c r="Q906" s="5"/>
      <c r="X906" t="str">
        <f t="shared" si="29"/>
        <v/>
      </c>
    </row>
    <row r="907" spans="1:24">
      <c r="A907" s="4"/>
      <c r="B907" s="31"/>
      <c r="C907" s="11" t="e">
        <f t="shared" si="28"/>
        <v>#N/A</v>
      </c>
      <c r="D907" s="5"/>
      <c r="E907" s="5"/>
      <c r="F907" s="5"/>
      <c r="G907" s="5"/>
      <c r="H907" s="5"/>
      <c r="I907" s="5"/>
      <c r="J907" s="5"/>
      <c r="K907" s="5"/>
      <c r="L907" s="5"/>
      <c r="M907" s="5"/>
      <c r="N907" s="5"/>
      <c r="O907" s="5"/>
      <c r="P907" s="5"/>
      <c r="Q907" s="5"/>
      <c r="X907" t="str">
        <f t="shared" si="29"/>
        <v/>
      </c>
    </row>
    <row r="908" spans="1:24">
      <c r="A908" s="4"/>
      <c r="B908" s="31"/>
      <c r="C908" s="11" t="e">
        <f t="shared" si="28"/>
        <v>#N/A</v>
      </c>
      <c r="D908" s="5"/>
      <c r="E908" s="5"/>
      <c r="F908" s="5"/>
      <c r="G908" s="5"/>
      <c r="H908" s="5"/>
      <c r="I908" s="5"/>
      <c r="J908" s="5"/>
      <c r="K908" s="5"/>
      <c r="L908" s="5"/>
      <c r="M908" s="5"/>
      <c r="N908" s="5"/>
      <c r="O908" s="5"/>
      <c r="P908" s="5"/>
      <c r="Q908" s="5"/>
      <c r="X908" t="str">
        <f t="shared" si="29"/>
        <v/>
      </c>
    </row>
    <row r="909" spans="1:24">
      <c r="A909" s="4"/>
      <c r="B909" s="31"/>
      <c r="C909" s="11" t="e">
        <f t="shared" si="28"/>
        <v>#N/A</v>
      </c>
      <c r="D909" s="5"/>
      <c r="E909" s="5"/>
      <c r="F909" s="5"/>
      <c r="G909" s="5"/>
      <c r="H909" s="5"/>
      <c r="I909" s="5"/>
      <c r="J909" s="5"/>
      <c r="K909" s="5"/>
      <c r="L909" s="5"/>
      <c r="M909" s="5"/>
      <c r="N909" s="5"/>
      <c r="O909" s="5"/>
      <c r="P909" s="5"/>
      <c r="Q909" s="5"/>
      <c r="X909" t="str">
        <f t="shared" si="29"/>
        <v/>
      </c>
    </row>
    <row r="910" spans="1:24">
      <c r="A910" s="4"/>
      <c r="B910" s="31"/>
      <c r="C910" s="11" t="e">
        <f t="shared" si="28"/>
        <v>#N/A</v>
      </c>
      <c r="D910" s="5"/>
      <c r="E910" s="5"/>
      <c r="F910" s="5"/>
      <c r="G910" s="5"/>
      <c r="H910" s="5"/>
      <c r="I910" s="5"/>
      <c r="J910" s="5"/>
      <c r="K910" s="5"/>
      <c r="L910" s="5"/>
      <c r="M910" s="5"/>
      <c r="N910" s="5"/>
      <c r="O910" s="5"/>
      <c r="P910" s="5"/>
      <c r="Q910" s="5"/>
      <c r="X910" t="str">
        <f t="shared" si="29"/>
        <v/>
      </c>
    </row>
    <row r="911" spans="1:24">
      <c r="A911" s="4"/>
      <c r="B911" s="31"/>
      <c r="C911" s="11" t="e">
        <f t="shared" si="28"/>
        <v>#N/A</v>
      </c>
      <c r="D911" s="5"/>
      <c r="E911" s="5"/>
      <c r="F911" s="5"/>
      <c r="G911" s="5"/>
      <c r="H911" s="5"/>
      <c r="I911" s="5"/>
      <c r="J911" s="5"/>
      <c r="K911" s="5"/>
      <c r="L911" s="5"/>
      <c r="M911" s="5"/>
      <c r="N911" s="5"/>
      <c r="O911" s="5"/>
      <c r="P911" s="5"/>
      <c r="Q911" s="5"/>
      <c r="X911" t="str">
        <f t="shared" si="29"/>
        <v/>
      </c>
    </row>
    <row r="912" spans="1:24">
      <c r="A912" s="4"/>
      <c r="B912" s="31"/>
      <c r="C912" s="11" t="e">
        <f t="shared" si="28"/>
        <v>#N/A</v>
      </c>
      <c r="D912" s="5"/>
      <c r="E912" s="5"/>
      <c r="F912" s="5"/>
      <c r="G912" s="5"/>
      <c r="H912" s="5"/>
      <c r="I912" s="5"/>
      <c r="J912" s="5"/>
      <c r="K912" s="5"/>
      <c r="L912" s="5"/>
      <c r="M912" s="5"/>
      <c r="N912" s="5"/>
      <c r="O912" s="5"/>
      <c r="P912" s="5"/>
      <c r="Q912" s="5"/>
      <c r="X912" t="str">
        <f t="shared" si="29"/>
        <v/>
      </c>
    </row>
    <row r="913" spans="1:24">
      <c r="A913" s="4"/>
      <c r="B913" s="31"/>
      <c r="C913" s="11" t="e">
        <f t="shared" si="28"/>
        <v>#N/A</v>
      </c>
      <c r="D913" s="5"/>
      <c r="E913" s="5"/>
      <c r="F913" s="5"/>
      <c r="G913" s="5"/>
      <c r="H913" s="5"/>
      <c r="I913" s="5"/>
      <c r="J913" s="5"/>
      <c r="K913" s="5"/>
      <c r="L913" s="5"/>
      <c r="M913" s="5"/>
      <c r="N913" s="5"/>
      <c r="O913" s="5"/>
      <c r="P913" s="5"/>
      <c r="Q913" s="5"/>
      <c r="X913" t="str">
        <f t="shared" si="29"/>
        <v/>
      </c>
    </row>
    <row r="914" spans="1:24">
      <c r="A914" s="4"/>
      <c r="B914" s="31"/>
      <c r="C914" s="11" t="e">
        <f t="shared" si="28"/>
        <v>#N/A</v>
      </c>
      <c r="D914" s="5"/>
      <c r="E914" s="5"/>
      <c r="F914" s="5"/>
      <c r="G914" s="5"/>
      <c r="H914" s="5"/>
      <c r="I914" s="5"/>
      <c r="J914" s="5"/>
      <c r="K914" s="5"/>
      <c r="L914" s="5"/>
      <c r="M914" s="5"/>
      <c r="N914" s="5"/>
      <c r="O914" s="5"/>
      <c r="P914" s="5"/>
      <c r="Q914" s="5"/>
      <c r="X914" t="str">
        <f t="shared" si="29"/>
        <v/>
      </c>
    </row>
    <row r="915" spans="1:24">
      <c r="A915" s="4"/>
      <c r="B915" s="31"/>
      <c r="C915" s="11" t="e">
        <f t="shared" si="28"/>
        <v>#N/A</v>
      </c>
      <c r="D915" s="5"/>
      <c r="E915" s="5"/>
      <c r="F915" s="5"/>
      <c r="G915" s="5"/>
      <c r="H915" s="5"/>
      <c r="I915" s="5"/>
      <c r="J915" s="5"/>
      <c r="K915" s="5"/>
      <c r="L915" s="5"/>
      <c r="M915" s="5"/>
      <c r="N915" s="5"/>
      <c r="O915" s="5"/>
      <c r="P915" s="5"/>
      <c r="Q915" s="5"/>
      <c r="X915" t="str">
        <f t="shared" si="29"/>
        <v/>
      </c>
    </row>
    <row r="916" spans="1:24">
      <c r="A916" s="4"/>
      <c r="B916" s="31"/>
      <c r="C916" s="11" t="e">
        <f t="shared" si="28"/>
        <v>#N/A</v>
      </c>
      <c r="D916" s="5"/>
      <c r="E916" s="5"/>
      <c r="F916" s="5"/>
      <c r="G916" s="5"/>
      <c r="H916" s="5"/>
      <c r="I916" s="5"/>
      <c r="J916" s="5"/>
      <c r="K916" s="5"/>
      <c r="L916" s="5"/>
      <c r="M916" s="5"/>
      <c r="N916" s="5"/>
      <c r="O916" s="5"/>
      <c r="P916" s="5"/>
      <c r="Q916" s="5"/>
      <c r="X916" t="str">
        <f t="shared" si="29"/>
        <v/>
      </c>
    </row>
    <row r="917" spans="1:24">
      <c r="A917" s="4"/>
      <c r="B917" s="31"/>
      <c r="C917" s="11" t="e">
        <f t="shared" si="28"/>
        <v>#N/A</v>
      </c>
      <c r="D917" s="5"/>
      <c r="E917" s="5"/>
      <c r="F917" s="5"/>
      <c r="G917" s="5"/>
      <c r="H917" s="5"/>
      <c r="I917" s="5"/>
      <c r="J917" s="5"/>
      <c r="K917" s="5"/>
      <c r="L917" s="5"/>
      <c r="M917" s="5"/>
      <c r="N917" s="5"/>
      <c r="O917" s="5"/>
      <c r="P917" s="5"/>
      <c r="Q917" s="5"/>
      <c r="X917" t="str">
        <f t="shared" si="29"/>
        <v/>
      </c>
    </row>
    <row r="918" spans="1:24">
      <c r="A918" s="4"/>
      <c r="B918" s="31"/>
      <c r="C918" s="11" t="e">
        <f t="shared" si="28"/>
        <v>#N/A</v>
      </c>
      <c r="D918" s="5"/>
      <c r="E918" s="5"/>
      <c r="F918" s="5"/>
      <c r="G918" s="5"/>
      <c r="H918" s="5"/>
      <c r="I918" s="5"/>
      <c r="J918" s="5"/>
      <c r="K918" s="5"/>
      <c r="L918" s="5"/>
      <c r="M918" s="5"/>
      <c r="N918" s="5"/>
      <c r="O918" s="5"/>
      <c r="P918" s="5"/>
      <c r="Q918" s="5"/>
      <c r="X918" t="str">
        <f t="shared" si="29"/>
        <v/>
      </c>
    </row>
    <row r="919" spans="1:24">
      <c r="A919" s="4"/>
      <c r="B919" s="31"/>
      <c r="C919" s="11" t="e">
        <f t="shared" si="28"/>
        <v>#N/A</v>
      </c>
      <c r="D919" s="5"/>
      <c r="E919" s="5"/>
      <c r="F919" s="5"/>
      <c r="G919" s="5"/>
      <c r="H919" s="5"/>
      <c r="I919" s="5"/>
      <c r="J919" s="5"/>
      <c r="K919" s="5"/>
      <c r="L919" s="5"/>
      <c r="M919" s="5"/>
      <c r="N919" s="5"/>
      <c r="O919" s="5"/>
      <c r="P919" s="5"/>
      <c r="Q919" s="5"/>
      <c r="X919" t="str">
        <f t="shared" si="29"/>
        <v/>
      </c>
    </row>
    <row r="920" spans="1:24">
      <c r="A920" s="4"/>
      <c r="B920" s="31"/>
      <c r="C920" s="11" t="e">
        <f t="shared" si="28"/>
        <v>#N/A</v>
      </c>
      <c r="D920" s="5"/>
      <c r="E920" s="5"/>
      <c r="F920" s="5"/>
      <c r="G920" s="5"/>
      <c r="H920" s="5"/>
      <c r="I920" s="5"/>
      <c r="J920" s="5"/>
      <c r="K920" s="5"/>
      <c r="L920" s="5"/>
      <c r="M920" s="5"/>
      <c r="N920" s="5"/>
      <c r="O920" s="5"/>
      <c r="P920" s="5"/>
      <c r="Q920" s="5"/>
      <c r="X920" t="str">
        <f t="shared" si="29"/>
        <v/>
      </c>
    </row>
    <row r="921" spans="1:24">
      <c r="A921" s="4"/>
      <c r="B921" s="31"/>
      <c r="C921" s="11" t="e">
        <f t="shared" si="28"/>
        <v>#N/A</v>
      </c>
      <c r="D921" s="5"/>
      <c r="E921" s="5"/>
      <c r="F921" s="5"/>
      <c r="G921" s="5"/>
      <c r="H921" s="5"/>
      <c r="I921" s="5"/>
      <c r="J921" s="5"/>
      <c r="K921" s="5"/>
      <c r="L921" s="5"/>
      <c r="M921" s="5"/>
      <c r="N921" s="5"/>
      <c r="O921" s="5"/>
      <c r="P921" s="5"/>
      <c r="Q921" s="5"/>
      <c r="X921" t="str">
        <f t="shared" si="29"/>
        <v/>
      </c>
    </row>
    <row r="922" spans="1:24">
      <c r="A922" s="4"/>
      <c r="B922" s="31"/>
      <c r="C922" s="11" t="e">
        <f t="shared" si="28"/>
        <v>#N/A</v>
      </c>
      <c r="D922" s="5"/>
      <c r="E922" s="5"/>
      <c r="F922" s="5"/>
      <c r="G922" s="5"/>
      <c r="H922" s="5"/>
      <c r="I922" s="5"/>
      <c r="J922" s="5"/>
      <c r="K922" s="5"/>
      <c r="L922" s="5"/>
      <c r="M922" s="5"/>
      <c r="N922" s="5"/>
      <c r="O922" s="5"/>
      <c r="P922" s="5"/>
      <c r="Q922" s="5"/>
      <c r="X922" t="str">
        <f t="shared" si="29"/>
        <v/>
      </c>
    </row>
    <row r="923" spans="1:24">
      <c r="A923" s="4"/>
      <c r="B923" s="31"/>
      <c r="C923" s="11" t="e">
        <f t="shared" si="28"/>
        <v>#N/A</v>
      </c>
      <c r="D923" s="5"/>
      <c r="E923" s="5"/>
      <c r="F923" s="5"/>
      <c r="G923" s="5"/>
      <c r="H923" s="5"/>
      <c r="I923" s="5"/>
      <c r="J923" s="5"/>
      <c r="K923" s="5"/>
      <c r="L923" s="5"/>
      <c r="M923" s="5"/>
      <c r="N923" s="5"/>
      <c r="O923" s="5"/>
      <c r="P923" s="5"/>
      <c r="Q923" s="5"/>
      <c r="X923" t="str">
        <f t="shared" si="29"/>
        <v/>
      </c>
    </row>
    <row r="924" spans="1:24">
      <c r="A924" s="4"/>
      <c r="B924" s="31"/>
      <c r="C924" s="11" t="e">
        <f t="shared" si="28"/>
        <v>#N/A</v>
      </c>
      <c r="D924" s="5"/>
      <c r="E924" s="5"/>
      <c r="F924" s="5"/>
      <c r="G924" s="5"/>
      <c r="H924" s="5"/>
      <c r="I924" s="5"/>
      <c r="J924" s="5"/>
      <c r="K924" s="5"/>
      <c r="L924" s="5"/>
      <c r="M924" s="5"/>
      <c r="N924" s="5"/>
      <c r="O924" s="5"/>
      <c r="P924" s="5"/>
      <c r="Q924" s="5"/>
      <c r="X924" t="str">
        <f t="shared" si="29"/>
        <v/>
      </c>
    </row>
    <row r="925" spans="1:24">
      <c r="A925" s="4"/>
      <c r="B925" s="31"/>
      <c r="C925" s="11" t="e">
        <f t="shared" si="28"/>
        <v>#N/A</v>
      </c>
      <c r="D925" s="5"/>
      <c r="E925" s="5"/>
      <c r="F925" s="5"/>
      <c r="G925" s="5"/>
      <c r="H925" s="5"/>
      <c r="I925" s="5"/>
      <c r="J925" s="5"/>
      <c r="K925" s="5"/>
      <c r="L925" s="5"/>
      <c r="M925" s="5"/>
      <c r="N925" s="5"/>
      <c r="O925" s="5"/>
      <c r="P925" s="5"/>
      <c r="Q925" s="5"/>
      <c r="X925" t="str">
        <f t="shared" si="29"/>
        <v/>
      </c>
    </row>
    <row r="926" spans="1:24">
      <c r="A926" s="4"/>
      <c r="B926" s="31"/>
      <c r="C926" s="11" t="e">
        <f t="shared" si="28"/>
        <v>#N/A</v>
      </c>
      <c r="D926" s="5"/>
      <c r="E926" s="5"/>
      <c r="F926" s="5"/>
      <c r="G926" s="5"/>
      <c r="H926" s="5"/>
      <c r="I926" s="5"/>
      <c r="J926" s="5"/>
      <c r="K926" s="5"/>
      <c r="L926" s="5"/>
      <c r="M926" s="5"/>
      <c r="N926" s="5"/>
      <c r="O926" s="5"/>
      <c r="P926" s="5"/>
      <c r="Q926" s="5"/>
      <c r="X926" t="str">
        <f t="shared" si="29"/>
        <v/>
      </c>
    </row>
    <row r="927" spans="1:24">
      <c r="A927" s="4"/>
      <c r="B927" s="31"/>
      <c r="C927" s="11" t="e">
        <f t="shared" si="28"/>
        <v>#N/A</v>
      </c>
      <c r="D927" s="5"/>
      <c r="E927" s="5"/>
      <c r="F927" s="5"/>
      <c r="G927" s="5"/>
      <c r="H927" s="5"/>
      <c r="I927" s="5"/>
      <c r="J927" s="5"/>
      <c r="K927" s="5"/>
      <c r="L927" s="5"/>
      <c r="M927" s="5"/>
      <c r="N927" s="5"/>
      <c r="O927" s="5"/>
      <c r="P927" s="5"/>
      <c r="Q927" s="5"/>
      <c r="X927" t="str">
        <f t="shared" si="29"/>
        <v/>
      </c>
    </row>
    <row r="928" spans="1:24">
      <c r="A928" s="4"/>
      <c r="B928" s="31"/>
      <c r="C928" s="11" t="e">
        <f t="shared" si="28"/>
        <v>#N/A</v>
      </c>
      <c r="D928" s="5"/>
      <c r="E928" s="5"/>
      <c r="F928" s="5"/>
      <c r="G928" s="5"/>
      <c r="H928" s="5"/>
      <c r="I928" s="5"/>
      <c r="J928" s="5"/>
      <c r="K928" s="5"/>
      <c r="L928" s="5"/>
      <c r="M928" s="5"/>
      <c r="N928" s="5"/>
      <c r="O928" s="5"/>
      <c r="P928" s="5"/>
      <c r="Q928" s="5"/>
      <c r="X928" t="str">
        <f t="shared" si="29"/>
        <v/>
      </c>
    </row>
    <row r="929" spans="1:24">
      <c r="A929" s="4"/>
      <c r="B929" s="31"/>
      <c r="C929" s="11" t="e">
        <f t="shared" si="28"/>
        <v>#N/A</v>
      </c>
      <c r="D929" s="5"/>
      <c r="E929" s="5"/>
      <c r="F929" s="5"/>
      <c r="G929" s="5"/>
      <c r="H929" s="5"/>
      <c r="I929" s="5"/>
      <c r="J929" s="5"/>
      <c r="K929" s="5"/>
      <c r="L929" s="5"/>
      <c r="M929" s="5"/>
      <c r="N929" s="5"/>
      <c r="O929" s="5"/>
      <c r="P929" s="5"/>
      <c r="Q929" s="5"/>
      <c r="X929" t="str">
        <f t="shared" si="29"/>
        <v/>
      </c>
    </row>
    <row r="930" spans="1:24">
      <c r="A930" s="4"/>
      <c r="B930" s="31"/>
      <c r="C930" s="11" t="e">
        <f t="shared" si="28"/>
        <v>#N/A</v>
      </c>
      <c r="D930" s="5"/>
      <c r="E930" s="5"/>
      <c r="F930" s="5"/>
      <c r="G930" s="5"/>
      <c r="H930" s="5"/>
      <c r="I930" s="5"/>
      <c r="J930" s="5"/>
      <c r="K930" s="5"/>
      <c r="L930" s="5"/>
      <c r="M930" s="5"/>
      <c r="N930" s="5"/>
      <c r="O930" s="5"/>
      <c r="P930" s="5"/>
      <c r="Q930" s="5"/>
      <c r="X930" t="str">
        <f t="shared" si="29"/>
        <v/>
      </c>
    </row>
    <row r="931" spans="1:24">
      <c r="A931" s="4"/>
      <c r="B931" s="31"/>
      <c r="C931" s="11" t="e">
        <f t="shared" si="28"/>
        <v>#N/A</v>
      </c>
      <c r="D931" s="5"/>
      <c r="E931" s="5"/>
      <c r="F931" s="5"/>
      <c r="G931" s="5"/>
      <c r="H931" s="5"/>
      <c r="I931" s="5"/>
      <c r="J931" s="5"/>
      <c r="K931" s="5"/>
      <c r="L931" s="5"/>
      <c r="M931" s="5"/>
      <c r="N931" s="5"/>
      <c r="O931" s="5"/>
      <c r="P931" s="5"/>
      <c r="Q931" s="5"/>
      <c r="X931" t="str">
        <f t="shared" si="29"/>
        <v/>
      </c>
    </row>
    <row r="932" spans="1:24">
      <c r="A932" s="4"/>
      <c r="B932" s="31"/>
      <c r="C932" s="11" t="e">
        <f t="shared" si="28"/>
        <v>#N/A</v>
      </c>
      <c r="D932" s="5"/>
      <c r="E932" s="5"/>
      <c r="F932" s="5"/>
      <c r="G932" s="5"/>
      <c r="H932" s="5"/>
      <c r="I932" s="5"/>
      <c r="J932" s="5"/>
      <c r="K932" s="5"/>
      <c r="L932" s="5"/>
      <c r="M932" s="5"/>
      <c r="N932" s="5"/>
      <c r="O932" s="5"/>
      <c r="P932" s="5"/>
      <c r="Q932" s="5"/>
      <c r="X932" t="str">
        <f t="shared" si="29"/>
        <v/>
      </c>
    </row>
    <row r="933" spans="1:24">
      <c r="A933" s="4"/>
      <c r="B933" s="31"/>
      <c r="C933" s="11" t="e">
        <f t="shared" si="28"/>
        <v>#N/A</v>
      </c>
      <c r="D933" s="5"/>
      <c r="E933" s="5"/>
      <c r="F933" s="5"/>
      <c r="G933" s="5"/>
      <c r="H933" s="5"/>
      <c r="I933" s="5"/>
      <c r="J933" s="5"/>
      <c r="K933" s="5"/>
      <c r="L933" s="5"/>
      <c r="M933" s="5"/>
      <c r="N933" s="5"/>
      <c r="O933" s="5"/>
      <c r="P933" s="5"/>
      <c r="Q933" s="5"/>
      <c r="X933" t="str">
        <f t="shared" si="29"/>
        <v/>
      </c>
    </row>
    <row r="934" spans="1:24">
      <c r="A934" s="4"/>
      <c r="B934" s="31"/>
      <c r="C934" s="11" t="e">
        <f t="shared" si="28"/>
        <v>#N/A</v>
      </c>
      <c r="D934" s="5"/>
      <c r="E934" s="5"/>
      <c r="F934" s="5"/>
      <c r="G934" s="5"/>
      <c r="H934" s="5"/>
      <c r="I934" s="5"/>
      <c r="J934" s="5"/>
      <c r="K934" s="5"/>
      <c r="L934" s="5"/>
      <c r="M934" s="5"/>
      <c r="N934" s="5"/>
      <c r="O934" s="5"/>
      <c r="P934" s="5"/>
      <c r="Q934" s="5"/>
      <c r="X934" t="str">
        <f t="shared" si="29"/>
        <v/>
      </c>
    </row>
    <row r="935" spans="1:24">
      <c r="A935" s="4"/>
      <c r="B935" s="31"/>
      <c r="C935" s="11" t="e">
        <f t="shared" si="28"/>
        <v>#N/A</v>
      </c>
      <c r="D935" s="5"/>
      <c r="E935" s="5"/>
      <c r="F935" s="5"/>
      <c r="G935" s="5"/>
      <c r="H935" s="5"/>
      <c r="I935" s="5"/>
      <c r="J935" s="5"/>
      <c r="K935" s="5"/>
      <c r="L935" s="5"/>
      <c r="M935" s="5"/>
      <c r="N935" s="5"/>
      <c r="O935" s="5"/>
      <c r="P935" s="5"/>
      <c r="Q935" s="5"/>
      <c r="X935" t="str">
        <f t="shared" si="29"/>
        <v/>
      </c>
    </row>
    <row r="936" spans="1:24">
      <c r="A936" s="4"/>
      <c r="B936" s="31"/>
      <c r="C936" s="11" t="e">
        <f t="shared" si="28"/>
        <v>#N/A</v>
      </c>
      <c r="D936" s="5"/>
      <c r="E936" s="5"/>
      <c r="F936" s="5"/>
      <c r="G936" s="5"/>
      <c r="H936" s="5"/>
      <c r="I936" s="5"/>
      <c r="J936" s="5"/>
      <c r="K936" s="5"/>
      <c r="L936" s="5"/>
      <c r="M936" s="5"/>
      <c r="N936" s="5"/>
      <c r="O936" s="5"/>
      <c r="P936" s="5"/>
      <c r="Q936" s="5"/>
      <c r="X936" t="str">
        <f t="shared" si="29"/>
        <v/>
      </c>
    </row>
    <row r="937" spans="1:24">
      <c r="A937" s="4"/>
      <c r="B937" s="31"/>
      <c r="C937" s="11" t="e">
        <f t="shared" si="28"/>
        <v>#N/A</v>
      </c>
      <c r="D937" s="5"/>
      <c r="E937" s="5"/>
      <c r="F937" s="5"/>
      <c r="G937" s="5"/>
      <c r="H937" s="5"/>
      <c r="I937" s="5"/>
      <c r="J937" s="5"/>
      <c r="K937" s="5"/>
      <c r="L937" s="5"/>
      <c r="M937" s="5"/>
      <c r="N937" s="5"/>
      <c r="O937" s="5"/>
      <c r="P937" s="5"/>
      <c r="Q937" s="5"/>
      <c r="X937" t="str">
        <f t="shared" si="29"/>
        <v/>
      </c>
    </row>
    <row r="938" spans="1:24">
      <c r="A938" s="4"/>
      <c r="B938" s="31"/>
      <c r="C938" s="11" t="e">
        <f t="shared" si="28"/>
        <v>#N/A</v>
      </c>
      <c r="D938" s="5"/>
      <c r="E938" s="5"/>
      <c r="F938" s="5"/>
      <c r="G938" s="5"/>
      <c r="H938" s="5"/>
      <c r="I938" s="5"/>
      <c r="J938" s="5"/>
      <c r="K938" s="5"/>
      <c r="L938" s="5"/>
      <c r="M938" s="5"/>
      <c r="N938" s="5"/>
      <c r="O938" s="5"/>
      <c r="P938" s="5"/>
      <c r="Q938" s="5"/>
      <c r="X938" t="str">
        <f t="shared" si="29"/>
        <v/>
      </c>
    </row>
    <row r="939" spans="1:24">
      <c r="A939" s="4"/>
      <c r="B939" s="31"/>
      <c r="C939" s="11" t="e">
        <f t="shared" si="28"/>
        <v>#N/A</v>
      </c>
      <c r="D939" s="5"/>
      <c r="E939" s="5"/>
      <c r="F939" s="5"/>
      <c r="G939" s="5"/>
      <c r="H939" s="5"/>
      <c r="I939" s="5"/>
      <c r="J939" s="5"/>
      <c r="K939" s="5"/>
      <c r="L939" s="5"/>
      <c r="M939" s="5"/>
      <c r="N939" s="5"/>
      <c r="O939" s="5"/>
      <c r="P939" s="5"/>
      <c r="Q939" s="5"/>
      <c r="X939" t="str">
        <f t="shared" si="29"/>
        <v/>
      </c>
    </row>
    <row r="940" spans="1:24">
      <c r="A940" s="4"/>
      <c r="B940" s="31"/>
      <c r="C940" s="11" t="e">
        <f t="shared" si="28"/>
        <v>#N/A</v>
      </c>
      <c r="D940" s="5"/>
      <c r="E940" s="5"/>
      <c r="F940" s="5"/>
      <c r="G940" s="5"/>
      <c r="H940" s="5"/>
      <c r="I940" s="5"/>
      <c r="J940" s="5"/>
      <c r="K940" s="5"/>
      <c r="L940" s="5"/>
      <c r="M940" s="5"/>
      <c r="N940" s="5"/>
      <c r="O940" s="5"/>
      <c r="P940" s="5"/>
      <c r="Q940" s="5"/>
      <c r="X940" t="str">
        <f t="shared" si="29"/>
        <v/>
      </c>
    </row>
    <row r="941" spans="1:24">
      <c r="A941" s="4"/>
      <c r="B941" s="31"/>
      <c r="C941" s="11" t="e">
        <f t="shared" si="28"/>
        <v>#N/A</v>
      </c>
      <c r="D941" s="5"/>
      <c r="E941" s="5"/>
      <c r="F941" s="5"/>
      <c r="G941" s="5"/>
      <c r="H941" s="5"/>
      <c r="I941" s="5"/>
      <c r="J941" s="5"/>
      <c r="K941" s="5"/>
      <c r="L941" s="5"/>
      <c r="M941" s="5"/>
      <c r="N941" s="5"/>
      <c r="O941" s="5"/>
      <c r="P941" s="5"/>
      <c r="Q941" s="5"/>
      <c r="X941" t="str">
        <f t="shared" si="29"/>
        <v/>
      </c>
    </row>
    <row r="942" spans="1:24">
      <c r="A942" s="4"/>
      <c r="B942" s="31"/>
      <c r="C942" s="11" t="e">
        <f t="shared" si="28"/>
        <v>#N/A</v>
      </c>
      <c r="D942" s="5"/>
      <c r="E942" s="5"/>
      <c r="F942" s="5"/>
      <c r="G942" s="5"/>
      <c r="H942" s="5"/>
      <c r="I942" s="5"/>
      <c r="J942" s="5"/>
      <c r="K942" s="5"/>
      <c r="L942" s="5"/>
      <c r="M942" s="5"/>
      <c r="N942" s="5"/>
      <c r="O942" s="5"/>
      <c r="P942" s="5"/>
      <c r="Q942" s="5"/>
      <c r="X942" t="str">
        <f t="shared" si="29"/>
        <v/>
      </c>
    </row>
    <row r="943" spans="1:24">
      <c r="A943" s="4"/>
      <c r="B943" s="31"/>
      <c r="C943" s="11" t="e">
        <f t="shared" si="28"/>
        <v>#N/A</v>
      </c>
      <c r="D943" s="5"/>
      <c r="E943" s="5"/>
      <c r="F943" s="5"/>
      <c r="G943" s="5"/>
      <c r="H943" s="5"/>
      <c r="I943" s="5"/>
      <c r="J943" s="5"/>
      <c r="K943" s="5"/>
      <c r="L943" s="5"/>
      <c r="M943" s="5"/>
      <c r="N943" s="5"/>
      <c r="O943" s="5"/>
      <c r="P943" s="5"/>
      <c r="Q943" s="5"/>
      <c r="X943" t="str">
        <f t="shared" si="29"/>
        <v/>
      </c>
    </row>
    <row r="944" spans="1:24">
      <c r="A944" s="4"/>
      <c r="B944" s="31"/>
      <c r="C944" s="11" t="e">
        <f t="shared" si="28"/>
        <v>#N/A</v>
      </c>
      <c r="D944" s="5"/>
      <c r="E944" s="5"/>
      <c r="F944" s="5"/>
      <c r="G944" s="5"/>
      <c r="H944" s="5"/>
      <c r="I944" s="5"/>
      <c r="J944" s="5"/>
      <c r="K944" s="5"/>
      <c r="L944" s="5"/>
      <c r="M944" s="5"/>
      <c r="N944" s="5"/>
      <c r="O944" s="5"/>
      <c r="P944" s="5"/>
      <c r="Q944" s="5"/>
      <c r="X944" t="str">
        <f t="shared" si="29"/>
        <v/>
      </c>
    </row>
    <row r="945" spans="1:24">
      <c r="A945" s="4"/>
      <c r="B945" s="31"/>
      <c r="C945" s="11" t="e">
        <f t="shared" si="28"/>
        <v>#N/A</v>
      </c>
      <c r="D945" s="5"/>
      <c r="E945" s="5"/>
      <c r="F945" s="5"/>
      <c r="G945" s="5"/>
      <c r="H945" s="5"/>
      <c r="I945" s="5"/>
      <c r="J945" s="5"/>
      <c r="K945" s="5"/>
      <c r="L945" s="5"/>
      <c r="M945" s="5"/>
      <c r="N945" s="5"/>
      <c r="O945" s="5"/>
      <c r="P945" s="5"/>
      <c r="Q945" s="5"/>
      <c r="X945" t="str">
        <f t="shared" si="29"/>
        <v/>
      </c>
    </row>
    <row r="946" spans="1:24">
      <c r="A946" s="4"/>
      <c r="B946" s="31"/>
      <c r="C946" s="11" t="e">
        <f t="shared" si="28"/>
        <v>#N/A</v>
      </c>
      <c r="D946" s="5"/>
      <c r="E946" s="5"/>
      <c r="F946" s="5"/>
      <c r="G946" s="5"/>
      <c r="H946" s="5"/>
      <c r="I946" s="5"/>
      <c r="J946" s="5"/>
      <c r="K946" s="5"/>
      <c r="L946" s="5"/>
      <c r="M946" s="5"/>
      <c r="N946" s="5"/>
      <c r="O946" s="5"/>
      <c r="P946" s="5"/>
      <c r="Q946" s="5"/>
      <c r="X946" t="str">
        <f t="shared" si="29"/>
        <v/>
      </c>
    </row>
    <row r="947" spans="1:24">
      <c r="A947" s="4"/>
      <c r="B947" s="31"/>
      <c r="C947" s="11" t="e">
        <f t="shared" si="28"/>
        <v>#N/A</v>
      </c>
      <c r="D947" s="5"/>
      <c r="E947" s="5"/>
      <c r="F947" s="5"/>
      <c r="G947" s="5"/>
      <c r="H947" s="5"/>
      <c r="I947" s="5"/>
      <c r="J947" s="5"/>
      <c r="K947" s="5"/>
      <c r="L947" s="5"/>
      <c r="M947" s="5"/>
      <c r="N947" s="5"/>
      <c r="O947" s="5"/>
      <c r="P947" s="5"/>
      <c r="Q947" s="5"/>
      <c r="X947" t="str">
        <f t="shared" si="29"/>
        <v/>
      </c>
    </row>
    <row r="948" spans="1:24">
      <c r="A948" s="4"/>
      <c r="B948" s="31"/>
      <c r="C948" s="11" t="e">
        <f t="shared" si="28"/>
        <v>#N/A</v>
      </c>
      <c r="D948" s="5"/>
      <c r="E948" s="5"/>
      <c r="F948" s="5"/>
      <c r="G948" s="5"/>
      <c r="H948" s="5"/>
      <c r="I948" s="5"/>
      <c r="J948" s="5"/>
      <c r="K948" s="5"/>
      <c r="L948" s="5"/>
      <c r="M948" s="5"/>
      <c r="N948" s="5"/>
      <c r="O948" s="5"/>
      <c r="P948" s="5"/>
      <c r="Q948" s="5"/>
      <c r="X948" t="str">
        <f t="shared" si="29"/>
        <v/>
      </c>
    </row>
    <row r="949" spans="1:24">
      <c r="A949" s="4"/>
      <c r="B949" s="31"/>
      <c r="C949" s="11" t="e">
        <f t="shared" si="28"/>
        <v>#N/A</v>
      </c>
      <c r="D949" s="5"/>
      <c r="E949" s="5"/>
      <c r="F949" s="5"/>
      <c r="G949" s="5"/>
      <c r="H949" s="5"/>
      <c r="I949" s="5"/>
      <c r="J949" s="5"/>
      <c r="K949" s="5"/>
      <c r="L949" s="5"/>
      <c r="M949" s="5"/>
      <c r="N949" s="5"/>
      <c r="O949" s="5"/>
      <c r="P949" s="5"/>
      <c r="Q949" s="5"/>
      <c r="X949" t="str">
        <f t="shared" si="29"/>
        <v/>
      </c>
    </row>
    <row r="950" spans="1:24">
      <c r="A950" s="4"/>
      <c r="B950" s="31"/>
      <c r="C950" s="11" t="e">
        <f t="shared" si="28"/>
        <v>#N/A</v>
      </c>
      <c r="D950" s="5"/>
      <c r="E950" s="5"/>
      <c r="F950" s="5"/>
      <c r="G950" s="5"/>
      <c r="H950" s="5"/>
      <c r="I950" s="5"/>
      <c r="J950" s="5"/>
      <c r="K950" s="5"/>
      <c r="L950" s="5"/>
      <c r="M950" s="5"/>
      <c r="N950" s="5"/>
      <c r="O950" s="5"/>
      <c r="P950" s="5"/>
      <c r="Q950" s="5"/>
      <c r="X950" t="str">
        <f t="shared" si="29"/>
        <v/>
      </c>
    </row>
    <row r="951" spans="1:24">
      <c r="A951" s="4"/>
      <c r="B951" s="31"/>
      <c r="C951" s="11" t="e">
        <f t="shared" si="28"/>
        <v>#N/A</v>
      </c>
      <c r="D951" s="5"/>
      <c r="E951" s="5"/>
      <c r="F951" s="5"/>
      <c r="G951" s="5"/>
      <c r="H951" s="5"/>
      <c r="I951" s="5"/>
      <c r="J951" s="5"/>
      <c r="K951" s="5"/>
      <c r="L951" s="5"/>
      <c r="M951" s="5"/>
      <c r="N951" s="5"/>
      <c r="O951" s="5"/>
      <c r="P951" s="5"/>
      <c r="Q951" s="5"/>
      <c r="X951" t="str">
        <f t="shared" si="29"/>
        <v/>
      </c>
    </row>
    <row r="952" spans="1:24">
      <c r="A952" s="4"/>
      <c r="B952" s="31"/>
      <c r="C952" s="11" t="e">
        <f t="shared" si="28"/>
        <v>#N/A</v>
      </c>
      <c r="D952" s="5"/>
      <c r="E952" s="5"/>
      <c r="F952" s="5"/>
      <c r="G952" s="5"/>
      <c r="H952" s="5"/>
      <c r="I952" s="5"/>
      <c r="J952" s="5"/>
      <c r="K952" s="5"/>
      <c r="L952" s="5"/>
      <c r="M952" s="5"/>
      <c r="N952" s="5"/>
      <c r="O952" s="5"/>
      <c r="P952" s="5"/>
      <c r="Q952" s="5"/>
      <c r="X952" t="str">
        <f t="shared" si="29"/>
        <v/>
      </c>
    </row>
    <row r="953" spans="1:24">
      <c r="A953" s="4"/>
      <c r="B953" s="31"/>
      <c r="C953" s="11" t="e">
        <f t="shared" si="28"/>
        <v>#N/A</v>
      </c>
      <c r="D953" s="5"/>
      <c r="E953" s="5"/>
      <c r="F953" s="5"/>
      <c r="G953" s="5"/>
      <c r="H953" s="5"/>
      <c r="I953" s="5"/>
      <c r="J953" s="5"/>
      <c r="K953" s="5"/>
      <c r="L953" s="5"/>
      <c r="M953" s="5"/>
      <c r="N953" s="5"/>
      <c r="O953" s="5"/>
      <c r="P953" s="5"/>
      <c r="Q953" s="5"/>
      <c r="X953" t="str">
        <f t="shared" si="29"/>
        <v/>
      </c>
    </row>
    <row r="954" spans="1:24">
      <c r="A954" s="4"/>
      <c r="B954" s="31"/>
      <c r="C954" s="11" t="e">
        <f t="shared" si="28"/>
        <v>#N/A</v>
      </c>
      <c r="D954" s="5"/>
      <c r="E954" s="5"/>
      <c r="F954" s="5"/>
      <c r="G954" s="5"/>
      <c r="H954" s="5"/>
      <c r="I954" s="5"/>
      <c r="J954" s="5"/>
      <c r="K954" s="5"/>
      <c r="L954" s="5"/>
      <c r="M954" s="5"/>
      <c r="N954" s="5"/>
      <c r="O954" s="5"/>
      <c r="P954" s="5"/>
      <c r="Q954" s="5"/>
      <c r="X954" t="str">
        <f t="shared" si="29"/>
        <v/>
      </c>
    </row>
    <row r="955" spans="1:24">
      <c r="A955" s="4"/>
      <c r="B955" s="31"/>
      <c r="C955" s="11" t="e">
        <f t="shared" si="28"/>
        <v>#N/A</v>
      </c>
      <c r="D955" s="5"/>
      <c r="E955" s="5"/>
      <c r="F955" s="5"/>
      <c r="G955" s="5"/>
      <c r="H955" s="5"/>
      <c r="I955" s="5"/>
      <c r="J955" s="5"/>
      <c r="K955" s="5"/>
      <c r="L955" s="5"/>
      <c r="M955" s="5"/>
      <c r="N955" s="5"/>
      <c r="O955" s="5"/>
      <c r="P955" s="5"/>
      <c r="Q955" s="5"/>
      <c r="X955" t="str">
        <f t="shared" si="29"/>
        <v/>
      </c>
    </row>
    <row r="956" spans="1:24">
      <c r="A956" s="4"/>
      <c r="B956" s="31"/>
      <c r="C956" s="11" t="e">
        <f t="shared" si="28"/>
        <v>#N/A</v>
      </c>
      <c r="D956" s="5"/>
      <c r="E956" s="5"/>
      <c r="F956" s="5"/>
      <c r="G956" s="5"/>
      <c r="H956" s="5"/>
      <c r="I956" s="5"/>
      <c r="J956" s="5"/>
      <c r="K956" s="5"/>
      <c r="L956" s="5"/>
      <c r="M956" s="5"/>
      <c r="N956" s="5"/>
      <c r="O956" s="5"/>
      <c r="P956" s="5"/>
      <c r="Q956" s="5"/>
      <c r="X956" t="str">
        <f t="shared" si="29"/>
        <v/>
      </c>
    </row>
    <row r="957" spans="1:24">
      <c r="A957" s="4"/>
      <c r="B957" s="31"/>
      <c r="C957" s="11" t="e">
        <f t="shared" si="28"/>
        <v>#N/A</v>
      </c>
      <c r="D957" s="5"/>
      <c r="E957" s="5"/>
      <c r="F957" s="5"/>
      <c r="G957" s="5"/>
      <c r="H957" s="5"/>
      <c r="I957" s="5"/>
      <c r="J957" s="5"/>
      <c r="K957" s="5"/>
      <c r="L957" s="5"/>
      <c r="M957" s="5"/>
      <c r="N957" s="5"/>
      <c r="O957" s="5"/>
      <c r="P957" s="5"/>
      <c r="Q957" s="5"/>
      <c r="X957" t="str">
        <f t="shared" si="29"/>
        <v/>
      </c>
    </row>
    <row r="958" spans="1:24">
      <c r="A958" s="4"/>
      <c r="B958" s="31"/>
      <c r="C958" s="11" t="e">
        <f t="shared" si="28"/>
        <v>#N/A</v>
      </c>
      <c r="D958" s="5"/>
      <c r="E958" s="5"/>
      <c r="F958" s="5"/>
      <c r="G958" s="5"/>
      <c r="H958" s="5"/>
      <c r="I958" s="5"/>
      <c r="J958" s="5"/>
      <c r="K958" s="5"/>
      <c r="L958" s="5"/>
      <c r="M958" s="5"/>
      <c r="N958" s="5"/>
      <c r="O958" s="5"/>
      <c r="P958" s="5"/>
      <c r="Q958" s="5"/>
      <c r="X958" t="str">
        <f t="shared" si="29"/>
        <v/>
      </c>
    </row>
    <row r="959" spans="1:24">
      <c r="A959" s="4"/>
      <c r="B959" s="31"/>
      <c r="C959" s="11" t="e">
        <f t="shared" si="28"/>
        <v>#N/A</v>
      </c>
      <c r="D959" s="5"/>
      <c r="E959" s="5"/>
      <c r="F959" s="5"/>
      <c r="G959" s="5"/>
      <c r="H959" s="5"/>
      <c r="I959" s="5"/>
      <c r="J959" s="5"/>
      <c r="K959" s="5"/>
      <c r="L959" s="5"/>
      <c r="M959" s="5"/>
      <c r="N959" s="5"/>
      <c r="O959" s="5"/>
      <c r="P959" s="5"/>
      <c r="Q959" s="5"/>
      <c r="X959" t="str">
        <f t="shared" si="29"/>
        <v/>
      </c>
    </row>
    <row r="960" spans="1:24">
      <c r="A960" s="4"/>
      <c r="B960" s="31"/>
      <c r="C960" s="11" t="e">
        <f t="shared" si="28"/>
        <v>#N/A</v>
      </c>
      <c r="D960" s="5"/>
      <c r="E960" s="5"/>
      <c r="F960" s="5"/>
      <c r="G960" s="5"/>
      <c r="H960" s="5"/>
      <c r="I960" s="5"/>
      <c r="J960" s="5"/>
      <c r="K960" s="5"/>
      <c r="L960" s="5"/>
      <c r="M960" s="5"/>
      <c r="N960" s="5"/>
      <c r="O960" s="5"/>
      <c r="P960" s="5"/>
      <c r="Q960" s="5"/>
      <c r="X960" t="str">
        <f t="shared" si="29"/>
        <v/>
      </c>
    </row>
    <row r="961" spans="1:24">
      <c r="A961" s="4"/>
      <c r="B961" s="31"/>
      <c r="C961" s="11" t="e">
        <f t="shared" si="28"/>
        <v>#N/A</v>
      </c>
      <c r="D961" s="5"/>
      <c r="E961" s="5"/>
      <c r="F961" s="5"/>
      <c r="G961" s="5"/>
      <c r="H961" s="5"/>
      <c r="I961" s="5"/>
      <c r="J961" s="5"/>
      <c r="K961" s="5"/>
      <c r="L961" s="5"/>
      <c r="M961" s="5"/>
      <c r="N961" s="5"/>
      <c r="O961" s="5"/>
      <c r="P961" s="5"/>
      <c r="Q961" s="5"/>
      <c r="X961" t="str">
        <f t="shared" si="29"/>
        <v/>
      </c>
    </row>
    <row r="962" spans="1:24">
      <c r="A962" s="4"/>
      <c r="B962" s="31"/>
      <c r="C962" s="11" t="e">
        <f t="shared" si="28"/>
        <v>#N/A</v>
      </c>
      <c r="D962" s="5"/>
      <c r="E962" s="5"/>
      <c r="F962" s="5"/>
      <c r="G962" s="5"/>
      <c r="H962" s="5"/>
      <c r="I962" s="5"/>
      <c r="J962" s="5"/>
      <c r="K962" s="5"/>
      <c r="L962" s="5"/>
      <c r="M962" s="5"/>
      <c r="N962" s="5"/>
      <c r="O962" s="5"/>
      <c r="P962" s="5"/>
      <c r="Q962" s="5"/>
      <c r="X962" t="str">
        <f t="shared" si="29"/>
        <v/>
      </c>
    </row>
    <row r="963" spans="1:24">
      <c r="A963" s="4"/>
      <c r="B963" s="31"/>
      <c r="C963" s="11" t="e">
        <f t="shared" ref="C963:C1001" si="30">IF(OR(ISBLANK(A963),ISBLANK(B963)),NA(),A963-B963)</f>
        <v>#N/A</v>
      </c>
      <c r="D963" s="5"/>
      <c r="E963" s="5"/>
      <c r="F963" s="5"/>
      <c r="G963" s="5"/>
      <c r="H963" s="5"/>
      <c r="I963" s="5"/>
      <c r="J963" s="5"/>
      <c r="K963" s="5"/>
      <c r="L963" s="5"/>
      <c r="M963" s="5"/>
      <c r="N963" s="5"/>
      <c r="O963" s="5"/>
      <c r="P963" s="5"/>
      <c r="Q963" s="5"/>
      <c r="X963" t="str">
        <f t="shared" ref="X963:X1001" si="31">IFERROR(C963,"")</f>
        <v/>
      </c>
    </row>
    <row r="964" spans="1:24">
      <c r="A964" s="4"/>
      <c r="B964" s="31"/>
      <c r="C964" s="11" t="e">
        <f t="shared" si="30"/>
        <v>#N/A</v>
      </c>
      <c r="D964" s="5"/>
      <c r="E964" s="5"/>
      <c r="F964" s="5"/>
      <c r="G964" s="5"/>
      <c r="H964" s="5"/>
      <c r="I964" s="5"/>
      <c r="J964" s="5"/>
      <c r="K964" s="5"/>
      <c r="L964" s="5"/>
      <c r="M964" s="5"/>
      <c r="N964" s="5"/>
      <c r="O964" s="5"/>
      <c r="P964" s="5"/>
      <c r="Q964" s="5"/>
      <c r="X964" t="str">
        <f t="shared" si="31"/>
        <v/>
      </c>
    </row>
    <row r="965" spans="1:24">
      <c r="A965" s="4"/>
      <c r="B965" s="31"/>
      <c r="C965" s="11" t="e">
        <f t="shared" si="30"/>
        <v>#N/A</v>
      </c>
      <c r="D965" s="5"/>
      <c r="E965" s="5"/>
      <c r="F965" s="5"/>
      <c r="G965" s="5"/>
      <c r="H965" s="5"/>
      <c r="I965" s="5"/>
      <c r="J965" s="5"/>
      <c r="K965" s="5"/>
      <c r="L965" s="5"/>
      <c r="M965" s="5"/>
      <c r="N965" s="5"/>
      <c r="O965" s="5"/>
      <c r="P965" s="5"/>
      <c r="Q965" s="5"/>
      <c r="X965" t="str">
        <f t="shared" si="31"/>
        <v/>
      </c>
    </row>
    <row r="966" spans="1:24">
      <c r="A966" s="4"/>
      <c r="B966" s="31"/>
      <c r="C966" s="11" t="e">
        <f t="shared" si="30"/>
        <v>#N/A</v>
      </c>
      <c r="D966" s="5"/>
      <c r="E966" s="5"/>
      <c r="F966" s="5"/>
      <c r="G966" s="5"/>
      <c r="H966" s="5"/>
      <c r="I966" s="5"/>
      <c r="J966" s="5"/>
      <c r="K966" s="5"/>
      <c r="L966" s="5"/>
      <c r="M966" s="5"/>
      <c r="N966" s="5"/>
      <c r="O966" s="5"/>
      <c r="P966" s="5"/>
      <c r="Q966" s="5"/>
      <c r="X966" t="str">
        <f t="shared" si="31"/>
        <v/>
      </c>
    </row>
    <row r="967" spans="1:24">
      <c r="A967" s="4"/>
      <c r="B967" s="31"/>
      <c r="C967" s="11" t="e">
        <f t="shared" si="30"/>
        <v>#N/A</v>
      </c>
      <c r="D967" s="5"/>
      <c r="E967" s="5"/>
      <c r="F967" s="5"/>
      <c r="G967" s="5"/>
      <c r="H967" s="5"/>
      <c r="I967" s="5"/>
      <c r="J967" s="5"/>
      <c r="K967" s="5"/>
      <c r="L967" s="5"/>
      <c r="M967" s="5"/>
      <c r="N967" s="5"/>
      <c r="O967" s="5"/>
      <c r="P967" s="5"/>
      <c r="Q967" s="5"/>
      <c r="X967" t="str">
        <f t="shared" si="31"/>
        <v/>
      </c>
    </row>
    <row r="968" spans="1:24">
      <c r="A968" s="4"/>
      <c r="B968" s="31"/>
      <c r="C968" s="11" t="e">
        <f t="shared" si="30"/>
        <v>#N/A</v>
      </c>
      <c r="D968" s="5"/>
      <c r="E968" s="5"/>
      <c r="F968" s="5"/>
      <c r="G968" s="5"/>
      <c r="H968" s="5"/>
      <c r="I968" s="5"/>
      <c r="J968" s="5"/>
      <c r="K968" s="5"/>
      <c r="L968" s="5"/>
      <c r="M968" s="5"/>
      <c r="N968" s="5"/>
      <c r="O968" s="5"/>
      <c r="P968" s="5"/>
      <c r="Q968" s="5"/>
      <c r="X968" t="str">
        <f t="shared" si="31"/>
        <v/>
      </c>
    </row>
    <row r="969" spans="1:24">
      <c r="A969" s="4"/>
      <c r="B969" s="31"/>
      <c r="C969" s="11" t="e">
        <f t="shared" si="30"/>
        <v>#N/A</v>
      </c>
      <c r="D969" s="5"/>
      <c r="E969" s="5"/>
      <c r="F969" s="5"/>
      <c r="G969" s="5"/>
      <c r="H969" s="5"/>
      <c r="I969" s="5"/>
      <c r="J969" s="5"/>
      <c r="K969" s="5"/>
      <c r="L969" s="5"/>
      <c r="M969" s="5"/>
      <c r="N969" s="5"/>
      <c r="O969" s="5"/>
      <c r="P969" s="5"/>
      <c r="Q969" s="5"/>
      <c r="X969" t="str">
        <f t="shared" si="31"/>
        <v/>
      </c>
    </row>
    <row r="970" spans="1:24">
      <c r="A970" s="4"/>
      <c r="B970" s="31"/>
      <c r="C970" s="11" t="e">
        <f t="shared" si="30"/>
        <v>#N/A</v>
      </c>
      <c r="D970" s="5"/>
      <c r="E970" s="5"/>
      <c r="F970" s="5"/>
      <c r="G970" s="5"/>
      <c r="H970" s="5"/>
      <c r="I970" s="5"/>
      <c r="J970" s="5"/>
      <c r="K970" s="5"/>
      <c r="L970" s="5"/>
      <c r="M970" s="5"/>
      <c r="N970" s="5"/>
      <c r="O970" s="5"/>
      <c r="P970" s="5"/>
      <c r="Q970" s="5"/>
      <c r="X970" t="str">
        <f t="shared" si="31"/>
        <v/>
      </c>
    </row>
    <row r="971" spans="1:24">
      <c r="A971" s="4"/>
      <c r="B971" s="31"/>
      <c r="C971" s="11" t="e">
        <f t="shared" si="30"/>
        <v>#N/A</v>
      </c>
      <c r="D971" s="5"/>
      <c r="E971" s="5"/>
      <c r="F971" s="5"/>
      <c r="G971" s="5"/>
      <c r="H971" s="5"/>
      <c r="I971" s="5"/>
      <c r="J971" s="5"/>
      <c r="K971" s="5"/>
      <c r="L971" s="5"/>
      <c r="M971" s="5"/>
      <c r="N971" s="5"/>
      <c r="O971" s="5"/>
      <c r="P971" s="5"/>
      <c r="Q971" s="5"/>
      <c r="X971" t="str">
        <f t="shared" si="31"/>
        <v/>
      </c>
    </row>
    <row r="972" spans="1:24">
      <c r="A972" s="4"/>
      <c r="B972" s="31"/>
      <c r="C972" s="11" t="e">
        <f t="shared" si="30"/>
        <v>#N/A</v>
      </c>
      <c r="D972" s="5"/>
      <c r="E972" s="5"/>
      <c r="F972" s="5"/>
      <c r="G972" s="5"/>
      <c r="H972" s="5"/>
      <c r="I972" s="5"/>
      <c r="J972" s="5"/>
      <c r="K972" s="5"/>
      <c r="L972" s="5"/>
      <c r="M972" s="5"/>
      <c r="N972" s="5"/>
      <c r="O972" s="5"/>
      <c r="P972" s="5"/>
      <c r="Q972" s="5"/>
      <c r="X972" t="str">
        <f t="shared" si="31"/>
        <v/>
      </c>
    </row>
    <row r="973" spans="1:24">
      <c r="A973" s="4"/>
      <c r="B973" s="31"/>
      <c r="C973" s="11" t="e">
        <f t="shared" si="30"/>
        <v>#N/A</v>
      </c>
      <c r="D973" s="5"/>
      <c r="E973" s="5"/>
      <c r="F973" s="5"/>
      <c r="G973" s="5"/>
      <c r="H973" s="5"/>
      <c r="I973" s="5"/>
      <c r="J973" s="5"/>
      <c r="K973" s="5"/>
      <c r="L973" s="5"/>
      <c r="M973" s="5"/>
      <c r="N973" s="5"/>
      <c r="O973" s="5"/>
      <c r="P973" s="5"/>
      <c r="Q973" s="5"/>
      <c r="X973" t="str">
        <f t="shared" si="31"/>
        <v/>
      </c>
    </row>
    <row r="974" spans="1:24">
      <c r="A974" s="4"/>
      <c r="B974" s="31"/>
      <c r="C974" s="11" t="e">
        <f t="shared" si="30"/>
        <v>#N/A</v>
      </c>
      <c r="D974" s="5"/>
      <c r="E974" s="5"/>
      <c r="F974" s="5"/>
      <c r="G974" s="5"/>
      <c r="H974" s="5"/>
      <c r="I974" s="5"/>
      <c r="J974" s="5"/>
      <c r="K974" s="5"/>
      <c r="L974" s="5"/>
      <c r="M974" s="5"/>
      <c r="N974" s="5"/>
      <c r="O974" s="5"/>
      <c r="P974" s="5"/>
      <c r="Q974" s="5"/>
      <c r="X974" t="str">
        <f t="shared" si="31"/>
        <v/>
      </c>
    </row>
    <row r="975" spans="1:24">
      <c r="A975" s="4"/>
      <c r="B975" s="31"/>
      <c r="C975" s="11" t="e">
        <f t="shared" si="30"/>
        <v>#N/A</v>
      </c>
      <c r="D975" s="5"/>
      <c r="E975" s="5"/>
      <c r="F975" s="5"/>
      <c r="G975" s="5"/>
      <c r="H975" s="5"/>
      <c r="I975" s="5"/>
      <c r="J975" s="5"/>
      <c r="K975" s="5"/>
      <c r="L975" s="5"/>
      <c r="M975" s="5"/>
      <c r="N975" s="5"/>
      <c r="O975" s="5"/>
      <c r="P975" s="5"/>
      <c r="Q975" s="5"/>
      <c r="X975" t="str">
        <f t="shared" si="31"/>
        <v/>
      </c>
    </row>
    <row r="976" spans="1:24">
      <c r="A976" s="4"/>
      <c r="B976" s="31"/>
      <c r="C976" s="11" t="e">
        <f t="shared" si="30"/>
        <v>#N/A</v>
      </c>
      <c r="D976" s="5"/>
      <c r="E976" s="5"/>
      <c r="F976" s="5"/>
      <c r="G976" s="5"/>
      <c r="H976" s="5"/>
      <c r="I976" s="5"/>
      <c r="J976" s="5"/>
      <c r="K976" s="5"/>
      <c r="L976" s="5"/>
      <c r="M976" s="5"/>
      <c r="N976" s="5"/>
      <c r="O976" s="5"/>
      <c r="P976" s="5"/>
      <c r="Q976" s="5"/>
      <c r="X976" t="str">
        <f t="shared" si="31"/>
        <v/>
      </c>
    </row>
    <row r="977" spans="1:24">
      <c r="A977" s="4"/>
      <c r="B977" s="31"/>
      <c r="C977" s="11" t="e">
        <f t="shared" si="30"/>
        <v>#N/A</v>
      </c>
      <c r="D977" s="5"/>
      <c r="E977" s="5"/>
      <c r="F977" s="5"/>
      <c r="G977" s="5"/>
      <c r="H977" s="5"/>
      <c r="I977" s="5"/>
      <c r="J977" s="5"/>
      <c r="K977" s="5"/>
      <c r="L977" s="5"/>
      <c r="M977" s="5"/>
      <c r="N977" s="5"/>
      <c r="O977" s="5"/>
      <c r="P977" s="5"/>
      <c r="Q977" s="5"/>
      <c r="X977" t="str">
        <f t="shared" si="31"/>
        <v/>
      </c>
    </row>
    <row r="978" spans="1:24">
      <c r="A978" s="4"/>
      <c r="B978" s="31"/>
      <c r="C978" s="11" t="e">
        <f t="shared" si="30"/>
        <v>#N/A</v>
      </c>
      <c r="D978" s="5"/>
      <c r="E978" s="5"/>
      <c r="F978" s="5"/>
      <c r="G978" s="5"/>
      <c r="H978" s="5"/>
      <c r="I978" s="5"/>
      <c r="J978" s="5"/>
      <c r="K978" s="5"/>
      <c r="L978" s="5"/>
      <c r="M978" s="5"/>
      <c r="N978" s="5"/>
      <c r="O978" s="5"/>
      <c r="P978" s="5"/>
      <c r="Q978" s="5"/>
      <c r="X978" t="str">
        <f t="shared" si="31"/>
        <v/>
      </c>
    </row>
    <row r="979" spans="1:24">
      <c r="A979" s="4"/>
      <c r="B979" s="31"/>
      <c r="C979" s="11" t="e">
        <f t="shared" si="30"/>
        <v>#N/A</v>
      </c>
      <c r="D979" s="5"/>
      <c r="E979" s="5"/>
      <c r="F979" s="5"/>
      <c r="G979" s="5"/>
      <c r="H979" s="5"/>
      <c r="I979" s="5"/>
      <c r="J979" s="5"/>
      <c r="K979" s="5"/>
      <c r="L979" s="5"/>
      <c r="M979" s="5"/>
      <c r="N979" s="5"/>
      <c r="O979" s="5"/>
      <c r="P979" s="5"/>
      <c r="Q979" s="5"/>
      <c r="X979" t="str">
        <f t="shared" si="31"/>
        <v/>
      </c>
    </row>
    <row r="980" spans="1:24">
      <c r="A980" s="4"/>
      <c r="B980" s="31"/>
      <c r="C980" s="11" t="e">
        <f t="shared" si="30"/>
        <v>#N/A</v>
      </c>
      <c r="D980" s="5"/>
      <c r="E980" s="5"/>
      <c r="F980" s="5"/>
      <c r="G980" s="5"/>
      <c r="H980" s="5"/>
      <c r="I980" s="5"/>
      <c r="J980" s="5"/>
      <c r="K980" s="5"/>
      <c r="L980" s="5"/>
      <c r="M980" s="5"/>
      <c r="N980" s="5"/>
      <c r="O980" s="5"/>
      <c r="P980" s="5"/>
      <c r="Q980" s="5"/>
      <c r="X980" t="str">
        <f t="shared" si="31"/>
        <v/>
      </c>
    </row>
    <row r="981" spans="1:24">
      <c r="A981" s="4"/>
      <c r="B981" s="31"/>
      <c r="C981" s="11" t="e">
        <f t="shared" si="30"/>
        <v>#N/A</v>
      </c>
      <c r="D981" s="5"/>
      <c r="E981" s="5"/>
      <c r="F981" s="5"/>
      <c r="G981" s="5"/>
      <c r="H981" s="5"/>
      <c r="I981" s="5"/>
      <c r="J981" s="5"/>
      <c r="K981" s="5"/>
      <c r="L981" s="5"/>
      <c r="M981" s="5"/>
      <c r="N981" s="5"/>
      <c r="O981" s="5"/>
      <c r="P981" s="5"/>
      <c r="Q981" s="5"/>
      <c r="X981" t="str">
        <f t="shared" si="31"/>
        <v/>
      </c>
    </row>
    <row r="982" spans="1:24">
      <c r="A982" s="4"/>
      <c r="B982" s="31"/>
      <c r="C982" s="11" t="e">
        <f t="shared" si="30"/>
        <v>#N/A</v>
      </c>
      <c r="D982" s="5"/>
      <c r="E982" s="5"/>
      <c r="F982" s="5"/>
      <c r="G982" s="5"/>
      <c r="H982" s="5"/>
      <c r="I982" s="5"/>
      <c r="J982" s="5"/>
      <c r="K982" s="5"/>
      <c r="L982" s="5"/>
      <c r="M982" s="5"/>
      <c r="N982" s="5"/>
      <c r="O982" s="5"/>
      <c r="P982" s="5"/>
      <c r="Q982" s="5"/>
      <c r="X982" t="str">
        <f t="shared" si="31"/>
        <v/>
      </c>
    </row>
    <row r="983" spans="1:24">
      <c r="A983" s="4"/>
      <c r="B983" s="31"/>
      <c r="C983" s="11" t="e">
        <f t="shared" si="30"/>
        <v>#N/A</v>
      </c>
      <c r="D983" s="5"/>
      <c r="E983" s="5"/>
      <c r="F983" s="5"/>
      <c r="G983" s="5"/>
      <c r="H983" s="5"/>
      <c r="I983" s="5"/>
      <c r="J983" s="5"/>
      <c r="K983" s="5"/>
      <c r="L983" s="5"/>
      <c r="M983" s="5"/>
      <c r="N983" s="5"/>
      <c r="O983" s="5"/>
      <c r="P983" s="5"/>
      <c r="Q983" s="5"/>
      <c r="X983" t="str">
        <f t="shared" si="31"/>
        <v/>
      </c>
    </row>
    <row r="984" spans="1:24">
      <c r="A984" s="4"/>
      <c r="B984" s="31"/>
      <c r="C984" s="11" t="e">
        <f t="shared" si="30"/>
        <v>#N/A</v>
      </c>
      <c r="D984" s="5"/>
      <c r="E984" s="5"/>
      <c r="F984" s="5"/>
      <c r="G984" s="5"/>
      <c r="H984" s="5"/>
      <c r="I984" s="5"/>
      <c r="J984" s="5"/>
      <c r="K984" s="5"/>
      <c r="L984" s="5"/>
      <c r="M984" s="5"/>
      <c r="N984" s="5"/>
      <c r="O984" s="5"/>
      <c r="P984" s="5"/>
      <c r="Q984" s="5"/>
      <c r="X984" t="str">
        <f t="shared" si="31"/>
        <v/>
      </c>
    </row>
    <row r="985" spans="1:24">
      <c r="A985" s="4"/>
      <c r="B985" s="31"/>
      <c r="C985" s="11" t="e">
        <f t="shared" si="30"/>
        <v>#N/A</v>
      </c>
      <c r="D985" s="5"/>
      <c r="E985" s="5"/>
      <c r="F985" s="5"/>
      <c r="G985" s="5"/>
      <c r="H985" s="5"/>
      <c r="I985" s="5"/>
      <c r="J985" s="5"/>
      <c r="K985" s="5"/>
      <c r="L985" s="5"/>
      <c r="M985" s="5"/>
      <c r="N985" s="5"/>
      <c r="O985" s="5"/>
      <c r="P985" s="5"/>
      <c r="Q985" s="5"/>
      <c r="X985" t="str">
        <f t="shared" si="31"/>
        <v/>
      </c>
    </row>
    <row r="986" spans="1:24">
      <c r="A986" s="4"/>
      <c r="B986" s="31"/>
      <c r="C986" s="11" t="e">
        <f t="shared" si="30"/>
        <v>#N/A</v>
      </c>
      <c r="D986" s="5"/>
      <c r="E986" s="5"/>
      <c r="F986" s="5"/>
      <c r="G986" s="5"/>
      <c r="H986" s="5"/>
      <c r="I986" s="5"/>
      <c r="J986" s="5"/>
      <c r="K986" s="5"/>
      <c r="L986" s="5"/>
      <c r="M986" s="5"/>
      <c r="N986" s="5"/>
      <c r="O986" s="5"/>
      <c r="P986" s="5"/>
      <c r="Q986" s="5"/>
      <c r="X986" t="str">
        <f t="shared" si="31"/>
        <v/>
      </c>
    </row>
    <row r="987" spans="1:24">
      <c r="A987" s="4"/>
      <c r="B987" s="31"/>
      <c r="C987" s="11" t="e">
        <f t="shared" si="30"/>
        <v>#N/A</v>
      </c>
      <c r="D987" s="5"/>
      <c r="E987" s="5"/>
      <c r="F987" s="5"/>
      <c r="G987" s="5"/>
      <c r="H987" s="5"/>
      <c r="I987" s="5"/>
      <c r="J987" s="5"/>
      <c r="K987" s="5"/>
      <c r="L987" s="5"/>
      <c r="M987" s="5"/>
      <c r="N987" s="5"/>
      <c r="O987" s="5"/>
      <c r="P987" s="5"/>
      <c r="Q987" s="5"/>
      <c r="X987" t="str">
        <f t="shared" si="31"/>
        <v/>
      </c>
    </row>
    <row r="988" spans="1:24">
      <c r="A988" s="4"/>
      <c r="B988" s="31"/>
      <c r="C988" s="11" t="e">
        <f t="shared" si="30"/>
        <v>#N/A</v>
      </c>
      <c r="D988" s="5"/>
      <c r="E988" s="5"/>
      <c r="F988" s="5"/>
      <c r="G988" s="5"/>
      <c r="H988" s="5"/>
      <c r="I988" s="5"/>
      <c r="J988" s="5"/>
      <c r="K988" s="5"/>
      <c r="L988" s="5"/>
      <c r="M988" s="5"/>
      <c r="N988" s="5"/>
      <c r="O988" s="5"/>
      <c r="P988" s="5"/>
      <c r="Q988" s="5"/>
      <c r="X988" t="str">
        <f t="shared" si="31"/>
        <v/>
      </c>
    </row>
    <row r="989" spans="1:24">
      <c r="A989" s="4"/>
      <c r="B989" s="31"/>
      <c r="C989" s="11" t="e">
        <f t="shared" si="30"/>
        <v>#N/A</v>
      </c>
      <c r="D989" s="5"/>
      <c r="E989" s="5"/>
      <c r="F989" s="5"/>
      <c r="G989" s="5"/>
      <c r="H989" s="5"/>
      <c r="I989" s="5"/>
      <c r="J989" s="5"/>
      <c r="K989" s="5"/>
      <c r="L989" s="5"/>
      <c r="M989" s="5"/>
      <c r="N989" s="5"/>
      <c r="O989" s="5"/>
      <c r="P989" s="5"/>
      <c r="Q989" s="5"/>
      <c r="X989" t="str">
        <f t="shared" si="31"/>
        <v/>
      </c>
    </row>
    <row r="990" spans="1:24">
      <c r="A990" s="4"/>
      <c r="B990" s="31"/>
      <c r="C990" s="11" t="e">
        <f t="shared" si="30"/>
        <v>#N/A</v>
      </c>
      <c r="D990" s="5"/>
      <c r="E990" s="5"/>
      <c r="F990" s="5"/>
      <c r="G990" s="5"/>
      <c r="H990" s="5"/>
      <c r="I990" s="5"/>
      <c r="J990" s="5"/>
      <c r="K990" s="5"/>
      <c r="L990" s="5"/>
      <c r="M990" s="5"/>
      <c r="N990" s="5"/>
      <c r="O990" s="5"/>
      <c r="P990" s="5"/>
      <c r="Q990" s="5"/>
      <c r="X990" t="str">
        <f t="shared" si="31"/>
        <v/>
      </c>
    </row>
    <row r="991" spans="1:24">
      <c r="A991" s="4"/>
      <c r="B991" s="31"/>
      <c r="C991" s="11" t="e">
        <f t="shared" si="30"/>
        <v>#N/A</v>
      </c>
      <c r="D991" s="5"/>
      <c r="E991" s="5"/>
      <c r="F991" s="5"/>
      <c r="G991" s="5"/>
      <c r="H991" s="5"/>
      <c r="I991" s="5"/>
      <c r="J991" s="5"/>
      <c r="K991" s="5"/>
      <c r="L991" s="5"/>
      <c r="M991" s="5"/>
      <c r="N991" s="5"/>
      <c r="O991" s="5"/>
      <c r="P991" s="5"/>
      <c r="Q991" s="5"/>
      <c r="X991" t="str">
        <f t="shared" si="31"/>
        <v/>
      </c>
    </row>
    <row r="992" spans="1:24">
      <c r="A992" s="4"/>
      <c r="B992" s="31"/>
      <c r="C992" s="11" t="e">
        <f t="shared" si="30"/>
        <v>#N/A</v>
      </c>
      <c r="D992" s="5"/>
      <c r="E992" s="5"/>
      <c r="F992" s="5"/>
      <c r="G992" s="5"/>
      <c r="H992" s="5"/>
      <c r="I992" s="5"/>
      <c r="J992" s="5"/>
      <c r="K992" s="5"/>
      <c r="L992" s="5"/>
      <c r="M992" s="5"/>
      <c r="N992" s="5"/>
      <c r="O992" s="5"/>
      <c r="P992" s="5"/>
      <c r="Q992" s="5"/>
      <c r="X992" t="str">
        <f t="shared" si="31"/>
        <v/>
      </c>
    </row>
    <row r="993" spans="1:24">
      <c r="A993" s="4"/>
      <c r="B993" s="31"/>
      <c r="C993" s="11" t="e">
        <f t="shared" si="30"/>
        <v>#N/A</v>
      </c>
      <c r="D993" s="5"/>
      <c r="E993" s="5"/>
      <c r="F993" s="5"/>
      <c r="G993" s="5"/>
      <c r="H993" s="5"/>
      <c r="I993" s="5"/>
      <c r="J993" s="5"/>
      <c r="K993" s="5"/>
      <c r="L993" s="5"/>
      <c r="M993" s="5"/>
      <c r="N993" s="5"/>
      <c r="O993" s="5"/>
      <c r="P993" s="5"/>
      <c r="Q993" s="5"/>
      <c r="X993" t="str">
        <f t="shared" si="31"/>
        <v/>
      </c>
    </row>
    <row r="994" spans="1:24">
      <c r="A994" s="4"/>
      <c r="B994" s="31"/>
      <c r="C994" s="11" t="e">
        <f t="shared" si="30"/>
        <v>#N/A</v>
      </c>
      <c r="D994" s="5"/>
      <c r="E994" s="5"/>
      <c r="F994" s="5"/>
      <c r="G994" s="5"/>
      <c r="H994" s="5"/>
      <c r="I994" s="5"/>
      <c r="J994" s="5"/>
      <c r="K994" s="5"/>
      <c r="L994" s="5"/>
      <c r="M994" s="5"/>
      <c r="N994" s="5"/>
      <c r="O994" s="5"/>
      <c r="P994" s="5"/>
      <c r="Q994" s="5"/>
      <c r="X994" t="str">
        <f t="shared" si="31"/>
        <v/>
      </c>
    </row>
    <row r="995" spans="1:24">
      <c r="A995" s="4"/>
      <c r="B995" s="31"/>
      <c r="C995" s="11" t="e">
        <f t="shared" si="30"/>
        <v>#N/A</v>
      </c>
      <c r="D995" s="5"/>
      <c r="E995" s="5"/>
      <c r="F995" s="5"/>
      <c r="G995" s="5"/>
      <c r="H995" s="5"/>
      <c r="I995" s="5"/>
      <c r="J995" s="5"/>
      <c r="K995" s="5"/>
      <c r="L995" s="5"/>
      <c r="M995" s="5"/>
      <c r="N995" s="5"/>
      <c r="O995" s="5"/>
      <c r="P995" s="5"/>
      <c r="Q995" s="5"/>
      <c r="X995" t="str">
        <f t="shared" si="31"/>
        <v/>
      </c>
    </row>
    <row r="996" spans="1:24">
      <c r="A996" s="4"/>
      <c r="B996" s="31"/>
      <c r="C996" s="11" t="e">
        <f t="shared" si="30"/>
        <v>#N/A</v>
      </c>
      <c r="D996" s="5"/>
      <c r="E996" s="5"/>
      <c r="F996" s="5"/>
      <c r="G996" s="5"/>
      <c r="H996" s="5"/>
      <c r="I996" s="5"/>
      <c r="J996" s="5"/>
      <c r="K996" s="5"/>
      <c r="L996" s="5"/>
      <c r="M996" s="5"/>
      <c r="N996" s="5"/>
      <c r="O996" s="5"/>
      <c r="P996" s="5"/>
      <c r="Q996" s="5"/>
      <c r="X996" t="str">
        <f t="shared" si="31"/>
        <v/>
      </c>
    </row>
    <row r="997" spans="1:24">
      <c r="A997" s="4"/>
      <c r="B997" s="31"/>
      <c r="C997" s="11" t="e">
        <f t="shared" si="30"/>
        <v>#N/A</v>
      </c>
      <c r="D997" s="5"/>
      <c r="E997" s="5"/>
      <c r="F997" s="5"/>
      <c r="G997" s="5"/>
      <c r="H997" s="5"/>
      <c r="I997" s="5"/>
      <c r="J997" s="5"/>
      <c r="K997" s="5"/>
      <c r="L997" s="5"/>
      <c r="M997" s="5"/>
      <c r="N997" s="5"/>
      <c r="O997" s="5"/>
      <c r="P997" s="5"/>
      <c r="Q997" s="5"/>
      <c r="X997" t="str">
        <f t="shared" si="31"/>
        <v/>
      </c>
    </row>
    <row r="998" spans="1:24">
      <c r="A998" s="4"/>
      <c r="B998" s="31"/>
      <c r="C998" s="11" t="e">
        <f t="shared" si="30"/>
        <v>#N/A</v>
      </c>
      <c r="D998" s="5"/>
      <c r="E998" s="5"/>
      <c r="F998" s="5"/>
      <c r="G998" s="5"/>
      <c r="H998" s="5"/>
      <c r="I998" s="5"/>
      <c r="J998" s="5"/>
      <c r="K998" s="5"/>
      <c r="L998" s="5"/>
      <c r="M998" s="5"/>
      <c r="N998" s="5"/>
      <c r="O998" s="5"/>
      <c r="P998" s="5"/>
      <c r="Q998" s="5"/>
      <c r="X998" t="str">
        <f t="shared" si="31"/>
        <v/>
      </c>
    </row>
    <row r="999" spans="1:24">
      <c r="A999" s="4"/>
      <c r="B999" s="31"/>
      <c r="C999" s="11" t="e">
        <f t="shared" si="30"/>
        <v>#N/A</v>
      </c>
      <c r="D999" s="5"/>
      <c r="E999" s="5"/>
      <c r="F999" s="5"/>
      <c r="G999" s="5"/>
      <c r="H999" s="5"/>
      <c r="I999" s="5"/>
      <c r="J999" s="5"/>
      <c r="K999" s="5"/>
      <c r="L999" s="5"/>
      <c r="M999" s="5"/>
      <c r="N999" s="5"/>
      <c r="O999" s="5"/>
      <c r="P999" s="5"/>
      <c r="Q999" s="5"/>
      <c r="X999" t="str">
        <f t="shared" si="31"/>
        <v/>
      </c>
    </row>
    <row r="1000" spans="1:24">
      <c r="A1000" s="4"/>
      <c r="B1000" s="31"/>
      <c r="C1000" s="11" t="e">
        <f t="shared" si="30"/>
        <v>#N/A</v>
      </c>
      <c r="D1000" s="5"/>
      <c r="E1000" s="5"/>
      <c r="F1000" s="5"/>
      <c r="G1000" s="5"/>
      <c r="H1000" s="5"/>
      <c r="I1000" s="5"/>
      <c r="J1000" s="5"/>
      <c r="K1000" s="5"/>
      <c r="L1000" s="5"/>
      <c r="M1000" s="5"/>
      <c r="N1000" s="5"/>
      <c r="O1000" s="5"/>
      <c r="P1000" s="5"/>
      <c r="Q1000" s="5"/>
      <c r="X1000" t="str">
        <f t="shared" si="31"/>
        <v/>
      </c>
    </row>
    <row r="1001" spans="1:24">
      <c r="A1001" s="4"/>
      <c r="B1001" s="31"/>
      <c r="C1001" s="11" t="e">
        <f t="shared" si="30"/>
        <v>#N/A</v>
      </c>
      <c r="D1001" s="5"/>
      <c r="E1001" s="5"/>
      <c r="F1001" s="5"/>
      <c r="G1001" s="5"/>
      <c r="H1001" s="5"/>
      <c r="I1001" s="5"/>
      <c r="J1001" s="5"/>
      <c r="K1001" s="5"/>
      <c r="L1001" s="5"/>
      <c r="M1001" s="5"/>
      <c r="N1001" s="5"/>
      <c r="O1001" s="5"/>
      <c r="P1001" s="5"/>
      <c r="Q1001" s="5"/>
      <c r="X1001" t="str">
        <f t="shared" si="31"/>
        <v/>
      </c>
    </row>
    <row r="1002" spans="1:24">
      <c r="A1002" s="26"/>
      <c r="B1002" s="26"/>
      <c r="C1002" s="26"/>
      <c r="D1002" s="27"/>
      <c r="E1002" s="28"/>
      <c r="F1002" s="28"/>
      <c r="G1002" s="28"/>
      <c r="H1002" s="28"/>
      <c r="I1002" s="28"/>
      <c r="J1002" s="28"/>
      <c r="K1002" s="28"/>
      <c r="L1002" s="28"/>
      <c r="M1002" s="28"/>
      <c r="N1002" s="28"/>
      <c r="O1002" s="28"/>
      <c r="P1002" s="28"/>
      <c r="Q1002" s="28"/>
    </row>
  </sheetData>
  <mergeCells count="13">
    <mergeCell ref="F5:F6"/>
    <mergeCell ref="G5:G6"/>
    <mergeCell ref="H5:H6"/>
    <mergeCell ref="I5:I6"/>
    <mergeCell ref="L4:M4"/>
    <mergeCell ref="H24:I24"/>
    <mergeCell ref="N7:N9"/>
    <mergeCell ref="O7:O9"/>
    <mergeCell ref="L13:L14"/>
    <mergeCell ref="M13:M14"/>
    <mergeCell ref="N13:O13"/>
    <mergeCell ref="L7:L9"/>
    <mergeCell ref="M7:M9"/>
  </mergeCells>
  <conditionalFormatting sqref="E7:E16 E3">
    <cfRule type="containsText" dxfId="5" priority="3" operator="containsText" text="X">
      <formula>NOT(ISERROR(SEARCH("X",E3)))</formula>
    </cfRule>
  </conditionalFormatting>
  <conditionalFormatting sqref="E4:E6">
    <cfRule type="containsText" dxfId="4" priority="2" operator="containsText" text="X">
      <formula>NOT(ISERROR(SEARCH("X",E4)))</formula>
    </cfRule>
  </conditionalFormatting>
  <conditionalFormatting sqref="C2:C1001">
    <cfRule type="containsErrors" dxfId="3" priority="1">
      <formula>ISERROR(C2)</formula>
    </cfRule>
  </conditionalFormatting>
  <dataValidations count="2">
    <dataValidation type="list" allowBlank="1" showInputMessage="1" showErrorMessage="1" sqref="N6" xr:uid="{00000000-0002-0000-0100-000000000000}">
      <formula1>$V$2:$V$4</formula1>
    </dataValidation>
    <dataValidation type="whole" allowBlank="1" showInputMessage="1" showErrorMessage="1" sqref="J24" xr:uid="{4ADDA5DF-8689-2149-AEE9-9186B137E685}">
      <formula1>1</formula1>
      <formula2>15</formula2>
    </dataValidation>
  </dataValidations>
  <pageMargins left="0.7" right="0.7" top="0.75" bottom="0.75" header="0.3" footer="0.3"/>
  <ignoredErrors>
    <ignoredError sqref="T10:T11 T13:T14 T16:T17 T19:T20 T22:T23 T25:T26 T28:T29 T31:T32 T34:T35 T37:T38 T40:T41 T43:T44 T46:T47 T49:T50 T52:T53"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8"/>
  </sheetPr>
  <dimension ref="A1:Y1002"/>
  <sheetViews>
    <sheetView workbookViewId="0">
      <selection activeCell="A2" sqref="A2"/>
    </sheetView>
  </sheetViews>
  <sheetFormatPr baseColWidth="10" defaultColWidth="11" defaultRowHeight="16"/>
  <cols>
    <col min="1" max="2" width="20" style="56" customWidth="1"/>
    <col min="3" max="6" width="5" customWidth="1"/>
    <col min="7" max="7" width="2.6640625" customWidth="1"/>
    <col min="8" max="8" width="5.33203125" customWidth="1"/>
    <col min="9" max="12" width="16.1640625" customWidth="1"/>
    <col min="13" max="13" width="6.6640625" customWidth="1"/>
    <col min="14" max="14" width="9.6640625" customWidth="1"/>
    <col min="15" max="18" width="21.6640625" customWidth="1"/>
    <col min="19" max="19" width="8.83203125" customWidth="1"/>
    <col min="20" max="20" width="66.6640625" customWidth="1"/>
    <col min="21" max="21" width="35.6640625" customWidth="1"/>
  </cols>
  <sheetData>
    <row r="1" spans="1:25" ht="34" customHeight="1">
      <c r="A1" s="44" t="s">
        <v>21</v>
      </c>
      <c r="B1" s="44" t="s">
        <v>22</v>
      </c>
      <c r="C1" s="2"/>
      <c r="D1" s="2"/>
      <c r="E1" s="2"/>
      <c r="F1" s="3" t="s">
        <v>38</v>
      </c>
      <c r="G1" s="2"/>
      <c r="H1" s="2"/>
      <c r="I1" s="2"/>
      <c r="J1" s="2"/>
      <c r="K1" s="2"/>
      <c r="L1" s="2"/>
      <c r="M1" s="2"/>
      <c r="N1" s="2"/>
      <c r="O1" s="2"/>
      <c r="P1" s="2"/>
      <c r="Q1" s="2"/>
      <c r="R1" s="2"/>
      <c r="S1" s="2"/>
      <c r="T1" s="2"/>
      <c r="U1" s="136" t="s">
        <v>141</v>
      </c>
      <c r="V1" s="130"/>
      <c r="W1" s="130"/>
      <c r="X1" s="130"/>
      <c r="Y1" s="130" t="s">
        <v>31</v>
      </c>
    </row>
    <row r="2" spans="1:25">
      <c r="A2" s="45">
        <v>65</v>
      </c>
      <c r="B2" s="46">
        <v>50</v>
      </c>
      <c r="C2" s="5"/>
      <c r="D2" s="5"/>
      <c r="E2" s="5"/>
      <c r="F2" s="5"/>
      <c r="G2" s="5"/>
      <c r="H2" s="5"/>
      <c r="I2" s="5"/>
      <c r="J2" s="5"/>
      <c r="K2" s="5"/>
      <c r="L2" s="5"/>
      <c r="M2" s="5"/>
      <c r="N2" s="5"/>
      <c r="O2" s="5"/>
      <c r="P2" s="5"/>
      <c r="Q2" s="5"/>
      <c r="R2" s="5"/>
      <c r="S2" s="5"/>
      <c r="T2" s="5"/>
      <c r="W2" s="130"/>
      <c r="X2" s="130"/>
      <c r="Y2" s="130" t="s">
        <v>28</v>
      </c>
    </row>
    <row r="3" spans="1:25">
      <c r="A3" s="45">
        <v>63</v>
      </c>
      <c r="B3" s="46">
        <v>31</v>
      </c>
      <c r="C3" s="5"/>
      <c r="D3" s="5"/>
      <c r="E3" s="5"/>
      <c r="F3" s="6"/>
      <c r="G3" s="6"/>
      <c r="H3" s="7"/>
      <c r="I3" s="7"/>
      <c r="J3" s="7"/>
      <c r="K3" s="7"/>
      <c r="L3" s="7"/>
      <c r="M3" s="7"/>
      <c r="N3" s="7"/>
      <c r="O3" s="7"/>
      <c r="P3" s="7"/>
      <c r="Q3" s="7"/>
      <c r="R3" s="7"/>
      <c r="S3" s="5"/>
      <c r="T3" s="5"/>
      <c r="W3" s="130"/>
      <c r="X3" s="130"/>
      <c r="Y3" s="130" t="s">
        <v>10</v>
      </c>
    </row>
    <row r="4" spans="1:25" ht="17" thickBot="1">
      <c r="A4" s="45">
        <v>52</v>
      </c>
      <c r="B4" s="46">
        <v>61</v>
      </c>
      <c r="C4" s="5"/>
      <c r="D4" s="5"/>
      <c r="E4" s="5"/>
      <c r="F4" s="6"/>
      <c r="G4" s="6"/>
      <c r="H4" s="8" t="s">
        <v>2</v>
      </c>
      <c r="I4" s="9"/>
      <c r="J4" s="9"/>
      <c r="K4" s="9"/>
      <c r="L4" s="10"/>
      <c r="M4" s="7"/>
      <c r="N4" s="7"/>
      <c r="O4" s="168" t="s">
        <v>3</v>
      </c>
      <c r="P4" s="169"/>
      <c r="Q4" s="9"/>
      <c r="R4" s="10"/>
      <c r="S4" s="5"/>
      <c r="T4" s="5"/>
      <c r="U4" s="131" t="s">
        <v>149</v>
      </c>
      <c r="V4" s="130">
        <f>MIN(A:A)</f>
        <v>43</v>
      </c>
      <c r="W4" s="130"/>
      <c r="X4" s="130"/>
      <c r="Y4" s="130" t="s">
        <v>32</v>
      </c>
    </row>
    <row r="5" spans="1:25" ht="17">
      <c r="A5" s="45">
        <v>63</v>
      </c>
      <c r="B5" s="46">
        <v>32</v>
      </c>
      <c r="C5" s="5"/>
      <c r="D5" s="5"/>
      <c r="E5" s="5"/>
      <c r="F5" s="32"/>
      <c r="G5" s="6"/>
      <c r="H5" s="170" t="s">
        <v>4</v>
      </c>
      <c r="I5" s="172" t="s">
        <v>39</v>
      </c>
      <c r="J5" s="172" t="s">
        <v>40</v>
      </c>
      <c r="K5" s="172" t="s">
        <v>41</v>
      </c>
      <c r="L5" s="47"/>
      <c r="M5" s="7"/>
      <c r="N5" s="7"/>
      <c r="O5" s="48" t="s">
        <v>45</v>
      </c>
      <c r="P5" s="49" t="s">
        <v>47</v>
      </c>
      <c r="Q5" s="11" t="s">
        <v>9</v>
      </c>
      <c r="R5" s="49" t="s">
        <v>48</v>
      </c>
      <c r="S5" s="5"/>
      <c r="T5" s="5"/>
      <c r="U5" s="131" t="s">
        <v>150</v>
      </c>
      <c r="V5" s="130">
        <f>MAX(A:A)</f>
        <v>70</v>
      </c>
      <c r="W5" s="130"/>
      <c r="X5" s="130"/>
      <c r="Y5" s="130"/>
    </row>
    <row r="6" spans="1:25" ht="18" thickBot="1">
      <c r="A6" s="45">
        <v>59</v>
      </c>
      <c r="B6" s="46">
        <v>48</v>
      </c>
      <c r="C6" s="5"/>
      <c r="D6" s="5"/>
      <c r="E6" s="5"/>
      <c r="F6" s="32"/>
      <c r="G6" s="6"/>
      <c r="H6" s="171"/>
      <c r="I6" s="171"/>
      <c r="J6" s="171"/>
      <c r="K6" s="171"/>
      <c r="L6" s="47"/>
      <c r="M6" s="7"/>
      <c r="N6" s="7"/>
      <c r="O6" s="50" t="s">
        <v>46</v>
      </c>
      <c r="P6" s="51" t="s">
        <v>47</v>
      </c>
      <c r="Q6" s="52" t="s">
        <v>10</v>
      </c>
      <c r="R6" s="38" t="s">
        <v>49</v>
      </c>
      <c r="S6" s="5"/>
      <c r="T6" s="5"/>
      <c r="U6" s="131" t="s">
        <v>151</v>
      </c>
      <c r="V6" s="132">
        <f>(V5-V4)/J34</f>
        <v>3.8571428571428572</v>
      </c>
      <c r="W6" s="130"/>
      <c r="X6" s="130"/>
      <c r="Y6" s="130"/>
    </row>
    <row r="7" spans="1:25">
      <c r="A7" s="45">
        <v>70</v>
      </c>
      <c r="B7" s="46">
        <v>13</v>
      </c>
      <c r="C7" s="5"/>
      <c r="D7" s="5"/>
      <c r="E7" s="5"/>
      <c r="F7" s="32"/>
      <c r="G7" s="6"/>
      <c r="H7" s="16">
        <f>COUNT(A:A)</f>
        <v>15</v>
      </c>
      <c r="I7" s="11">
        <f>AVERAGE(A:A)</f>
        <v>57.666666666666664</v>
      </c>
      <c r="J7" s="11">
        <f>_xlfn.STDEV.S(A:A)</f>
        <v>7.2866479327080338</v>
      </c>
      <c r="K7" s="53">
        <f>J7/SQRT(H7)</f>
        <v>1.881404406203661</v>
      </c>
      <c r="L7" s="153" t="s">
        <v>42</v>
      </c>
      <c r="M7" s="7"/>
      <c r="N7" s="7"/>
      <c r="O7" s="182" t="s">
        <v>184</v>
      </c>
      <c r="P7" s="188" t="s">
        <v>12</v>
      </c>
      <c r="Q7" s="182" t="s">
        <v>13</v>
      </c>
      <c r="R7" s="193" t="s">
        <v>14</v>
      </c>
      <c r="S7" s="5"/>
      <c r="T7" s="5"/>
      <c r="U7" s="130"/>
      <c r="V7" s="133"/>
      <c r="W7" s="133"/>
      <c r="X7" s="133" t="s">
        <v>147</v>
      </c>
      <c r="Y7" s="130" t="s">
        <v>148</v>
      </c>
    </row>
    <row r="8" spans="1:25">
      <c r="A8" s="45">
        <v>48</v>
      </c>
      <c r="B8" s="46">
        <v>58</v>
      </c>
      <c r="C8" s="5"/>
      <c r="D8" s="5"/>
      <c r="E8" s="5"/>
      <c r="F8" s="6"/>
      <c r="G8" s="6"/>
      <c r="H8" s="16">
        <f>COUNT(B:B)</f>
        <v>12</v>
      </c>
      <c r="I8" s="11">
        <f>AVERAGE(B:B)</f>
        <v>40.333333333333336</v>
      </c>
      <c r="J8" s="11">
        <f>_xlfn.STDEV.S(B:B)</f>
        <v>14.054008378934162</v>
      </c>
      <c r="K8" s="53">
        <f>J8/SQRT(H8)</f>
        <v>4.0570427603854471</v>
      </c>
      <c r="L8" s="153" t="s">
        <v>43</v>
      </c>
      <c r="M8" s="7"/>
      <c r="N8" s="7"/>
      <c r="O8" s="182"/>
      <c r="P8" s="188"/>
      <c r="Q8" s="182"/>
      <c r="R8" s="193"/>
      <c r="S8" s="5"/>
      <c r="T8" s="5"/>
      <c r="U8" s="130"/>
      <c r="V8" s="134" t="s">
        <v>146</v>
      </c>
      <c r="W8" s="134" t="s">
        <v>145</v>
      </c>
      <c r="X8" s="133">
        <f>X9</f>
        <v>43</v>
      </c>
      <c r="Y8" s="130">
        <v>0</v>
      </c>
    </row>
    <row r="9" spans="1:25">
      <c r="A9" s="45">
        <v>43</v>
      </c>
      <c r="B9" s="46">
        <v>44</v>
      </c>
      <c r="C9" s="5"/>
      <c r="D9" s="5"/>
      <c r="E9" s="5"/>
      <c r="F9" s="6"/>
      <c r="G9" s="6"/>
      <c r="H9" s="7"/>
      <c r="I9" s="17"/>
      <c r="J9" s="17"/>
      <c r="K9" s="17"/>
      <c r="L9" s="7"/>
      <c r="M9" s="7"/>
      <c r="N9" s="7"/>
      <c r="O9" s="183"/>
      <c r="P9" s="189"/>
      <c r="Q9" s="183"/>
      <c r="R9" s="194"/>
      <c r="S9" s="5"/>
      <c r="T9" s="5"/>
      <c r="U9" s="130" t="s">
        <v>142</v>
      </c>
      <c r="V9" s="134">
        <v>1</v>
      </c>
      <c r="W9" s="134">
        <f>COUNTIF(A:A,"&lt;="&amp;X10)</f>
        <v>1</v>
      </c>
      <c r="X9" s="133">
        <f>V4</f>
        <v>43</v>
      </c>
      <c r="Y9" s="130">
        <f>W9</f>
        <v>1</v>
      </c>
    </row>
    <row r="10" spans="1:25">
      <c r="A10" s="45">
        <v>65</v>
      </c>
      <c r="B10" s="46">
        <v>27</v>
      </c>
      <c r="C10" s="5"/>
      <c r="D10" s="5"/>
      <c r="E10" s="5"/>
      <c r="F10" s="6"/>
      <c r="G10" s="6"/>
      <c r="H10" s="18" t="s">
        <v>168</v>
      </c>
      <c r="I10" s="54"/>
      <c r="J10" s="19"/>
      <c r="K10" s="19"/>
      <c r="L10" s="20"/>
      <c r="M10" s="7"/>
      <c r="N10" s="7"/>
      <c r="O10" s="11">
        <f>I7-I8</f>
        <v>17.333333333333329</v>
      </c>
      <c r="P10" s="11">
        <f>O10/SQRT(K7^2+K8^2)</f>
        <v>3.8759210736264409</v>
      </c>
      <c r="Q10" s="11">
        <f>(K7^2+K8^2)^2/(1/(H7-1)*K7^4+1/(H8-1)*K8^4)</f>
        <v>15.670461670922048</v>
      </c>
      <c r="R10" s="11">
        <f>IF(Q6="≠",2*_xlfn.T.DIST.RT(ABS(P10),Q10),IF(Q6="&lt;",_xlfn.T.DIST(P10,Q10,TRUE),_xlfn.T.DIST.RT(P10,Q10)))</f>
        <v>1.4927959093580339E-3</v>
      </c>
      <c r="S10" s="5"/>
      <c r="T10" s="5"/>
      <c r="U10" s="130"/>
      <c r="V10" s="134"/>
      <c r="W10" s="134"/>
      <c r="X10" s="135">
        <f>X9+$V$6</f>
        <v>46.857142857142854</v>
      </c>
      <c r="Y10" s="130">
        <f>Y9</f>
        <v>1</v>
      </c>
    </row>
    <row r="11" spans="1:25">
      <c r="A11" s="45">
        <v>50</v>
      </c>
      <c r="B11" s="46">
        <v>51</v>
      </c>
      <c r="C11" s="5"/>
      <c r="D11" s="5"/>
      <c r="E11" s="5"/>
      <c r="F11" s="6"/>
      <c r="G11" s="6"/>
      <c r="H11" s="7"/>
      <c r="I11" s="7"/>
      <c r="J11" s="7"/>
      <c r="K11" s="7"/>
      <c r="L11" s="7"/>
      <c r="M11" s="7"/>
      <c r="N11" s="7"/>
      <c r="O11" s="7"/>
      <c r="P11" s="7"/>
      <c r="Q11" s="7"/>
      <c r="R11" s="7"/>
      <c r="S11" s="5"/>
      <c r="T11" s="5"/>
      <c r="U11" s="130"/>
      <c r="V11" s="134"/>
      <c r="W11" s="134"/>
      <c r="X11" s="133">
        <f>IF(V9&gt;$J$34,"",X10)</f>
        <v>46.857142857142854</v>
      </c>
      <c r="Y11" s="130">
        <f>IF(V9&gt;$J$34,"",0)</f>
        <v>0</v>
      </c>
    </row>
    <row r="12" spans="1:25" ht="17" thickBot="1">
      <c r="A12" s="45">
        <v>57</v>
      </c>
      <c r="B12" s="46">
        <v>36</v>
      </c>
      <c r="C12" s="5"/>
      <c r="D12" s="5"/>
      <c r="E12" s="5"/>
      <c r="F12" s="6"/>
      <c r="G12" s="6"/>
      <c r="H12" s="7"/>
      <c r="I12" s="7"/>
      <c r="J12" s="7"/>
      <c r="K12" s="7"/>
      <c r="L12" s="7"/>
      <c r="M12" s="7"/>
      <c r="N12" s="7"/>
      <c r="O12" s="21">
        <v>0.95</v>
      </c>
      <c r="P12" s="9" t="s">
        <v>192</v>
      </c>
      <c r="Q12" s="9"/>
      <c r="R12" s="10"/>
      <c r="S12" s="5"/>
      <c r="T12" s="5"/>
      <c r="U12" s="130" t="s">
        <v>144</v>
      </c>
      <c r="V12" s="134">
        <v>2</v>
      </c>
      <c r="W12" s="134">
        <f>IF(V12&gt;$J$34,"",COUNTIF(A:A,"&lt;="&amp;X13))</f>
        <v>3</v>
      </c>
      <c r="X12" s="133">
        <f>IF(V12&gt;$J$34,X11,X10)</f>
        <v>46.857142857142854</v>
      </c>
      <c r="Y12" s="130">
        <f>IF(V12&gt;$J$34,Y11,Y13)</f>
        <v>2</v>
      </c>
    </row>
    <row r="13" spans="1:25">
      <c r="A13" s="45">
        <v>54</v>
      </c>
      <c r="B13" s="46">
        <v>33</v>
      </c>
      <c r="C13" s="5"/>
      <c r="D13" s="5"/>
      <c r="E13" s="5"/>
      <c r="F13" s="6"/>
      <c r="G13" s="6"/>
      <c r="H13" s="7"/>
      <c r="I13" s="7"/>
      <c r="J13" s="7"/>
      <c r="K13" s="7"/>
      <c r="L13" s="7"/>
      <c r="M13" s="7"/>
      <c r="N13" s="7"/>
      <c r="O13" s="172" t="s">
        <v>44</v>
      </c>
      <c r="P13" s="172" t="s">
        <v>18</v>
      </c>
      <c r="Q13" s="180" t="s">
        <v>16</v>
      </c>
      <c r="R13" s="181"/>
      <c r="S13" s="5"/>
      <c r="T13" s="5"/>
      <c r="U13" s="130"/>
      <c r="V13" s="134"/>
      <c r="W13" s="134"/>
      <c r="X13" s="133">
        <f>IF(V12&gt;$J$34,X12,X12+$V$6)</f>
        <v>50.714285714285708</v>
      </c>
      <c r="Y13" s="130">
        <f>IF(V12&gt;$J$34,Y12,W12-W9)</f>
        <v>2</v>
      </c>
    </row>
    <row r="14" spans="1:25">
      <c r="A14" s="45">
        <v>61</v>
      </c>
      <c r="B14" s="46"/>
      <c r="C14" s="5"/>
      <c r="D14" s="5"/>
      <c r="E14" s="5"/>
      <c r="F14" s="6"/>
      <c r="G14" s="6"/>
      <c r="H14" s="7"/>
      <c r="I14" s="7"/>
      <c r="J14" s="7"/>
      <c r="K14" s="7"/>
      <c r="L14" s="7"/>
      <c r="M14" s="7"/>
      <c r="N14" s="7"/>
      <c r="O14" s="171"/>
      <c r="P14" s="171"/>
      <c r="Q14" s="22" t="s">
        <v>19</v>
      </c>
      <c r="R14" s="22" t="s">
        <v>20</v>
      </c>
      <c r="S14" s="5"/>
      <c r="T14" s="5"/>
      <c r="U14" s="130"/>
      <c r="V14" s="134"/>
      <c r="W14" s="134"/>
      <c r="X14" s="133">
        <f>IF(V12&gt;$J$34,X13,X13)</f>
        <v>50.714285714285708</v>
      </c>
      <c r="Y14" s="130">
        <f>IF(V12&gt;$J$34,Y13,0)</f>
        <v>0</v>
      </c>
    </row>
    <row r="15" spans="1:25">
      <c r="A15" s="45">
        <v>57</v>
      </c>
      <c r="B15" s="46"/>
      <c r="C15" s="5"/>
      <c r="D15" s="5"/>
      <c r="E15" s="5"/>
      <c r="F15" s="6"/>
      <c r="G15" s="6"/>
      <c r="H15" s="7"/>
      <c r="I15" s="7"/>
      <c r="J15" s="7"/>
      <c r="K15" s="7"/>
      <c r="L15" s="7"/>
      <c r="M15" s="7"/>
      <c r="N15" s="7"/>
      <c r="O15" s="11">
        <f>I7-I8</f>
        <v>17.333333333333329</v>
      </c>
      <c r="P15" s="11">
        <f>TINV(1-$O$12,Q10)*SQRT(K7^2+K8^2)</f>
        <v>9.5319602114091353</v>
      </c>
      <c r="Q15" s="11">
        <f>O15-P15</f>
        <v>7.8013731219241933</v>
      </c>
      <c r="R15" s="11">
        <f>O15+P15</f>
        <v>26.865293544742464</v>
      </c>
      <c r="S15" s="5"/>
      <c r="T15" s="5"/>
      <c r="U15" s="130" t="s">
        <v>143</v>
      </c>
      <c r="V15" s="134">
        <v>3</v>
      </c>
      <c r="W15" s="134">
        <f>IF(V15&gt;$J$34,"",COUNTIF(A:A,"&lt;="&amp;X16))</f>
        <v>5</v>
      </c>
      <c r="X15" s="133">
        <f>IF(V15&gt;$J$34,X14,X13)</f>
        <v>50.714285714285708</v>
      </c>
      <c r="Y15" s="130">
        <f>IF(V15&gt;$J$34,Y14,Y16)</f>
        <v>2</v>
      </c>
    </row>
    <row r="16" spans="1:25">
      <c r="A16" s="45">
        <v>58</v>
      </c>
      <c r="B16" s="46"/>
      <c r="C16" s="5"/>
      <c r="D16" s="5"/>
      <c r="E16" s="5"/>
      <c r="F16" s="6"/>
      <c r="G16" s="6"/>
      <c r="H16" s="7"/>
      <c r="I16" s="7"/>
      <c r="J16" s="7"/>
      <c r="K16" s="7"/>
      <c r="L16" s="7"/>
      <c r="M16" s="7"/>
      <c r="N16" s="7"/>
      <c r="O16" s="23"/>
      <c r="P16" s="151" t="str">
        <f>"t*=±"&amp;ROUND(_xlfn.T.INV.2T(1-O12,Q10),3)</f>
        <v>t*=±2.131</v>
      </c>
      <c r="Q16" s="24"/>
      <c r="R16" s="25"/>
      <c r="S16" s="5"/>
      <c r="T16" s="5"/>
      <c r="U16" s="130"/>
      <c r="V16" s="134"/>
      <c r="W16" s="134"/>
      <c r="X16" s="133">
        <f>IF(V15&gt;$J$34,X15,X15+$V$6)</f>
        <v>54.571428571428562</v>
      </c>
      <c r="Y16" s="130">
        <f>IF(V15&gt;$J$34,Y15,W15-W12)</f>
        <v>2</v>
      </c>
    </row>
    <row r="17" spans="1:25">
      <c r="A17" s="45"/>
      <c r="B17" s="46"/>
      <c r="C17" s="5"/>
      <c r="D17" s="5"/>
      <c r="E17" s="5"/>
      <c r="F17" s="5"/>
      <c r="G17" s="5"/>
      <c r="H17" s="5"/>
      <c r="I17" s="5"/>
      <c r="J17" s="5"/>
      <c r="K17" s="5"/>
      <c r="L17" s="5"/>
      <c r="M17" s="5"/>
      <c r="N17" s="5"/>
      <c r="O17" s="5"/>
      <c r="P17" s="5"/>
      <c r="Q17" s="5"/>
      <c r="R17" s="5"/>
      <c r="S17" s="5"/>
      <c r="T17" s="5"/>
      <c r="U17" s="130"/>
      <c r="V17" s="134"/>
      <c r="W17" s="134"/>
      <c r="X17" s="133">
        <f>IF(V15&gt;$J$34,X16,X16)</f>
        <v>54.571428571428562</v>
      </c>
      <c r="Y17" s="130">
        <f>IF(V15&gt;$J$34,Y16,0)</f>
        <v>0</v>
      </c>
    </row>
    <row r="18" spans="1:25">
      <c r="A18" s="45"/>
      <c r="B18" s="46"/>
      <c r="C18" s="5"/>
      <c r="D18" s="5"/>
      <c r="E18" s="5"/>
      <c r="F18" s="5"/>
      <c r="G18" s="5"/>
      <c r="H18" s="5"/>
      <c r="I18" s="5"/>
      <c r="J18" s="5"/>
      <c r="K18" s="5"/>
      <c r="L18" s="5"/>
      <c r="M18" s="5"/>
      <c r="N18" s="5"/>
      <c r="O18" s="5"/>
      <c r="P18" s="5"/>
      <c r="Q18" s="5"/>
      <c r="R18" s="5"/>
      <c r="S18" s="5"/>
      <c r="T18" s="5"/>
      <c r="U18" s="130"/>
      <c r="V18" s="134">
        <v>4</v>
      </c>
      <c r="W18" s="134">
        <f>IF(V18&gt;$J$34,"",COUNTIF(A:A,"&lt;="&amp;X19))</f>
        <v>8</v>
      </c>
      <c r="X18" s="133">
        <f>IF(V18&gt;$J$34,X17,X16)</f>
        <v>54.571428571428562</v>
      </c>
      <c r="Y18" s="130">
        <f>IF(V18&gt;$J$34,Y17,Y19)</f>
        <v>3</v>
      </c>
    </row>
    <row r="19" spans="1:25">
      <c r="A19" s="45"/>
      <c r="B19" s="46"/>
      <c r="C19" s="5"/>
      <c r="D19" s="5"/>
      <c r="E19" s="5"/>
      <c r="F19" s="5"/>
      <c r="G19" s="5"/>
      <c r="H19" s="5"/>
      <c r="I19" s="5"/>
      <c r="J19" s="5"/>
      <c r="K19" s="5"/>
      <c r="L19" s="5"/>
      <c r="M19" s="5"/>
      <c r="N19" s="5"/>
      <c r="O19" s="5"/>
      <c r="P19" s="5"/>
      <c r="Q19" s="5"/>
      <c r="R19" s="5"/>
      <c r="S19" s="5"/>
      <c r="T19" s="5"/>
      <c r="U19" s="130"/>
      <c r="V19" s="134"/>
      <c r="W19" s="134"/>
      <c r="X19" s="133">
        <f>IF(V18&gt;$J$34,X18,X18+$V$6)</f>
        <v>58.428571428571416</v>
      </c>
      <c r="Y19" s="130">
        <f>IF(V18&gt;$J$34,Y18,W18-W15)</f>
        <v>3</v>
      </c>
    </row>
    <row r="20" spans="1:25">
      <c r="A20" s="45"/>
      <c r="B20" s="46"/>
      <c r="C20" s="5"/>
      <c r="D20" s="5"/>
      <c r="E20" s="5"/>
      <c r="F20" s="5"/>
      <c r="G20" s="5"/>
      <c r="H20" s="5"/>
      <c r="I20" s="5"/>
      <c r="J20" s="5"/>
      <c r="K20" s="5"/>
      <c r="L20" s="5"/>
      <c r="M20" s="5"/>
      <c r="N20" s="5"/>
      <c r="O20" s="5"/>
      <c r="P20" s="5"/>
      <c r="Q20" s="5"/>
      <c r="R20" s="5"/>
      <c r="S20" s="5"/>
      <c r="T20" s="5"/>
      <c r="U20" s="130"/>
      <c r="V20" s="134"/>
      <c r="W20" s="134"/>
      <c r="X20" s="133">
        <f>IF(V18&gt;$J$34,X19,X19)</f>
        <v>58.428571428571416</v>
      </c>
      <c r="Y20" s="130">
        <f>IF(V18&gt;$J$34,Y19,0)</f>
        <v>0</v>
      </c>
    </row>
    <row r="21" spans="1:25">
      <c r="A21" s="45"/>
      <c r="B21" s="46"/>
      <c r="C21" s="5"/>
      <c r="D21" s="5"/>
      <c r="E21" s="5"/>
      <c r="F21" s="5"/>
      <c r="G21" s="5"/>
      <c r="H21" s="5"/>
      <c r="I21" s="5"/>
      <c r="J21" s="5"/>
      <c r="K21" s="5"/>
      <c r="L21" s="5"/>
      <c r="M21" s="5"/>
      <c r="N21" s="5"/>
      <c r="O21" s="5"/>
      <c r="P21" s="5"/>
      <c r="Q21" s="5"/>
      <c r="R21" s="5"/>
      <c r="S21" s="5"/>
      <c r="T21" s="5"/>
      <c r="U21" s="130"/>
      <c r="V21" s="134">
        <v>5</v>
      </c>
      <c r="W21" s="134">
        <f>IF(V21&gt;$J$34,"",COUNTIF(A:A,"&lt;="&amp;X22))</f>
        <v>10</v>
      </c>
      <c r="X21" s="133">
        <f>IF(V21&gt;$J$34,X20,X19)</f>
        <v>58.428571428571416</v>
      </c>
      <c r="Y21" s="130">
        <f>IF(V21&gt;$J$34,Y20,Y22)</f>
        <v>2</v>
      </c>
    </row>
    <row r="22" spans="1:25">
      <c r="A22" s="45"/>
      <c r="B22" s="46"/>
      <c r="C22" s="5"/>
      <c r="D22" s="5"/>
      <c r="E22" s="5"/>
      <c r="F22" s="5"/>
      <c r="G22" s="5"/>
      <c r="H22" s="5"/>
      <c r="I22" s="5"/>
      <c r="J22" s="5"/>
      <c r="K22" s="5"/>
      <c r="L22" s="5"/>
      <c r="M22" s="5"/>
      <c r="N22" s="5"/>
      <c r="O22" s="5"/>
      <c r="P22" s="5"/>
      <c r="Q22" s="5"/>
      <c r="R22" s="5"/>
      <c r="S22" s="5"/>
      <c r="T22" s="5"/>
      <c r="U22" s="130"/>
      <c r="V22" s="134"/>
      <c r="W22" s="134"/>
      <c r="X22" s="133">
        <f>IF(V21&gt;$J$34,X21,X21+$V$6)</f>
        <v>62.28571428571427</v>
      </c>
      <c r="Y22" s="130">
        <f>IF(V21&gt;$J$34,Y21,W21-W18)</f>
        <v>2</v>
      </c>
    </row>
    <row r="23" spans="1:25">
      <c r="A23" s="45"/>
      <c r="B23" s="46"/>
      <c r="C23" s="5"/>
      <c r="D23" s="5"/>
      <c r="E23" s="5"/>
      <c r="F23" s="5"/>
      <c r="G23" s="5"/>
      <c r="H23" s="5"/>
      <c r="I23" s="5"/>
      <c r="J23" s="5"/>
      <c r="K23" s="5"/>
      <c r="L23" s="5"/>
      <c r="M23" s="5"/>
      <c r="N23" s="5"/>
      <c r="O23" s="5"/>
      <c r="P23" s="5"/>
      <c r="Q23" s="5"/>
      <c r="R23" s="5"/>
      <c r="S23" s="5"/>
      <c r="T23" s="5"/>
      <c r="U23" s="130"/>
      <c r="V23" s="134"/>
      <c r="W23" s="134"/>
      <c r="X23" s="133">
        <f>IF(V21&gt;$J$34,X22,X22)</f>
        <v>62.28571428571427</v>
      </c>
      <c r="Y23" s="130">
        <f>IF(V21&gt;$J$34,Y22,0)</f>
        <v>0</v>
      </c>
    </row>
    <row r="24" spans="1:25">
      <c r="A24" s="45"/>
      <c r="B24" s="46"/>
      <c r="C24" s="5"/>
      <c r="D24" s="5"/>
      <c r="E24" s="5"/>
      <c r="F24" s="5"/>
      <c r="G24" s="5"/>
      <c r="H24" s="142"/>
      <c r="I24" s="142" t="s">
        <v>171</v>
      </c>
      <c r="J24" s="142"/>
      <c r="K24" s="142" t="s">
        <v>172</v>
      </c>
      <c r="L24" s="143"/>
      <c r="M24" s="5"/>
      <c r="N24" s="5"/>
      <c r="O24" s="5"/>
      <c r="P24" s="5"/>
      <c r="Q24" s="5"/>
      <c r="R24" s="5"/>
      <c r="S24" s="5"/>
      <c r="T24" s="5"/>
      <c r="U24" s="130"/>
      <c r="V24" s="134">
        <v>6</v>
      </c>
      <c r="W24" s="134">
        <f>IF(V24&gt;$J$34,"",COUNTIF(A:A,"&lt;="&amp;X25))</f>
        <v>14</v>
      </c>
      <c r="X24" s="133">
        <f>IF(V24&gt;$J$34,X23,X22)</f>
        <v>62.28571428571427</v>
      </c>
      <c r="Y24" s="130">
        <f>IF(V24&gt;$J$34,Y23,Y25)</f>
        <v>4</v>
      </c>
    </row>
    <row r="25" spans="1:25">
      <c r="A25" s="45"/>
      <c r="B25" s="46"/>
      <c r="C25" s="5"/>
      <c r="D25" s="5"/>
      <c r="E25" s="5"/>
      <c r="F25" s="5"/>
      <c r="G25" s="5"/>
      <c r="H25" s="5"/>
      <c r="I25" s="5"/>
      <c r="J25" s="145"/>
      <c r="K25" s="5"/>
      <c r="L25" s="5"/>
      <c r="M25" s="5"/>
      <c r="N25" s="5"/>
      <c r="O25" s="5"/>
      <c r="P25" s="5"/>
      <c r="Q25" s="5"/>
      <c r="R25" s="5"/>
      <c r="S25" s="5"/>
      <c r="T25" s="5"/>
      <c r="U25" s="130"/>
      <c r="V25" s="134"/>
      <c r="W25" s="134"/>
      <c r="X25" s="133">
        <f>IF(V24&gt;$J$34,X24,X24+$V$6)</f>
        <v>66.142857142857125</v>
      </c>
      <c r="Y25" s="130">
        <f>IF(V24&gt;$J$34,Y24,W24-W21)</f>
        <v>4</v>
      </c>
    </row>
    <row r="26" spans="1:25">
      <c r="A26" s="45"/>
      <c r="B26" s="46"/>
      <c r="C26" s="5"/>
      <c r="D26" s="5"/>
      <c r="E26" s="5"/>
      <c r="F26" s="5"/>
      <c r="G26" s="5"/>
      <c r="H26" s="5"/>
      <c r="I26" s="5"/>
      <c r="J26" s="145"/>
      <c r="K26" s="5"/>
      <c r="L26" s="5"/>
      <c r="M26" s="5"/>
      <c r="N26" s="5"/>
      <c r="O26" s="5"/>
      <c r="P26" s="5"/>
      <c r="Q26" s="5"/>
      <c r="R26" s="5"/>
      <c r="S26" s="5"/>
      <c r="T26" s="5"/>
      <c r="U26" s="130"/>
      <c r="V26" s="134"/>
      <c r="W26" s="134"/>
      <c r="X26" s="133">
        <f>IF(V24&gt;$J$34,X25,X25)</f>
        <v>66.142857142857125</v>
      </c>
      <c r="Y26" s="130">
        <f>IF(V24&gt;$J$34,Y25,0)</f>
        <v>0</v>
      </c>
    </row>
    <row r="27" spans="1:25">
      <c r="A27" s="45"/>
      <c r="B27" s="46"/>
      <c r="C27" s="5"/>
      <c r="D27" s="5"/>
      <c r="E27" s="5"/>
      <c r="F27" s="5"/>
      <c r="H27" s="5"/>
      <c r="I27" s="5"/>
      <c r="J27" s="145"/>
      <c r="K27" s="5"/>
      <c r="L27" s="5"/>
      <c r="M27" s="5"/>
      <c r="N27" s="5"/>
      <c r="O27" s="5"/>
      <c r="P27" s="5"/>
      <c r="Q27" s="5"/>
      <c r="R27" s="5"/>
      <c r="S27" s="5"/>
      <c r="T27" s="5"/>
      <c r="U27" s="130"/>
      <c r="V27" s="134">
        <v>7</v>
      </c>
      <c r="W27" s="134">
        <f>IF(V27&gt;$J$34,"",COUNTIF(A:A,"&lt;="&amp;X28))</f>
        <v>15</v>
      </c>
      <c r="X27" s="133">
        <f>IF(V27&gt;$J$34,X26,X25)</f>
        <v>66.142857142857125</v>
      </c>
      <c r="Y27" s="130">
        <f>IF(V27&gt;$J$34,Y26,Y28)</f>
        <v>1</v>
      </c>
    </row>
    <row r="28" spans="1:25">
      <c r="A28" s="45"/>
      <c r="B28" s="46"/>
      <c r="C28" s="5"/>
      <c r="D28" s="5"/>
      <c r="E28" s="5"/>
      <c r="F28" s="5"/>
      <c r="G28" s="5"/>
      <c r="H28" s="5"/>
      <c r="I28" s="5"/>
      <c r="J28" s="145"/>
      <c r="K28" s="5"/>
      <c r="L28" s="5"/>
      <c r="M28" s="5"/>
      <c r="N28" s="5"/>
      <c r="O28" s="5"/>
      <c r="P28" s="5"/>
      <c r="Q28" s="5"/>
      <c r="R28" s="5"/>
      <c r="S28" s="5"/>
      <c r="T28" s="5"/>
      <c r="U28" s="130"/>
      <c r="V28" s="134"/>
      <c r="W28" s="134"/>
      <c r="X28" s="133">
        <f>IF(V27&gt;$J$34,X27,X27+$V$6)</f>
        <v>69.999999999999986</v>
      </c>
      <c r="Y28" s="130">
        <f>IF(V27&gt;$J$34,Y27,W27-W24)</f>
        <v>1</v>
      </c>
    </row>
    <row r="29" spans="1:25">
      <c r="A29" s="45"/>
      <c r="B29" s="46"/>
      <c r="C29" s="5"/>
      <c r="D29" s="5"/>
      <c r="E29" s="5"/>
      <c r="F29" s="5"/>
      <c r="G29" s="5"/>
      <c r="H29" s="5"/>
      <c r="I29" s="5"/>
      <c r="J29" s="145"/>
      <c r="K29" s="5"/>
      <c r="L29" s="5"/>
      <c r="M29" s="5"/>
      <c r="N29" s="5"/>
      <c r="O29" s="5"/>
      <c r="P29" s="5"/>
      <c r="Q29" s="5"/>
      <c r="R29" s="5"/>
      <c r="S29" s="5"/>
      <c r="T29" s="5"/>
      <c r="U29" s="130"/>
      <c r="V29" s="134"/>
      <c r="W29" s="134"/>
      <c r="X29" s="133">
        <f>IF(V27&gt;$J$34,X28,X28)</f>
        <v>69.999999999999986</v>
      </c>
      <c r="Y29" s="130">
        <f>IF(V27&gt;$J$34,Y28,0)</f>
        <v>0</v>
      </c>
    </row>
    <row r="30" spans="1:25">
      <c r="A30" s="45"/>
      <c r="B30" s="46"/>
      <c r="C30" s="5"/>
      <c r="D30" s="5"/>
      <c r="E30" s="5"/>
      <c r="F30" s="5"/>
      <c r="G30" s="5"/>
      <c r="H30" s="5"/>
      <c r="I30" s="5"/>
      <c r="J30" s="145"/>
      <c r="K30" s="5"/>
      <c r="L30" s="5"/>
      <c r="M30" s="5"/>
      <c r="N30" s="5"/>
      <c r="O30" s="5"/>
      <c r="P30" s="5"/>
      <c r="Q30" s="5"/>
      <c r="R30" s="5"/>
      <c r="S30" s="5"/>
      <c r="T30" s="5"/>
      <c r="U30" s="130"/>
      <c r="V30" s="134">
        <v>8</v>
      </c>
      <c r="W30" s="134" t="str">
        <f>IF(V30&gt;$J$34,"",COUNTIF(A:A,"&lt;="&amp;X31))</f>
        <v/>
      </c>
      <c r="X30" s="133">
        <f>IF(V30&gt;$J$34,X29,X28)</f>
        <v>69.999999999999986</v>
      </c>
      <c r="Y30" s="130">
        <f>IF(V30&gt;$J$34,Y29,Y31)</f>
        <v>0</v>
      </c>
    </row>
    <row r="31" spans="1:25">
      <c r="A31" s="45"/>
      <c r="B31" s="46"/>
      <c r="C31" s="5"/>
      <c r="D31" s="5"/>
      <c r="E31" s="5"/>
      <c r="F31" s="5"/>
      <c r="G31" s="5"/>
      <c r="H31" s="5"/>
      <c r="I31" s="5"/>
      <c r="J31" s="145"/>
      <c r="K31" s="5"/>
      <c r="L31" s="5"/>
      <c r="M31" s="5"/>
      <c r="N31" s="5"/>
      <c r="O31" s="5"/>
      <c r="P31" s="5"/>
      <c r="Q31" s="5"/>
      <c r="R31" s="5"/>
      <c r="S31" s="5"/>
      <c r="T31" s="5"/>
      <c r="U31" s="130"/>
      <c r="V31" s="134"/>
      <c r="W31" s="134"/>
      <c r="X31" s="133">
        <f>IF(V30&gt;$J$34,X30,X30+$V$6)</f>
        <v>69.999999999999986</v>
      </c>
      <c r="Y31" s="130">
        <f>IF(V30&gt;$J$34,Y30,W30-W27)</f>
        <v>0</v>
      </c>
    </row>
    <row r="32" spans="1:25">
      <c r="A32" s="45"/>
      <c r="B32" s="46"/>
      <c r="C32" s="5"/>
      <c r="D32" s="5"/>
      <c r="E32" s="5"/>
      <c r="F32" s="5"/>
      <c r="G32" s="5"/>
      <c r="H32" s="5"/>
      <c r="I32" s="5"/>
      <c r="J32" s="145"/>
      <c r="K32" s="5"/>
      <c r="L32" s="5"/>
      <c r="M32" s="5"/>
      <c r="N32" s="5"/>
      <c r="O32" s="5"/>
      <c r="P32" s="5"/>
      <c r="Q32" s="5"/>
      <c r="R32" s="5"/>
      <c r="S32" s="5"/>
      <c r="T32" s="5"/>
      <c r="U32" s="130"/>
      <c r="V32" s="134"/>
      <c r="W32" s="134"/>
      <c r="X32" s="133">
        <f>IF(V30&gt;$J$34,X31,X31)</f>
        <v>69.999999999999986</v>
      </c>
      <c r="Y32" s="130">
        <f>IF(V30&gt;$J$34,Y31,0)</f>
        <v>0</v>
      </c>
    </row>
    <row r="33" spans="1:25">
      <c r="A33" s="45"/>
      <c r="B33" s="46"/>
      <c r="C33" s="5"/>
      <c r="D33" s="5"/>
      <c r="E33" s="5"/>
      <c r="F33" s="5"/>
      <c r="G33" s="5"/>
      <c r="H33" s="5"/>
      <c r="I33" s="5"/>
      <c r="J33" s="145"/>
      <c r="K33" s="5"/>
      <c r="L33" s="5"/>
      <c r="M33" s="5"/>
      <c r="N33" s="5"/>
      <c r="O33" s="5"/>
      <c r="P33" s="5"/>
      <c r="Q33" s="5"/>
      <c r="R33" s="5"/>
      <c r="S33" s="5"/>
      <c r="T33" s="5"/>
      <c r="U33" s="130"/>
      <c r="V33" s="134">
        <v>9</v>
      </c>
      <c r="W33" s="134" t="str">
        <f>IF(V33&gt;$J$34,"",COUNTIF(A:A,"&lt;="&amp;X34))</f>
        <v/>
      </c>
      <c r="X33" s="133">
        <f>IF(V33&gt;$J$34,X32,X31)</f>
        <v>69.999999999999986</v>
      </c>
      <c r="Y33" s="130">
        <f>IF(V33&gt;$J$34,Y32,Y34)</f>
        <v>0</v>
      </c>
    </row>
    <row r="34" spans="1:25">
      <c r="A34" s="45"/>
      <c r="B34" s="46"/>
      <c r="C34" s="5"/>
      <c r="D34" s="5"/>
      <c r="E34" s="5"/>
      <c r="F34" s="5"/>
      <c r="G34" s="5"/>
      <c r="H34" s="19"/>
      <c r="I34" s="144" t="s">
        <v>173</v>
      </c>
      <c r="J34" s="129">
        <v>7</v>
      </c>
      <c r="K34" s="19"/>
      <c r="L34" s="19"/>
      <c r="M34" s="5"/>
      <c r="N34" s="5"/>
      <c r="O34" s="5"/>
      <c r="P34" s="5"/>
      <c r="Q34" s="5"/>
      <c r="R34" s="5"/>
      <c r="S34" s="5"/>
      <c r="T34" s="5"/>
      <c r="U34" s="130"/>
      <c r="V34" s="134"/>
      <c r="W34" s="134"/>
      <c r="X34" s="133">
        <f>IF(V33&gt;$J$34,X33,X33+$V$6)</f>
        <v>69.999999999999986</v>
      </c>
      <c r="Y34" s="130">
        <f>IF(V33&gt;$J$34,Y33,W33-W30)</f>
        <v>0</v>
      </c>
    </row>
    <row r="35" spans="1:25">
      <c r="A35" s="45"/>
      <c r="B35" s="46"/>
      <c r="C35" s="5"/>
      <c r="D35" s="5"/>
      <c r="E35" s="5"/>
      <c r="F35" s="5"/>
      <c r="G35" s="5"/>
      <c r="H35" s="5"/>
      <c r="I35" s="5"/>
      <c r="J35" s="5"/>
      <c r="K35" s="5"/>
      <c r="L35" s="5"/>
      <c r="M35" s="5"/>
      <c r="N35" s="5"/>
      <c r="O35" s="5"/>
      <c r="P35" s="5"/>
      <c r="Q35" s="5"/>
      <c r="R35" s="5"/>
      <c r="S35" s="5"/>
      <c r="T35" s="5"/>
      <c r="U35" s="130"/>
      <c r="V35" s="134"/>
      <c r="W35" s="134"/>
      <c r="X35" s="133">
        <f>IF(V33&gt;$J$34,X34,X34)</f>
        <v>69.999999999999986</v>
      </c>
      <c r="Y35" s="130">
        <f>IF(V33&gt;$J$34,Y34,0)</f>
        <v>0</v>
      </c>
    </row>
    <row r="36" spans="1:25">
      <c r="A36" s="45"/>
      <c r="B36" s="46"/>
      <c r="C36" s="5"/>
      <c r="D36" s="5"/>
      <c r="E36" s="5"/>
      <c r="F36" s="5"/>
      <c r="G36" s="5"/>
      <c r="H36" s="5"/>
      <c r="I36" s="5"/>
      <c r="J36" s="5"/>
      <c r="K36" s="5"/>
      <c r="L36" s="5"/>
      <c r="M36" s="5"/>
      <c r="N36" s="5"/>
      <c r="O36" s="5"/>
      <c r="P36" s="5"/>
      <c r="Q36" s="5"/>
      <c r="R36" s="5"/>
      <c r="S36" s="5"/>
      <c r="T36" s="5"/>
      <c r="U36" s="130"/>
      <c r="V36" s="134">
        <v>10</v>
      </c>
      <c r="W36" s="134" t="str">
        <f>IF(V36&gt;$J$34,"",COUNTIF(A:A,"&lt;="&amp;X37))</f>
        <v/>
      </c>
      <c r="X36" s="133">
        <f>IF(V36&gt;$J$34,X35,X34)</f>
        <v>69.999999999999986</v>
      </c>
      <c r="Y36" s="130">
        <f>IF(V36&gt;$J$34,Y35,Y37)</f>
        <v>0</v>
      </c>
    </row>
    <row r="37" spans="1:25">
      <c r="A37" s="45"/>
      <c r="B37" s="46"/>
      <c r="C37" s="5"/>
      <c r="D37" s="5"/>
      <c r="E37" s="5"/>
      <c r="F37" s="5"/>
      <c r="G37" s="5"/>
      <c r="H37" s="5"/>
      <c r="I37" s="5"/>
      <c r="J37" s="5"/>
      <c r="K37" s="5"/>
      <c r="L37" s="5"/>
      <c r="M37" s="5"/>
      <c r="N37" s="5"/>
      <c r="O37" s="5"/>
      <c r="P37" s="5"/>
      <c r="Q37" s="5"/>
      <c r="R37" s="5"/>
      <c r="S37" s="5"/>
      <c r="T37" s="5"/>
      <c r="U37" s="130"/>
      <c r="V37" s="134"/>
      <c r="W37" s="134"/>
      <c r="X37" s="133">
        <f>IF(V36&gt;$J$34,X36,X36+$V$6)</f>
        <v>69.999999999999986</v>
      </c>
      <c r="Y37" s="130">
        <f>IF(V36&gt;$J$34,Y36,W36-W33)</f>
        <v>0</v>
      </c>
    </row>
    <row r="38" spans="1:25">
      <c r="A38" s="45"/>
      <c r="B38" s="46"/>
      <c r="C38" s="5"/>
      <c r="D38" s="5"/>
      <c r="E38" s="5"/>
      <c r="F38" s="5"/>
      <c r="G38" s="5"/>
      <c r="H38" s="5"/>
      <c r="I38" s="5"/>
      <c r="J38" s="5"/>
      <c r="K38" s="5"/>
      <c r="L38" s="5"/>
      <c r="M38" s="5"/>
      <c r="N38" s="5"/>
      <c r="O38" s="5"/>
      <c r="P38" s="5"/>
      <c r="Q38" s="5"/>
      <c r="R38" s="5"/>
      <c r="S38" s="5"/>
      <c r="T38" s="5"/>
      <c r="U38" s="130"/>
      <c r="V38" s="134"/>
      <c r="W38" s="134"/>
      <c r="X38" s="133">
        <f>IF(V36&gt;$J$34,X37,X37)</f>
        <v>69.999999999999986</v>
      </c>
      <c r="Y38" s="130">
        <f>IF(V36&gt;$J$34,Y37,0)</f>
        <v>0</v>
      </c>
    </row>
    <row r="39" spans="1:25">
      <c r="A39" s="45"/>
      <c r="B39" s="46"/>
      <c r="C39" s="5"/>
      <c r="D39" s="5"/>
      <c r="E39" s="5"/>
      <c r="F39" s="5"/>
      <c r="G39" s="5"/>
      <c r="H39" s="5"/>
      <c r="I39" s="5"/>
      <c r="J39" s="5"/>
      <c r="K39" s="5"/>
      <c r="L39" s="5"/>
      <c r="M39" s="5"/>
      <c r="N39" s="5"/>
      <c r="O39" s="5"/>
      <c r="P39" s="5"/>
      <c r="Q39" s="5"/>
      <c r="R39" s="5"/>
      <c r="S39" s="5"/>
      <c r="T39" s="5"/>
      <c r="U39" s="130"/>
      <c r="V39" s="134">
        <v>11</v>
      </c>
      <c r="W39" s="134" t="str">
        <f>IF(V39&gt;$J$34,"",COUNTIF(A:A,"&lt;="&amp;X40))</f>
        <v/>
      </c>
      <c r="X39" s="133">
        <f>IF(V39&gt;$J$34,X38,X37)</f>
        <v>69.999999999999986</v>
      </c>
      <c r="Y39" s="130">
        <f>IF(V39&gt;$J$34,Y38,Y40)</f>
        <v>0</v>
      </c>
    </row>
    <row r="40" spans="1:25">
      <c r="A40" s="45"/>
      <c r="B40" s="46"/>
      <c r="C40" s="5"/>
      <c r="D40" s="5"/>
      <c r="E40" s="5"/>
      <c r="F40" s="5"/>
      <c r="G40" s="5"/>
      <c r="H40" s="5"/>
      <c r="I40" s="5"/>
      <c r="J40" s="5"/>
      <c r="K40" s="5"/>
      <c r="L40" s="5"/>
      <c r="M40" s="5"/>
      <c r="N40" s="5"/>
      <c r="O40" s="5"/>
      <c r="P40" s="5"/>
      <c r="Q40" s="5"/>
      <c r="R40" s="5"/>
      <c r="S40" s="5"/>
      <c r="T40" s="5"/>
      <c r="U40" s="130"/>
      <c r="V40" s="134"/>
      <c r="W40" s="134"/>
      <c r="X40" s="133">
        <f>IF(V39&gt;$J$34,X39,X39+$V$6)</f>
        <v>69.999999999999986</v>
      </c>
      <c r="Y40" s="130">
        <f>IF(V39&gt;$J$34,Y39,W39-W36)</f>
        <v>0</v>
      </c>
    </row>
    <row r="41" spans="1:25">
      <c r="A41" s="45"/>
      <c r="B41" s="46"/>
      <c r="C41" s="5"/>
      <c r="D41" s="5"/>
      <c r="E41" s="5"/>
      <c r="F41" s="5"/>
      <c r="G41" s="5"/>
      <c r="H41" s="5"/>
      <c r="I41" s="5"/>
      <c r="J41" s="5"/>
      <c r="K41" s="5"/>
      <c r="L41" s="5"/>
      <c r="M41" s="5"/>
      <c r="N41" s="5"/>
      <c r="O41" s="5"/>
      <c r="P41" s="5"/>
      <c r="Q41" s="5"/>
      <c r="R41" s="5"/>
      <c r="S41" s="5"/>
      <c r="T41" s="5"/>
      <c r="U41" s="130"/>
      <c r="V41" s="134"/>
      <c r="W41" s="134"/>
      <c r="X41" s="133">
        <f>IF(V39&gt;$J$34,X40,X40)</f>
        <v>69.999999999999986</v>
      </c>
      <c r="Y41" s="130">
        <f>IF(V39&gt;$J$34,Y40,0)</f>
        <v>0</v>
      </c>
    </row>
    <row r="42" spans="1:25">
      <c r="A42" s="45"/>
      <c r="B42" s="46"/>
      <c r="C42" s="5"/>
      <c r="D42" s="5"/>
      <c r="E42" s="5"/>
      <c r="F42" s="5"/>
      <c r="G42" s="5"/>
      <c r="H42" s="5"/>
      <c r="I42" s="5"/>
      <c r="J42" s="5"/>
      <c r="K42" s="5"/>
      <c r="L42" s="5"/>
      <c r="M42" s="5"/>
      <c r="N42" s="5"/>
      <c r="O42" s="5"/>
      <c r="P42" s="5"/>
      <c r="Q42" s="5"/>
      <c r="R42" s="5"/>
      <c r="S42" s="5"/>
      <c r="T42" s="5"/>
      <c r="U42" s="130"/>
      <c r="V42" s="134">
        <v>12</v>
      </c>
      <c r="W42" s="134" t="str">
        <f>IF(V42&gt;$J$34,"",COUNTIF(A:A,"&lt;="&amp;X43))</f>
        <v/>
      </c>
      <c r="X42" s="133">
        <f>IF(V42&gt;$J$34,X41,X40)</f>
        <v>69.999999999999986</v>
      </c>
      <c r="Y42" s="130">
        <f>IF(V42&gt;$J$34,Y41,Y43)</f>
        <v>0</v>
      </c>
    </row>
    <row r="43" spans="1:25">
      <c r="A43" s="45"/>
      <c r="B43" s="46"/>
      <c r="C43" s="5"/>
      <c r="D43" s="5"/>
      <c r="E43" s="5"/>
      <c r="F43" s="5"/>
      <c r="G43" s="5"/>
      <c r="H43" s="5"/>
      <c r="I43" s="5"/>
      <c r="J43" s="5"/>
      <c r="K43" s="5"/>
      <c r="L43" s="5"/>
      <c r="M43" s="5"/>
      <c r="N43" s="5"/>
      <c r="O43" s="5"/>
      <c r="P43" s="5"/>
      <c r="Q43" s="5"/>
      <c r="R43" s="5"/>
      <c r="S43" s="5"/>
      <c r="T43" s="5"/>
      <c r="U43" s="130"/>
      <c r="V43" s="134"/>
      <c r="W43" s="134"/>
      <c r="X43" s="133">
        <f>IF(V42&gt;$J$34,X42,X42+$V$6)</f>
        <v>69.999999999999986</v>
      </c>
      <c r="Y43" s="130">
        <f>IF(V42&gt;$J$34,Y42,W42-W39)</f>
        <v>0</v>
      </c>
    </row>
    <row r="44" spans="1:25">
      <c r="A44" s="45"/>
      <c r="B44" s="46"/>
      <c r="C44" s="5"/>
      <c r="D44" s="5"/>
      <c r="E44" s="5"/>
      <c r="F44" s="5"/>
      <c r="G44" s="5"/>
      <c r="H44" s="5"/>
      <c r="I44" s="5"/>
      <c r="J44" s="5"/>
      <c r="K44" s="5"/>
      <c r="L44" s="5"/>
      <c r="M44" s="5"/>
      <c r="N44" s="5"/>
      <c r="O44" s="5"/>
      <c r="P44" s="5"/>
      <c r="Q44" s="5"/>
      <c r="R44" s="5"/>
      <c r="S44" s="5"/>
      <c r="T44" s="5"/>
      <c r="U44" s="130"/>
      <c r="V44" s="134"/>
      <c r="W44" s="134"/>
      <c r="X44" s="133">
        <f>IF(V42&gt;$J$34,X43,X43)</f>
        <v>69.999999999999986</v>
      </c>
      <c r="Y44" s="130">
        <f>IF(V42&gt;$J$34,Y43,0)</f>
        <v>0</v>
      </c>
    </row>
    <row r="45" spans="1:25">
      <c r="A45" s="45"/>
      <c r="B45" s="46"/>
      <c r="C45" s="5"/>
      <c r="D45" s="5"/>
      <c r="E45" s="5"/>
      <c r="F45" s="5"/>
      <c r="G45" s="5"/>
      <c r="H45" s="5"/>
      <c r="I45" s="5"/>
      <c r="J45" s="5"/>
      <c r="K45" s="5"/>
      <c r="L45" s="5"/>
      <c r="M45" s="5"/>
      <c r="N45" s="5"/>
      <c r="O45" s="5"/>
      <c r="P45" s="5"/>
      <c r="Q45" s="5"/>
      <c r="R45" s="5"/>
      <c r="S45" s="5"/>
      <c r="T45" s="5"/>
      <c r="U45" s="130"/>
      <c r="V45" s="134">
        <v>13</v>
      </c>
      <c r="W45" s="134" t="str">
        <f>IF(V45&gt;$J$34,"",COUNTIF(A:A,"&lt;="&amp;X46))</f>
        <v/>
      </c>
      <c r="X45" s="133">
        <f>IF(V45&gt;$J$34,X44,X43)</f>
        <v>69.999999999999986</v>
      </c>
      <c r="Y45" s="130">
        <f>IF(V45&gt;$J$34,Y44,Y46)</f>
        <v>0</v>
      </c>
    </row>
    <row r="46" spans="1:25">
      <c r="A46" s="45"/>
      <c r="B46" s="46"/>
      <c r="C46" s="5"/>
      <c r="D46" s="5"/>
      <c r="E46" s="5"/>
      <c r="F46" s="5"/>
      <c r="G46" s="5"/>
      <c r="H46" s="5"/>
      <c r="I46" s="5"/>
      <c r="J46" s="5"/>
      <c r="K46" s="5"/>
      <c r="L46" s="5"/>
      <c r="M46" s="5"/>
      <c r="N46" s="5"/>
      <c r="O46" s="5"/>
      <c r="P46" s="5"/>
      <c r="Q46" s="5"/>
      <c r="R46" s="5"/>
      <c r="S46" s="5"/>
      <c r="T46" s="5"/>
      <c r="U46" s="130"/>
      <c r="V46" s="134"/>
      <c r="W46" s="134"/>
      <c r="X46" s="133">
        <f>IF(V45&gt;$J$34,X45,X45+$V$6)</f>
        <v>69.999999999999986</v>
      </c>
      <c r="Y46" s="130">
        <f>IF(V45&gt;$J$34,Y45,W45-W42)</f>
        <v>0</v>
      </c>
    </row>
    <row r="47" spans="1:25">
      <c r="A47" s="45"/>
      <c r="B47" s="46"/>
      <c r="C47" s="5"/>
      <c r="D47" s="5"/>
      <c r="E47" s="5"/>
      <c r="F47" s="5"/>
      <c r="G47" s="5"/>
      <c r="H47" s="5"/>
      <c r="I47" s="5"/>
      <c r="J47" s="5"/>
      <c r="K47" s="5"/>
      <c r="L47" s="5"/>
      <c r="M47" s="5"/>
      <c r="N47" s="5"/>
      <c r="O47" s="5"/>
      <c r="P47" s="5"/>
      <c r="Q47" s="5"/>
      <c r="R47" s="5"/>
      <c r="S47" s="5"/>
      <c r="T47" s="5"/>
      <c r="U47" s="130"/>
      <c r="V47" s="134"/>
      <c r="W47" s="134"/>
      <c r="X47" s="133">
        <f>IF(V45&gt;$J$34,X46,X46)</f>
        <v>69.999999999999986</v>
      </c>
      <c r="Y47" s="130">
        <f>IF(V45&gt;$J$34,Y46,0)</f>
        <v>0</v>
      </c>
    </row>
    <row r="48" spans="1:25">
      <c r="A48" s="45"/>
      <c r="B48" s="46"/>
      <c r="C48" s="5"/>
      <c r="D48" s="5"/>
      <c r="E48" s="5"/>
      <c r="F48" s="5"/>
      <c r="G48" s="5"/>
      <c r="H48" s="5"/>
      <c r="I48" s="5"/>
      <c r="J48" s="5"/>
      <c r="K48" s="5"/>
      <c r="L48" s="5"/>
      <c r="M48" s="5"/>
      <c r="N48" s="5"/>
      <c r="O48" s="5"/>
      <c r="P48" s="5"/>
      <c r="Q48" s="5"/>
      <c r="R48" s="5"/>
      <c r="S48" s="5"/>
      <c r="T48" s="5"/>
      <c r="U48" s="130"/>
      <c r="V48" s="134">
        <v>14</v>
      </c>
      <c r="W48" s="134" t="str">
        <f>IF(V48&gt;$J$34,"",COUNTIF(A:A,"&lt;="&amp;X49))</f>
        <v/>
      </c>
      <c r="X48" s="133">
        <f>IF(V48&gt;$J$34,X47,X46)</f>
        <v>69.999999999999986</v>
      </c>
      <c r="Y48" s="130">
        <f>IF(V48&gt;$J$34,Y47,Y49)</f>
        <v>0</v>
      </c>
    </row>
    <row r="49" spans="1:25">
      <c r="A49" s="45"/>
      <c r="B49" s="46"/>
      <c r="C49" s="5"/>
      <c r="D49" s="5"/>
      <c r="E49" s="5"/>
      <c r="F49" s="5"/>
      <c r="G49" s="5"/>
      <c r="H49" s="5"/>
      <c r="I49" s="5"/>
      <c r="J49" s="5"/>
      <c r="K49" s="5"/>
      <c r="L49" s="5"/>
      <c r="M49" s="5"/>
      <c r="N49" s="5"/>
      <c r="O49" s="5"/>
      <c r="P49" s="5"/>
      <c r="Q49" s="5"/>
      <c r="R49" s="5"/>
      <c r="S49" s="5"/>
      <c r="T49" s="5"/>
      <c r="U49" s="130"/>
      <c r="V49" s="134"/>
      <c r="W49" s="134"/>
      <c r="X49" s="133">
        <f>IF(V48&gt;$J$34,X48,X48+$V$6)</f>
        <v>69.999999999999986</v>
      </c>
      <c r="Y49" s="130">
        <f>IF(V48&gt;$J$34,Y48,W48-W45)</f>
        <v>0</v>
      </c>
    </row>
    <row r="50" spans="1:25">
      <c r="A50" s="45"/>
      <c r="B50" s="46"/>
      <c r="C50" s="5"/>
      <c r="D50" s="5"/>
      <c r="E50" s="5"/>
      <c r="F50" s="5"/>
      <c r="G50" s="5"/>
      <c r="H50" s="5"/>
      <c r="I50" s="5"/>
      <c r="J50" s="5"/>
      <c r="K50" s="5"/>
      <c r="L50" s="5"/>
      <c r="M50" s="5"/>
      <c r="N50" s="5"/>
      <c r="O50" s="5"/>
      <c r="P50" s="5"/>
      <c r="Q50" s="5"/>
      <c r="R50" s="5"/>
      <c r="S50" s="5"/>
      <c r="T50" s="5"/>
      <c r="U50" s="130"/>
      <c r="V50" s="134"/>
      <c r="W50" s="134"/>
      <c r="X50" s="133">
        <f>IF(V48&gt;$J$34,X49,X49)</f>
        <v>69.999999999999986</v>
      </c>
      <c r="Y50" s="130">
        <f>IF(V48&gt;$J$34,Y49,0)</f>
        <v>0</v>
      </c>
    </row>
    <row r="51" spans="1:25">
      <c r="A51" s="45"/>
      <c r="B51" s="46"/>
      <c r="C51" s="5"/>
      <c r="D51" s="5"/>
      <c r="E51" s="5"/>
      <c r="F51" s="5"/>
      <c r="G51" s="5"/>
      <c r="H51" s="5"/>
      <c r="I51" s="5"/>
      <c r="J51" s="5"/>
      <c r="K51" s="5"/>
      <c r="L51" s="5"/>
      <c r="M51" s="5"/>
      <c r="N51" s="5"/>
      <c r="O51" s="5"/>
      <c r="P51" s="5"/>
      <c r="Q51" s="5"/>
      <c r="R51" s="5"/>
      <c r="S51" s="5"/>
      <c r="T51" s="5"/>
      <c r="U51" s="130"/>
      <c r="V51" s="134">
        <v>15</v>
      </c>
      <c r="W51" s="134" t="str">
        <f>IF(V51&gt;$J$34,"",COUNTIF(A:A,"&lt;="&amp;X52))</f>
        <v/>
      </c>
      <c r="X51" s="133">
        <f>IF(V51&gt;$J$34,X50,X49)</f>
        <v>69.999999999999986</v>
      </c>
      <c r="Y51" s="130">
        <f>IF(V51&gt;$J$34,Y50,Y52)</f>
        <v>0</v>
      </c>
    </row>
    <row r="52" spans="1:25">
      <c r="A52" s="45"/>
      <c r="B52" s="46"/>
      <c r="C52" s="5"/>
      <c r="D52" s="5"/>
      <c r="E52" s="5"/>
      <c r="F52" s="5"/>
      <c r="G52" s="5"/>
      <c r="H52" s="5"/>
      <c r="I52" s="5"/>
      <c r="J52" s="5"/>
      <c r="K52" s="5"/>
      <c r="L52" s="5"/>
      <c r="M52" s="5"/>
      <c r="N52" s="5"/>
      <c r="O52" s="5"/>
      <c r="P52" s="5"/>
      <c r="Q52" s="5"/>
      <c r="R52" s="5"/>
      <c r="S52" s="5"/>
      <c r="T52" s="5"/>
      <c r="U52" s="130"/>
      <c r="V52" s="134"/>
      <c r="W52" s="134"/>
      <c r="X52" s="133">
        <f>IF(V51&gt;$J$34,X51,X51+$V$6)</f>
        <v>69.999999999999986</v>
      </c>
      <c r="Y52" s="130">
        <f>IF(V51&gt;$J$34,Y51,W51-W48)</f>
        <v>0</v>
      </c>
    </row>
    <row r="53" spans="1:25">
      <c r="A53" s="45"/>
      <c r="B53" s="46"/>
      <c r="C53" s="5"/>
      <c r="D53" s="5"/>
      <c r="E53" s="5"/>
      <c r="F53" s="5"/>
      <c r="G53" s="5"/>
      <c r="H53" s="5"/>
      <c r="I53" s="5"/>
      <c r="J53" s="5"/>
      <c r="K53" s="5"/>
      <c r="L53" s="5"/>
      <c r="M53" s="5"/>
      <c r="N53" s="5"/>
      <c r="O53" s="5"/>
      <c r="P53" s="5"/>
      <c r="Q53" s="5"/>
      <c r="R53" s="5"/>
      <c r="S53" s="5"/>
      <c r="T53" s="5"/>
      <c r="U53" s="130"/>
      <c r="V53" s="134"/>
      <c r="W53" s="134"/>
      <c r="X53" s="133">
        <f>IF(V51&gt;$J$34,X52,X52)</f>
        <v>69.999999999999986</v>
      </c>
      <c r="Y53" s="130">
        <f>IF(V51&gt;$J$34,Y52,0)</f>
        <v>0</v>
      </c>
    </row>
    <row r="54" spans="1:25">
      <c r="A54" s="45"/>
      <c r="B54" s="46"/>
      <c r="C54" s="5"/>
      <c r="D54" s="5"/>
      <c r="E54" s="5"/>
      <c r="F54" s="5"/>
      <c r="G54" s="5"/>
      <c r="H54" s="5"/>
      <c r="I54" s="5"/>
      <c r="J54" s="5"/>
      <c r="K54" s="5"/>
      <c r="L54" s="5"/>
      <c r="M54" s="5"/>
      <c r="N54" s="5"/>
      <c r="O54" s="5"/>
      <c r="P54" s="5"/>
      <c r="Q54" s="5"/>
      <c r="R54" s="5"/>
      <c r="S54" s="5"/>
      <c r="T54" s="5"/>
      <c r="U54" s="130"/>
      <c r="V54" s="134"/>
      <c r="W54" s="134"/>
      <c r="X54" s="133"/>
      <c r="Y54" s="130"/>
    </row>
    <row r="55" spans="1:25">
      <c r="A55" s="45"/>
      <c r="B55" s="46"/>
      <c r="C55" s="5"/>
      <c r="D55" s="5"/>
      <c r="E55" s="5"/>
      <c r="F55" s="5"/>
      <c r="G55" s="5"/>
      <c r="H55" s="5"/>
      <c r="I55" s="5"/>
      <c r="J55" s="5"/>
      <c r="K55" s="5"/>
      <c r="L55" s="5"/>
      <c r="M55" s="5"/>
      <c r="N55" s="5"/>
      <c r="O55" s="5"/>
      <c r="P55" s="5"/>
      <c r="Q55" s="5"/>
      <c r="R55" s="5"/>
      <c r="S55" s="5"/>
      <c r="T55" s="5"/>
    </row>
    <row r="56" spans="1:25">
      <c r="A56" s="45"/>
      <c r="B56" s="46"/>
      <c r="C56" s="5"/>
      <c r="D56" s="5"/>
      <c r="E56" s="5"/>
      <c r="F56" s="5"/>
      <c r="G56" s="5"/>
      <c r="H56" s="5"/>
      <c r="I56" s="5"/>
      <c r="J56" s="5"/>
      <c r="K56" s="5"/>
      <c r="L56" s="5"/>
      <c r="M56" s="5"/>
      <c r="N56" s="5"/>
      <c r="O56" s="5"/>
      <c r="P56" s="5"/>
      <c r="Q56" s="5"/>
      <c r="R56" s="5"/>
      <c r="S56" s="5"/>
      <c r="T56" s="5"/>
      <c r="U56" s="130" t="s">
        <v>152</v>
      </c>
    </row>
    <row r="57" spans="1:25">
      <c r="A57" s="45"/>
      <c r="B57" s="46"/>
      <c r="C57" s="5"/>
      <c r="D57" s="5"/>
      <c r="E57" s="5"/>
      <c r="F57" s="5"/>
      <c r="G57" s="5"/>
      <c r="H57" s="5"/>
      <c r="I57" s="5"/>
      <c r="J57" s="5"/>
      <c r="K57" s="5"/>
      <c r="L57" s="5"/>
      <c r="M57" s="5"/>
      <c r="N57" s="5"/>
      <c r="O57" s="5"/>
      <c r="P57" s="5"/>
      <c r="Q57" s="5"/>
      <c r="R57" s="5"/>
      <c r="S57" s="5"/>
      <c r="T57" s="5"/>
    </row>
    <row r="58" spans="1:25">
      <c r="A58" s="45"/>
      <c r="B58" s="46"/>
      <c r="C58" s="5"/>
      <c r="D58" s="5"/>
      <c r="E58" s="5"/>
      <c r="F58" s="5"/>
      <c r="G58" s="5"/>
      <c r="H58" s="5"/>
      <c r="I58" s="5"/>
      <c r="J58" s="5"/>
      <c r="K58" s="5"/>
      <c r="L58" s="5"/>
      <c r="M58" s="5"/>
      <c r="N58" s="5"/>
      <c r="O58" s="5"/>
      <c r="P58" s="5"/>
      <c r="Q58" s="5"/>
      <c r="R58" s="5"/>
      <c r="S58" s="5"/>
      <c r="T58" s="5"/>
      <c r="U58" s="131" t="s">
        <v>149</v>
      </c>
      <c r="V58" s="130">
        <f>MIN(B:B)</f>
        <v>13</v>
      </c>
      <c r="W58" s="130"/>
    </row>
    <row r="59" spans="1:25">
      <c r="A59" s="45"/>
      <c r="B59" s="46"/>
      <c r="C59" s="5"/>
      <c r="D59" s="5"/>
      <c r="E59" s="5"/>
      <c r="F59" s="5"/>
      <c r="G59" s="5"/>
      <c r="H59" s="5"/>
      <c r="I59" s="5"/>
      <c r="J59" s="5"/>
      <c r="K59" s="5"/>
      <c r="L59" s="5"/>
      <c r="M59" s="5"/>
      <c r="N59" s="5"/>
      <c r="O59" s="5"/>
      <c r="P59" s="5"/>
      <c r="Q59" s="5"/>
      <c r="R59" s="5"/>
      <c r="S59" s="5"/>
      <c r="T59" s="5"/>
      <c r="U59" s="131" t="s">
        <v>150</v>
      </c>
      <c r="V59" s="130">
        <f>MAX(B:B)</f>
        <v>61</v>
      </c>
      <c r="W59" s="130"/>
    </row>
    <row r="60" spans="1:25">
      <c r="A60" s="45"/>
      <c r="B60" s="46"/>
      <c r="C60" s="5"/>
      <c r="D60" s="5"/>
      <c r="E60" s="5"/>
      <c r="F60" s="5"/>
      <c r="G60" s="5"/>
      <c r="H60" s="5"/>
      <c r="I60" s="5"/>
      <c r="J60" s="5"/>
      <c r="K60" s="5"/>
      <c r="L60" s="5"/>
      <c r="M60" s="5"/>
      <c r="N60" s="5"/>
      <c r="O60" s="5"/>
      <c r="P60" s="5"/>
      <c r="Q60" s="5"/>
      <c r="R60" s="5"/>
      <c r="S60" s="5"/>
      <c r="T60" s="5"/>
      <c r="U60" s="131" t="s">
        <v>151</v>
      </c>
      <c r="V60" s="132">
        <f>(V59-V58)/$J$34</f>
        <v>6.8571428571428568</v>
      </c>
      <c r="W60" s="130"/>
    </row>
    <row r="61" spans="1:25">
      <c r="A61" s="45"/>
      <c r="B61" s="46"/>
      <c r="C61" s="5"/>
      <c r="D61" s="5"/>
      <c r="E61" s="5"/>
      <c r="F61" s="5"/>
      <c r="G61" s="5"/>
      <c r="H61" s="5"/>
      <c r="I61" s="5"/>
      <c r="J61" s="5"/>
      <c r="K61" s="5"/>
      <c r="L61" s="5"/>
      <c r="M61" s="5"/>
      <c r="N61" s="5"/>
      <c r="O61" s="5"/>
      <c r="P61" s="5"/>
      <c r="Q61" s="5"/>
      <c r="R61" s="5"/>
      <c r="S61" s="5"/>
      <c r="T61" s="5"/>
      <c r="U61" s="130"/>
      <c r="V61" s="133"/>
      <c r="W61" s="133"/>
      <c r="X61" s="133" t="s">
        <v>147</v>
      </c>
      <c r="Y61" s="130" t="s">
        <v>148</v>
      </c>
    </row>
    <row r="62" spans="1:25">
      <c r="A62" s="45"/>
      <c r="B62" s="46"/>
      <c r="C62" s="5"/>
      <c r="D62" s="5"/>
      <c r="E62" s="5"/>
      <c r="F62" s="5"/>
      <c r="G62" s="5"/>
      <c r="H62" s="5"/>
      <c r="I62" s="5"/>
      <c r="J62" s="5"/>
      <c r="K62" s="5"/>
      <c r="L62" s="5"/>
      <c r="M62" s="5"/>
      <c r="N62" s="5"/>
      <c r="O62" s="5"/>
      <c r="P62" s="5"/>
      <c r="Q62" s="5"/>
      <c r="R62" s="5"/>
      <c r="S62" s="5"/>
      <c r="T62" s="5"/>
      <c r="U62" s="130"/>
      <c r="V62" s="134" t="s">
        <v>146</v>
      </c>
      <c r="W62" s="134" t="s">
        <v>145</v>
      </c>
      <c r="X62" s="133">
        <f>X63</f>
        <v>13</v>
      </c>
      <c r="Y62" s="130">
        <v>0</v>
      </c>
    </row>
    <row r="63" spans="1:25">
      <c r="A63" s="45"/>
      <c r="B63" s="46"/>
      <c r="C63" s="5"/>
      <c r="D63" s="5"/>
      <c r="E63" s="5"/>
      <c r="F63" s="5"/>
      <c r="G63" s="5"/>
      <c r="H63" s="5"/>
      <c r="I63" s="5"/>
      <c r="J63" s="5"/>
      <c r="K63" s="5"/>
      <c r="L63" s="5"/>
      <c r="M63" s="5"/>
      <c r="N63" s="5"/>
      <c r="O63" s="5"/>
      <c r="P63" s="5"/>
      <c r="Q63" s="5"/>
      <c r="R63" s="5"/>
      <c r="S63" s="5"/>
      <c r="T63" s="5"/>
      <c r="U63" s="130" t="s">
        <v>142</v>
      </c>
      <c r="V63" s="134">
        <v>1</v>
      </c>
      <c r="W63" s="134">
        <f>COUNTIF(B:B,"&lt;="&amp;X64)</f>
        <v>1</v>
      </c>
      <c r="X63" s="133">
        <f>V58</f>
        <v>13</v>
      </c>
      <c r="Y63" s="130">
        <f>W63</f>
        <v>1</v>
      </c>
    </row>
    <row r="64" spans="1:25">
      <c r="A64" s="45"/>
      <c r="B64" s="46"/>
      <c r="C64" s="5"/>
      <c r="D64" s="5"/>
      <c r="E64" s="5"/>
      <c r="F64" s="5"/>
      <c r="G64" s="5"/>
      <c r="H64" s="5"/>
      <c r="I64" s="5"/>
      <c r="J64" s="5"/>
      <c r="K64" s="5"/>
      <c r="L64" s="5"/>
      <c r="M64" s="5"/>
      <c r="N64" s="5"/>
      <c r="O64" s="5"/>
      <c r="P64" s="5"/>
      <c r="Q64" s="5"/>
      <c r="R64" s="5"/>
      <c r="S64" s="5"/>
      <c r="T64" s="5"/>
      <c r="U64" s="130"/>
      <c r="V64" s="134"/>
      <c r="W64" s="134"/>
      <c r="X64" s="135">
        <f>X63+$V$60</f>
        <v>19.857142857142858</v>
      </c>
      <c r="Y64" s="130">
        <f>Y63</f>
        <v>1</v>
      </c>
    </row>
    <row r="65" spans="1:25">
      <c r="A65" s="45"/>
      <c r="B65" s="46"/>
      <c r="C65" s="5"/>
      <c r="D65" s="5"/>
      <c r="E65" s="5"/>
      <c r="F65" s="5"/>
      <c r="G65" s="5"/>
      <c r="H65" s="5"/>
      <c r="I65" s="5"/>
      <c r="J65" s="5"/>
      <c r="K65" s="5"/>
      <c r="L65" s="5"/>
      <c r="M65" s="5"/>
      <c r="N65" s="5"/>
      <c r="O65" s="5"/>
      <c r="P65" s="5"/>
      <c r="Q65" s="5"/>
      <c r="R65" s="5"/>
      <c r="S65" s="5"/>
      <c r="T65" s="5"/>
      <c r="U65" s="130"/>
      <c r="V65" s="134"/>
      <c r="W65" s="134"/>
      <c r="X65" s="133">
        <f>IF(V63&gt;$J$34,"",X64)</f>
        <v>19.857142857142858</v>
      </c>
      <c r="Y65" s="130">
        <f>IF(V63&gt;$J$34,"",0)</f>
        <v>0</v>
      </c>
    </row>
    <row r="66" spans="1:25">
      <c r="A66" s="45"/>
      <c r="B66" s="46"/>
      <c r="C66" s="5"/>
      <c r="D66" s="5"/>
      <c r="E66" s="5"/>
      <c r="F66" s="5"/>
      <c r="G66" s="5"/>
      <c r="H66" s="5"/>
      <c r="I66" s="5"/>
      <c r="J66" s="5"/>
      <c r="K66" s="5"/>
      <c r="L66" s="5"/>
      <c r="M66" s="5"/>
      <c r="N66" s="5"/>
      <c r="O66" s="5"/>
      <c r="P66" s="5"/>
      <c r="Q66" s="5"/>
      <c r="R66" s="5"/>
      <c r="S66" s="5"/>
      <c r="T66" s="5"/>
      <c r="U66" s="130" t="s">
        <v>144</v>
      </c>
      <c r="V66" s="134">
        <v>2</v>
      </c>
      <c r="W66" s="134">
        <f>COUNTIF(B:B,"&lt;="&amp;X67)</f>
        <v>1</v>
      </c>
      <c r="X66" s="133">
        <f>IF(V66&gt;$J$34,X65,X64)</f>
        <v>19.857142857142858</v>
      </c>
      <c r="Y66" s="130">
        <f>IF(V66&gt;$J$34,Y65,Y67)</f>
        <v>0</v>
      </c>
    </row>
    <row r="67" spans="1:25">
      <c r="A67" s="45"/>
      <c r="B67" s="46"/>
      <c r="C67" s="5"/>
      <c r="D67" s="5"/>
      <c r="E67" s="5"/>
      <c r="F67" s="5"/>
      <c r="G67" s="5"/>
      <c r="H67" s="5"/>
      <c r="I67" s="5"/>
      <c r="J67" s="5"/>
      <c r="K67" s="5"/>
      <c r="L67" s="5"/>
      <c r="M67" s="5"/>
      <c r="N67" s="5"/>
      <c r="O67" s="5"/>
      <c r="P67" s="5"/>
      <c r="Q67" s="5"/>
      <c r="R67" s="5"/>
      <c r="S67" s="5"/>
      <c r="T67" s="5"/>
      <c r="U67" s="130"/>
      <c r="V67" s="134"/>
      <c r="W67" s="134"/>
      <c r="X67" s="133">
        <f>IF(V66&gt;$J$34,X66,X66+$V$60)</f>
        <v>26.714285714285715</v>
      </c>
      <c r="Y67" s="130">
        <f>IF(V66&gt;$J$34,Y66,W66-W63)</f>
        <v>0</v>
      </c>
    </row>
    <row r="68" spans="1:25">
      <c r="A68" s="45"/>
      <c r="B68" s="46"/>
      <c r="C68" s="5"/>
      <c r="D68" s="5"/>
      <c r="E68" s="5"/>
      <c r="F68" s="5"/>
      <c r="G68" s="5"/>
      <c r="H68" s="5"/>
      <c r="I68" s="5"/>
      <c r="J68" s="5"/>
      <c r="K68" s="5"/>
      <c r="L68" s="5"/>
      <c r="M68" s="5"/>
      <c r="N68" s="5"/>
      <c r="O68" s="5"/>
      <c r="P68" s="5"/>
      <c r="Q68" s="5"/>
      <c r="R68" s="5"/>
      <c r="S68" s="5"/>
      <c r="T68" s="5"/>
      <c r="U68" s="130"/>
      <c r="V68" s="134"/>
      <c r="W68" s="134"/>
      <c r="X68" s="133">
        <f>IF(V66&gt;$J$34,X67,X67)</f>
        <v>26.714285714285715</v>
      </c>
      <c r="Y68" s="130">
        <f>IF(V66&gt;$J$34,Y67,0)</f>
        <v>0</v>
      </c>
    </row>
    <row r="69" spans="1:25">
      <c r="A69" s="45"/>
      <c r="B69" s="46"/>
      <c r="C69" s="5"/>
      <c r="D69" s="5"/>
      <c r="E69" s="5"/>
      <c r="F69" s="5"/>
      <c r="G69" s="5"/>
      <c r="H69" s="5"/>
      <c r="I69" s="5"/>
      <c r="J69" s="5"/>
      <c r="K69" s="5"/>
      <c r="L69" s="5"/>
      <c r="M69" s="5"/>
      <c r="N69" s="5"/>
      <c r="O69" s="5"/>
      <c r="P69" s="5"/>
      <c r="Q69" s="5"/>
      <c r="R69" s="5"/>
      <c r="S69" s="5"/>
      <c r="T69" s="5"/>
      <c r="U69" s="130" t="s">
        <v>143</v>
      </c>
      <c r="V69" s="134">
        <v>3</v>
      </c>
      <c r="W69" s="134">
        <f>COUNTIF(B:B,"&lt;="&amp;X70)</f>
        <v>5</v>
      </c>
      <c r="X69" s="133">
        <f t="shared" ref="X69" si="0">IF(V69&gt;$J$34,X68,X67)</f>
        <v>26.714285714285715</v>
      </c>
      <c r="Y69" s="130">
        <f t="shared" ref="Y69" si="1">IF(V69&gt;$J$34,Y68,Y70)</f>
        <v>4</v>
      </c>
    </row>
    <row r="70" spans="1:25">
      <c r="A70" s="45"/>
      <c r="B70" s="46"/>
      <c r="C70" s="5"/>
      <c r="D70" s="5"/>
      <c r="E70" s="5"/>
      <c r="F70" s="5"/>
      <c r="G70" s="5"/>
      <c r="H70" s="5"/>
      <c r="I70" s="5"/>
      <c r="J70" s="5"/>
      <c r="K70" s="5"/>
      <c r="L70" s="5"/>
      <c r="M70" s="5"/>
      <c r="N70" s="5"/>
      <c r="O70" s="5"/>
      <c r="P70" s="5"/>
      <c r="Q70" s="5"/>
      <c r="R70" s="5"/>
      <c r="S70" s="5"/>
      <c r="T70" s="5"/>
      <c r="U70" s="130"/>
      <c r="V70" s="134"/>
      <c r="W70" s="134"/>
      <c r="X70" s="133">
        <f>IF(V69&gt;$J$34,X69,X69+$V$60)</f>
        <v>33.571428571428569</v>
      </c>
      <c r="Y70" s="130">
        <f t="shared" ref="Y70" si="2">IF(V69&gt;$J$34,Y69,W69-W66)</f>
        <v>4</v>
      </c>
    </row>
    <row r="71" spans="1:25">
      <c r="A71" s="45"/>
      <c r="B71" s="46"/>
      <c r="C71" s="5"/>
      <c r="D71" s="5"/>
      <c r="E71" s="5"/>
      <c r="F71" s="5"/>
      <c r="G71" s="5"/>
      <c r="H71" s="5"/>
      <c r="I71" s="5"/>
      <c r="J71" s="5"/>
      <c r="K71" s="5"/>
      <c r="L71" s="5"/>
      <c r="M71" s="5"/>
      <c r="N71" s="5"/>
      <c r="O71" s="5"/>
      <c r="P71" s="5"/>
      <c r="Q71" s="5"/>
      <c r="R71" s="5"/>
      <c r="S71" s="5"/>
      <c r="T71" s="5"/>
      <c r="U71" s="130"/>
      <c r="V71" s="134"/>
      <c r="W71" s="134"/>
      <c r="X71" s="133">
        <f t="shared" ref="X71" si="3">IF(V69&gt;$J$34,X70,X70)</f>
        <v>33.571428571428569</v>
      </c>
      <c r="Y71" s="130">
        <f t="shared" ref="Y71" si="4">IF(V69&gt;$J$34,Y70,0)</f>
        <v>0</v>
      </c>
    </row>
    <row r="72" spans="1:25">
      <c r="A72" s="45"/>
      <c r="B72" s="46"/>
      <c r="C72" s="5"/>
      <c r="D72" s="5"/>
      <c r="E72" s="5"/>
      <c r="F72" s="5"/>
      <c r="G72" s="5"/>
      <c r="H72" s="5"/>
      <c r="I72" s="5"/>
      <c r="J72" s="5"/>
      <c r="K72" s="5"/>
      <c r="L72" s="5"/>
      <c r="M72" s="5"/>
      <c r="N72" s="5"/>
      <c r="O72" s="5"/>
      <c r="P72" s="5"/>
      <c r="Q72" s="5"/>
      <c r="R72" s="5"/>
      <c r="S72" s="5"/>
      <c r="T72" s="5"/>
      <c r="U72" s="130"/>
      <c r="V72" s="134">
        <v>4</v>
      </c>
      <c r="W72" s="134">
        <f>COUNTIF(B:B,"&lt;="&amp;X73)</f>
        <v>6</v>
      </c>
      <c r="X72" s="133">
        <f t="shared" ref="X72" si="5">IF(V72&gt;$J$34,X71,X70)</f>
        <v>33.571428571428569</v>
      </c>
      <c r="Y72" s="130">
        <f t="shared" ref="Y72" si="6">IF(V72&gt;$J$34,Y71,Y73)</f>
        <v>1</v>
      </c>
    </row>
    <row r="73" spans="1:25">
      <c r="A73" s="45"/>
      <c r="B73" s="46"/>
      <c r="C73" s="5"/>
      <c r="D73" s="5"/>
      <c r="E73" s="5"/>
      <c r="F73" s="5"/>
      <c r="G73" s="5"/>
      <c r="H73" s="5"/>
      <c r="I73" s="5"/>
      <c r="J73" s="5"/>
      <c r="K73" s="5"/>
      <c r="L73" s="5"/>
      <c r="M73" s="5"/>
      <c r="N73" s="5"/>
      <c r="O73" s="5"/>
      <c r="P73" s="5"/>
      <c r="Q73" s="5"/>
      <c r="R73" s="5"/>
      <c r="S73" s="5"/>
      <c r="T73" s="5"/>
      <c r="U73" s="130"/>
      <c r="V73" s="134"/>
      <c r="W73" s="134"/>
      <c r="X73" s="133">
        <f>IF(V72&gt;$J$34,X72,X72+$V$60)</f>
        <v>40.428571428571423</v>
      </c>
      <c r="Y73" s="130">
        <f t="shared" ref="Y73" si="7">IF(V72&gt;$J$34,Y72,W72-W69)</f>
        <v>1</v>
      </c>
    </row>
    <row r="74" spans="1:25">
      <c r="A74" s="45"/>
      <c r="B74" s="46"/>
      <c r="C74" s="5"/>
      <c r="D74" s="5"/>
      <c r="E74" s="5"/>
      <c r="F74" s="5"/>
      <c r="G74" s="5"/>
      <c r="H74" s="5"/>
      <c r="I74" s="5"/>
      <c r="J74" s="5"/>
      <c r="K74" s="5"/>
      <c r="L74" s="5"/>
      <c r="M74" s="5"/>
      <c r="N74" s="5"/>
      <c r="O74" s="5"/>
      <c r="P74" s="5"/>
      <c r="Q74" s="5"/>
      <c r="R74" s="5"/>
      <c r="S74" s="5"/>
      <c r="T74" s="5"/>
      <c r="U74" s="130"/>
      <c r="V74" s="134"/>
      <c r="W74" s="134"/>
      <c r="X74" s="133">
        <f t="shared" ref="X74" si="8">IF(V72&gt;$J$34,X73,X73)</f>
        <v>40.428571428571423</v>
      </c>
      <c r="Y74" s="130">
        <f t="shared" ref="Y74" si="9">IF(V72&gt;$J$34,Y73,0)</f>
        <v>0</v>
      </c>
    </row>
    <row r="75" spans="1:25">
      <c r="A75" s="45"/>
      <c r="B75" s="46"/>
      <c r="C75" s="5"/>
      <c r="D75" s="5"/>
      <c r="E75" s="5"/>
      <c r="F75" s="5"/>
      <c r="G75" s="5"/>
      <c r="H75" s="5"/>
      <c r="I75" s="5"/>
      <c r="J75" s="5"/>
      <c r="K75" s="5"/>
      <c r="L75" s="5"/>
      <c r="M75" s="5"/>
      <c r="N75" s="5"/>
      <c r="O75" s="5"/>
      <c r="P75" s="5"/>
      <c r="Q75" s="5"/>
      <c r="R75" s="5"/>
      <c r="S75" s="5"/>
      <c r="T75" s="5"/>
      <c r="U75" s="130"/>
      <c r="V75" s="134">
        <v>5</v>
      </c>
      <c r="W75" s="134">
        <f>COUNTIF(B:B,"&lt;="&amp;X76)</f>
        <v>7</v>
      </c>
      <c r="X75" s="133">
        <f t="shared" ref="X75" si="10">IF(V75&gt;$J$34,X74,X73)</f>
        <v>40.428571428571423</v>
      </c>
      <c r="Y75" s="130">
        <f t="shared" ref="Y75" si="11">IF(V75&gt;$J$34,Y74,Y76)</f>
        <v>1</v>
      </c>
    </row>
    <row r="76" spans="1:25">
      <c r="A76" s="45"/>
      <c r="B76" s="46"/>
      <c r="C76" s="5"/>
      <c r="D76" s="5"/>
      <c r="E76" s="5"/>
      <c r="F76" s="5"/>
      <c r="G76" s="5"/>
      <c r="H76" s="5"/>
      <c r="I76" s="5"/>
      <c r="J76" s="5"/>
      <c r="K76" s="5"/>
      <c r="L76" s="5"/>
      <c r="M76" s="5"/>
      <c r="N76" s="5"/>
      <c r="O76" s="5"/>
      <c r="P76" s="5"/>
      <c r="Q76" s="5"/>
      <c r="R76" s="5"/>
      <c r="S76" s="5"/>
      <c r="T76" s="5"/>
      <c r="U76" s="130"/>
      <c r="V76" s="134"/>
      <c r="W76" s="134"/>
      <c r="X76" s="133">
        <f>IF(V75&gt;$J$34,X75,X75+$V$60)</f>
        <v>47.285714285714278</v>
      </c>
      <c r="Y76" s="130">
        <f t="shared" ref="Y76" si="12">IF(V75&gt;$J$34,Y75,W75-W72)</f>
        <v>1</v>
      </c>
    </row>
    <row r="77" spans="1:25">
      <c r="A77" s="45"/>
      <c r="B77" s="46"/>
      <c r="C77" s="5"/>
      <c r="D77" s="5"/>
      <c r="E77" s="5"/>
      <c r="F77" s="5"/>
      <c r="G77" s="5"/>
      <c r="H77" s="5"/>
      <c r="I77" s="5"/>
      <c r="J77" s="5"/>
      <c r="K77" s="5"/>
      <c r="L77" s="5"/>
      <c r="M77" s="5"/>
      <c r="N77" s="5"/>
      <c r="O77" s="5"/>
      <c r="P77" s="5"/>
      <c r="Q77" s="5"/>
      <c r="R77" s="5"/>
      <c r="S77" s="5"/>
      <c r="T77" s="5"/>
      <c r="U77" s="130"/>
      <c r="V77" s="134"/>
      <c r="W77" s="134"/>
      <c r="X77" s="133">
        <f t="shared" ref="X77" si="13">IF(V75&gt;$J$34,X76,X76)</f>
        <v>47.285714285714278</v>
      </c>
      <c r="Y77" s="130">
        <f t="shared" ref="Y77" si="14">IF(V75&gt;$J$34,Y76,0)</f>
        <v>0</v>
      </c>
    </row>
    <row r="78" spans="1:25">
      <c r="A78" s="45"/>
      <c r="B78" s="46"/>
      <c r="C78" s="5"/>
      <c r="D78" s="5"/>
      <c r="E78" s="5"/>
      <c r="F78" s="5"/>
      <c r="G78" s="5"/>
      <c r="H78" s="5"/>
      <c r="I78" s="5"/>
      <c r="J78" s="5"/>
      <c r="K78" s="5"/>
      <c r="L78" s="5"/>
      <c r="M78" s="5"/>
      <c r="N78" s="5"/>
      <c r="O78" s="5"/>
      <c r="P78" s="5"/>
      <c r="Q78" s="5"/>
      <c r="R78" s="5"/>
      <c r="S78" s="5"/>
      <c r="T78" s="5"/>
      <c r="U78" s="130"/>
      <c r="V78" s="134">
        <v>6</v>
      </c>
      <c r="W78" s="134">
        <f>COUNTIF(B:B,"&lt;="&amp;X79)</f>
        <v>10</v>
      </c>
      <c r="X78" s="133">
        <f t="shared" ref="X78" si="15">IF(V78&gt;$J$34,X77,X76)</f>
        <v>47.285714285714278</v>
      </c>
      <c r="Y78" s="130">
        <f t="shared" ref="Y78" si="16">IF(V78&gt;$J$34,Y77,Y79)</f>
        <v>3</v>
      </c>
    </row>
    <row r="79" spans="1:25">
      <c r="A79" s="45"/>
      <c r="B79" s="46"/>
      <c r="C79" s="5"/>
      <c r="D79" s="5"/>
      <c r="E79" s="5"/>
      <c r="F79" s="5"/>
      <c r="G79" s="5"/>
      <c r="H79" s="5"/>
      <c r="I79" s="5"/>
      <c r="J79" s="5"/>
      <c r="K79" s="5"/>
      <c r="L79" s="5"/>
      <c r="M79" s="5"/>
      <c r="N79" s="5"/>
      <c r="O79" s="5"/>
      <c r="P79" s="5"/>
      <c r="Q79" s="5"/>
      <c r="R79" s="5"/>
      <c r="S79" s="5"/>
      <c r="T79" s="5"/>
      <c r="U79" s="130"/>
      <c r="V79" s="134"/>
      <c r="W79" s="134"/>
      <c r="X79" s="133">
        <f>IF(V78&gt;$J$34,X78,X78+$V$60)</f>
        <v>54.142857142857132</v>
      </c>
      <c r="Y79" s="130">
        <f t="shared" ref="Y79" si="17">IF(V78&gt;$J$34,Y78,W78-W75)</f>
        <v>3</v>
      </c>
    </row>
    <row r="80" spans="1:25">
      <c r="A80" s="45"/>
      <c r="B80" s="46"/>
      <c r="C80" s="5"/>
      <c r="D80" s="5"/>
      <c r="E80" s="5"/>
      <c r="F80" s="5"/>
      <c r="G80" s="5"/>
      <c r="H80" s="5"/>
      <c r="I80" s="5"/>
      <c r="J80" s="5"/>
      <c r="K80" s="5"/>
      <c r="L80" s="5"/>
      <c r="M80" s="5"/>
      <c r="N80" s="5"/>
      <c r="O80" s="5"/>
      <c r="P80" s="5"/>
      <c r="Q80" s="5"/>
      <c r="R80" s="5"/>
      <c r="S80" s="5"/>
      <c r="T80" s="5"/>
      <c r="U80" s="130"/>
      <c r="V80" s="134"/>
      <c r="W80" s="134"/>
      <c r="X80" s="133">
        <f t="shared" ref="X80" si="18">IF(V78&gt;$J$34,X79,X79)</f>
        <v>54.142857142857132</v>
      </c>
      <c r="Y80" s="130">
        <f t="shared" ref="Y80" si="19">IF(V78&gt;$J$34,Y79,0)</f>
        <v>0</v>
      </c>
    </row>
    <row r="81" spans="1:25">
      <c r="A81" s="45"/>
      <c r="B81" s="46"/>
      <c r="C81" s="5"/>
      <c r="D81" s="5"/>
      <c r="E81" s="5"/>
      <c r="F81" s="5"/>
      <c r="G81" s="5"/>
      <c r="H81" s="5"/>
      <c r="I81" s="5"/>
      <c r="J81" s="5"/>
      <c r="K81" s="5"/>
      <c r="L81" s="5"/>
      <c r="M81" s="5"/>
      <c r="N81" s="5"/>
      <c r="O81" s="5"/>
      <c r="P81" s="5"/>
      <c r="Q81" s="5"/>
      <c r="R81" s="5"/>
      <c r="S81" s="5"/>
      <c r="T81" s="5"/>
      <c r="U81" s="130"/>
      <c r="V81" s="134">
        <v>7</v>
      </c>
      <c r="W81" s="134">
        <f>COUNTIF(B:B,"&lt;="&amp;X82)</f>
        <v>12</v>
      </c>
      <c r="X81" s="133">
        <f t="shared" ref="X81" si="20">IF(V81&gt;$J$34,X80,X79)</f>
        <v>54.142857142857132</v>
      </c>
      <c r="Y81" s="130">
        <f t="shared" ref="Y81" si="21">IF(V81&gt;$J$34,Y80,Y82)</f>
        <v>2</v>
      </c>
    </row>
    <row r="82" spans="1:25">
      <c r="A82" s="45"/>
      <c r="B82" s="46"/>
      <c r="C82" s="5"/>
      <c r="D82" s="5"/>
      <c r="E82" s="5"/>
      <c r="F82" s="5"/>
      <c r="G82" s="5"/>
      <c r="H82" s="5"/>
      <c r="I82" s="5"/>
      <c r="J82" s="5"/>
      <c r="K82" s="5"/>
      <c r="L82" s="5"/>
      <c r="M82" s="5"/>
      <c r="N82" s="5"/>
      <c r="O82" s="5"/>
      <c r="P82" s="5"/>
      <c r="Q82" s="5"/>
      <c r="R82" s="5"/>
      <c r="S82" s="5"/>
      <c r="T82" s="5"/>
      <c r="U82" s="130"/>
      <c r="V82" s="134"/>
      <c r="W82" s="134"/>
      <c r="X82" s="133">
        <f>IF(V81&gt;$J$34,X81,X81+$V$60)</f>
        <v>60.999999999999986</v>
      </c>
      <c r="Y82" s="130">
        <f t="shared" ref="Y82" si="22">IF(V81&gt;$J$34,Y81,W81-W78)</f>
        <v>2</v>
      </c>
    </row>
    <row r="83" spans="1:25">
      <c r="A83" s="45"/>
      <c r="B83" s="46"/>
      <c r="C83" s="5"/>
      <c r="D83" s="5"/>
      <c r="E83" s="5"/>
      <c r="F83" s="5"/>
      <c r="G83" s="5"/>
      <c r="H83" s="5"/>
      <c r="I83" s="5"/>
      <c r="J83" s="5"/>
      <c r="K83" s="5"/>
      <c r="L83" s="5"/>
      <c r="M83" s="5"/>
      <c r="N83" s="5"/>
      <c r="O83" s="5"/>
      <c r="P83" s="5"/>
      <c r="Q83" s="5"/>
      <c r="R83" s="5"/>
      <c r="S83" s="5"/>
      <c r="T83" s="5"/>
      <c r="U83" s="130"/>
      <c r="V83" s="134"/>
      <c r="W83" s="134"/>
      <c r="X83" s="133">
        <f t="shared" ref="X83" si="23">IF(V81&gt;$J$34,X82,X82)</f>
        <v>60.999999999999986</v>
      </c>
      <c r="Y83" s="130">
        <f t="shared" ref="Y83" si="24">IF(V81&gt;$J$34,Y82,0)</f>
        <v>0</v>
      </c>
    </row>
    <row r="84" spans="1:25">
      <c r="A84" s="45"/>
      <c r="B84" s="46"/>
      <c r="C84" s="5"/>
      <c r="D84" s="5"/>
      <c r="E84" s="5"/>
      <c r="F84" s="5"/>
      <c r="G84" s="5"/>
      <c r="H84" s="5"/>
      <c r="I84" s="5"/>
      <c r="J84" s="5"/>
      <c r="K84" s="5"/>
      <c r="L84" s="5"/>
      <c r="M84" s="5"/>
      <c r="N84" s="5"/>
      <c r="O84" s="5"/>
      <c r="P84" s="5"/>
      <c r="Q84" s="5"/>
      <c r="R84" s="5"/>
      <c r="S84" s="5"/>
      <c r="T84" s="5"/>
      <c r="U84" s="130"/>
      <c r="V84" s="134">
        <v>8</v>
      </c>
      <c r="W84" s="134">
        <f>COUNTIF(B:B,"&lt;="&amp;X85)</f>
        <v>12</v>
      </c>
      <c r="X84" s="133">
        <f t="shared" ref="X84" si="25">IF(V84&gt;$J$34,X83,X82)</f>
        <v>60.999999999999986</v>
      </c>
      <c r="Y84" s="130">
        <f t="shared" ref="Y84" si="26">IF(V84&gt;$J$34,Y83,Y85)</f>
        <v>0</v>
      </c>
    </row>
    <row r="85" spans="1:25">
      <c r="A85" s="45"/>
      <c r="B85" s="46"/>
      <c r="C85" s="5"/>
      <c r="D85" s="5"/>
      <c r="E85" s="5"/>
      <c r="F85" s="5"/>
      <c r="G85" s="5"/>
      <c r="H85" s="5"/>
      <c r="I85" s="5"/>
      <c r="J85" s="5"/>
      <c r="K85" s="5"/>
      <c r="L85" s="5"/>
      <c r="M85" s="5"/>
      <c r="N85" s="5"/>
      <c r="O85" s="5"/>
      <c r="P85" s="5"/>
      <c r="Q85" s="5"/>
      <c r="R85" s="5"/>
      <c r="S85" s="5"/>
      <c r="T85" s="5"/>
      <c r="U85" s="130"/>
      <c r="V85" s="134"/>
      <c r="W85" s="134"/>
      <c r="X85" s="133">
        <f>IF(V84&gt;$J$34,X84,X84+$V$60)</f>
        <v>60.999999999999986</v>
      </c>
      <c r="Y85" s="130">
        <f t="shared" ref="Y85" si="27">IF(V84&gt;$J$34,Y84,W84-W81)</f>
        <v>0</v>
      </c>
    </row>
    <row r="86" spans="1:25">
      <c r="A86" s="45"/>
      <c r="B86" s="46"/>
      <c r="C86" s="5"/>
      <c r="D86" s="5"/>
      <c r="E86" s="5"/>
      <c r="F86" s="5"/>
      <c r="G86" s="5"/>
      <c r="H86" s="5"/>
      <c r="I86" s="5"/>
      <c r="J86" s="5"/>
      <c r="K86" s="5"/>
      <c r="L86" s="5"/>
      <c r="M86" s="5"/>
      <c r="N86" s="5"/>
      <c r="O86" s="5"/>
      <c r="P86" s="5"/>
      <c r="Q86" s="5"/>
      <c r="R86" s="5"/>
      <c r="S86" s="5"/>
      <c r="T86" s="5"/>
      <c r="U86" s="130"/>
      <c r="V86" s="134"/>
      <c r="W86" s="134"/>
      <c r="X86" s="133">
        <f t="shared" ref="X86" si="28">IF(V84&gt;$J$34,X85,X85)</f>
        <v>60.999999999999986</v>
      </c>
      <c r="Y86" s="130">
        <f t="shared" ref="Y86" si="29">IF(V84&gt;$J$34,Y85,0)</f>
        <v>0</v>
      </c>
    </row>
    <row r="87" spans="1:25">
      <c r="A87" s="45"/>
      <c r="B87" s="46"/>
      <c r="C87" s="5"/>
      <c r="D87" s="5"/>
      <c r="E87" s="5"/>
      <c r="F87" s="5"/>
      <c r="G87" s="5"/>
      <c r="H87" s="5"/>
      <c r="I87" s="5"/>
      <c r="J87" s="5"/>
      <c r="K87" s="5"/>
      <c r="L87" s="5"/>
      <c r="M87" s="5"/>
      <c r="N87" s="5"/>
      <c r="O87" s="5"/>
      <c r="P87" s="5"/>
      <c r="Q87" s="5"/>
      <c r="R87" s="5"/>
      <c r="S87" s="5"/>
      <c r="T87" s="5"/>
      <c r="U87" s="130"/>
      <c r="V87" s="134">
        <v>9</v>
      </c>
      <c r="W87" s="134">
        <f>COUNTIF(B:B,"&lt;="&amp;X88)</f>
        <v>12</v>
      </c>
      <c r="X87" s="133">
        <f t="shared" ref="X87" si="30">IF(V87&gt;$J$34,X86,X85)</f>
        <v>60.999999999999986</v>
      </c>
      <c r="Y87" s="130">
        <f t="shared" ref="Y87" si="31">IF(V87&gt;$J$34,Y86,Y88)</f>
        <v>0</v>
      </c>
    </row>
    <row r="88" spans="1:25">
      <c r="A88" s="45"/>
      <c r="B88" s="46"/>
      <c r="C88" s="5"/>
      <c r="D88" s="5"/>
      <c r="E88" s="5"/>
      <c r="F88" s="5"/>
      <c r="G88" s="5"/>
      <c r="H88" s="5"/>
      <c r="I88" s="5"/>
      <c r="J88" s="5"/>
      <c r="K88" s="5"/>
      <c r="L88" s="5"/>
      <c r="M88" s="5"/>
      <c r="N88" s="5"/>
      <c r="O88" s="5"/>
      <c r="P88" s="5"/>
      <c r="Q88" s="5"/>
      <c r="R88" s="5"/>
      <c r="S88" s="5"/>
      <c r="T88" s="5"/>
      <c r="U88" s="130"/>
      <c r="V88" s="134"/>
      <c r="W88" s="134"/>
      <c r="X88" s="133">
        <f>IF(V87&gt;$J$34,X87,X87+$V$60)</f>
        <v>60.999999999999986</v>
      </c>
      <c r="Y88" s="130">
        <f t="shared" ref="Y88" si="32">IF(V87&gt;$J$34,Y87,W87-W84)</f>
        <v>0</v>
      </c>
    </row>
    <row r="89" spans="1:25">
      <c r="A89" s="45"/>
      <c r="B89" s="46"/>
      <c r="C89" s="5"/>
      <c r="D89" s="5"/>
      <c r="E89" s="5"/>
      <c r="F89" s="5"/>
      <c r="G89" s="5"/>
      <c r="H89" s="5"/>
      <c r="I89" s="5"/>
      <c r="J89" s="5"/>
      <c r="K89" s="5"/>
      <c r="L89" s="5"/>
      <c r="M89" s="5"/>
      <c r="N89" s="5"/>
      <c r="O89" s="5"/>
      <c r="P89" s="5"/>
      <c r="Q89" s="5"/>
      <c r="R89" s="5"/>
      <c r="S89" s="5"/>
      <c r="T89" s="5"/>
      <c r="U89" s="130"/>
      <c r="V89" s="134"/>
      <c r="W89" s="134"/>
      <c r="X89" s="133">
        <f t="shared" ref="X89" si="33">IF(V87&gt;$J$34,X88,X88)</f>
        <v>60.999999999999986</v>
      </c>
      <c r="Y89" s="130">
        <f t="shared" ref="Y89" si="34">IF(V87&gt;$J$34,Y88,0)</f>
        <v>0</v>
      </c>
    </row>
    <row r="90" spans="1:25">
      <c r="A90" s="45"/>
      <c r="B90" s="46"/>
      <c r="C90" s="5"/>
      <c r="D90" s="5"/>
      <c r="E90" s="5"/>
      <c r="F90" s="5"/>
      <c r="G90" s="5"/>
      <c r="H90" s="5"/>
      <c r="I90" s="5"/>
      <c r="J90" s="5"/>
      <c r="K90" s="5"/>
      <c r="L90" s="5"/>
      <c r="M90" s="5"/>
      <c r="N90" s="5"/>
      <c r="O90" s="5"/>
      <c r="P90" s="5"/>
      <c r="Q90" s="5"/>
      <c r="R90" s="5"/>
      <c r="S90" s="5"/>
      <c r="T90" s="5"/>
      <c r="U90" s="130"/>
      <c r="V90" s="134">
        <v>10</v>
      </c>
      <c r="W90" s="134">
        <f>COUNTIF(B:B,"&lt;="&amp;X91)</f>
        <v>12</v>
      </c>
      <c r="X90" s="133">
        <f t="shared" ref="X90" si="35">IF(V90&gt;$J$34,X89,X88)</f>
        <v>60.999999999999986</v>
      </c>
      <c r="Y90" s="130">
        <f t="shared" ref="Y90" si="36">IF(V90&gt;$J$34,Y89,Y91)</f>
        <v>0</v>
      </c>
    </row>
    <row r="91" spans="1:25">
      <c r="A91" s="45"/>
      <c r="B91" s="46"/>
      <c r="C91" s="5"/>
      <c r="D91" s="5"/>
      <c r="E91" s="5"/>
      <c r="F91" s="5"/>
      <c r="G91" s="5"/>
      <c r="H91" s="5"/>
      <c r="I91" s="5"/>
      <c r="J91" s="5"/>
      <c r="K91" s="5"/>
      <c r="L91" s="5"/>
      <c r="M91" s="5"/>
      <c r="N91" s="5"/>
      <c r="O91" s="5"/>
      <c r="P91" s="5"/>
      <c r="Q91" s="5"/>
      <c r="R91" s="5"/>
      <c r="S91" s="5"/>
      <c r="T91" s="5"/>
      <c r="U91" s="130"/>
      <c r="V91" s="134"/>
      <c r="W91" s="134"/>
      <c r="X91" s="133">
        <f>IF(V90&gt;$J$34,X90,X90+$V$60)</f>
        <v>60.999999999999986</v>
      </c>
      <c r="Y91" s="130">
        <f t="shared" ref="Y91" si="37">IF(V90&gt;$J$34,Y90,W90-W87)</f>
        <v>0</v>
      </c>
    </row>
    <row r="92" spans="1:25">
      <c r="A92" s="45"/>
      <c r="B92" s="46"/>
      <c r="C92" s="5"/>
      <c r="D92" s="5"/>
      <c r="E92" s="5"/>
      <c r="F92" s="5"/>
      <c r="G92" s="5"/>
      <c r="H92" s="5"/>
      <c r="I92" s="5"/>
      <c r="J92" s="5"/>
      <c r="K92" s="5"/>
      <c r="L92" s="5"/>
      <c r="M92" s="5"/>
      <c r="N92" s="5"/>
      <c r="O92" s="5"/>
      <c r="P92" s="5"/>
      <c r="Q92" s="5"/>
      <c r="R92" s="5"/>
      <c r="S92" s="5"/>
      <c r="T92" s="5"/>
      <c r="U92" s="130"/>
      <c r="V92" s="134"/>
      <c r="W92" s="134"/>
      <c r="X92" s="133">
        <f t="shared" ref="X92" si="38">IF(V90&gt;$J$34,X91,X91)</f>
        <v>60.999999999999986</v>
      </c>
      <c r="Y92" s="130">
        <f t="shared" ref="Y92" si="39">IF(V90&gt;$J$34,Y91,0)</f>
        <v>0</v>
      </c>
    </row>
    <row r="93" spans="1:25">
      <c r="A93" s="45"/>
      <c r="B93" s="46"/>
      <c r="C93" s="5"/>
      <c r="D93" s="5"/>
      <c r="E93" s="5"/>
      <c r="F93" s="5"/>
      <c r="G93" s="5"/>
      <c r="H93" s="5"/>
      <c r="I93" s="5"/>
      <c r="J93" s="5"/>
      <c r="K93" s="5"/>
      <c r="L93" s="5"/>
      <c r="M93" s="5"/>
      <c r="N93" s="5"/>
      <c r="O93" s="5"/>
      <c r="P93" s="5"/>
      <c r="Q93" s="5"/>
      <c r="R93" s="5"/>
      <c r="S93" s="5"/>
      <c r="T93" s="5"/>
      <c r="U93" s="130"/>
      <c r="V93" s="134">
        <v>11</v>
      </c>
      <c r="W93" s="134">
        <f>COUNTIF(B:B,"&lt;="&amp;X94)</f>
        <v>12</v>
      </c>
      <c r="X93" s="133">
        <f t="shared" ref="X93" si="40">IF(V93&gt;$J$34,X92,X91)</f>
        <v>60.999999999999986</v>
      </c>
      <c r="Y93" s="130">
        <f t="shared" ref="Y93" si="41">IF(V93&gt;$J$34,Y92,Y94)</f>
        <v>0</v>
      </c>
    </row>
    <row r="94" spans="1:25">
      <c r="A94" s="45"/>
      <c r="B94" s="46"/>
      <c r="C94" s="5"/>
      <c r="D94" s="5"/>
      <c r="E94" s="5"/>
      <c r="F94" s="5"/>
      <c r="G94" s="5"/>
      <c r="H94" s="5"/>
      <c r="I94" s="5"/>
      <c r="J94" s="5"/>
      <c r="K94" s="5"/>
      <c r="L94" s="5"/>
      <c r="M94" s="5"/>
      <c r="N94" s="5"/>
      <c r="O94" s="5"/>
      <c r="P94" s="5"/>
      <c r="Q94" s="5"/>
      <c r="R94" s="5"/>
      <c r="S94" s="5"/>
      <c r="T94" s="5"/>
      <c r="U94" s="130"/>
      <c r="V94" s="134"/>
      <c r="W94" s="134"/>
      <c r="X94" s="133">
        <f>IF(V93&gt;$J$34,X93,X93+$V$60)</f>
        <v>60.999999999999986</v>
      </c>
      <c r="Y94" s="130">
        <f t="shared" ref="Y94" si="42">IF(V93&gt;$J$34,Y93,W93-W90)</f>
        <v>0</v>
      </c>
    </row>
    <row r="95" spans="1:25">
      <c r="A95" s="45"/>
      <c r="B95" s="46"/>
      <c r="C95" s="5"/>
      <c r="D95" s="5"/>
      <c r="E95" s="5"/>
      <c r="F95" s="5"/>
      <c r="G95" s="5"/>
      <c r="H95" s="5"/>
      <c r="I95" s="5"/>
      <c r="J95" s="5"/>
      <c r="K95" s="5"/>
      <c r="L95" s="5"/>
      <c r="M95" s="5"/>
      <c r="N95" s="5"/>
      <c r="O95" s="5"/>
      <c r="P95" s="5"/>
      <c r="Q95" s="5"/>
      <c r="R95" s="5"/>
      <c r="S95" s="5"/>
      <c r="T95" s="5"/>
      <c r="U95" s="130"/>
      <c r="V95" s="134"/>
      <c r="W95" s="134"/>
      <c r="X95" s="133">
        <f t="shared" ref="X95" si="43">IF(V93&gt;$J$34,X94,X94)</f>
        <v>60.999999999999986</v>
      </c>
      <c r="Y95" s="130">
        <f t="shared" ref="Y95" si="44">IF(V93&gt;$J$34,Y94,0)</f>
        <v>0</v>
      </c>
    </row>
    <row r="96" spans="1:25">
      <c r="A96" s="45"/>
      <c r="B96" s="46"/>
      <c r="C96" s="5"/>
      <c r="D96" s="5"/>
      <c r="E96" s="5"/>
      <c r="F96" s="5"/>
      <c r="G96" s="5"/>
      <c r="H96" s="5"/>
      <c r="I96" s="5"/>
      <c r="J96" s="5"/>
      <c r="K96" s="5"/>
      <c r="L96" s="5"/>
      <c r="M96" s="5"/>
      <c r="N96" s="5"/>
      <c r="O96" s="5"/>
      <c r="P96" s="5"/>
      <c r="Q96" s="5"/>
      <c r="R96" s="5"/>
      <c r="S96" s="5"/>
      <c r="T96" s="5"/>
      <c r="U96" s="130"/>
      <c r="V96" s="134">
        <v>12</v>
      </c>
      <c r="W96" s="134">
        <f>COUNTIF(B:B,"&lt;="&amp;X97)</f>
        <v>12</v>
      </c>
      <c r="X96" s="133">
        <f t="shared" ref="X96" si="45">IF(V96&gt;$J$34,X95,X94)</f>
        <v>60.999999999999986</v>
      </c>
      <c r="Y96" s="130">
        <f t="shared" ref="Y96" si="46">IF(V96&gt;$J$34,Y95,Y97)</f>
        <v>0</v>
      </c>
    </row>
    <row r="97" spans="1:25">
      <c r="A97" s="45"/>
      <c r="B97" s="46"/>
      <c r="C97" s="5"/>
      <c r="D97" s="5"/>
      <c r="E97" s="5"/>
      <c r="F97" s="5"/>
      <c r="G97" s="5"/>
      <c r="H97" s="5"/>
      <c r="I97" s="5"/>
      <c r="J97" s="5"/>
      <c r="K97" s="5"/>
      <c r="L97" s="5"/>
      <c r="M97" s="5"/>
      <c r="N97" s="5"/>
      <c r="O97" s="5"/>
      <c r="P97" s="5"/>
      <c r="Q97" s="5"/>
      <c r="R97" s="5"/>
      <c r="S97" s="5"/>
      <c r="T97" s="5"/>
      <c r="U97" s="130"/>
      <c r="V97" s="134"/>
      <c r="W97" s="134"/>
      <c r="X97" s="133">
        <f>IF(V96&gt;$J$34,X96,X96+$V$60)</f>
        <v>60.999999999999986</v>
      </c>
      <c r="Y97" s="130">
        <f t="shared" ref="Y97" si="47">IF(V96&gt;$J$34,Y96,W96-W93)</f>
        <v>0</v>
      </c>
    </row>
    <row r="98" spans="1:25">
      <c r="A98" s="45"/>
      <c r="B98" s="46"/>
      <c r="C98" s="5"/>
      <c r="D98" s="5"/>
      <c r="E98" s="5"/>
      <c r="F98" s="5"/>
      <c r="G98" s="5"/>
      <c r="H98" s="5"/>
      <c r="I98" s="5"/>
      <c r="J98" s="5"/>
      <c r="K98" s="5"/>
      <c r="L98" s="5"/>
      <c r="M98" s="5"/>
      <c r="N98" s="5"/>
      <c r="O98" s="5"/>
      <c r="P98" s="5"/>
      <c r="Q98" s="5"/>
      <c r="R98" s="5"/>
      <c r="S98" s="5"/>
      <c r="T98" s="5"/>
      <c r="U98" s="130"/>
      <c r="V98" s="134"/>
      <c r="W98" s="134"/>
      <c r="X98" s="133">
        <f t="shared" ref="X98" si="48">IF(V96&gt;$J$34,X97,X97)</f>
        <v>60.999999999999986</v>
      </c>
      <c r="Y98" s="130">
        <f t="shared" ref="Y98" si="49">IF(V96&gt;$J$34,Y97,0)</f>
        <v>0</v>
      </c>
    </row>
    <row r="99" spans="1:25">
      <c r="A99" s="45"/>
      <c r="B99" s="46"/>
      <c r="C99" s="5"/>
      <c r="D99" s="5"/>
      <c r="E99" s="5"/>
      <c r="F99" s="5"/>
      <c r="G99" s="5"/>
      <c r="H99" s="5"/>
      <c r="I99" s="5"/>
      <c r="J99" s="5"/>
      <c r="K99" s="5"/>
      <c r="L99" s="5"/>
      <c r="M99" s="5"/>
      <c r="N99" s="5"/>
      <c r="O99" s="5"/>
      <c r="P99" s="5"/>
      <c r="Q99" s="5"/>
      <c r="R99" s="5"/>
      <c r="S99" s="5"/>
      <c r="T99" s="5"/>
      <c r="U99" s="130"/>
      <c r="V99" s="134">
        <v>13</v>
      </c>
      <c r="W99" s="134">
        <f>COUNTIF(B:B,"&lt;="&amp;X100)</f>
        <v>12</v>
      </c>
      <c r="X99" s="133">
        <f t="shared" ref="X99" si="50">IF(V99&gt;$J$34,X98,X97)</f>
        <v>60.999999999999986</v>
      </c>
      <c r="Y99" s="130">
        <f t="shared" ref="Y99" si="51">IF(V99&gt;$J$34,Y98,Y100)</f>
        <v>0</v>
      </c>
    </row>
    <row r="100" spans="1:25">
      <c r="A100" s="45"/>
      <c r="B100" s="46"/>
      <c r="C100" s="5"/>
      <c r="D100" s="5"/>
      <c r="E100" s="5"/>
      <c r="F100" s="5"/>
      <c r="G100" s="5"/>
      <c r="H100" s="5"/>
      <c r="I100" s="5"/>
      <c r="J100" s="5"/>
      <c r="K100" s="5"/>
      <c r="L100" s="5"/>
      <c r="M100" s="5"/>
      <c r="N100" s="5"/>
      <c r="O100" s="5"/>
      <c r="P100" s="5"/>
      <c r="Q100" s="5"/>
      <c r="R100" s="5"/>
      <c r="S100" s="5"/>
      <c r="T100" s="5"/>
      <c r="U100" s="130"/>
      <c r="V100" s="134"/>
      <c r="W100" s="134"/>
      <c r="X100" s="133">
        <f>IF(V99&gt;$J$34,X99,X99+$V$60)</f>
        <v>60.999999999999986</v>
      </c>
      <c r="Y100" s="130">
        <f t="shared" ref="Y100" si="52">IF(V99&gt;$J$34,Y99,W99-W96)</f>
        <v>0</v>
      </c>
    </row>
    <row r="101" spans="1:25">
      <c r="A101" s="45"/>
      <c r="B101" s="46"/>
      <c r="C101" s="5"/>
      <c r="D101" s="5"/>
      <c r="E101" s="5"/>
      <c r="F101" s="5"/>
      <c r="G101" s="5"/>
      <c r="H101" s="5"/>
      <c r="I101" s="5"/>
      <c r="J101" s="5"/>
      <c r="K101" s="5"/>
      <c r="L101" s="5"/>
      <c r="M101" s="5"/>
      <c r="N101" s="5"/>
      <c r="O101" s="5"/>
      <c r="P101" s="5"/>
      <c r="Q101" s="5"/>
      <c r="R101" s="5"/>
      <c r="S101" s="5"/>
      <c r="T101" s="5"/>
      <c r="U101" s="130"/>
      <c r="V101" s="134"/>
      <c r="W101" s="134"/>
      <c r="X101" s="133">
        <f t="shared" ref="X101" si="53">IF(V99&gt;$J$34,X100,X100)</f>
        <v>60.999999999999986</v>
      </c>
      <c r="Y101" s="130">
        <f t="shared" ref="Y101" si="54">IF(V99&gt;$J$34,Y100,0)</f>
        <v>0</v>
      </c>
    </row>
    <row r="102" spans="1:25">
      <c r="A102" s="45"/>
      <c r="B102" s="46"/>
      <c r="C102" s="5"/>
      <c r="D102" s="5"/>
      <c r="E102" s="5"/>
      <c r="F102" s="5"/>
      <c r="G102" s="5"/>
      <c r="H102" s="5"/>
      <c r="I102" s="5"/>
      <c r="J102" s="5"/>
      <c r="K102" s="5"/>
      <c r="L102" s="5"/>
      <c r="M102" s="5"/>
      <c r="N102" s="5"/>
      <c r="O102" s="5"/>
      <c r="P102" s="5"/>
      <c r="Q102" s="5"/>
      <c r="R102" s="5"/>
      <c r="S102" s="5"/>
      <c r="T102" s="5"/>
      <c r="U102" s="130"/>
      <c r="V102" s="134">
        <v>14</v>
      </c>
      <c r="W102" s="134">
        <f>COUNTIF(B:B,"&lt;="&amp;X103)</f>
        <v>12</v>
      </c>
      <c r="X102" s="133">
        <f t="shared" ref="X102" si="55">IF(V102&gt;$J$34,X101,X100)</f>
        <v>60.999999999999986</v>
      </c>
      <c r="Y102" s="130">
        <f t="shared" ref="Y102" si="56">IF(V102&gt;$J$34,Y101,Y103)</f>
        <v>0</v>
      </c>
    </row>
    <row r="103" spans="1:25">
      <c r="A103" s="45"/>
      <c r="B103" s="46"/>
      <c r="C103" s="5"/>
      <c r="D103" s="5"/>
      <c r="E103" s="5"/>
      <c r="F103" s="5"/>
      <c r="G103" s="5"/>
      <c r="H103" s="5"/>
      <c r="I103" s="5"/>
      <c r="J103" s="5"/>
      <c r="K103" s="5"/>
      <c r="L103" s="5"/>
      <c r="M103" s="5"/>
      <c r="N103" s="5"/>
      <c r="O103" s="5"/>
      <c r="P103" s="5"/>
      <c r="Q103" s="5"/>
      <c r="R103" s="5"/>
      <c r="S103" s="5"/>
      <c r="T103" s="5"/>
      <c r="U103" s="130"/>
      <c r="V103" s="134"/>
      <c r="W103" s="134"/>
      <c r="X103" s="133">
        <f>IF(V102&gt;$J$34,X102,X102+$V$60)</f>
        <v>60.999999999999986</v>
      </c>
      <c r="Y103" s="130">
        <f t="shared" ref="Y103" si="57">IF(V102&gt;$J$34,Y102,W102-W99)</f>
        <v>0</v>
      </c>
    </row>
    <row r="104" spans="1:25">
      <c r="A104" s="45"/>
      <c r="B104" s="46"/>
      <c r="C104" s="5"/>
      <c r="D104" s="5"/>
      <c r="E104" s="5"/>
      <c r="F104" s="5"/>
      <c r="G104" s="5"/>
      <c r="H104" s="5"/>
      <c r="I104" s="5"/>
      <c r="J104" s="5"/>
      <c r="K104" s="5"/>
      <c r="L104" s="5"/>
      <c r="M104" s="5"/>
      <c r="N104" s="5"/>
      <c r="O104" s="5"/>
      <c r="P104" s="5"/>
      <c r="Q104" s="5"/>
      <c r="R104" s="5"/>
      <c r="S104" s="5"/>
      <c r="T104" s="5"/>
      <c r="U104" s="130"/>
      <c r="V104" s="134"/>
      <c r="W104" s="134"/>
      <c r="X104" s="133">
        <f t="shared" ref="X104" si="58">IF(V102&gt;$J$34,X103,X103)</f>
        <v>60.999999999999986</v>
      </c>
      <c r="Y104" s="130">
        <f t="shared" ref="Y104" si="59">IF(V102&gt;$J$34,Y103,0)</f>
        <v>0</v>
      </c>
    </row>
    <row r="105" spans="1:25">
      <c r="A105" s="45"/>
      <c r="B105" s="46"/>
      <c r="C105" s="5"/>
      <c r="D105" s="5"/>
      <c r="E105" s="5"/>
      <c r="F105" s="5"/>
      <c r="G105" s="5"/>
      <c r="H105" s="5"/>
      <c r="I105" s="5"/>
      <c r="J105" s="5"/>
      <c r="K105" s="5"/>
      <c r="L105" s="5"/>
      <c r="M105" s="5"/>
      <c r="N105" s="5"/>
      <c r="O105" s="5"/>
      <c r="P105" s="5"/>
      <c r="Q105" s="5"/>
      <c r="R105" s="5"/>
      <c r="S105" s="5"/>
      <c r="T105" s="5"/>
      <c r="U105" s="130"/>
      <c r="V105" s="134">
        <v>15</v>
      </c>
      <c r="W105" s="134">
        <f>COUNTIF(B:B,"&lt;="&amp;X106)</f>
        <v>12</v>
      </c>
      <c r="X105" s="133">
        <f t="shared" ref="X105" si="60">IF(V105&gt;$J$34,X104,X103)</f>
        <v>60.999999999999986</v>
      </c>
      <c r="Y105" s="130">
        <f t="shared" ref="Y105" si="61">IF(V105&gt;$J$34,Y104,Y106)</f>
        <v>0</v>
      </c>
    </row>
    <row r="106" spans="1:25">
      <c r="A106" s="45"/>
      <c r="B106" s="46"/>
      <c r="C106" s="5"/>
      <c r="D106" s="5"/>
      <c r="E106" s="5"/>
      <c r="F106" s="5"/>
      <c r="G106" s="5"/>
      <c r="H106" s="5"/>
      <c r="I106" s="5"/>
      <c r="J106" s="5"/>
      <c r="K106" s="5"/>
      <c r="L106" s="5"/>
      <c r="M106" s="5"/>
      <c r="N106" s="5"/>
      <c r="O106" s="5"/>
      <c r="P106" s="5"/>
      <c r="Q106" s="5"/>
      <c r="R106" s="5"/>
      <c r="S106" s="5"/>
      <c r="T106" s="5"/>
      <c r="U106" s="130"/>
      <c r="V106" s="134"/>
      <c r="W106" s="134"/>
      <c r="X106" s="133">
        <f>IF(V105&gt;$J$34,X105,X105+$V$60)</f>
        <v>60.999999999999986</v>
      </c>
      <c r="Y106" s="130">
        <f t="shared" ref="Y106" si="62">IF(V105&gt;$J$34,Y105,W105-W102)</f>
        <v>0</v>
      </c>
    </row>
    <row r="107" spans="1:25">
      <c r="A107" s="45"/>
      <c r="B107" s="46"/>
      <c r="C107" s="5"/>
      <c r="D107" s="5"/>
      <c r="E107" s="5"/>
      <c r="F107" s="5"/>
      <c r="G107" s="5"/>
      <c r="H107" s="5"/>
      <c r="I107" s="5"/>
      <c r="J107" s="5"/>
      <c r="K107" s="5"/>
      <c r="L107" s="5"/>
      <c r="M107" s="5"/>
      <c r="N107" s="5"/>
      <c r="O107" s="5"/>
      <c r="P107" s="5"/>
      <c r="Q107" s="5"/>
      <c r="R107" s="5"/>
      <c r="S107" s="5"/>
      <c r="T107" s="5"/>
      <c r="U107" s="130"/>
      <c r="V107" s="134"/>
      <c r="W107" s="134"/>
      <c r="X107" s="133">
        <f t="shared" ref="X107" si="63">IF(V105&gt;$J$34,X106,X106)</f>
        <v>60.999999999999986</v>
      </c>
      <c r="Y107" s="130">
        <f t="shared" ref="Y107" si="64">IF(V105&gt;$J$34,Y106,0)</f>
        <v>0</v>
      </c>
    </row>
    <row r="108" spans="1:25">
      <c r="A108" s="45"/>
      <c r="B108" s="46"/>
      <c r="C108" s="5"/>
      <c r="D108" s="5"/>
      <c r="E108" s="5"/>
      <c r="F108" s="5"/>
      <c r="G108" s="5"/>
      <c r="H108" s="5"/>
      <c r="I108" s="5"/>
      <c r="J108" s="5"/>
      <c r="K108" s="5"/>
      <c r="L108" s="5"/>
      <c r="M108" s="5"/>
      <c r="N108" s="5"/>
      <c r="O108" s="5"/>
      <c r="P108" s="5"/>
      <c r="Q108" s="5"/>
      <c r="R108" s="5"/>
      <c r="S108" s="5"/>
      <c r="T108" s="5"/>
      <c r="U108" s="130"/>
      <c r="V108" s="134"/>
      <c r="W108" s="134"/>
      <c r="X108" s="133"/>
      <c r="Y108" s="130"/>
    </row>
    <row r="109" spans="1:25">
      <c r="A109" s="45"/>
      <c r="B109" s="46"/>
      <c r="C109" s="5"/>
      <c r="D109" s="5"/>
      <c r="E109" s="5"/>
      <c r="F109" s="5"/>
      <c r="G109" s="5"/>
      <c r="H109" s="5"/>
      <c r="I109" s="5"/>
      <c r="J109" s="5"/>
      <c r="K109" s="5"/>
      <c r="L109" s="5"/>
      <c r="M109" s="5"/>
      <c r="N109" s="5"/>
      <c r="O109" s="5"/>
      <c r="P109" s="5"/>
      <c r="Q109" s="5"/>
      <c r="R109" s="5"/>
      <c r="S109" s="5"/>
      <c r="T109" s="5"/>
      <c r="U109" s="130"/>
      <c r="V109" s="134"/>
      <c r="W109" s="134"/>
      <c r="X109" s="133"/>
      <c r="Y109" s="130"/>
    </row>
    <row r="110" spans="1:25">
      <c r="A110" s="45"/>
      <c r="B110" s="46"/>
      <c r="C110" s="5"/>
      <c r="D110" s="5"/>
      <c r="E110" s="5"/>
      <c r="F110" s="5"/>
      <c r="G110" s="5"/>
      <c r="H110" s="5"/>
      <c r="I110" s="5"/>
      <c r="J110" s="5"/>
      <c r="K110" s="5"/>
      <c r="L110" s="5"/>
      <c r="M110" s="5"/>
      <c r="N110" s="5"/>
      <c r="O110" s="5"/>
      <c r="P110" s="5"/>
      <c r="Q110" s="5"/>
      <c r="R110" s="5"/>
      <c r="S110" s="5"/>
      <c r="T110" s="5"/>
      <c r="U110" s="130"/>
      <c r="V110" s="134"/>
      <c r="W110" s="134"/>
      <c r="X110" s="133"/>
      <c r="Y110" s="130"/>
    </row>
    <row r="111" spans="1:25">
      <c r="A111" s="45"/>
      <c r="B111" s="46"/>
      <c r="C111" s="5"/>
      <c r="D111" s="5"/>
      <c r="E111" s="5"/>
      <c r="F111" s="5"/>
      <c r="G111" s="5"/>
      <c r="H111" s="5"/>
      <c r="I111" s="5"/>
      <c r="J111" s="5"/>
      <c r="K111" s="5"/>
      <c r="L111" s="5"/>
      <c r="M111" s="5"/>
      <c r="N111" s="5"/>
      <c r="O111" s="5"/>
      <c r="P111" s="5"/>
      <c r="Q111" s="5"/>
      <c r="R111" s="5"/>
      <c r="S111" s="5"/>
      <c r="T111" s="5"/>
      <c r="U111" s="130"/>
      <c r="V111" s="134"/>
      <c r="W111" s="134"/>
      <c r="X111" s="133"/>
      <c r="Y111" s="130"/>
    </row>
    <row r="112" spans="1:25">
      <c r="A112" s="45"/>
      <c r="B112" s="46"/>
      <c r="C112" s="5"/>
      <c r="D112" s="5"/>
      <c r="E112" s="5"/>
      <c r="F112" s="5"/>
      <c r="G112" s="5"/>
      <c r="H112" s="5"/>
      <c r="I112" s="5"/>
      <c r="J112" s="5"/>
      <c r="K112" s="5"/>
      <c r="L112" s="5"/>
      <c r="M112" s="5"/>
      <c r="N112" s="5"/>
      <c r="O112" s="5"/>
      <c r="P112" s="5"/>
      <c r="Q112" s="5"/>
      <c r="R112" s="5"/>
      <c r="S112" s="5"/>
      <c r="T112" s="5"/>
      <c r="U112" s="130"/>
      <c r="V112" s="134"/>
      <c r="W112" s="134"/>
      <c r="X112" s="133"/>
      <c r="Y112" s="130"/>
    </row>
    <row r="113" spans="1:25">
      <c r="A113" s="45"/>
      <c r="B113" s="46"/>
      <c r="C113" s="5"/>
      <c r="D113" s="5"/>
      <c r="E113" s="5"/>
      <c r="F113" s="5"/>
      <c r="G113" s="5"/>
      <c r="H113" s="5"/>
      <c r="I113" s="5"/>
      <c r="J113" s="5"/>
      <c r="K113" s="5"/>
      <c r="L113" s="5"/>
      <c r="M113" s="5"/>
      <c r="N113" s="5"/>
      <c r="O113" s="5"/>
      <c r="P113" s="5"/>
      <c r="Q113" s="5"/>
      <c r="R113" s="5"/>
      <c r="S113" s="5"/>
      <c r="T113" s="5"/>
      <c r="U113" s="130"/>
      <c r="V113" s="134"/>
      <c r="W113" s="134"/>
      <c r="X113" s="133"/>
      <c r="Y113" s="130"/>
    </row>
    <row r="114" spans="1:25">
      <c r="A114" s="45"/>
      <c r="B114" s="46"/>
      <c r="C114" s="5"/>
      <c r="D114" s="5"/>
      <c r="E114" s="5"/>
      <c r="F114" s="5"/>
      <c r="G114" s="5"/>
      <c r="H114" s="5"/>
      <c r="I114" s="5"/>
      <c r="J114" s="5"/>
      <c r="K114" s="5"/>
      <c r="L114" s="5"/>
      <c r="M114" s="5"/>
      <c r="N114" s="5"/>
      <c r="O114" s="5"/>
      <c r="P114" s="5"/>
      <c r="Q114" s="5"/>
      <c r="R114" s="5"/>
      <c r="S114" s="5"/>
      <c r="T114" s="5"/>
      <c r="U114" s="130"/>
      <c r="V114" s="134"/>
      <c r="W114" s="134"/>
      <c r="X114" s="133"/>
      <c r="Y114" s="130"/>
    </row>
    <row r="115" spans="1:25">
      <c r="A115" s="45"/>
      <c r="B115" s="46"/>
      <c r="C115" s="5"/>
      <c r="D115" s="5"/>
      <c r="E115" s="5"/>
      <c r="F115" s="5"/>
      <c r="G115" s="5"/>
      <c r="H115" s="5"/>
      <c r="I115" s="5"/>
      <c r="J115" s="5"/>
      <c r="K115" s="5"/>
      <c r="L115" s="5"/>
      <c r="M115" s="5"/>
      <c r="N115" s="5"/>
      <c r="O115" s="5"/>
      <c r="P115" s="5"/>
      <c r="Q115" s="5"/>
      <c r="R115" s="5"/>
      <c r="S115" s="5"/>
      <c r="T115" s="5"/>
      <c r="U115" s="130"/>
      <c r="V115" s="134"/>
      <c r="W115" s="134"/>
      <c r="X115" s="133"/>
      <c r="Y115" s="130"/>
    </row>
    <row r="116" spans="1:25">
      <c r="A116" s="45"/>
      <c r="B116" s="46"/>
      <c r="C116" s="5"/>
      <c r="D116" s="5"/>
      <c r="E116" s="5"/>
      <c r="F116" s="5"/>
      <c r="G116" s="5"/>
      <c r="H116" s="5"/>
      <c r="I116" s="5"/>
      <c r="J116" s="5"/>
      <c r="K116" s="5"/>
      <c r="L116" s="5"/>
      <c r="M116" s="5"/>
      <c r="N116" s="5"/>
      <c r="O116" s="5"/>
      <c r="P116" s="5"/>
      <c r="Q116" s="5"/>
      <c r="R116" s="5"/>
      <c r="S116" s="5"/>
      <c r="T116" s="5"/>
      <c r="U116" s="130"/>
      <c r="V116" s="134"/>
      <c r="W116" s="134"/>
      <c r="X116" s="133"/>
      <c r="Y116" s="130"/>
    </row>
    <row r="117" spans="1:25">
      <c r="A117" s="45"/>
      <c r="B117" s="46"/>
      <c r="C117" s="5"/>
      <c r="D117" s="5"/>
      <c r="E117" s="5"/>
      <c r="F117" s="5"/>
      <c r="G117" s="5"/>
      <c r="H117" s="5"/>
      <c r="I117" s="5"/>
      <c r="J117" s="5"/>
      <c r="K117" s="5"/>
      <c r="L117" s="5"/>
      <c r="M117" s="5"/>
      <c r="N117" s="5"/>
      <c r="O117" s="5"/>
      <c r="P117" s="5"/>
      <c r="Q117" s="5"/>
      <c r="R117" s="5"/>
      <c r="S117" s="5"/>
      <c r="T117" s="5"/>
      <c r="U117" s="130"/>
      <c r="V117" s="134"/>
      <c r="W117" s="134"/>
      <c r="X117" s="133"/>
      <c r="Y117" s="130"/>
    </row>
    <row r="118" spans="1:25">
      <c r="A118" s="45"/>
      <c r="B118" s="46"/>
      <c r="C118" s="5"/>
      <c r="D118" s="5"/>
      <c r="E118" s="5"/>
      <c r="F118" s="5"/>
      <c r="G118" s="5"/>
      <c r="H118" s="5"/>
      <c r="I118" s="5"/>
      <c r="J118" s="5"/>
      <c r="K118" s="5"/>
      <c r="L118" s="5"/>
      <c r="M118" s="5"/>
      <c r="N118" s="5"/>
      <c r="O118" s="5"/>
      <c r="P118" s="5"/>
      <c r="Q118" s="5"/>
      <c r="R118" s="5"/>
      <c r="S118" s="5"/>
      <c r="T118" s="5"/>
      <c r="U118" s="130"/>
      <c r="V118" s="134"/>
      <c r="W118" s="134"/>
      <c r="X118" s="133"/>
      <c r="Y118" s="130"/>
    </row>
    <row r="119" spans="1:25">
      <c r="A119" s="45"/>
      <c r="B119" s="46"/>
      <c r="C119" s="5"/>
      <c r="D119" s="5"/>
      <c r="E119" s="5"/>
      <c r="F119" s="5"/>
      <c r="G119" s="5"/>
      <c r="H119" s="5"/>
      <c r="I119" s="5"/>
      <c r="J119" s="5"/>
      <c r="K119" s="5"/>
      <c r="L119" s="5"/>
      <c r="M119" s="5"/>
      <c r="N119" s="5"/>
      <c r="O119" s="5"/>
      <c r="P119" s="5"/>
      <c r="Q119" s="5"/>
      <c r="R119" s="5"/>
      <c r="S119" s="5"/>
      <c r="T119" s="5"/>
      <c r="U119" s="130"/>
      <c r="V119" s="134"/>
      <c r="W119" s="134"/>
      <c r="X119" s="133"/>
      <c r="Y119" s="130"/>
    </row>
    <row r="120" spans="1:25">
      <c r="A120" s="45"/>
      <c r="B120" s="46"/>
      <c r="C120" s="5"/>
      <c r="D120" s="5"/>
      <c r="E120" s="5"/>
      <c r="F120" s="5"/>
      <c r="G120" s="5"/>
      <c r="H120" s="5"/>
      <c r="I120" s="5"/>
      <c r="J120" s="5"/>
      <c r="K120" s="5"/>
      <c r="L120" s="5"/>
      <c r="M120" s="5"/>
      <c r="N120" s="5"/>
      <c r="O120" s="5"/>
      <c r="P120" s="5"/>
      <c r="Q120" s="5"/>
      <c r="R120" s="5"/>
      <c r="S120" s="5"/>
      <c r="T120" s="5"/>
      <c r="U120" s="130"/>
      <c r="V120" s="134"/>
      <c r="W120" s="134"/>
      <c r="X120" s="133"/>
      <c r="Y120" s="130"/>
    </row>
    <row r="121" spans="1:25">
      <c r="A121" s="45"/>
      <c r="B121" s="46"/>
      <c r="C121" s="5"/>
      <c r="D121" s="5"/>
      <c r="E121" s="5"/>
      <c r="F121" s="5"/>
      <c r="G121" s="5"/>
      <c r="H121" s="5"/>
      <c r="I121" s="5"/>
      <c r="J121" s="5"/>
      <c r="K121" s="5"/>
      <c r="L121" s="5"/>
      <c r="M121" s="5"/>
      <c r="N121" s="5"/>
      <c r="O121" s="5"/>
      <c r="P121" s="5"/>
      <c r="Q121" s="5"/>
      <c r="R121" s="5"/>
      <c r="S121" s="5"/>
      <c r="T121" s="5"/>
      <c r="U121" s="130"/>
      <c r="V121" s="134"/>
      <c r="W121" s="134"/>
      <c r="X121" s="133"/>
      <c r="Y121" s="130"/>
    </row>
    <row r="122" spans="1:25">
      <c r="A122" s="45"/>
      <c r="B122" s="46"/>
      <c r="C122" s="5"/>
      <c r="D122" s="5"/>
      <c r="E122" s="5"/>
      <c r="F122" s="5"/>
      <c r="G122" s="5"/>
      <c r="H122" s="5"/>
      <c r="I122" s="5"/>
      <c r="J122" s="5"/>
      <c r="K122" s="5"/>
      <c r="L122" s="5"/>
      <c r="M122" s="5"/>
      <c r="N122" s="5"/>
      <c r="O122" s="5"/>
      <c r="P122" s="5"/>
      <c r="Q122" s="5"/>
      <c r="R122" s="5"/>
      <c r="S122" s="5"/>
      <c r="T122" s="5"/>
      <c r="U122" s="130"/>
      <c r="V122" s="134"/>
      <c r="W122" s="134"/>
      <c r="X122" s="133"/>
      <c r="Y122" s="130"/>
    </row>
    <row r="123" spans="1:25">
      <c r="A123" s="45"/>
      <c r="B123" s="46"/>
      <c r="C123" s="5"/>
      <c r="D123" s="5"/>
      <c r="E123" s="5"/>
      <c r="F123" s="5"/>
      <c r="G123" s="5"/>
      <c r="H123" s="5"/>
      <c r="I123" s="5"/>
      <c r="J123" s="5"/>
      <c r="K123" s="5"/>
      <c r="L123" s="5"/>
      <c r="M123" s="5"/>
      <c r="N123" s="5"/>
      <c r="O123" s="5"/>
      <c r="P123" s="5"/>
      <c r="Q123" s="5"/>
      <c r="R123" s="5"/>
      <c r="S123" s="5"/>
      <c r="T123" s="5"/>
      <c r="U123" s="130"/>
      <c r="V123" s="134"/>
      <c r="W123" s="134"/>
      <c r="X123" s="133"/>
      <c r="Y123" s="130"/>
    </row>
    <row r="124" spans="1:25">
      <c r="A124" s="45"/>
      <c r="B124" s="46"/>
      <c r="C124" s="5"/>
      <c r="D124" s="5"/>
      <c r="E124" s="5"/>
      <c r="F124" s="5"/>
      <c r="G124" s="5"/>
      <c r="H124" s="5"/>
      <c r="I124" s="5"/>
      <c r="J124" s="5"/>
      <c r="K124" s="5"/>
      <c r="L124" s="5"/>
      <c r="M124" s="5"/>
      <c r="N124" s="5"/>
      <c r="O124" s="5"/>
      <c r="P124" s="5"/>
      <c r="Q124" s="5"/>
      <c r="R124" s="5"/>
      <c r="S124" s="5"/>
      <c r="T124" s="5"/>
      <c r="U124" s="130"/>
      <c r="V124" s="134"/>
      <c r="W124" s="134"/>
      <c r="X124" s="133"/>
      <c r="Y124" s="130"/>
    </row>
    <row r="125" spans="1:25">
      <c r="A125" s="45"/>
      <c r="B125" s="46"/>
      <c r="C125" s="5"/>
      <c r="D125" s="5"/>
      <c r="E125" s="5"/>
      <c r="F125" s="5"/>
      <c r="G125" s="5"/>
      <c r="H125" s="5"/>
      <c r="I125" s="5"/>
      <c r="J125" s="5"/>
      <c r="K125" s="5"/>
      <c r="L125" s="5"/>
      <c r="M125" s="5"/>
      <c r="N125" s="5"/>
      <c r="O125" s="5"/>
      <c r="P125" s="5"/>
      <c r="Q125" s="5"/>
      <c r="R125" s="5"/>
      <c r="S125" s="5"/>
      <c r="T125" s="5"/>
      <c r="U125" s="130"/>
      <c r="V125" s="134"/>
      <c r="W125" s="134"/>
      <c r="X125" s="133"/>
      <c r="Y125" s="130"/>
    </row>
    <row r="126" spans="1:25">
      <c r="A126" s="45"/>
      <c r="B126" s="46"/>
      <c r="C126" s="5"/>
      <c r="D126" s="5"/>
      <c r="E126" s="5"/>
      <c r="F126" s="5"/>
      <c r="G126" s="5"/>
      <c r="H126" s="5"/>
      <c r="I126" s="5"/>
      <c r="J126" s="5"/>
      <c r="K126" s="5"/>
      <c r="L126" s="5"/>
      <c r="M126" s="5"/>
      <c r="N126" s="5"/>
      <c r="O126" s="5"/>
      <c r="P126" s="5"/>
      <c r="Q126" s="5"/>
      <c r="R126" s="5"/>
      <c r="S126" s="5"/>
      <c r="T126" s="5"/>
      <c r="U126" s="130"/>
      <c r="V126" s="134"/>
      <c r="W126" s="134"/>
      <c r="X126" s="133"/>
      <c r="Y126" s="130"/>
    </row>
    <row r="127" spans="1:25">
      <c r="A127" s="45"/>
      <c r="B127" s="46"/>
      <c r="C127" s="5"/>
      <c r="D127" s="5"/>
      <c r="E127" s="5"/>
      <c r="F127" s="5"/>
      <c r="G127" s="5"/>
      <c r="H127" s="5"/>
      <c r="I127" s="5"/>
      <c r="J127" s="5"/>
      <c r="K127" s="5"/>
      <c r="L127" s="5"/>
      <c r="M127" s="5"/>
      <c r="N127" s="5"/>
      <c r="O127" s="5"/>
      <c r="P127" s="5"/>
      <c r="Q127" s="5"/>
      <c r="R127" s="5"/>
      <c r="S127" s="5"/>
      <c r="T127" s="5"/>
      <c r="U127" s="130"/>
      <c r="V127" s="134"/>
      <c r="W127" s="134"/>
      <c r="X127" s="133"/>
      <c r="Y127" s="130"/>
    </row>
    <row r="128" spans="1:25">
      <c r="A128" s="45"/>
      <c r="B128" s="46"/>
      <c r="C128" s="5"/>
      <c r="D128" s="5"/>
      <c r="E128" s="5"/>
      <c r="F128" s="5"/>
      <c r="G128" s="5"/>
      <c r="H128" s="5"/>
      <c r="I128" s="5"/>
      <c r="J128" s="5"/>
      <c r="K128" s="5"/>
      <c r="L128" s="5"/>
      <c r="M128" s="5"/>
      <c r="N128" s="5"/>
      <c r="O128" s="5"/>
      <c r="P128" s="5"/>
      <c r="Q128" s="5"/>
      <c r="R128" s="5"/>
      <c r="S128" s="5"/>
      <c r="T128" s="5"/>
      <c r="U128" s="130"/>
      <c r="V128" s="134"/>
      <c r="W128" s="134"/>
      <c r="X128" s="133"/>
      <c r="Y128" s="130"/>
    </row>
    <row r="129" spans="1:25">
      <c r="A129" s="45"/>
      <c r="B129" s="46"/>
      <c r="C129" s="5"/>
      <c r="D129" s="5"/>
      <c r="E129" s="5"/>
      <c r="F129" s="5"/>
      <c r="G129" s="5"/>
      <c r="H129" s="5"/>
      <c r="I129" s="5"/>
      <c r="J129" s="5"/>
      <c r="K129" s="5"/>
      <c r="L129" s="5"/>
      <c r="M129" s="5"/>
      <c r="N129" s="5"/>
      <c r="O129" s="5"/>
      <c r="P129" s="5"/>
      <c r="Q129" s="5"/>
      <c r="R129" s="5"/>
      <c r="S129" s="5"/>
      <c r="T129" s="5"/>
      <c r="U129" s="130"/>
      <c r="V129" s="134"/>
      <c r="W129" s="134"/>
      <c r="X129" s="133"/>
      <c r="Y129" s="130"/>
    </row>
    <row r="130" spans="1:25">
      <c r="A130" s="45"/>
      <c r="B130" s="46"/>
      <c r="C130" s="5"/>
      <c r="D130" s="5"/>
      <c r="E130" s="5"/>
      <c r="F130" s="5"/>
      <c r="G130" s="5"/>
      <c r="H130" s="5"/>
      <c r="I130" s="5"/>
      <c r="J130" s="5"/>
      <c r="K130" s="5"/>
      <c r="L130" s="5"/>
      <c r="M130" s="5"/>
      <c r="N130" s="5"/>
      <c r="O130" s="5"/>
      <c r="P130" s="5"/>
      <c r="Q130" s="5"/>
      <c r="R130" s="5"/>
      <c r="S130" s="5"/>
      <c r="T130" s="5"/>
      <c r="U130" s="130"/>
      <c r="V130" s="134"/>
      <c r="W130" s="134"/>
      <c r="X130" s="133"/>
      <c r="Y130" s="130"/>
    </row>
    <row r="131" spans="1:25">
      <c r="A131" s="45"/>
      <c r="B131" s="46"/>
      <c r="C131" s="5"/>
      <c r="D131" s="5"/>
      <c r="E131" s="5"/>
      <c r="F131" s="5"/>
      <c r="G131" s="5"/>
      <c r="H131" s="5"/>
      <c r="I131" s="5"/>
      <c r="J131" s="5"/>
      <c r="K131" s="5"/>
      <c r="L131" s="5"/>
      <c r="M131" s="5"/>
      <c r="N131" s="5"/>
      <c r="O131" s="5"/>
      <c r="P131" s="5"/>
      <c r="Q131" s="5"/>
      <c r="R131" s="5"/>
      <c r="S131" s="5"/>
      <c r="T131" s="5"/>
      <c r="U131" s="130"/>
      <c r="V131" s="134"/>
      <c r="W131" s="134"/>
      <c r="X131" s="133"/>
      <c r="Y131" s="130"/>
    </row>
    <row r="132" spans="1:25">
      <c r="A132" s="45"/>
      <c r="B132" s="46"/>
      <c r="C132" s="5"/>
      <c r="D132" s="5"/>
      <c r="E132" s="5"/>
      <c r="F132" s="5"/>
      <c r="G132" s="5"/>
      <c r="H132" s="5"/>
      <c r="I132" s="5"/>
      <c r="J132" s="5"/>
      <c r="K132" s="5"/>
      <c r="L132" s="5"/>
      <c r="M132" s="5"/>
      <c r="N132" s="5"/>
      <c r="O132" s="5"/>
      <c r="P132" s="5"/>
      <c r="Q132" s="5"/>
      <c r="R132" s="5"/>
      <c r="S132" s="5"/>
      <c r="T132" s="5"/>
      <c r="U132" s="130"/>
      <c r="V132" s="134"/>
      <c r="W132" s="134"/>
      <c r="X132" s="133"/>
      <c r="Y132" s="130"/>
    </row>
    <row r="133" spans="1:25">
      <c r="A133" s="45"/>
      <c r="B133" s="46"/>
      <c r="C133" s="5"/>
      <c r="D133" s="5"/>
      <c r="E133" s="5"/>
      <c r="F133" s="5"/>
      <c r="G133" s="5"/>
      <c r="H133" s="5"/>
      <c r="I133" s="5"/>
      <c r="J133" s="5"/>
      <c r="K133" s="5"/>
      <c r="L133" s="5"/>
      <c r="M133" s="5"/>
      <c r="N133" s="5"/>
      <c r="O133" s="5"/>
      <c r="P133" s="5"/>
      <c r="Q133" s="5"/>
      <c r="R133" s="5"/>
      <c r="S133" s="5"/>
      <c r="T133" s="5"/>
      <c r="U133" s="130"/>
      <c r="V133" s="134"/>
      <c r="W133" s="134"/>
      <c r="X133" s="133"/>
      <c r="Y133" s="130"/>
    </row>
    <row r="134" spans="1:25">
      <c r="A134" s="45"/>
      <c r="B134" s="46"/>
      <c r="C134" s="5"/>
      <c r="D134" s="5"/>
      <c r="E134" s="5"/>
      <c r="F134" s="5"/>
      <c r="G134" s="5"/>
      <c r="H134" s="5"/>
      <c r="I134" s="5"/>
      <c r="J134" s="5"/>
      <c r="K134" s="5"/>
      <c r="L134" s="5"/>
      <c r="M134" s="5"/>
      <c r="N134" s="5"/>
      <c r="O134" s="5"/>
      <c r="P134" s="5"/>
      <c r="Q134" s="5"/>
      <c r="R134" s="5"/>
      <c r="S134" s="5"/>
      <c r="T134" s="5"/>
      <c r="U134" s="130"/>
      <c r="V134" s="134"/>
      <c r="W134" s="134"/>
      <c r="X134" s="133"/>
      <c r="Y134" s="130"/>
    </row>
    <row r="135" spans="1:25">
      <c r="A135" s="45"/>
      <c r="B135" s="46"/>
      <c r="C135" s="5"/>
      <c r="D135" s="5"/>
      <c r="E135" s="5"/>
      <c r="F135" s="5"/>
      <c r="G135" s="5"/>
      <c r="H135" s="5"/>
      <c r="I135" s="5"/>
      <c r="J135" s="5"/>
      <c r="K135" s="5"/>
      <c r="L135" s="5"/>
      <c r="M135" s="5"/>
      <c r="N135" s="5"/>
      <c r="O135" s="5"/>
      <c r="P135" s="5"/>
      <c r="Q135" s="5"/>
      <c r="R135" s="5"/>
      <c r="S135" s="5"/>
      <c r="T135" s="5"/>
      <c r="U135" s="130"/>
      <c r="V135" s="134"/>
      <c r="W135" s="134"/>
      <c r="X135" s="133"/>
      <c r="Y135" s="130"/>
    </row>
    <row r="136" spans="1:25">
      <c r="A136" s="45"/>
      <c r="B136" s="46"/>
      <c r="C136" s="5"/>
      <c r="D136" s="5"/>
      <c r="E136" s="5"/>
      <c r="F136" s="5"/>
      <c r="G136" s="5"/>
      <c r="H136" s="5"/>
      <c r="I136" s="5"/>
      <c r="J136" s="5"/>
      <c r="K136" s="5"/>
      <c r="L136" s="5"/>
      <c r="M136" s="5"/>
      <c r="N136" s="5"/>
      <c r="O136" s="5"/>
      <c r="P136" s="5"/>
      <c r="Q136" s="5"/>
      <c r="R136" s="5"/>
      <c r="S136" s="5"/>
      <c r="T136" s="5"/>
      <c r="U136" s="130"/>
      <c r="V136" s="134"/>
      <c r="W136" s="134"/>
      <c r="X136" s="133"/>
      <c r="Y136" s="130"/>
    </row>
    <row r="137" spans="1:25">
      <c r="A137" s="45"/>
      <c r="B137" s="46"/>
      <c r="C137" s="5"/>
      <c r="D137" s="5"/>
      <c r="E137" s="5"/>
      <c r="F137" s="5"/>
      <c r="G137" s="5"/>
      <c r="H137" s="5"/>
      <c r="I137" s="5"/>
      <c r="J137" s="5"/>
      <c r="K137" s="5"/>
      <c r="L137" s="5"/>
      <c r="M137" s="5"/>
      <c r="N137" s="5"/>
      <c r="O137" s="5"/>
      <c r="P137" s="5"/>
      <c r="Q137" s="5"/>
      <c r="R137" s="5"/>
      <c r="S137" s="5"/>
      <c r="T137" s="5"/>
      <c r="U137" s="130"/>
      <c r="V137" s="134"/>
      <c r="W137" s="134"/>
      <c r="X137" s="133"/>
      <c r="Y137" s="130"/>
    </row>
    <row r="138" spans="1:25">
      <c r="A138" s="45"/>
      <c r="B138" s="46"/>
      <c r="C138" s="5"/>
      <c r="D138" s="5"/>
      <c r="E138" s="5"/>
      <c r="F138" s="5"/>
      <c r="G138" s="5"/>
      <c r="H138" s="5"/>
      <c r="I138" s="5"/>
      <c r="J138" s="5"/>
      <c r="K138" s="5"/>
      <c r="L138" s="5"/>
      <c r="M138" s="5"/>
      <c r="N138" s="5"/>
      <c r="O138" s="5"/>
      <c r="P138" s="5"/>
      <c r="Q138" s="5"/>
      <c r="R138" s="5"/>
      <c r="S138" s="5"/>
      <c r="T138" s="5"/>
      <c r="U138" s="130"/>
      <c r="V138" s="134"/>
      <c r="W138" s="134"/>
      <c r="X138" s="133"/>
      <c r="Y138" s="130"/>
    </row>
    <row r="139" spans="1:25">
      <c r="A139" s="45"/>
      <c r="B139" s="46"/>
      <c r="C139" s="5"/>
      <c r="D139" s="5"/>
      <c r="E139" s="5"/>
      <c r="F139" s="5"/>
      <c r="G139" s="5"/>
      <c r="H139" s="5"/>
      <c r="I139" s="5"/>
      <c r="J139" s="5"/>
      <c r="K139" s="5"/>
      <c r="L139" s="5"/>
      <c r="M139" s="5"/>
      <c r="N139" s="5"/>
      <c r="O139" s="5"/>
      <c r="P139" s="5"/>
      <c r="Q139" s="5"/>
      <c r="R139" s="5"/>
      <c r="S139" s="5"/>
      <c r="T139" s="5"/>
      <c r="U139" s="130"/>
      <c r="V139" s="134"/>
      <c r="W139" s="134"/>
      <c r="X139" s="133"/>
      <c r="Y139" s="130"/>
    </row>
    <row r="140" spans="1:25">
      <c r="A140" s="45"/>
      <c r="B140" s="46"/>
      <c r="C140" s="5"/>
      <c r="D140" s="5"/>
      <c r="E140" s="5"/>
      <c r="F140" s="5"/>
      <c r="G140" s="5"/>
      <c r="H140" s="5"/>
      <c r="I140" s="5"/>
      <c r="J140" s="5"/>
      <c r="K140" s="5"/>
      <c r="L140" s="5"/>
      <c r="M140" s="5"/>
      <c r="N140" s="5"/>
      <c r="O140" s="5"/>
      <c r="P140" s="5"/>
      <c r="Q140" s="5"/>
      <c r="R140" s="5"/>
      <c r="S140" s="5"/>
      <c r="T140" s="5"/>
      <c r="U140" s="130"/>
      <c r="V140" s="134"/>
      <c r="W140" s="134"/>
      <c r="X140" s="133"/>
      <c r="Y140" s="130"/>
    </row>
    <row r="141" spans="1:25">
      <c r="A141" s="45"/>
      <c r="B141" s="46"/>
      <c r="C141" s="5"/>
      <c r="D141" s="5"/>
      <c r="E141" s="5"/>
      <c r="F141" s="5"/>
      <c r="G141" s="5"/>
      <c r="H141" s="5"/>
      <c r="I141" s="5"/>
      <c r="J141" s="5"/>
      <c r="K141" s="5"/>
      <c r="L141" s="5"/>
      <c r="M141" s="5"/>
      <c r="N141" s="5"/>
      <c r="O141" s="5"/>
      <c r="P141" s="5"/>
      <c r="Q141" s="5"/>
      <c r="R141" s="5"/>
      <c r="S141" s="5"/>
      <c r="T141" s="5"/>
      <c r="U141" s="130"/>
      <c r="V141" s="134"/>
      <c r="W141" s="134"/>
      <c r="X141" s="133"/>
      <c r="Y141" s="130"/>
    </row>
    <row r="142" spans="1:25">
      <c r="A142" s="45"/>
      <c r="B142" s="46"/>
      <c r="C142" s="5"/>
      <c r="D142" s="5"/>
      <c r="E142" s="5"/>
      <c r="F142" s="5"/>
      <c r="G142" s="5"/>
      <c r="H142" s="5"/>
      <c r="I142" s="5"/>
      <c r="J142" s="5"/>
      <c r="K142" s="5"/>
      <c r="L142" s="5"/>
      <c r="M142" s="5"/>
      <c r="N142" s="5"/>
      <c r="O142" s="5"/>
      <c r="P142" s="5"/>
      <c r="Q142" s="5"/>
      <c r="R142" s="5"/>
      <c r="S142" s="5"/>
      <c r="T142" s="5"/>
      <c r="U142" s="130"/>
      <c r="V142" s="134"/>
      <c r="W142" s="134"/>
      <c r="X142" s="133"/>
      <c r="Y142" s="130"/>
    </row>
    <row r="143" spans="1:25">
      <c r="A143" s="45"/>
      <c r="B143" s="46"/>
      <c r="C143" s="5"/>
      <c r="D143" s="5"/>
      <c r="E143" s="5"/>
      <c r="F143" s="5"/>
      <c r="G143" s="5"/>
      <c r="H143" s="5"/>
      <c r="I143" s="5"/>
      <c r="J143" s="5"/>
      <c r="K143" s="5"/>
      <c r="L143" s="5"/>
      <c r="M143" s="5"/>
      <c r="N143" s="5"/>
      <c r="O143" s="5"/>
      <c r="P143" s="5"/>
      <c r="Q143" s="5"/>
      <c r="R143" s="5"/>
      <c r="S143" s="5"/>
      <c r="T143" s="5"/>
      <c r="U143" s="130"/>
      <c r="V143" s="134"/>
      <c r="W143" s="134"/>
      <c r="X143" s="133"/>
      <c r="Y143" s="130"/>
    </row>
    <row r="144" spans="1:25">
      <c r="A144" s="45"/>
      <c r="B144" s="46"/>
      <c r="C144" s="5"/>
      <c r="D144" s="5"/>
      <c r="E144" s="5"/>
      <c r="F144" s="5"/>
      <c r="G144" s="5"/>
      <c r="H144" s="5"/>
      <c r="I144" s="5"/>
      <c r="J144" s="5"/>
      <c r="K144" s="5"/>
      <c r="L144" s="5"/>
      <c r="M144" s="5"/>
      <c r="N144" s="5"/>
      <c r="O144" s="5"/>
      <c r="P144" s="5"/>
      <c r="Q144" s="5"/>
      <c r="R144" s="5"/>
      <c r="S144" s="5"/>
      <c r="T144" s="5"/>
      <c r="U144" s="130"/>
      <c r="V144" s="134"/>
      <c r="W144" s="134"/>
      <c r="X144" s="133"/>
      <c r="Y144" s="130"/>
    </row>
    <row r="145" spans="1:25">
      <c r="A145" s="45"/>
      <c r="B145" s="46"/>
      <c r="C145" s="5"/>
      <c r="D145" s="5"/>
      <c r="E145" s="5"/>
      <c r="F145" s="5"/>
      <c r="G145" s="5"/>
      <c r="H145" s="5"/>
      <c r="I145" s="5"/>
      <c r="J145" s="5"/>
      <c r="K145" s="5"/>
      <c r="L145" s="5"/>
      <c r="M145" s="5"/>
      <c r="N145" s="5"/>
      <c r="O145" s="5"/>
      <c r="P145" s="5"/>
      <c r="Q145" s="5"/>
      <c r="R145" s="5"/>
      <c r="S145" s="5"/>
      <c r="T145" s="5"/>
      <c r="U145" s="130"/>
      <c r="V145" s="134"/>
      <c r="W145" s="134"/>
      <c r="X145" s="133"/>
      <c r="Y145" s="130"/>
    </row>
    <row r="146" spans="1:25">
      <c r="A146" s="45"/>
      <c r="B146" s="46"/>
      <c r="C146" s="5"/>
      <c r="D146" s="5"/>
      <c r="E146" s="5"/>
      <c r="F146" s="5"/>
      <c r="G146" s="5"/>
      <c r="H146" s="5"/>
      <c r="I146" s="5"/>
      <c r="J146" s="5"/>
      <c r="K146" s="5"/>
      <c r="L146" s="5"/>
      <c r="M146" s="5"/>
      <c r="N146" s="5"/>
      <c r="O146" s="5"/>
      <c r="P146" s="5"/>
      <c r="Q146" s="5"/>
      <c r="R146" s="5"/>
      <c r="S146" s="5"/>
      <c r="T146" s="5"/>
      <c r="U146" s="130"/>
      <c r="V146" s="134"/>
      <c r="W146" s="134"/>
      <c r="X146" s="133"/>
      <c r="Y146" s="130"/>
    </row>
    <row r="147" spans="1:25">
      <c r="A147" s="45"/>
      <c r="B147" s="46"/>
      <c r="C147" s="5"/>
      <c r="D147" s="5"/>
      <c r="E147" s="5"/>
      <c r="F147" s="5"/>
      <c r="G147" s="5"/>
      <c r="H147" s="5"/>
      <c r="I147" s="5"/>
      <c r="J147" s="5"/>
      <c r="K147" s="5"/>
      <c r="L147" s="5"/>
      <c r="M147" s="5"/>
      <c r="N147" s="5"/>
      <c r="O147" s="5"/>
      <c r="P147" s="5"/>
      <c r="Q147" s="5"/>
      <c r="R147" s="5"/>
      <c r="S147" s="5"/>
      <c r="T147" s="5"/>
      <c r="U147" s="130"/>
      <c r="V147" s="134"/>
      <c r="W147" s="134"/>
      <c r="X147" s="133"/>
      <c r="Y147" s="130"/>
    </row>
    <row r="148" spans="1:25">
      <c r="A148" s="45"/>
      <c r="B148" s="46"/>
      <c r="C148" s="5"/>
      <c r="D148" s="5"/>
      <c r="E148" s="5"/>
      <c r="F148" s="5"/>
      <c r="G148" s="5"/>
      <c r="H148" s="5"/>
      <c r="I148" s="5"/>
      <c r="J148" s="5"/>
      <c r="K148" s="5"/>
      <c r="L148" s="5"/>
      <c r="M148" s="5"/>
      <c r="N148" s="5"/>
      <c r="O148" s="5"/>
      <c r="P148" s="5"/>
      <c r="Q148" s="5"/>
      <c r="R148" s="5"/>
      <c r="S148" s="5"/>
      <c r="T148" s="5"/>
      <c r="U148" s="130"/>
      <c r="V148" s="134"/>
      <c r="W148" s="134"/>
      <c r="X148" s="133"/>
      <c r="Y148" s="130"/>
    </row>
    <row r="149" spans="1:25">
      <c r="A149" s="45"/>
      <c r="B149" s="46"/>
      <c r="C149" s="5"/>
      <c r="D149" s="5"/>
      <c r="E149" s="5"/>
      <c r="F149" s="5"/>
      <c r="G149" s="5"/>
      <c r="H149" s="5"/>
      <c r="I149" s="5"/>
      <c r="J149" s="5"/>
      <c r="K149" s="5"/>
      <c r="L149" s="5"/>
      <c r="M149" s="5"/>
      <c r="N149" s="5"/>
      <c r="O149" s="5"/>
      <c r="P149" s="5"/>
      <c r="Q149" s="5"/>
      <c r="R149" s="5"/>
      <c r="S149" s="5"/>
      <c r="T149" s="5"/>
      <c r="U149" s="130"/>
      <c r="V149" s="134"/>
      <c r="W149" s="134"/>
      <c r="X149" s="133"/>
      <c r="Y149" s="130"/>
    </row>
    <row r="150" spans="1:25">
      <c r="A150" s="45"/>
      <c r="B150" s="46"/>
      <c r="C150" s="5"/>
      <c r="D150" s="5"/>
      <c r="E150" s="5"/>
      <c r="F150" s="5"/>
      <c r="G150" s="5"/>
      <c r="H150" s="5"/>
      <c r="I150" s="5"/>
      <c r="J150" s="5"/>
      <c r="K150" s="5"/>
      <c r="L150" s="5"/>
      <c r="M150" s="5"/>
      <c r="N150" s="5"/>
      <c r="O150" s="5"/>
      <c r="P150" s="5"/>
      <c r="Q150" s="5"/>
      <c r="R150" s="5"/>
      <c r="S150" s="5"/>
      <c r="T150" s="5"/>
      <c r="U150" s="130"/>
      <c r="V150" s="134"/>
      <c r="W150" s="134"/>
      <c r="X150" s="133"/>
      <c r="Y150" s="130"/>
    </row>
    <row r="151" spans="1:25">
      <c r="A151" s="45"/>
      <c r="B151" s="46"/>
      <c r="C151" s="5"/>
      <c r="D151" s="5"/>
      <c r="E151" s="5"/>
      <c r="F151" s="5"/>
      <c r="G151" s="5"/>
      <c r="H151" s="5"/>
      <c r="I151" s="5"/>
      <c r="J151" s="5"/>
      <c r="K151" s="5"/>
      <c r="L151" s="5"/>
      <c r="M151" s="5"/>
      <c r="N151" s="5"/>
      <c r="O151" s="5"/>
      <c r="P151" s="5"/>
      <c r="Q151" s="5"/>
      <c r="R151" s="5"/>
      <c r="S151" s="5"/>
      <c r="T151" s="5"/>
      <c r="U151" s="130"/>
      <c r="V151" s="134"/>
      <c r="W151" s="134"/>
      <c r="X151" s="133"/>
      <c r="Y151" s="130"/>
    </row>
    <row r="152" spans="1:25">
      <c r="A152" s="45"/>
      <c r="B152" s="46"/>
      <c r="C152" s="5"/>
      <c r="D152" s="5"/>
      <c r="E152" s="5"/>
      <c r="F152" s="5"/>
      <c r="G152" s="5"/>
      <c r="H152" s="5"/>
      <c r="I152" s="5"/>
      <c r="J152" s="5"/>
      <c r="K152" s="5"/>
      <c r="L152" s="5"/>
      <c r="M152" s="5"/>
      <c r="N152" s="5"/>
      <c r="O152" s="5"/>
      <c r="P152" s="5"/>
      <c r="Q152" s="5"/>
      <c r="R152" s="5"/>
      <c r="S152" s="5"/>
      <c r="T152" s="5"/>
      <c r="U152" s="130"/>
      <c r="V152" s="134"/>
      <c r="W152" s="134"/>
      <c r="X152" s="133"/>
      <c r="Y152" s="130"/>
    </row>
    <row r="153" spans="1:25">
      <c r="A153" s="45"/>
      <c r="B153" s="46"/>
      <c r="C153" s="5"/>
      <c r="D153" s="5"/>
      <c r="E153" s="5"/>
      <c r="F153" s="5"/>
      <c r="G153" s="5"/>
      <c r="H153" s="5"/>
      <c r="I153" s="5"/>
      <c r="J153" s="5"/>
      <c r="K153" s="5"/>
      <c r="L153" s="5"/>
      <c r="M153" s="5"/>
      <c r="N153" s="5"/>
      <c r="O153" s="5"/>
      <c r="P153" s="5"/>
      <c r="Q153" s="5"/>
      <c r="R153" s="5"/>
      <c r="S153" s="5"/>
      <c r="T153" s="5"/>
      <c r="U153" s="130"/>
      <c r="V153" s="134"/>
      <c r="W153" s="134"/>
      <c r="X153" s="133"/>
      <c r="Y153" s="130"/>
    </row>
    <row r="154" spans="1:25">
      <c r="A154" s="45"/>
      <c r="B154" s="46"/>
      <c r="C154" s="5"/>
      <c r="D154" s="5"/>
      <c r="E154" s="5"/>
      <c r="F154" s="5"/>
      <c r="G154" s="5"/>
      <c r="H154" s="5"/>
      <c r="I154" s="5"/>
      <c r="J154" s="5"/>
      <c r="K154" s="5"/>
      <c r="L154" s="5"/>
      <c r="M154" s="5"/>
      <c r="N154" s="5"/>
      <c r="O154" s="5"/>
      <c r="P154" s="5"/>
      <c r="Q154" s="5"/>
      <c r="R154" s="5"/>
      <c r="S154" s="5"/>
      <c r="T154" s="5"/>
      <c r="U154" s="130"/>
      <c r="V154" s="134"/>
      <c r="W154" s="134"/>
      <c r="X154" s="133"/>
      <c r="Y154" s="130"/>
    </row>
    <row r="155" spans="1:25">
      <c r="A155" s="45"/>
      <c r="B155" s="46"/>
      <c r="C155" s="5"/>
      <c r="D155" s="5"/>
      <c r="E155" s="5"/>
      <c r="F155" s="5"/>
      <c r="G155" s="5"/>
      <c r="H155" s="5"/>
      <c r="I155" s="5"/>
      <c r="J155" s="5"/>
      <c r="K155" s="5"/>
      <c r="L155" s="5"/>
      <c r="M155" s="5"/>
      <c r="N155" s="5"/>
      <c r="O155" s="5"/>
      <c r="P155" s="5"/>
      <c r="Q155" s="5"/>
      <c r="R155" s="5"/>
      <c r="S155" s="5"/>
      <c r="T155" s="5"/>
      <c r="U155" s="130"/>
      <c r="V155" s="134"/>
      <c r="W155" s="134"/>
      <c r="X155" s="133"/>
      <c r="Y155" s="130"/>
    </row>
    <row r="156" spans="1:25">
      <c r="A156" s="45"/>
      <c r="B156" s="46"/>
      <c r="C156" s="5"/>
      <c r="D156" s="5"/>
      <c r="E156" s="5"/>
      <c r="F156" s="5"/>
      <c r="G156" s="5"/>
      <c r="H156" s="5"/>
      <c r="I156" s="5"/>
      <c r="J156" s="5"/>
      <c r="K156" s="5"/>
      <c r="L156" s="5"/>
      <c r="M156" s="5"/>
      <c r="N156" s="5"/>
      <c r="O156" s="5"/>
      <c r="P156" s="5"/>
      <c r="Q156" s="5"/>
      <c r="R156" s="5"/>
      <c r="S156" s="5"/>
      <c r="T156" s="5"/>
      <c r="U156" s="130"/>
      <c r="V156" s="134"/>
      <c r="W156" s="134"/>
      <c r="X156" s="133"/>
      <c r="Y156" s="130"/>
    </row>
    <row r="157" spans="1:25">
      <c r="A157" s="45"/>
      <c r="B157" s="46"/>
      <c r="C157" s="5"/>
      <c r="D157" s="5"/>
      <c r="E157" s="5"/>
      <c r="F157" s="5"/>
      <c r="G157" s="5"/>
      <c r="H157" s="5"/>
      <c r="I157" s="5"/>
      <c r="J157" s="5"/>
      <c r="K157" s="5"/>
      <c r="L157" s="5"/>
      <c r="M157" s="5"/>
      <c r="N157" s="5"/>
      <c r="O157" s="5"/>
      <c r="P157" s="5"/>
      <c r="Q157" s="5"/>
      <c r="R157" s="5"/>
      <c r="S157" s="5"/>
      <c r="T157" s="5"/>
      <c r="U157" s="130"/>
      <c r="V157" s="134"/>
      <c r="W157" s="134"/>
      <c r="X157" s="133"/>
      <c r="Y157" s="130"/>
    </row>
    <row r="158" spans="1:25">
      <c r="A158" s="45"/>
      <c r="B158" s="46"/>
      <c r="C158" s="5"/>
      <c r="D158" s="5"/>
      <c r="E158" s="5"/>
      <c r="F158" s="5"/>
      <c r="G158" s="5"/>
      <c r="H158" s="5"/>
      <c r="I158" s="5"/>
      <c r="J158" s="5"/>
      <c r="K158" s="5"/>
      <c r="L158" s="5"/>
      <c r="M158" s="5"/>
      <c r="N158" s="5"/>
      <c r="O158" s="5"/>
      <c r="P158" s="5"/>
      <c r="Q158" s="5"/>
      <c r="R158" s="5"/>
      <c r="S158" s="5"/>
      <c r="T158" s="5"/>
      <c r="U158" s="130"/>
      <c r="V158" s="134"/>
      <c r="W158" s="134"/>
      <c r="X158" s="133"/>
      <c r="Y158" s="130"/>
    </row>
    <row r="159" spans="1:25">
      <c r="A159" s="45"/>
      <c r="B159" s="46"/>
      <c r="C159" s="5"/>
      <c r="D159" s="5"/>
      <c r="E159" s="5"/>
      <c r="F159" s="5"/>
      <c r="G159" s="5"/>
      <c r="H159" s="5"/>
      <c r="I159" s="5"/>
      <c r="J159" s="5"/>
      <c r="K159" s="5"/>
      <c r="L159" s="5"/>
      <c r="M159" s="5"/>
      <c r="N159" s="5"/>
      <c r="O159" s="5"/>
      <c r="P159" s="5"/>
      <c r="Q159" s="5"/>
      <c r="R159" s="5"/>
      <c r="S159" s="5"/>
      <c r="T159" s="5"/>
      <c r="U159" s="130"/>
      <c r="V159" s="134"/>
      <c r="W159" s="134"/>
      <c r="X159" s="133"/>
      <c r="Y159" s="130"/>
    </row>
    <row r="160" spans="1:25">
      <c r="A160" s="45"/>
      <c r="B160" s="46"/>
      <c r="C160" s="5"/>
      <c r="D160" s="5"/>
      <c r="E160" s="5"/>
      <c r="F160" s="5"/>
      <c r="G160" s="5"/>
      <c r="H160" s="5"/>
      <c r="I160" s="5"/>
      <c r="J160" s="5"/>
      <c r="K160" s="5"/>
      <c r="L160" s="5"/>
      <c r="M160" s="5"/>
      <c r="N160" s="5"/>
      <c r="O160" s="5"/>
      <c r="P160" s="5"/>
      <c r="Q160" s="5"/>
      <c r="R160" s="5"/>
      <c r="S160" s="5"/>
      <c r="T160" s="5"/>
      <c r="U160" s="130"/>
      <c r="V160" s="134"/>
      <c r="W160" s="134"/>
      <c r="X160" s="133"/>
      <c r="Y160" s="130"/>
    </row>
    <row r="161" spans="1:25">
      <c r="A161" s="45"/>
      <c r="B161" s="46"/>
      <c r="C161" s="5"/>
      <c r="D161" s="5"/>
      <c r="E161" s="5"/>
      <c r="F161" s="5"/>
      <c r="G161" s="5"/>
      <c r="H161" s="5"/>
      <c r="I161" s="5"/>
      <c r="J161" s="5"/>
      <c r="K161" s="5"/>
      <c r="L161" s="5"/>
      <c r="M161" s="5"/>
      <c r="N161" s="5"/>
      <c r="O161" s="5"/>
      <c r="P161" s="5"/>
      <c r="Q161" s="5"/>
      <c r="R161" s="5"/>
      <c r="S161" s="5"/>
      <c r="T161" s="5"/>
      <c r="U161" s="130"/>
      <c r="V161" s="134"/>
      <c r="W161" s="134"/>
      <c r="X161" s="133"/>
      <c r="Y161" s="130"/>
    </row>
    <row r="162" spans="1:25">
      <c r="A162" s="45"/>
      <c r="B162" s="46"/>
      <c r="C162" s="5"/>
      <c r="D162" s="5"/>
      <c r="E162" s="5"/>
      <c r="F162" s="5"/>
      <c r="G162" s="5"/>
      <c r="H162" s="5"/>
      <c r="I162" s="5"/>
      <c r="J162" s="5"/>
      <c r="K162" s="5"/>
      <c r="L162" s="5"/>
      <c r="M162" s="5"/>
      <c r="N162" s="5"/>
      <c r="O162" s="5"/>
      <c r="P162" s="5"/>
      <c r="Q162" s="5"/>
      <c r="R162" s="5"/>
      <c r="S162" s="5"/>
      <c r="T162" s="5"/>
      <c r="U162" s="130"/>
      <c r="V162" s="134"/>
      <c r="W162" s="134"/>
      <c r="X162" s="133"/>
      <c r="Y162" s="130"/>
    </row>
    <row r="163" spans="1:25">
      <c r="A163" s="45"/>
      <c r="B163" s="46"/>
      <c r="C163" s="5"/>
      <c r="D163" s="5"/>
      <c r="E163" s="5"/>
      <c r="F163" s="5"/>
      <c r="G163" s="5"/>
      <c r="H163" s="5"/>
      <c r="I163" s="5"/>
      <c r="J163" s="5"/>
      <c r="K163" s="5"/>
      <c r="L163" s="5"/>
      <c r="M163" s="5"/>
      <c r="N163" s="5"/>
      <c r="O163" s="5"/>
      <c r="P163" s="5"/>
      <c r="Q163" s="5"/>
      <c r="R163" s="5"/>
      <c r="S163" s="5"/>
      <c r="T163" s="5"/>
      <c r="U163" s="130"/>
      <c r="V163" s="134"/>
      <c r="W163" s="134"/>
      <c r="X163" s="133"/>
      <c r="Y163" s="130"/>
    </row>
    <row r="164" spans="1:25">
      <c r="A164" s="45"/>
      <c r="B164" s="46"/>
      <c r="C164" s="5"/>
      <c r="D164" s="5"/>
      <c r="E164" s="5"/>
      <c r="F164" s="5"/>
      <c r="G164" s="5"/>
      <c r="H164" s="5"/>
      <c r="I164" s="5"/>
      <c r="J164" s="5"/>
      <c r="K164" s="5"/>
      <c r="L164" s="5"/>
      <c r="M164" s="5"/>
      <c r="N164" s="5"/>
      <c r="O164" s="5"/>
      <c r="P164" s="5"/>
      <c r="Q164" s="5"/>
      <c r="R164" s="5"/>
      <c r="S164" s="5"/>
      <c r="T164" s="5"/>
      <c r="U164" s="130"/>
      <c r="V164" s="134"/>
      <c r="W164" s="134"/>
      <c r="X164" s="133"/>
      <c r="Y164" s="130"/>
    </row>
    <row r="165" spans="1:25">
      <c r="A165" s="45"/>
      <c r="B165" s="46"/>
      <c r="C165" s="5"/>
      <c r="D165" s="5"/>
      <c r="E165" s="5"/>
      <c r="F165" s="5"/>
      <c r="G165" s="5"/>
      <c r="H165" s="5"/>
      <c r="I165" s="5"/>
      <c r="J165" s="5"/>
      <c r="K165" s="5"/>
      <c r="L165" s="5"/>
      <c r="M165" s="5"/>
      <c r="N165" s="5"/>
      <c r="O165" s="5"/>
      <c r="P165" s="5"/>
      <c r="Q165" s="5"/>
      <c r="R165" s="5"/>
      <c r="S165" s="5"/>
      <c r="T165" s="5"/>
      <c r="U165" s="130"/>
      <c r="V165" s="134"/>
      <c r="W165" s="134"/>
      <c r="X165" s="133"/>
      <c r="Y165" s="130"/>
    </row>
    <row r="166" spans="1:25">
      <c r="A166" s="45"/>
      <c r="B166" s="46"/>
      <c r="C166" s="5"/>
      <c r="D166" s="5"/>
      <c r="E166" s="5"/>
      <c r="F166" s="5"/>
      <c r="G166" s="5"/>
      <c r="H166" s="5"/>
      <c r="I166" s="5"/>
      <c r="J166" s="5"/>
      <c r="K166" s="5"/>
      <c r="L166" s="5"/>
      <c r="M166" s="5"/>
      <c r="N166" s="5"/>
      <c r="O166" s="5"/>
      <c r="P166" s="5"/>
      <c r="Q166" s="5"/>
      <c r="R166" s="5"/>
      <c r="S166" s="5"/>
      <c r="T166" s="5"/>
      <c r="U166" s="130"/>
      <c r="V166" s="134"/>
      <c r="W166" s="134"/>
      <c r="X166" s="133"/>
      <c r="Y166" s="130"/>
    </row>
    <row r="167" spans="1:25">
      <c r="A167" s="45"/>
      <c r="B167" s="46"/>
      <c r="C167" s="5"/>
      <c r="D167" s="5"/>
      <c r="E167" s="5"/>
      <c r="F167" s="5"/>
      <c r="G167" s="5"/>
      <c r="H167" s="5"/>
      <c r="I167" s="5"/>
      <c r="J167" s="5"/>
      <c r="K167" s="5"/>
      <c r="L167" s="5"/>
      <c r="M167" s="5"/>
      <c r="N167" s="5"/>
      <c r="O167" s="5"/>
      <c r="P167" s="5"/>
      <c r="Q167" s="5"/>
      <c r="R167" s="5"/>
      <c r="S167" s="5"/>
      <c r="T167" s="5"/>
      <c r="U167" s="130"/>
      <c r="V167" s="134"/>
      <c r="W167" s="134"/>
      <c r="X167" s="133"/>
      <c r="Y167" s="130"/>
    </row>
    <row r="168" spans="1:25">
      <c r="A168" s="45"/>
      <c r="B168" s="46"/>
      <c r="C168" s="5"/>
      <c r="D168" s="5"/>
      <c r="E168" s="5"/>
      <c r="F168" s="5"/>
      <c r="G168" s="5"/>
      <c r="H168" s="5"/>
      <c r="I168" s="5"/>
      <c r="J168" s="5"/>
      <c r="K168" s="5"/>
      <c r="L168" s="5"/>
      <c r="M168" s="5"/>
      <c r="N168" s="5"/>
      <c r="O168" s="5"/>
      <c r="P168" s="5"/>
      <c r="Q168" s="5"/>
      <c r="R168" s="5"/>
      <c r="S168" s="5"/>
      <c r="T168" s="5"/>
      <c r="U168" s="130"/>
      <c r="V168" s="134"/>
      <c r="W168" s="134"/>
      <c r="X168" s="133"/>
      <c r="Y168" s="130"/>
    </row>
    <row r="169" spans="1:25">
      <c r="A169" s="45"/>
      <c r="B169" s="46"/>
      <c r="C169" s="5"/>
      <c r="D169" s="5"/>
      <c r="E169" s="5"/>
      <c r="F169" s="5"/>
      <c r="G169" s="5"/>
      <c r="H169" s="5"/>
      <c r="I169" s="5"/>
      <c r="J169" s="5"/>
      <c r="K169" s="5"/>
      <c r="L169" s="5"/>
      <c r="M169" s="5"/>
      <c r="N169" s="5"/>
      <c r="O169" s="5"/>
      <c r="P169" s="5"/>
      <c r="Q169" s="5"/>
      <c r="R169" s="5"/>
      <c r="S169" s="5"/>
      <c r="T169" s="5"/>
      <c r="U169" s="130"/>
      <c r="V169" s="134"/>
      <c r="W169" s="134"/>
      <c r="X169" s="133"/>
      <c r="Y169" s="130"/>
    </row>
    <row r="170" spans="1:25">
      <c r="A170" s="45"/>
      <c r="B170" s="46"/>
      <c r="C170" s="5"/>
      <c r="D170" s="5"/>
      <c r="E170" s="5"/>
      <c r="F170" s="5"/>
      <c r="G170" s="5"/>
      <c r="H170" s="5"/>
      <c r="I170" s="5"/>
      <c r="J170" s="5"/>
      <c r="K170" s="5"/>
      <c r="L170" s="5"/>
      <c r="M170" s="5"/>
      <c r="N170" s="5"/>
      <c r="O170" s="5"/>
      <c r="P170" s="5"/>
      <c r="Q170" s="5"/>
      <c r="R170" s="5"/>
      <c r="S170" s="5"/>
      <c r="T170" s="5"/>
      <c r="U170" s="130"/>
      <c r="V170" s="134"/>
      <c r="W170" s="134"/>
      <c r="X170" s="133"/>
      <c r="Y170" s="130"/>
    </row>
    <row r="171" spans="1:25">
      <c r="A171" s="45"/>
      <c r="B171" s="46"/>
      <c r="C171" s="5"/>
      <c r="D171" s="5"/>
      <c r="E171" s="5"/>
      <c r="F171" s="5"/>
      <c r="G171" s="5"/>
      <c r="H171" s="5"/>
      <c r="I171" s="5"/>
      <c r="J171" s="5"/>
      <c r="K171" s="5"/>
      <c r="L171" s="5"/>
      <c r="M171" s="5"/>
      <c r="N171" s="5"/>
      <c r="O171" s="5"/>
      <c r="P171" s="5"/>
      <c r="Q171" s="5"/>
      <c r="R171" s="5"/>
      <c r="S171" s="5"/>
      <c r="T171" s="5"/>
      <c r="U171" s="130"/>
      <c r="V171" s="134"/>
      <c r="W171" s="134"/>
      <c r="X171" s="133"/>
      <c r="Y171" s="130"/>
    </row>
    <row r="172" spans="1:25">
      <c r="A172" s="45"/>
      <c r="B172" s="46"/>
      <c r="C172" s="5"/>
      <c r="D172" s="5"/>
      <c r="E172" s="5"/>
      <c r="F172" s="5"/>
      <c r="G172" s="5"/>
      <c r="H172" s="5"/>
      <c r="I172" s="5"/>
      <c r="J172" s="5"/>
      <c r="K172" s="5"/>
      <c r="L172" s="5"/>
      <c r="M172" s="5"/>
      <c r="N172" s="5"/>
      <c r="O172" s="5"/>
      <c r="P172" s="5"/>
      <c r="Q172" s="5"/>
      <c r="R172" s="5"/>
      <c r="S172" s="5"/>
      <c r="T172" s="5"/>
      <c r="U172" s="130"/>
      <c r="V172" s="134"/>
      <c r="W172" s="134"/>
      <c r="X172" s="133"/>
      <c r="Y172" s="130"/>
    </row>
    <row r="173" spans="1:25">
      <c r="A173" s="45"/>
      <c r="B173" s="46"/>
      <c r="C173" s="5"/>
      <c r="D173" s="5"/>
      <c r="E173" s="5"/>
      <c r="F173" s="5"/>
      <c r="G173" s="5"/>
      <c r="H173" s="5"/>
      <c r="I173" s="5"/>
      <c r="J173" s="5"/>
      <c r="K173" s="5"/>
      <c r="L173" s="5"/>
      <c r="M173" s="5"/>
      <c r="N173" s="5"/>
      <c r="O173" s="5"/>
      <c r="P173" s="5"/>
      <c r="Q173" s="5"/>
      <c r="R173" s="5"/>
      <c r="S173" s="5"/>
      <c r="T173" s="5"/>
      <c r="U173" s="130"/>
      <c r="V173" s="134"/>
      <c r="W173" s="134"/>
      <c r="X173" s="133"/>
      <c r="Y173" s="130"/>
    </row>
    <row r="174" spans="1:25">
      <c r="A174" s="45"/>
      <c r="B174" s="46"/>
      <c r="C174" s="5"/>
      <c r="D174" s="5"/>
      <c r="E174" s="5"/>
      <c r="F174" s="5"/>
      <c r="G174" s="5"/>
      <c r="H174" s="5"/>
      <c r="I174" s="5"/>
      <c r="J174" s="5"/>
      <c r="K174" s="5"/>
      <c r="L174" s="5"/>
      <c r="M174" s="5"/>
      <c r="N174" s="5"/>
      <c r="O174" s="5"/>
      <c r="P174" s="5"/>
      <c r="Q174" s="5"/>
      <c r="R174" s="5"/>
      <c r="S174" s="5"/>
      <c r="T174" s="5"/>
      <c r="U174" s="130"/>
      <c r="V174" s="134"/>
      <c r="W174" s="134"/>
      <c r="X174" s="133"/>
      <c r="Y174" s="130"/>
    </row>
    <row r="175" spans="1:25">
      <c r="A175" s="45"/>
      <c r="B175" s="46"/>
      <c r="C175" s="5"/>
      <c r="D175" s="5"/>
      <c r="E175" s="5"/>
      <c r="F175" s="5"/>
      <c r="G175" s="5"/>
      <c r="H175" s="5"/>
      <c r="I175" s="5"/>
      <c r="J175" s="5"/>
      <c r="K175" s="5"/>
      <c r="L175" s="5"/>
      <c r="M175" s="5"/>
      <c r="N175" s="5"/>
      <c r="O175" s="5"/>
      <c r="P175" s="5"/>
      <c r="Q175" s="5"/>
      <c r="R175" s="5"/>
      <c r="S175" s="5"/>
      <c r="T175" s="5"/>
      <c r="U175" s="130"/>
      <c r="V175" s="134"/>
      <c r="W175" s="134"/>
      <c r="X175" s="133"/>
      <c r="Y175" s="130"/>
    </row>
    <row r="176" spans="1:25">
      <c r="A176" s="45"/>
      <c r="B176" s="46"/>
      <c r="C176" s="5"/>
      <c r="D176" s="5"/>
      <c r="E176" s="5"/>
      <c r="F176" s="5"/>
      <c r="G176" s="5"/>
      <c r="H176" s="5"/>
      <c r="I176" s="5"/>
      <c r="J176" s="5"/>
      <c r="K176" s="5"/>
      <c r="L176" s="5"/>
      <c r="M176" s="5"/>
      <c r="N176" s="5"/>
      <c r="O176" s="5"/>
      <c r="P176" s="5"/>
      <c r="Q176" s="5"/>
      <c r="R176" s="5"/>
      <c r="S176" s="5"/>
      <c r="T176" s="5"/>
      <c r="U176" s="130"/>
      <c r="V176" s="134"/>
      <c r="W176" s="134"/>
      <c r="X176" s="133"/>
      <c r="Y176" s="130"/>
    </row>
    <row r="177" spans="1:25">
      <c r="A177" s="45"/>
      <c r="B177" s="46"/>
      <c r="C177" s="5"/>
      <c r="D177" s="5"/>
      <c r="E177" s="5"/>
      <c r="F177" s="5"/>
      <c r="G177" s="5"/>
      <c r="H177" s="5"/>
      <c r="I177" s="5"/>
      <c r="J177" s="5"/>
      <c r="K177" s="5"/>
      <c r="L177" s="5"/>
      <c r="M177" s="5"/>
      <c r="N177" s="5"/>
      <c r="O177" s="5"/>
      <c r="P177" s="5"/>
      <c r="Q177" s="5"/>
      <c r="R177" s="5"/>
      <c r="S177" s="5"/>
      <c r="T177" s="5"/>
      <c r="U177" s="130"/>
      <c r="V177" s="134"/>
      <c r="W177" s="134"/>
      <c r="X177" s="133"/>
      <c r="Y177" s="130"/>
    </row>
    <row r="178" spans="1:25">
      <c r="A178" s="45"/>
      <c r="B178" s="46"/>
      <c r="C178" s="5"/>
      <c r="D178" s="5"/>
      <c r="E178" s="5"/>
      <c r="F178" s="5"/>
      <c r="G178" s="5"/>
      <c r="H178" s="5"/>
      <c r="I178" s="5"/>
      <c r="J178" s="5"/>
      <c r="K178" s="5"/>
      <c r="L178" s="5"/>
      <c r="M178" s="5"/>
      <c r="N178" s="5"/>
      <c r="O178" s="5"/>
      <c r="P178" s="5"/>
      <c r="Q178" s="5"/>
      <c r="R178" s="5"/>
      <c r="S178" s="5"/>
      <c r="T178" s="5"/>
      <c r="U178" s="130"/>
      <c r="V178" s="134"/>
      <c r="W178" s="134"/>
      <c r="X178" s="133"/>
      <c r="Y178" s="130"/>
    </row>
    <row r="179" spans="1:25">
      <c r="A179" s="45"/>
      <c r="B179" s="46"/>
      <c r="C179" s="5"/>
      <c r="D179" s="5"/>
      <c r="E179" s="5"/>
      <c r="F179" s="5"/>
      <c r="G179" s="5"/>
      <c r="H179" s="5"/>
      <c r="I179" s="5"/>
      <c r="J179" s="5"/>
      <c r="K179" s="5"/>
      <c r="L179" s="5"/>
      <c r="M179" s="5"/>
      <c r="N179" s="5"/>
      <c r="O179" s="5"/>
      <c r="P179" s="5"/>
      <c r="Q179" s="5"/>
      <c r="R179" s="5"/>
      <c r="S179" s="5"/>
      <c r="T179" s="5"/>
      <c r="U179" s="130"/>
      <c r="V179" s="134"/>
      <c r="W179" s="134"/>
      <c r="X179" s="133"/>
      <c r="Y179" s="130"/>
    </row>
    <row r="180" spans="1:25">
      <c r="A180" s="45"/>
      <c r="B180" s="46"/>
      <c r="C180" s="5"/>
      <c r="D180" s="5"/>
      <c r="E180" s="5"/>
      <c r="F180" s="5"/>
      <c r="G180" s="5"/>
      <c r="H180" s="5"/>
      <c r="I180" s="5"/>
      <c r="J180" s="5"/>
      <c r="K180" s="5"/>
      <c r="L180" s="5"/>
      <c r="M180" s="5"/>
      <c r="N180" s="5"/>
      <c r="O180" s="5"/>
      <c r="P180" s="5"/>
      <c r="Q180" s="5"/>
      <c r="R180" s="5"/>
      <c r="S180" s="5"/>
      <c r="T180" s="5"/>
      <c r="U180" s="130"/>
      <c r="V180" s="134"/>
      <c r="W180" s="134"/>
      <c r="X180" s="133"/>
      <c r="Y180" s="130"/>
    </row>
    <row r="181" spans="1:25">
      <c r="A181" s="45"/>
      <c r="B181" s="46"/>
      <c r="C181" s="5"/>
      <c r="D181" s="5"/>
      <c r="E181" s="5"/>
      <c r="F181" s="5"/>
      <c r="G181" s="5"/>
      <c r="H181" s="5"/>
      <c r="I181" s="5"/>
      <c r="J181" s="5"/>
      <c r="K181" s="5"/>
      <c r="L181" s="5"/>
      <c r="M181" s="5"/>
      <c r="N181" s="5"/>
      <c r="O181" s="5"/>
      <c r="P181" s="5"/>
      <c r="Q181" s="5"/>
      <c r="R181" s="5"/>
      <c r="S181" s="5"/>
      <c r="T181" s="5"/>
      <c r="U181" s="130"/>
      <c r="V181" s="134"/>
      <c r="W181" s="134"/>
      <c r="X181" s="133"/>
      <c r="Y181" s="130"/>
    </row>
    <row r="182" spans="1:25">
      <c r="A182" s="45"/>
      <c r="B182" s="46"/>
      <c r="C182" s="5"/>
      <c r="D182" s="5"/>
      <c r="E182" s="5"/>
      <c r="F182" s="5"/>
      <c r="G182" s="5"/>
      <c r="H182" s="5"/>
      <c r="I182" s="5"/>
      <c r="J182" s="5"/>
      <c r="K182" s="5"/>
      <c r="L182" s="5"/>
      <c r="M182" s="5"/>
      <c r="N182" s="5"/>
      <c r="O182" s="5"/>
      <c r="P182" s="5"/>
      <c r="Q182" s="5"/>
      <c r="R182" s="5"/>
      <c r="S182" s="5"/>
      <c r="T182" s="5"/>
      <c r="U182" s="130"/>
      <c r="V182" s="133"/>
      <c r="W182" s="133"/>
      <c r="X182" s="133"/>
      <c r="Y182" s="130"/>
    </row>
    <row r="183" spans="1:25">
      <c r="A183" s="45"/>
      <c r="B183" s="46"/>
      <c r="C183" s="5"/>
      <c r="D183" s="5"/>
      <c r="E183" s="5"/>
      <c r="F183" s="5"/>
      <c r="G183" s="5"/>
      <c r="H183" s="5"/>
      <c r="I183" s="5"/>
      <c r="J183" s="5"/>
      <c r="K183" s="5"/>
      <c r="L183" s="5"/>
      <c r="M183" s="5"/>
      <c r="N183" s="5"/>
      <c r="O183" s="5"/>
      <c r="P183" s="5"/>
      <c r="Q183" s="5"/>
      <c r="R183" s="5"/>
      <c r="S183" s="5"/>
      <c r="T183" s="5"/>
    </row>
    <row r="184" spans="1:25">
      <c r="A184" s="45"/>
      <c r="B184" s="46"/>
      <c r="C184" s="5"/>
      <c r="D184" s="5"/>
      <c r="E184" s="5"/>
      <c r="F184" s="5"/>
      <c r="G184" s="5"/>
      <c r="H184" s="5"/>
      <c r="I184" s="5"/>
      <c r="J184" s="5"/>
      <c r="K184" s="5"/>
      <c r="L184" s="5"/>
      <c r="M184" s="5"/>
      <c r="N184" s="5"/>
      <c r="O184" s="5"/>
      <c r="P184" s="5"/>
      <c r="Q184" s="5"/>
      <c r="R184" s="5"/>
      <c r="S184" s="5"/>
      <c r="T184" s="5"/>
    </row>
    <row r="185" spans="1:25">
      <c r="A185" s="45"/>
      <c r="B185" s="46"/>
      <c r="C185" s="5"/>
      <c r="D185" s="5"/>
      <c r="E185" s="5"/>
      <c r="F185" s="5"/>
      <c r="G185" s="5"/>
      <c r="H185" s="5"/>
      <c r="I185" s="5"/>
      <c r="J185" s="5"/>
      <c r="K185" s="5"/>
      <c r="L185" s="5"/>
      <c r="M185" s="5"/>
      <c r="N185" s="5"/>
      <c r="O185" s="5"/>
      <c r="P185" s="5"/>
      <c r="Q185" s="5"/>
      <c r="R185" s="5"/>
      <c r="S185" s="5"/>
      <c r="T185" s="5"/>
    </row>
    <row r="186" spans="1:25">
      <c r="A186" s="45"/>
      <c r="B186" s="46"/>
      <c r="C186" s="5"/>
      <c r="D186" s="5"/>
      <c r="E186" s="5"/>
      <c r="F186" s="5"/>
      <c r="G186" s="5"/>
      <c r="H186" s="5"/>
      <c r="I186" s="5"/>
      <c r="J186" s="5"/>
      <c r="K186" s="5"/>
      <c r="L186" s="5"/>
      <c r="M186" s="5"/>
      <c r="N186" s="5"/>
      <c r="O186" s="5"/>
      <c r="P186" s="5"/>
      <c r="Q186" s="5"/>
      <c r="R186" s="5"/>
      <c r="S186" s="5"/>
      <c r="T186" s="5"/>
    </row>
    <row r="187" spans="1:25">
      <c r="A187" s="45"/>
      <c r="B187" s="46"/>
      <c r="C187" s="5"/>
      <c r="D187" s="5"/>
      <c r="E187" s="5"/>
      <c r="F187" s="5"/>
      <c r="G187" s="5"/>
      <c r="H187" s="5"/>
      <c r="I187" s="5"/>
      <c r="J187" s="5"/>
      <c r="K187" s="5"/>
      <c r="L187" s="5"/>
      <c r="M187" s="5"/>
      <c r="N187" s="5"/>
      <c r="O187" s="5"/>
      <c r="P187" s="5"/>
      <c r="Q187" s="5"/>
      <c r="R187" s="5"/>
      <c r="S187" s="5"/>
      <c r="T187" s="5"/>
    </row>
    <row r="188" spans="1:25">
      <c r="A188" s="45"/>
      <c r="B188" s="46"/>
      <c r="C188" s="5"/>
      <c r="D188" s="5"/>
      <c r="E188" s="5"/>
      <c r="F188" s="5"/>
      <c r="G188" s="5"/>
      <c r="H188" s="5"/>
      <c r="I188" s="5"/>
      <c r="J188" s="5"/>
      <c r="K188" s="5"/>
      <c r="L188" s="5"/>
      <c r="M188" s="5"/>
      <c r="N188" s="5"/>
      <c r="O188" s="5"/>
      <c r="P188" s="5"/>
      <c r="Q188" s="5"/>
      <c r="R188" s="5"/>
      <c r="S188" s="5"/>
      <c r="T188" s="5"/>
    </row>
    <row r="189" spans="1:25">
      <c r="A189" s="45"/>
      <c r="B189" s="46"/>
      <c r="C189" s="5"/>
      <c r="D189" s="5"/>
      <c r="E189" s="5"/>
      <c r="F189" s="5"/>
      <c r="G189" s="5"/>
      <c r="H189" s="5"/>
      <c r="I189" s="5"/>
      <c r="J189" s="5"/>
      <c r="K189" s="5"/>
      <c r="L189" s="5"/>
      <c r="M189" s="5"/>
      <c r="N189" s="5"/>
      <c r="O189" s="5"/>
      <c r="P189" s="5"/>
      <c r="Q189" s="5"/>
      <c r="R189" s="5"/>
      <c r="S189" s="5"/>
      <c r="T189" s="5"/>
    </row>
    <row r="190" spans="1:25">
      <c r="A190" s="45"/>
      <c r="B190" s="46"/>
      <c r="C190" s="5"/>
      <c r="D190" s="5"/>
      <c r="E190" s="5"/>
      <c r="F190" s="5"/>
      <c r="G190" s="5"/>
      <c r="H190" s="5"/>
      <c r="I190" s="5"/>
      <c r="J190" s="5"/>
      <c r="K190" s="5"/>
      <c r="L190" s="5"/>
      <c r="M190" s="5"/>
      <c r="N190" s="5"/>
      <c r="O190" s="5"/>
      <c r="P190" s="5"/>
      <c r="Q190" s="5"/>
      <c r="R190" s="5"/>
      <c r="S190" s="5"/>
      <c r="T190" s="5"/>
    </row>
    <row r="191" spans="1:25">
      <c r="A191" s="45"/>
      <c r="B191" s="46"/>
      <c r="C191" s="5"/>
      <c r="D191" s="5"/>
      <c r="E191" s="5"/>
      <c r="F191" s="5"/>
      <c r="G191" s="5"/>
      <c r="H191" s="5"/>
      <c r="I191" s="5"/>
      <c r="J191" s="5"/>
      <c r="K191" s="5"/>
      <c r="L191" s="5"/>
      <c r="M191" s="5"/>
      <c r="N191" s="5"/>
      <c r="O191" s="5"/>
      <c r="P191" s="5"/>
      <c r="Q191" s="5"/>
      <c r="R191" s="5"/>
      <c r="S191" s="5"/>
      <c r="T191" s="5"/>
    </row>
    <row r="192" spans="1:25">
      <c r="A192" s="45"/>
      <c r="B192" s="46"/>
      <c r="C192" s="5"/>
      <c r="D192" s="5"/>
      <c r="E192" s="5"/>
      <c r="F192" s="5"/>
      <c r="G192" s="5"/>
      <c r="H192" s="5"/>
      <c r="I192" s="5"/>
      <c r="J192" s="5"/>
      <c r="K192" s="5"/>
      <c r="L192" s="5"/>
      <c r="M192" s="5"/>
      <c r="N192" s="5"/>
      <c r="O192" s="5"/>
      <c r="P192" s="5"/>
      <c r="Q192" s="5"/>
      <c r="R192" s="5"/>
      <c r="S192" s="5"/>
      <c r="T192" s="5"/>
    </row>
    <row r="193" spans="1:20">
      <c r="A193" s="45"/>
      <c r="B193" s="46"/>
      <c r="C193" s="5"/>
      <c r="D193" s="5"/>
      <c r="E193" s="5"/>
      <c r="F193" s="5"/>
      <c r="G193" s="5"/>
      <c r="H193" s="5"/>
      <c r="I193" s="5"/>
      <c r="J193" s="5"/>
      <c r="K193" s="5"/>
      <c r="L193" s="5"/>
      <c r="M193" s="5"/>
      <c r="N193" s="5"/>
      <c r="O193" s="5"/>
      <c r="P193" s="5"/>
      <c r="Q193" s="5"/>
      <c r="R193" s="5"/>
      <c r="S193" s="5"/>
      <c r="T193" s="5"/>
    </row>
    <row r="194" spans="1:20">
      <c r="A194" s="45"/>
      <c r="B194" s="46"/>
      <c r="C194" s="5"/>
      <c r="D194" s="5"/>
      <c r="E194" s="5"/>
      <c r="F194" s="5"/>
      <c r="G194" s="5"/>
      <c r="H194" s="5"/>
      <c r="I194" s="5"/>
      <c r="J194" s="5"/>
      <c r="K194" s="5"/>
      <c r="L194" s="5"/>
      <c r="M194" s="5"/>
      <c r="N194" s="5"/>
      <c r="O194" s="5"/>
      <c r="P194" s="5"/>
      <c r="Q194" s="5"/>
      <c r="R194" s="5"/>
      <c r="S194" s="5"/>
      <c r="T194" s="5"/>
    </row>
    <row r="195" spans="1:20">
      <c r="A195" s="45"/>
      <c r="B195" s="46"/>
      <c r="C195" s="5"/>
      <c r="D195" s="5"/>
      <c r="E195" s="5"/>
      <c r="F195" s="5"/>
      <c r="G195" s="5"/>
      <c r="H195" s="5"/>
      <c r="I195" s="5"/>
      <c r="J195" s="5"/>
      <c r="K195" s="5"/>
      <c r="L195" s="5"/>
      <c r="M195" s="5"/>
      <c r="N195" s="5"/>
      <c r="O195" s="5"/>
      <c r="P195" s="5"/>
      <c r="Q195" s="5"/>
      <c r="R195" s="5"/>
      <c r="S195" s="5"/>
      <c r="T195" s="5"/>
    </row>
    <row r="196" spans="1:20">
      <c r="A196" s="45"/>
      <c r="B196" s="46"/>
      <c r="C196" s="5"/>
      <c r="D196" s="5"/>
      <c r="E196" s="5"/>
      <c r="F196" s="5"/>
      <c r="G196" s="5"/>
      <c r="H196" s="5"/>
      <c r="I196" s="5"/>
      <c r="J196" s="5"/>
      <c r="K196" s="5"/>
      <c r="L196" s="5"/>
      <c r="M196" s="5"/>
      <c r="N196" s="5"/>
      <c r="O196" s="5"/>
      <c r="P196" s="5"/>
      <c r="Q196" s="5"/>
      <c r="R196" s="5"/>
      <c r="S196" s="5"/>
      <c r="T196" s="5"/>
    </row>
    <row r="197" spans="1:20">
      <c r="A197" s="45"/>
      <c r="B197" s="46"/>
      <c r="C197" s="5"/>
      <c r="D197" s="5"/>
      <c r="E197" s="5"/>
      <c r="F197" s="5"/>
      <c r="G197" s="5"/>
      <c r="H197" s="5"/>
      <c r="I197" s="5"/>
      <c r="J197" s="5"/>
      <c r="K197" s="5"/>
      <c r="L197" s="5"/>
      <c r="M197" s="5"/>
      <c r="N197" s="5"/>
      <c r="O197" s="5"/>
      <c r="P197" s="5"/>
      <c r="Q197" s="5"/>
      <c r="R197" s="5"/>
      <c r="S197" s="5"/>
      <c r="T197" s="5"/>
    </row>
    <row r="198" spans="1:20">
      <c r="A198" s="45"/>
      <c r="B198" s="46"/>
      <c r="C198" s="5"/>
      <c r="D198" s="5"/>
      <c r="E198" s="5"/>
      <c r="F198" s="5"/>
      <c r="G198" s="5"/>
      <c r="H198" s="5"/>
      <c r="I198" s="5"/>
      <c r="J198" s="5"/>
      <c r="K198" s="5"/>
      <c r="L198" s="5"/>
      <c r="M198" s="5"/>
      <c r="N198" s="5"/>
      <c r="O198" s="5"/>
      <c r="P198" s="5"/>
      <c r="Q198" s="5"/>
      <c r="R198" s="5"/>
      <c r="S198" s="5"/>
      <c r="T198" s="5"/>
    </row>
    <row r="199" spans="1:20">
      <c r="A199" s="45"/>
      <c r="B199" s="46"/>
      <c r="C199" s="5"/>
      <c r="D199" s="5"/>
      <c r="E199" s="5"/>
      <c r="F199" s="5"/>
      <c r="G199" s="5"/>
      <c r="H199" s="5"/>
      <c r="I199" s="5"/>
      <c r="J199" s="5"/>
      <c r="K199" s="5"/>
      <c r="L199" s="5"/>
      <c r="M199" s="5"/>
      <c r="N199" s="5"/>
      <c r="O199" s="5"/>
      <c r="P199" s="5"/>
      <c r="Q199" s="5"/>
      <c r="R199" s="5"/>
      <c r="S199" s="5"/>
      <c r="T199" s="5"/>
    </row>
    <row r="200" spans="1:20">
      <c r="A200" s="45"/>
      <c r="B200" s="46"/>
      <c r="C200" s="5"/>
      <c r="D200" s="5"/>
      <c r="E200" s="5"/>
      <c r="F200" s="5"/>
      <c r="G200" s="5"/>
      <c r="H200" s="5"/>
      <c r="I200" s="5"/>
      <c r="J200" s="5"/>
      <c r="K200" s="5"/>
      <c r="L200" s="5"/>
      <c r="M200" s="5"/>
      <c r="N200" s="5"/>
      <c r="O200" s="5"/>
      <c r="P200" s="5"/>
      <c r="Q200" s="5"/>
      <c r="R200" s="5"/>
      <c r="S200" s="5"/>
      <c r="T200" s="5"/>
    </row>
    <row r="201" spans="1:20">
      <c r="A201" s="45"/>
      <c r="B201" s="46"/>
      <c r="C201" s="5"/>
      <c r="D201" s="5"/>
      <c r="E201" s="5"/>
      <c r="F201" s="5"/>
      <c r="G201" s="5"/>
      <c r="H201" s="5"/>
      <c r="I201" s="5"/>
      <c r="J201" s="5"/>
      <c r="K201" s="5"/>
      <c r="L201" s="5"/>
      <c r="M201" s="5"/>
      <c r="N201" s="5"/>
      <c r="O201" s="5"/>
      <c r="P201" s="5"/>
      <c r="Q201" s="5"/>
      <c r="R201" s="5"/>
      <c r="S201" s="5"/>
      <c r="T201" s="5"/>
    </row>
    <row r="202" spans="1:20">
      <c r="A202" s="45"/>
      <c r="B202" s="46"/>
      <c r="C202" s="5"/>
      <c r="D202" s="5"/>
      <c r="E202" s="5"/>
      <c r="F202" s="5"/>
      <c r="G202" s="5"/>
      <c r="H202" s="5"/>
      <c r="I202" s="5"/>
      <c r="J202" s="5"/>
      <c r="K202" s="5"/>
      <c r="L202" s="5"/>
      <c r="M202" s="5"/>
      <c r="N202" s="5"/>
      <c r="O202" s="5"/>
      <c r="P202" s="5"/>
      <c r="Q202" s="5"/>
      <c r="R202" s="5"/>
      <c r="S202" s="5"/>
      <c r="T202" s="5"/>
    </row>
    <row r="203" spans="1:20">
      <c r="A203" s="45"/>
      <c r="B203" s="46"/>
      <c r="C203" s="5"/>
      <c r="D203" s="5"/>
      <c r="E203" s="5"/>
      <c r="F203" s="5"/>
      <c r="G203" s="5"/>
      <c r="H203" s="5"/>
      <c r="I203" s="5"/>
      <c r="J203" s="5"/>
      <c r="K203" s="5"/>
      <c r="L203" s="5"/>
      <c r="M203" s="5"/>
      <c r="N203" s="5"/>
      <c r="O203" s="5"/>
      <c r="P203" s="5"/>
      <c r="Q203" s="5"/>
      <c r="R203" s="5"/>
      <c r="S203" s="5"/>
      <c r="T203" s="5"/>
    </row>
    <row r="204" spans="1:20">
      <c r="A204" s="45"/>
      <c r="B204" s="46"/>
      <c r="C204" s="5"/>
      <c r="D204" s="5"/>
      <c r="E204" s="5"/>
      <c r="F204" s="5"/>
      <c r="G204" s="5"/>
      <c r="H204" s="5"/>
      <c r="I204" s="5"/>
      <c r="J204" s="5"/>
      <c r="K204" s="5"/>
      <c r="L204" s="5"/>
      <c r="M204" s="5"/>
      <c r="N204" s="5"/>
      <c r="O204" s="5"/>
      <c r="P204" s="5"/>
      <c r="Q204" s="5"/>
      <c r="R204" s="5"/>
      <c r="S204" s="5"/>
      <c r="T204" s="5"/>
    </row>
    <row r="205" spans="1:20">
      <c r="A205" s="45"/>
      <c r="B205" s="46"/>
      <c r="C205" s="5"/>
      <c r="D205" s="5"/>
      <c r="E205" s="5"/>
      <c r="F205" s="5"/>
      <c r="G205" s="5"/>
      <c r="H205" s="5"/>
      <c r="I205" s="5"/>
      <c r="J205" s="5"/>
      <c r="K205" s="5"/>
      <c r="L205" s="5"/>
      <c r="M205" s="5"/>
      <c r="N205" s="5"/>
      <c r="O205" s="5"/>
      <c r="P205" s="5"/>
      <c r="Q205" s="5"/>
      <c r="R205" s="5"/>
      <c r="S205" s="5"/>
      <c r="T205" s="5"/>
    </row>
    <row r="206" spans="1:20">
      <c r="A206" s="45"/>
      <c r="B206" s="46"/>
      <c r="C206" s="5"/>
      <c r="D206" s="5"/>
      <c r="E206" s="5"/>
      <c r="F206" s="5"/>
      <c r="G206" s="5"/>
      <c r="H206" s="5"/>
      <c r="I206" s="5"/>
      <c r="J206" s="5"/>
      <c r="K206" s="5"/>
      <c r="L206" s="5"/>
      <c r="M206" s="5"/>
      <c r="N206" s="5"/>
      <c r="O206" s="5"/>
      <c r="P206" s="5"/>
      <c r="Q206" s="5"/>
      <c r="R206" s="5"/>
      <c r="S206" s="5"/>
      <c r="T206" s="5"/>
    </row>
    <row r="207" spans="1:20">
      <c r="A207" s="45"/>
      <c r="B207" s="46"/>
      <c r="C207" s="5"/>
      <c r="D207" s="5"/>
      <c r="E207" s="5"/>
      <c r="F207" s="5"/>
      <c r="G207" s="5"/>
      <c r="H207" s="5"/>
      <c r="I207" s="5"/>
      <c r="J207" s="5"/>
      <c r="K207" s="5"/>
      <c r="L207" s="5"/>
      <c r="M207" s="5"/>
      <c r="N207" s="5"/>
      <c r="O207" s="5"/>
      <c r="P207" s="5"/>
      <c r="Q207" s="5"/>
      <c r="R207" s="5"/>
      <c r="S207" s="5"/>
      <c r="T207" s="5"/>
    </row>
    <row r="208" spans="1:20">
      <c r="A208" s="45"/>
      <c r="B208" s="46"/>
      <c r="C208" s="5"/>
      <c r="D208" s="5"/>
      <c r="E208" s="5"/>
      <c r="F208" s="5"/>
      <c r="G208" s="5"/>
      <c r="H208" s="5"/>
      <c r="I208" s="5"/>
      <c r="J208" s="5"/>
      <c r="K208" s="5"/>
      <c r="L208" s="5"/>
      <c r="M208" s="5"/>
      <c r="N208" s="5"/>
      <c r="O208" s="5"/>
      <c r="P208" s="5"/>
      <c r="Q208" s="5"/>
      <c r="R208" s="5"/>
      <c r="S208" s="5"/>
      <c r="T208" s="5"/>
    </row>
    <row r="209" spans="1:20">
      <c r="A209" s="45"/>
      <c r="B209" s="46"/>
      <c r="C209" s="5"/>
      <c r="D209" s="5"/>
      <c r="E209" s="5"/>
      <c r="F209" s="5"/>
      <c r="G209" s="5"/>
      <c r="H209" s="5"/>
      <c r="I209" s="5"/>
      <c r="J209" s="5"/>
      <c r="K209" s="5"/>
      <c r="L209" s="5"/>
      <c r="M209" s="5"/>
      <c r="N209" s="5"/>
      <c r="O209" s="5"/>
      <c r="P209" s="5"/>
      <c r="Q209" s="5"/>
      <c r="R209" s="5"/>
      <c r="S209" s="5"/>
      <c r="T209" s="5"/>
    </row>
    <row r="210" spans="1:20">
      <c r="A210" s="45"/>
      <c r="B210" s="46"/>
      <c r="C210" s="5"/>
      <c r="D210" s="5"/>
      <c r="E210" s="5"/>
      <c r="F210" s="5"/>
      <c r="G210" s="5"/>
      <c r="H210" s="5"/>
      <c r="I210" s="5"/>
      <c r="J210" s="5"/>
      <c r="K210" s="5"/>
      <c r="L210" s="5"/>
      <c r="M210" s="5"/>
      <c r="N210" s="5"/>
      <c r="O210" s="5"/>
      <c r="P210" s="5"/>
      <c r="Q210" s="5"/>
      <c r="R210" s="5"/>
      <c r="S210" s="5"/>
      <c r="T210" s="5"/>
    </row>
    <row r="211" spans="1:20">
      <c r="A211" s="45"/>
      <c r="B211" s="46"/>
      <c r="C211" s="5"/>
      <c r="D211" s="5"/>
      <c r="E211" s="5"/>
      <c r="F211" s="5"/>
      <c r="G211" s="5"/>
      <c r="H211" s="5"/>
      <c r="I211" s="5"/>
      <c r="J211" s="5"/>
      <c r="K211" s="5"/>
      <c r="L211" s="5"/>
      <c r="M211" s="5"/>
      <c r="N211" s="5"/>
      <c r="O211" s="5"/>
      <c r="P211" s="5"/>
      <c r="Q211" s="5"/>
      <c r="R211" s="5"/>
      <c r="S211" s="5"/>
      <c r="T211" s="5"/>
    </row>
    <row r="212" spans="1:20">
      <c r="A212" s="45"/>
      <c r="B212" s="46"/>
      <c r="C212" s="5"/>
      <c r="D212" s="5"/>
      <c r="E212" s="5"/>
      <c r="F212" s="5"/>
      <c r="G212" s="5"/>
      <c r="H212" s="5"/>
      <c r="I212" s="5"/>
      <c r="J212" s="5"/>
      <c r="K212" s="5"/>
      <c r="L212" s="5"/>
      <c r="M212" s="5"/>
      <c r="N212" s="5"/>
      <c r="O212" s="5"/>
      <c r="P212" s="5"/>
      <c r="Q212" s="5"/>
      <c r="R212" s="5"/>
      <c r="S212" s="5"/>
      <c r="T212" s="5"/>
    </row>
    <row r="213" spans="1:20">
      <c r="A213" s="45"/>
      <c r="B213" s="46"/>
      <c r="C213" s="5"/>
      <c r="D213" s="5"/>
      <c r="E213" s="5"/>
      <c r="F213" s="5"/>
      <c r="G213" s="5"/>
      <c r="H213" s="5"/>
      <c r="I213" s="5"/>
      <c r="J213" s="5"/>
      <c r="K213" s="5"/>
      <c r="L213" s="5"/>
      <c r="M213" s="5"/>
      <c r="N213" s="5"/>
      <c r="O213" s="5"/>
      <c r="P213" s="5"/>
      <c r="Q213" s="5"/>
      <c r="R213" s="5"/>
      <c r="S213" s="5"/>
      <c r="T213" s="5"/>
    </row>
    <row r="214" spans="1:20">
      <c r="A214" s="45"/>
      <c r="B214" s="46"/>
      <c r="C214" s="5"/>
      <c r="D214" s="5"/>
      <c r="E214" s="5"/>
      <c r="F214" s="5"/>
      <c r="G214" s="5"/>
      <c r="H214" s="5"/>
      <c r="I214" s="5"/>
      <c r="J214" s="5"/>
      <c r="K214" s="5"/>
      <c r="L214" s="5"/>
      <c r="M214" s="5"/>
      <c r="N214" s="5"/>
      <c r="O214" s="5"/>
      <c r="P214" s="5"/>
      <c r="Q214" s="5"/>
      <c r="R214" s="5"/>
      <c r="S214" s="5"/>
      <c r="T214" s="5"/>
    </row>
    <row r="215" spans="1:20">
      <c r="A215" s="45"/>
      <c r="B215" s="46"/>
      <c r="C215" s="5"/>
      <c r="D215" s="5"/>
      <c r="E215" s="5"/>
      <c r="F215" s="5"/>
      <c r="G215" s="5"/>
      <c r="H215" s="5"/>
      <c r="I215" s="5"/>
      <c r="J215" s="5"/>
      <c r="K215" s="5"/>
      <c r="L215" s="5"/>
      <c r="M215" s="5"/>
      <c r="N215" s="5"/>
      <c r="O215" s="5"/>
      <c r="P215" s="5"/>
      <c r="Q215" s="5"/>
      <c r="R215" s="5"/>
      <c r="S215" s="5"/>
      <c r="T215" s="5"/>
    </row>
    <row r="216" spans="1:20">
      <c r="A216" s="45"/>
      <c r="B216" s="46"/>
      <c r="C216" s="5"/>
      <c r="D216" s="5"/>
      <c r="E216" s="5"/>
      <c r="F216" s="5"/>
      <c r="G216" s="5"/>
      <c r="H216" s="5"/>
      <c r="I216" s="5"/>
      <c r="J216" s="5"/>
      <c r="K216" s="5"/>
      <c r="L216" s="5"/>
      <c r="M216" s="5"/>
      <c r="N216" s="5"/>
      <c r="O216" s="5"/>
      <c r="P216" s="5"/>
      <c r="Q216" s="5"/>
      <c r="R216" s="5"/>
      <c r="S216" s="5"/>
      <c r="T216" s="5"/>
    </row>
    <row r="217" spans="1:20">
      <c r="A217" s="45"/>
      <c r="B217" s="46"/>
      <c r="C217" s="5"/>
      <c r="D217" s="5"/>
      <c r="E217" s="5"/>
      <c r="F217" s="5"/>
      <c r="G217" s="5"/>
      <c r="H217" s="5"/>
      <c r="I217" s="5"/>
      <c r="J217" s="5"/>
      <c r="K217" s="5"/>
      <c r="L217" s="5"/>
      <c r="M217" s="5"/>
      <c r="N217" s="5"/>
      <c r="O217" s="5"/>
      <c r="P217" s="5"/>
      <c r="Q217" s="5"/>
      <c r="R217" s="5"/>
      <c r="S217" s="5"/>
      <c r="T217" s="5"/>
    </row>
    <row r="218" spans="1:20">
      <c r="A218" s="45"/>
      <c r="B218" s="46"/>
      <c r="C218" s="5"/>
      <c r="D218" s="5"/>
      <c r="E218" s="5"/>
      <c r="F218" s="5"/>
      <c r="G218" s="5"/>
      <c r="H218" s="5"/>
      <c r="I218" s="5"/>
      <c r="J218" s="5"/>
      <c r="K218" s="5"/>
      <c r="L218" s="5"/>
      <c r="M218" s="5"/>
      <c r="N218" s="5"/>
      <c r="O218" s="5"/>
      <c r="P218" s="5"/>
      <c r="Q218" s="5"/>
      <c r="R218" s="5"/>
      <c r="S218" s="5"/>
      <c r="T218" s="5"/>
    </row>
    <row r="219" spans="1:20">
      <c r="A219" s="45"/>
      <c r="B219" s="46"/>
      <c r="C219" s="5"/>
      <c r="D219" s="5"/>
      <c r="E219" s="5"/>
      <c r="F219" s="5"/>
      <c r="G219" s="5"/>
      <c r="H219" s="5"/>
      <c r="I219" s="5"/>
      <c r="J219" s="5"/>
      <c r="K219" s="5"/>
      <c r="L219" s="5"/>
      <c r="M219" s="5"/>
      <c r="N219" s="5"/>
      <c r="O219" s="5"/>
      <c r="P219" s="5"/>
      <c r="Q219" s="5"/>
      <c r="R219" s="5"/>
      <c r="S219" s="5"/>
      <c r="T219" s="5"/>
    </row>
    <row r="220" spans="1:20">
      <c r="A220" s="45"/>
      <c r="B220" s="46"/>
      <c r="C220" s="5"/>
      <c r="D220" s="5"/>
      <c r="E220" s="5"/>
      <c r="F220" s="5"/>
      <c r="G220" s="5"/>
      <c r="H220" s="5"/>
      <c r="I220" s="5"/>
      <c r="J220" s="5"/>
      <c r="K220" s="5"/>
      <c r="L220" s="5"/>
      <c r="M220" s="5"/>
      <c r="N220" s="5"/>
      <c r="O220" s="5"/>
      <c r="P220" s="5"/>
      <c r="Q220" s="5"/>
      <c r="R220" s="5"/>
      <c r="S220" s="5"/>
      <c r="T220" s="5"/>
    </row>
    <row r="221" spans="1:20">
      <c r="A221" s="45"/>
      <c r="B221" s="46"/>
      <c r="C221" s="5"/>
      <c r="D221" s="5"/>
      <c r="E221" s="5"/>
      <c r="F221" s="5"/>
      <c r="G221" s="5"/>
      <c r="H221" s="5"/>
      <c r="I221" s="5"/>
      <c r="J221" s="5"/>
      <c r="K221" s="5"/>
      <c r="L221" s="5"/>
      <c r="M221" s="5"/>
      <c r="N221" s="5"/>
      <c r="O221" s="5"/>
      <c r="P221" s="5"/>
      <c r="Q221" s="5"/>
      <c r="R221" s="5"/>
      <c r="S221" s="5"/>
      <c r="T221" s="5"/>
    </row>
    <row r="222" spans="1:20">
      <c r="A222" s="45"/>
      <c r="B222" s="46"/>
      <c r="C222" s="5"/>
      <c r="D222" s="5"/>
      <c r="E222" s="5"/>
      <c r="F222" s="5"/>
      <c r="G222" s="5"/>
      <c r="H222" s="5"/>
      <c r="I222" s="5"/>
      <c r="J222" s="5"/>
      <c r="K222" s="5"/>
      <c r="L222" s="5"/>
      <c r="M222" s="5"/>
      <c r="N222" s="5"/>
      <c r="O222" s="5"/>
      <c r="P222" s="5"/>
      <c r="Q222" s="5"/>
      <c r="R222" s="5"/>
      <c r="S222" s="5"/>
      <c r="T222" s="5"/>
    </row>
    <row r="223" spans="1:20">
      <c r="A223" s="45"/>
      <c r="B223" s="46"/>
      <c r="C223" s="5"/>
      <c r="D223" s="5"/>
      <c r="E223" s="5"/>
      <c r="F223" s="5"/>
      <c r="G223" s="5"/>
      <c r="H223" s="5"/>
      <c r="I223" s="5"/>
      <c r="J223" s="5"/>
      <c r="K223" s="5"/>
      <c r="L223" s="5"/>
      <c r="M223" s="5"/>
      <c r="N223" s="5"/>
      <c r="O223" s="5"/>
      <c r="P223" s="5"/>
      <c r="Q223" s="5"/>
      <c r="R223" s="5"/>
      <c r="S223" s="5"/>
      <c r="T223" s="5"/>
    </row>
    <row r="224" spans="1:20">
      <c r="A224" s="45"/>
      <c r="B224" s="46"/>
      <c r="C224" s="5"/>
      <c r="D224" s="5"/>
      <c r="E224" s="5"/>
      <c r="F224" s="5"/>
      <c r="G224" s="5"/>
      <c r="H224" s="5"/>
      <c r="I224" s="5"/>
      <c r="J224" s="5"/>
      <c r="K224" s="5"/>
      <c r="L224" s="5"/>
      <c r="M224" s="5"/>
      <c r="N224" s="5"/>
      <c r="O224" s="5"/>
      <c r="P224" s="5"/>
      <c r="Q224" s="5"/>
      <c r="R224" s="5"/>
      <c r="S224" s="5"/>
      <c r="T224" s="5"/>
    </row>
    <row r="225" spans="1:20">
      <c r="A225" s="45"/>
      <c r="B225" s="46"/>
      <c r="C225" s="5"/>
      <c r="D225" s="5"/>
      <c r="E225" s="5"/>
      <c r="F225" s="5"/>
      <c r="G225" s="5"/>
      <c r="H225" s="5"/>
      <c r="I225" s="5"/>
      <c r="J225" s="5"/>
      <c r="K225" s="5"/>
      <c r="L225" s="5"/>
      <c r="M225" s="5"/>
      <c r="N225" s="5"/>
      <c r="O225" s="5"/>
      <c r="P225" s="5"/>
      <c r="Q225" s="5"/>
      <c r="R225" s="5"/>
      <c r="S225" s="5"/>
      <c r="T225" s="5"/>
    </row>
    <row r="226" spans="1:20">
      <c r="A226" s="45"/>
      <c r="B226" s="46"/>
      <c r="C226" s="5"/>
      <c r="D226" s="5"/>
      <c r="E226" s="5"/>
      <c r="F226" s="5"/>
      <c r="G226" s="5"/>
      <c r="H226" s="5"/>
      <c r="I226" s="5"/>
      <c r="J226" s="5"/>
      <c r="K226" s="5"/>
      <c r="L226" s="5"/>
      <c r="M226" s="5"/>
      <c r="N226" s="5"/>
      <c r="O226" s="5"/>
      <c r="P226" s="5"/>
      <c r="Q226" s="5"/>
      <c r="R226" s="5"/>
      <c r="S226" s="5"/>
      <c r="T226" s="5"/>
    </row>
    <row r="227" spans="1:20">
      <c r="A227" s="45"/>
      <c r="B227" s="46"/>
      <c r="C227" s="5"/>
      <c r="D227" s="5"/>
      <c r="E227" s="5"/>
      <c r="F227" s="5"/>
      <c r="G227" s="5"/>
      <c r="H227" s="5"/>
      <c r="I227" s="5"/>
      <c r="J227" s="5"/>
      <c r="K227" s="5"/>
      <c r="L227" s="5"/>
      <c r="M227" s="5"/>
      <c r="N227" s="5"/>
      <c r="O227" s="5"/>
      <c r="P227" s="5"/>
      <c r="Q227" s="5"/>
      <c r="R227" s="5"/>
      <c r="S227" s="5"/>
      <c r="T227" s="5"/>
    </row>
    <row r="228" spans="1:20">
      <c r="A228" s="45"/>
      <c r="B228" s="46"/>
      <c r="C228" s="5"/>
      <c r="D228" s="5"/>
      <c r="E228" s="5"/>
      <c r="F228" s="5"/>
      <c r="G228" s="5"/>
      <c r="H228" s="5"/>
      <c r="I228" s="5"/>
      <c r="J228" s="5"/>
      <c r="K228" s="5"/>
      <c r="L228" s="5"/>
      <c r="M228" s="5"/>
      <c r="N228" s="5"/>
      <c r="O228" s="5"/>
      <c r="P228" s="5"/>
      <c r="Q228" s="5"/>
      <c r="R228" s="5"/>
      <c r="S228" s="5"/>
      <c r="T228" s="5"/>
    </row>
    <row r="229" spans="1:20">
      <c r="A229" s="45"/>
      <c r="B229" s="46"/>
      <c r="C229" s="5"/>
      <c r="D229" s="5"/>
      <c r="E229" s="5"/>
      <c r="F229" s="5"/>
      <c r="G229" s="5"/>
      <c r="H229" s="5"/>
      <c r="I229" s="5"/>
      <c r="J229" s="5"/>
      <c r="K229" s="5"/>
      <c r="L229" s="5"/>
      <c r="M229" s="5"/>
      <c r="N229" s="5"/>
      <c r="O229" s="5"/>
      <c r="P229" s="5"/>
      <c r="Q229" s="5"/>
      <c r="R229" s="5"/>
      <c r="S229" s="5"/>
      <c r="T229" s="5"/>
    </row>
    <row r="230" spans="1:20">
      <c r="A230" s="45"/>
      <c r="B230" s="46"/>
      <c r="C230" s="5"/>
      <c r="D230" s="5"/>
      <c r="E230" s="5"/>
      <c r="F230" s="5"/>
      <c r="G230" s="5"/>
      <c r="H230" s="5"/>
      <c r="I230" s="5"/>
      <c r="J230" s="5"/>
      <c r="K230" s="5"/>
      <c r="L230" s="5"/>
      <c r="M230" s="5"/>
      <c r="N230" s="5"/>
      <c r="O230" s="5"/>
      <c r="P230" s="5"/>
      <c r="Q230" s="5"/>
      <c r="R230" s="5"/>
      <c r="S230" s="5"/>
      <c r="T230" s="5"/>
    </row>
    <row r="231" spans="1:20">
      <c r="A231" s="45"/>
      <c r="B231" s="46"/>
      <c r="C231" s="5"/>
      <c r="D231" s="5"/>
      <c r="E231" s="5"/>
      <c r="F231" s="5"/>
      <c r="G231" s="5"/>
      <c r="H231" s="5"/>
      <c r="I231" s="5"/>
      <c r="J231" s="5"/>
      <c r="K231" s="5"/>
      <c r="L231" s="5"/>
      <c r="M231" s="5"/>
      <c r="N231" s="5"/>
      <c r="O231" s="5"/>
      <c r="P231" s="5"/>
      <c r="Q231" s="5"/>
      <c r="R231" s="5"/>
      <c r="S231" s="5"/>
      <c r="T231" s="5"/>
    </row>
    <row r="232" spans="1:20">
      <c r="A232" s="45"/>
      <c r="B232" s="46"/>
      <c r="C232" s="5"/>
      <c r="D232" s="5"/>
      <c r="E232" s="5"/>
      <c r="F232" s="5"/>
      <c r="G232" s="5"/>
      <c r="H232" s="5"/>
      <c r="I232" s="5"/>
      <c r="J232" s="5"/>
      <c r="K232" s="5"/>
      <c r="L232" s="5"/>
      <c r="M232" s="5"/>
      <c r="N232" s="5"/>
      <c r="O232" s="5"/>
      <c r="P232" s="5"/>
      <c r="Q232" s="5"/>
      <c r="R232" s="5"/>
      <c r="S232" s="5"/>
      <c r="T232" s="5"/>
    </row>
    <row r="233" spans="1:20">
      <c r="A233" s="45"/>
      <c r="B233" s="46"/>
      <c r="C233" s="5"/>
      <c r="D233" s="5"/>
      <c r="E233" s="5"/>
      <c r="F233" s="5"/>
      <c r="G233" s="5"/>
      <c r="H233" s="5"/>
      <c r="I233" s="5"/>
      <c r="J233" s="5"/>
      <c r="K233" s="5"/>
      <c r="L233" s="5"/>
      <c r="M233" s="5"/>
      <c r="N233" s="5"/>
      <c r="O233" s="5"/>
      <c r="P233" s="5"/>
      <c r="Q233" s="5"/>
      <c r="R233" s="5"/>
      <c r="S233" s="5"/>
      <c r="T233" s="5"/>
    </row>
    <row r="234" spans="1:20">
      <c r="A234" s="45"/>
      <c r="B234" s="46"/>
      <c r="C234" s="5"/>
      <c r="D234" s="5"/>
      <c r="E234" s="5"/>
      <c r="F234" s="5"/>
      <c r="G234" s="5"/>
      <c r="H234" s="5"/>
      <c r="I234" s="5"/>
      <c r="J234" s="5"/>
      <c r="K234" s="5"/>
      <c r="L234" s="5"/>
      <c r="M234" s="5"/>
      <c r="N234" s="5"/>
      <c r="O234" s="5"/>
      <c r="P234" s="5"/>
      <c r="Q234" s="5"/>
      <c r="R234" s="5"/>
      <c r="S234" s="5"/>
      <c r="T234" s="5"/>
    </row>
    <row r="235" spans="1:20">
      <c r="A235" s="45"/>
      <c r="B235" s="46"/>
      <c r="C235" s="5"/>
      <c r="D235" s="5"/>
      <c r="E235" s="5"/>
      <c r="F235" s="5"/>
      <c r="G235" s="5"/>
      <c r="H235" s="5"/>
      <c r="I235" s="5"/>
      <c r="J235" s="5"/>
      <c r="K235" s="5"/>
      <c r="L235" s="5"/>
      <c r="M235" s="5"/>
      <c r="N235" s="5"/>
      <c r="O235" s="5"/>
      <c r="P235" s="5"/>
      <c r="Q235" s="5"/>
      <c r="R235" s="5"/>
      <c r="S235" s="5"/>
      <c r="T235" s="5"/>
    </row>
    <row r="236" spans="1:20">
      <c r="A236" s="45"/>
      <c r="B236" s="46"/>
      <c r="C236" s="5"/>
      <c r="D236" s="5"/>
      <c r="E236" s="5"/>
      <c r="F236" s="5"/>
      <c r="G236" s="5"/>
      <c r="H236" s="5"/>
      <c r="I236" s="5"/>
      <c r="J236" s="5"/>
      <c r="K236" s="5"/>
      <c r="L236" s="5"/>
      <c r="M236" s="5"/>
      <c r="N236" s="5"/>
      <c r="O236" s="5"/>
      <c r="P236" s="5"/>
      <c r="Q236" s="5"/>
      <c r="R236" s="5"/>
      <c r="S236" s="5"/>
      <c r="T236" s="5"/>
    </row>
    <row r="237" spans="1:20">
      <c r="A237" s="45"/>
      <c r="B237" s="46"/>
      <c r="C237" s="5"/>
      <c r="D237" s="5"/>
      <c r="E237" s="5"/>
      <c r="F237" s="5"/>
      <c r="G237" s="5"/>
      <c r="H237" s="5"/>
      <c r="I237" s="5"/>
      <c r="J237" s="5"/>
      <c r="K237" s="5"/>
      <c r="L237" s="5"/>
      <c r="M237" s="5"/>
      <c r="N237" s="5"/>
      <c r="O237" s="5"/>
      <c r="P237" s="5"/>
      <c r="Q237" s="5"/>
      <c r="R237" s="5"/>
      <c r="S237" s="5"/>
      <c r="T237" s="5"/>
    </row>
    <row r="238" spans="1:20">
      <c r="A238" s="45"/>
      <c r="B238" s="46"/>
      <c r="C238" s="5"/>
      <c r="D238" s="5"/>
      <c r="E238" s="5"/>
      <c r="F238" s="5"/>
      <c r="G238" s="5"/>
      <c r="H238" s="5"/>
      <c r="I238" s="5"/>
      <c r="J238" s="5"/>
      <c r="K238" s="5"/>
      <c r="L238" s="5"/>
      <c r="M238" s="5"/>
      <c r="N238" s="5"/>
      <c r="O238" s="5"/>
      <c r="P238" s="5"/>
      <c r="Q238" s="5"/>
      <c r="R238" s="5"/>
      <c r="S238" s="5"/>
      <c r="T238" s="5"/>
    </row>
    <row r="239" spans="1:20">
      <c r="A239" s="45"/>
      <c r="B239" s="46"/>
      <c r="C239" s="5"/>
      <c r="D239" s="5"/>
      <c r="E239" s="5"/>
      <c r="F239" s="5"/>
      <c r="G239" s="5"/>
      <c r="H239" s="5"/>
      <c r="I239" s="5"/>
      <c r="J239" s="5"/>
      <c r="K239" s="5"/>
      <c r="L239" s="5"/>
      <c r="M239" s="5"/>
      <c r="N239" s="5"/>
      <c r="O239" s="5"/>
      <c r="P239" s="5"/>
      <c r="Q239" s="5"/>
      <c r="R239" s="5"/>
      <c r="S239" s="5"/>
      <c r="T239" s="5"/>
    </row>
    <row r="240" spans="1:20">
      <c r="A240" s="45"/>
      <c r="B240" s="46"/>
      <c r="C240" s="5"/>
      <c r="D240" s="5"/>
      <c r="E240" s="5"/>
      <c r="F240" s="5"/>
      <c r="G240" s="5"/>
      <c r="H240" s="5"/>
      <c r="I240" s="5"/>
      <c r="J240" s="5"/>
      <c r="K240" s="5"/>
      <c r="L240" s="5"/>
      <c r="M240" s="5"/>
      <c r="N240" s="5"/>
      <c r="O240" s="5"/>
      <c r="P240" s="5"/>
      <c r="Q240" s="5"/>
      <c r="R240" s="5"/>
      <c r="S240" s="5"/>
      <c r="T240" s="5"/>
    </row>
    <row r="241" spans="1:20">
      <c r="A241" s="45"/>
      <c r="B241" s="46"/>
      <c r="C241" s="5"/>
      <c r="D241" s="5"/>
      <c r="E241" s="5"/>
      <c r="F241" s="5"/>
      <c r="G241" s="5"/>
      <c r="H241" s="5"/>
      <c r="I241" s="5"/>
      <c r="J241" s="5"/>
      <c r="K241" s="5"/>
      <c r="L241" s="5"/>
      <c r="M241" s="5"/>
      <c r="N241" s="5"/>
      <c r="O241" s="5"/>
      <c r="P241" s="5"/>
      <c r="Q241" s="5"/>
      <c r="R241" s="5"/>
      <c r="S241" s="5"/>
      <c r="T241" s="5"/>
    </row>
    <row r="242" spans="1:20">
      <c r="A242" s="45"/>
      <c r="B242" s="46"/>
      <c r="C242" s="5"/>
      <c r="D242" s="5"/>
      <c r="E242" s="5"/>
      <c r="F242" s="5"/>
      <c r="G242" s="5"/>
      <c r="H242" s="5"/>
      <c r="I242" s="5"/>
      <c r="J242" s="5"/>
      <c r="K242" s="5"/>
      <c r="L242" s="5"/>
      <c r="M242" s="5"/>
      <c r="N242" s="5"/>
      <c r="O242" s="5"/>
      <c r="P242" s="5"/>
      <c r="Q242" s="5"/>
      <c r="R242" s="5"/>
      <c r="S242" s="5"/>
      <c r="T242" s="5"/>
    </row>
    <row r="243" spans="1:20">
      <c r="A243" s="45"/>
      <c r="B243" s="46"/>
      <c r="C243" s="5"/>
      <c r="D243" s="5"/>
      <c r="E243" s="5"/>
      <c r="F243" s="5"/>
      <c r="G243" s="5"/>
      <c r="H243" s="5"/>
      <c r="I243" s="5"/>
      <c r="J243" s="5"/>
      <c r="K243" s="5"/>
      <c r="L243" s="5"/>
      <c r="M243" s="5"/>
      <c r="N243" s="5"/>
      <c r="O243" s="5"/>
      <c r="P243" s="5"/>
      <c r="Q243" s="5"/>
      <c r="R243" s="5"/>
      <c r="S243" s="5"/>
      <c r="T243" s="5"/>
    </row>
    <row r="244" spans="1:20">
      <c r="A244" s="45"/>
      <c r="B244" s="46"/>
      <c r="C244" s="5"/>
      <c r="D244" s="5"/>
      <c r="E244" s="5"/>
      <c r="F244" s="5"/>
      <c r="G244" s="5"/>
      <c r="H244" s="5"/>
      <c r="I244" s="5"/>
      <c r="J244" s="5"/>
      <c r="K244" s="5"/>
      <c r="L244" s="5"/>
      <c r="M244" s="5"/>
      <c r="N244" s="5"/>
      <c r="O244" s="5"/>
      <c r="P244" s="5"/>
      <c r="Q244" s="5"/>
      <c r="R244" s="5"/>
      <c r="S244" s="5"/>
      <c r="T244" s="5"/>
    </row>
    <row r="245" spans="1:20">
      <c r="A245" s="45"/>
      <c r="B245" s="46"/>
      <c r="C245" s="5"/>
      <c r="D245" s="5"/>
      <c r="E245" s="5"/>
      <c r="F245" s="5"/>
      <c r="G245" s="5"/>
      <c r="H245" s="5"/>
      <c r="I245" s="5"/>
      <c r="J245" s="5"/>
      <c r="K245" s="5"/>
      <c r="L245" s="5"/>
      <c r="M245" s="5"/>
      <c r="N245" s="5"/>
      <c r="O245" s="5"/>
      <c r="P245" s="5"/>
      <c r="Q245" s="5"/>
      <c r="R245" s="5"/>
      <c r="S245" s="5"/>
      <c r="T245" s="5"/>
    </row>
    <row r="246" spans="1:20">
      <c r="A246" s="45"/>
      <c r="B246" s="46"/>
      <c r="C246" s="5"/>
      <c r="D246" s="5"/>
      <c r="E246" s="5"/>
      <c r="F246" s="5"/>
      <c r="G246" s="5"/>
      <c r="H246" s="5"/>
      <c r="I246" s="5"/>
      <c r="J246" s="5"/>
      <c r="K246" s="5"/>
      <c r="L246" s="5"/>
      <c r="M246" s="5"/>
      <c r="N246" s="5"/>
      <c r="O246" s="5"/>
      <c r="P246" s="5"/>
      <c r="Q246" s="5"/>
      <c r="R246" s="5"/>
      <c r="S246" s="5"/>
      <c r="T246" s="5"/>
    </row>
    <row r="247" spans="1:20">
      <c r="A247" s="45"/>
      <c r="B247" s="46"/>
      <c r="C247" s="5"/>
      <c r="D247" s="5"/>
      <c r="E247" s="5"/>
      <c r="F247" s="5"/>
      <c r="G247" s="5"/>
      <c r="H247" s="5"/>
      <c r="I247" s="5"/>
      <c r="J247" s="5"/>
      <c r="K247" s="5"/>
      <c r="L247" s="5"/>
      <c r="M247" s="5"/>
      <c r="N247" s="5"/>
      <c r="O247" s="5"/>
      <c r="P247" s="5"/>
      <c r="Q247" s="5"/>
      <c r="R247" s="5"/>
      <c r="S247" s="5"/>
      <c r="T247" s="5"/>
    </row>
    <row r="248" spans="1:20">
      <c r="A248" s="45"/>
      <c r="B248" s="46"/>
      <c r="C248" s="5"/>
      <c r="D248" s="5"/>
      <c r="E248" s="5"/>
      <c r="F248" s="5"/>
      <c r="G248" s="5"/>
      <c r="H248" s="5"/>
      <c r="I248" s="5"/>
      <c r="J248" s="5"/>
      <c r="K248" s="5"/>
      <c r="L248" s="5"/>
      <c r="M248" s="5"/>
      <c r="N248" s="5"/>
      <c r="O248" s="5"/>
      <c r="P248" s="5"/>
      <c r="Q248" s="5"/>
      <c r="R248" s="5"/>
      <c r="S248" s="5"/>
      <c r="T248" s="5"/>
    </row>
    <row r="249" spans="1:20">
      <c r="A249" s="45"/>
      <c r="B249" s="46"/>
      <c r="C249" s="5"/>
      <c r="D249" s="5"/>
      <c r="E249" s="5"/>
      <c r="F249" s="5"/>
      <c r="G249" s="5"/>
      <c r="H249" s="5"/>
      <c r="I249" s="5"/>
      <c r="J249" s="5"/>
      <c r="K249" s="5"/>
      <c r="L249" s="5"/>
      <c r="M249" s="5"/>
      <c r="N249" s="5"/>
      <c r="O249" s="5"/>
      <c r="P249" s="5"/>
      <c r="Q249" s="5"/>
      <c r="R249" s="5"/>
      <c r="S249" s="5"/>
      <c r="T249" s="5"/>
    </row>
    <row r="250" spans="1:20">
      <c r="A250" s="45"/>
      <c r="B250" s="46"/>
      <c r="C250" s="5"/>
      <c r="D250" s="5"/>
      <c r="E250" s="5"/>
      <c r="F250" s="5"/>
      <c r="G250" s="5"/>
      <c r="H250" s="5"/>
      <c r="I250" s="5"/>
      <c r="J250" s="5"/>
      <c r="K250" s="5"/>
      <c r="L250" s="5"/>
      <c r="M250" s="5"/>
      <c r="N250" s="5"/>
      <c r="O250" s="5"/>
      <c r="P250" s="5"/>
      <c r="Q250" s="5"/>
      <c r="R250" s="5"/>
      <c r="S250" s="5"/>
      <c r="T250" s="5"/>
    </row>
    <row r="251" spans="1:20">
      <c r="A251" s="45"/>
      <c r="B251" s="46"/>
      <c r="C251" s="5"/>
      <c r="D251" s="5"/>
      <c r="E251" s="5"/>
      <c r="F251" s="5"/>
      <c r="G251" s="5"/>
      <c r="H251" s="5"/>
      <c r="I251" s="5"/>
      <c r="J251" s="5"/>
      <c r="K251" s="5"/>
      <c r="L251" s="5"/>
      <c r="M251" s="5"/>
      <c r="N251" s="5"/>
      <c r="O251" s="5"/>
      <c r="P251" s="5"/>
      <c r="Q251" s="5"/>
      <c r="R251" s="5"/>
      <c r="S251" s="5"/>
      <c r="T251" s="5"/>
    </row>
    <row r="252" spans="1:20">
      <c r="A252" s="45"/>
      <c r="B252" s="46"/>
      <c r="C252" s="5"/>
      <c r="D252" s="5"/>
      <c r="E252" s="5"/>
      <c r="F252" s="5"/>
      <c r="G252" s="5"/>
      <c r="H252" s="5"/>
      <c r="I252" s="5"/>
      <c r="J252" s="5"/>
      <c r="K252" s="5"/>
      <c r="L252" s="5"/>
      <c r="M252" s="5"/>
      <c r="N252" s="5"/>
      <c r="O252" s="5"/>
      <c r="P252" s="5"/>
      <c r="Q252" s="5"/>
      <c r="R252" s="5"/>
      <c r="S252" s="5"/>
      <c r="T252" s="5"/>
    </row>
    <row r="253" spans="1:20">
      <c r="A253" s="45"/>
      <c r="B253" s="46"/>
      <c r="C253" s="5"/>
      <c r="D253" s="5"/>
      <c r="E253" s="5"/>
      <c r="F253" s="5"/>
      <c r="G253" s="5"/>
      <c r="H253" s="5"/>
      <c r="I253" s="5"/>
      <c r="J253" s="5"/>
      <c r="K253" s="5"/>
      <c r="L253" s="5"/>
      <c r="M253" s="5"/>
      <c r="N253" s="5"/>
      <c r="O253" s="5"/>
      <c r="P253" s="5"/>
      <c r="Q253" s="5"/>
      <c r="R253" s="5"/>
      <c r="S253" s="5"/>
      <c r="T253" s="5"/>
    </row>
    <row r="254" spans="1:20">
      <c r="A254" s="45"/>
      <c r="B254" s="46"/>
      <c r="C254" s="5"/>
      <c r="D254" s="5"/>
      <c r="E254" s="5"/>
      <c r="F254" s="5"/>
      <c r="G254" s="5"/>
      <c r="H254" s="5"/>
      <c r="I254" s="5"/>
      <c r="J254" s="5"/>
      <c r="K254" s="5"/>
      <c r="L254" s="5"/>
      <c r="M254" s="5"/>
      <c r="N254" s="5"/>
      <c r="O254" s="5"/>
      <c r="P254" s="5"/>
      <c r="Q254" s="5"/>
      <c r="R254" s="5"/>
      <c r="S254" s="5"/>
      <c r="T254" s="5"/>
    </row>
    <row r="255" spans="1:20">
      <c r="A255" s="45"/>
      <c r="B255" s="46"/>
      <c r="C255" s="5"/>
      <c r="D255" s="5"/>
      <c r="E255" s="5"/>
      <c r="F255" s="5"/>
      <c r="G255" s="5"/>
      <c r="H255" s="5"/>
      <c r="I255" s="5"/>
      <c r="J255" s="5"/>
      <c r="K255" s="5"/>
      <c r="L255" s="5"/>
      <c r="M255" s="5"/>
      <c r="N255" s="5"/>
      <c r="O255" s="5"/>
      <c r="P255" s="5"/>
      <c r="Q255" s="5"/>
      <c r="R255" s="5"/>
      <c r="S255" s="5"/>
      <c r="T255" s="5"/>
    </row>
    <row r="256" spans="1:20">
      <c r="A256" s="45"/>
      <c r="B256" s="46"/>
      <c r="C256" s="5"/>
      <c r="D256" s="5"/>
      <c r="E256" s="5"/>
      <c r="F256" s="5"/>
      <c r="G256" s="5"/>
      <c r="H256" s="5"/>
      <c r="I256" s="5"/>
      <c r="J256" s="5"/>
      <c r="K256" s="5"/>
      <c r="L256" s="5"/>
      <c r="M256" s="5"/>
      <c r="N256" s="5"/>
      <c r="O256" s="5"/>
      <c r="P256" s="5"/>
      <c r="Q256" s="5"/>
      <c r="R256" s="5"/>
      <c r="S256" s="5"/>
      <c r="T256" s="5"/>
    </row>
    <row r="257" spans="1:20">
      <c r="A257" s="45"/>
      <c r="B257" s="46"/>
      <c r="C257" s="5"/>
      <c r="D257" s="5"/>
      <c r="E257" s="5"/>
      <c r="F257" s="5"/>
      <c r="G257" s="5"/>
      <c r="H257" s="5"/>
      <c r="I257" s="5"/>
      <c r="J257" s="5"/>
      <c r="K257" s="5"/>
      <c r="L257" s="5"/>
      <c r="M257" s="5"/>
      <c r="N257" s="5"/>
      <c r="O257" s="5"/>
      <c r="P257" s="5"/>
      <c r="Q257" s="5"/>
      <c r="R257" s="5"/>
      <c r="S257" s="5"/>
      <c r="T257" s="5"/>
    </row>
    <row r="258" spans="1:20">
      <c r="A258" s="45"/>
      <c r="B258" s="46"/>
      <c r="C258" s="5"/>
      <c r="D258" s="5"/>
      <c r="E258" s="5"/>
      <c r="F258" s="5"/>
      <c r="G258" s="5"/>
      <c r="H258" s="5"/>
      <c r="I258" s="5"/>
      <c r="J258" s="5"/>
      <c r="K258" s="5"/>
      <c r="L258" s="5"/>
      <c r="M258" s="5"/>
      <c r="N258" s="5"/>
      <c r="O258" s="5"/>
      <c r="P258" s="5"/>
      <c r="Q258" s="5"/>
      <c r="R258" s="5"/>
      <c r="S258" s="5"/>
      <c r="T258" s="5"/>
    </row>
    <row r="259" spans="1:20">
      <c r="A259" s="45"/>
      <c r="B259" s="46"/>
      <c r="C259" s="5"/>
      <c r="D259" s="5"/>
      <c r="E259" s="5"/>
      <c r="F259" s="5"/>
      <c r="G259" s="5"/>
      <c r="H259" s="5"/>
      <c r="I259" s="5"/>
      <c r="J259" s="5"/>
      <c r="K259" s="5"/>
      <c r="L259" s="5"/>
      <c r="M259" s="5"/>
      <c r="N259" s="5"/>
      <c r="O259" s="5"/>
      <c r="P259" s="5"/>
      <c r="Q259" s="5"/>
      <c r="R259" s="5"/>
      <c r="S259" s="5"/>
      <c r="T259" s="5"/>
    </row>
    <row r="260" spans="1:20">
      <c r="A260" s="45"/>
      <c r="B260" s="46"/>
      <c r="C260" s="5"/>
      <c r="D260" s="5"/>
      <c r="E260" s="5"/>
      <c r="F260" s="5"/>
      <c r="G260" s="5"/>
      <c r="H260" s="5"/>
      <c r="I260" s="5"/>
      <c r="J260" s="5"/>
      <c r="K260" s="5"/>
      <c r="L260" s="5"/>
      <c r="M260" s="5"/>
      <c r="N260" s="5"/>
      <c r="O260" s="5"/>
      <c r="P260" s="5"/>
      <c r="Q260" s="5"/>
      <c r="R260" s="5"/>
      <c r="S260" s="5"/>
      <c r="T260" s="5"/>
    </row>
    <row r="261" spans="1:20">
      <c r="A261" s="45"/>
      <c r="B261" s="46"/>
      <c r="C261" s="5"/>
      <c r="D261" s="5"/>
      <c r="E261" s="5"/>
      <c r="F261" s="5"/>
      <c r="G261" s="5"/>
      <c r="H261" s="5"/>
      <c r="I261" s="5"/>
      <c r="J261" s="5"/>
      <c r="K261" s="5"/>
      <c r="L261" s="5"/>
      <c r="M261" s="5"/>
      <c r="N261" s="5"/>
      <c r="O261" s="5"/>
      <c r="P261" s="5"/>
      <c r="Q261" s="5"/>
      <c r="R261" s="5"/>
      <c r="S261" s="5"/>
      <c r="T261" s="5"/>
    </row>
    <row r="262" spans="1:20">
      <c r="A262" s="45"/>
      <c r="B262" s="46"/>
      <c r="C262" s="5"/>
      <c r="D262" s="5"/>
      <c r="E262" s="5"/>
      <c r="F262" s="5"/>
      <c r="G262" s="5"/>
      <c r="H262" s="5"/>
      <c r="I262" s="5"/>
      <c r="J262" s="5"/>
      <c r="K262" s="5"/>
      <c r="L262" s="5"/>
      <c r="M262" s="5"/>
      <c r="N262" s="5"/>
      <c r="O262" s="5"/>
      <c r="P262" s="5"/>
      <c r="Q262" s="5"/>
      <c r="R262" s="5"/>
      <c r="S262" s="5"/>
      <c r="T262" s="5"/>
    </row>
    <row r="263" spans="1:20">
      <c r="A263" s="45"/>
      <c r="B263" s="46"/>
      <c r="C263" s="5"/>
      <c r="D263" s="5"/>
      <c r="E263" s="5"/>
      <c r="F263" s="5"/>
      <c r="G263" s="5"/>
      <c r="H263" s="5"/>
      <c r="I263" s="5"/>
      <c r="J263" s="5"/>
      <c r="K263" s="5"/>
      <c r="L263" s="5"/>
      <c r="M263" s="5"/>
      <c r="N263" s="5"/>
      <c r="O263" s="5"/>
      <c r="P263" s="5"/>
      <c r="Q263" s="5"/>
      <c r="R263" s="5"/>
      <c r="S263" s="5"/>
      <c r="T263" s="5"/>
    </row>
    <row r="264" spans="1:20">
      <c r="A264" s="45"/>
      <c r="B264" s="46"/>
      <c r="C264" s="5"/>
      <c r="D264" s="5"/>
      <c r="E264" s="5"/>
      <c r="F264" s="5"/>
      <c r="G264" s="5"/>
      <c r="H264" s="5"/>
      <c r="I264" s="5"/>
      <c r="J264" s="5"/>
      <c r="K264" s="5"/>
      <c r="L264" s="5"/>
      <c r="M264" s="5"/>
      <c r="N264" s="5"/>
      <c r="O264" s="5"/>
      <c r="P264" s="5"/>
      <c r="Q264" s="5"/>
      <c r="R264" s="5"/>
      <c r="S264" s="5"/>
      <c r="T264" s="5"/>
    </row>
    <row r="265" spans="1:20">
      <c r="A265" s="45"/>
      <c r="B265" s="46"/>
      <c r="C265" s="5"/>
      <c r="D265" s="5"/>
      <c r="E265" s="5"/>
      <c r="F265" s="5"/>
      <c r="G265" s="5"/>
      <c r="H265" s="5"/>
      <c r="I265" s="5"/>
      <c r="J265" s="5"/>
      <c r="K265" s="5"/>
      <c r="L265" s="5"/>
      <c r="M265" s="5"/>
      <c r="N265" s="5"/>
      <c r="O265" s="5"/>
      <c r="P265" s="5"/>
      <c r="Q265" s="5"/>
      <c r="R265" s="5"/>
      <c r="S265" s="5"/>
      <c r="T265" s="5"/>
    </row>
    <row r="266" spans="1:20">
      <c r="A266" s="45"/>
      <c r="B266" s="46"/>
      <c r="C266" s="5"/>
      <c r="D266" s="5"/>
      <c r="E266" s="5"/>
      <c r="F266" s="5"/>
      <c r="G266" s="5"/>
      <c r="H266" s="5"/>
      <c r="I266" s="5"/>
      <c r="J266" s="5"/>
      <c r="K266" s="5"/>
      <c r="L266" s="5"/>
      <c r="M266" s="5"/>
      <c r="N266" s="5"/>
      <c r="O266" s="5"/>
      <c r="P266" s="5"/>
      <c r="Q266" s="5"/>
      <c r="R266" s="5"/>
      <c r="S266" s="5"/>
      <c r="T266" s="5"/>
    </row>
    <row r="267" spans="1:20">
      <c r="A267" s="45"/>
      <c r="B267" s="46"/>
      <c r="C267" s="5"/>
      <c r="D267" s="5"/>
      <c r="E267" s="5"/>
      <c r="F267" s="5"/>
      <c r="G267" s="5"/>
      <c r="H267" s="5"/>
      <c r="I267" s="5"/>
      <c r="J267" s="5"/>
      <c r="K267" s="5"/>
      <c r="L267" s="5"/>
      <c r="M267" s="5"/>
      <c r="N267" s="5"/>
      <c r="O267" s="5"/>
      <c r="P267" s="5"/>
      <c r="Q267" s="5"/>
      <c r="R267" s="5"/>
      <c r="S267" s="5"/>
      <c r="T267" s="5"/>
    </row>
    <row r="268" spans="1:20">
      <c r="A268" s="45"/>
      <c r="B268" s="46"/>
      <c r="C268" s="5"/>
      <c r="D268" s="5"/>
      <c r="E268" s="5"/>
      <c r="F268" s="5"/>
      <c r="G268" s="5"/>
      <c r="H268" s="5"/>
      <c r="I268" s="5"/>
      <c r="J268" s="5"/>
      <c r="K268" s="5"/>
      <c r="L268" s="5"/>
      <c r="M268" s="5"/>
      <c r="N268" s="5"/>
      <c r="O268" s="5"/>
      <c r="P268" s="5"/>
      <c r="Q268" s="5"/>
      <c r="R268" s="5"/>
      <c r="S268" s="5"/>
      <c r="T268" s="5"/>
    </row>
    <row r="269" spans="1:20">
      <c r="A269" s="45"/>
      <c r="B269" s="46"/>
      <c r="C269" s="5"/>
      <c r="D269" s="5"/>
      <c r="E269" s="5"/>
      <c r="F269" s="5"/>
      <c r="G269" s="5"/>
      <c r="H269" s="5"/>
      <c r="I269" s="5"/>
      <c r="J269" s="5"/>
      <c r="K269" s="5"/>
      <c r="L269" s="5"/>
      <c r="M269" s="5"/>
      <c r="N269" s="5"/>
      <c r="O269" s="5"/>
      <c r="P269" s="5"/>
      <c r="Q269" s="5"/>
      <c r="R269" s="5"/>
      <c r="S269" s="5"/>
      <c r="T269" s="5"/>
    </row>
    <row r="270" spans="1:20">
      <c r="A270" s="45"/>
      <c r="B270" s="46"/>
      <c r="C270" s="5"/>
      <c r="D270" s="5"/>
      <c r="E270" s="5"/>
      <c r="F270" s="5"/>
      <c r="G270" s="5"/>
      <c r="H270" s="5"/>
      <c r="I270" s="5"/>
      <c r="J270" s="5"/>
      <c r="K270" s="5"/>
      <c r="L270" s="5"/>
      <c r="M270" s="5"/>
      <c r="N270" s="5"/>
      <c r="O270" s="5"/>
      <c r="P270" s="5"/>
      <c r="Q270" s="5"/>
      <c r="R270" s="5"/>
      <c r="S270" s="5"/>
      <c r="T270" s="5"/>
    </row>
    <row r="271" spans="1:20">
      <c r="A271" s="45"/>
      <c r="B271" s="46"/>
      <c r="C271" s="5"/>
      <c r="D271" s="5"/>
      <c r="E271" s="5"/>
      <c r="F271" s="5"/>
      <c r="G271" s="5"/>
      <c r="H271" s="5"/>
      <c r="I271" s="5"/>
      <c r="J271" s="5"/>
      <c r="K271" s="5"/>
      <c r="L271" s="5"/>
      <c r="M271" s="5"/>
      <c r="N271" s="5"/>
      <c r="O271" s="5"/>
      <c r="P271" s="5"/>
      <c r="Q271" s="5"/>
      <c r="R271" s="5"/>
      <c r="S271" s="5"/>
      <c r="T271" s="5"/>
    </row>
    <row r="272" spans="1:20">
      <c r="A272" s="45"/>
      <c r="B272" s="46"/>
      <c r="C272" s="5"/>
      <c r="D272" s="5"/>
      <c r="E272" s="5"/>
      <c r="F272" s="5"/>
      <c r="G272" s="5"/>
      <c r="H272" s="5"/>
      <c r="I272" s="5"/>
      <c r="J272" s="5"/>
      <c r="K272" s="5"/>
      <c r="L272" s="5"/>
      <c r="M272" s="5"/>
      <c r="N272" s="5"/>
      <c r="O272" s="5"/>
      <c r="P272" s="5"/>
      <c r="Q272" s="5"/>
      <c r="R272" s="5"/>
      <c r="S272" s="5"/>
      <c r="T272" s="5"/>
    </row>
    <row r="273" spans="1:20">
      <c r="A273" s="45"/>
      <c r="B273" s="46"/>
      <c r="C273" s="5"/>
      <c r="D273" s="5"/>
      <c r="E273" s="5"/>
      <c r="F273" s="5"/>
      <c r="G273" s="5"/>
      <c r="H273" s="5"/>
      <c r="I273" s="5"/>
      <c r="J273" s="5"/>
      <c r="K273" s="5"/>
      <c r="L273" s="5"/>
      <c r="M273" s="5"/>
      <c r="N273" s="5"/>
      <c r="O273" s="5"/>
      <c r="P273" s="5"/>
      <c r="Q273" s="5"/>
      <c r="R273" s="5"/>
      <c r="S273" s="5"/>
      <c r="T273" s="5"/>
    </row>
    <row r="274" spans="1:20">
      <c r="A274" s="45"/>
      <c r="B274" s="46"/>
      <c r="C274" s="5"/>
      <c r="D274" s="5"/>
      <c r="E274" s="5"/>
      <c r="F274" s="5"/>
      <c r="G274" s="5"/>
      <c r="H274" s="5"/>
      <c r="I274" s="5"/>
      <c r="J274" s="5"/>
      <c r="K274" s="5"/>
      <c r="L274" s="5"/>
      <c r="M274" s="5"/>
      <c r="N274" s="5"/>
      <c r="O274" s="5"/>
      <c r="P274" s="5"/>
      <c r="Q274" s="5"/>
      <c r="R274" s="5"/>
      <c r="S274" s="5"/>
      <c r="T274" s="5"/>
    </row>
    <row r="275" spans="1:20">
      <c r="A275" s="45"/>
      <c r="B275" s="46"/>
      <c r="C275" s="5"/>
      <c r="D275" s="5"/>
      <c r="E275" s="5"/>
      <c r="F275" s="5"/>
      <c r="G275" s="5"/>
      <c r="H275" s="5"/>
      <c r="I275" s="5"/>
      <c r="J275" s="5"/>
      <c r="K275" s="5"/>
      <c r="L275" s="5"/>
      <c r="M275" s="5"/>
      <c r="N275" s="5"/>
      <c r="O275" s="5"/>
      <c r="P275" s="5"/>
      <c r="Q275" s="5"/>
      <c r="R275" s="5"/>
      <c r="S275" s="5"/>
      <c r="T275" s="5"/>
    </row>
    <row r="276" spans="1:20">
      <c r="A276" s="45"/>
      <c r="B276" s="46"/>
      <c r="C276" s="5"/>
      <c r="D276" s="5"/>
      <c r="E276" s="5"/>
      <c r="F276" s="5"/>
      <c r="G276" s="5"/>
      <c r="H276" s="5"/>
      <c r="I276" s="5"/>
      <c r="J276" s="5"/>
      <c r="K276" s="5"/>
      <c r="L276" s="5"/>
      <c r="M276" s="5"/>
      <c r="N276" s="5"/>
      <c r="O276" s="5"/>
      <c r="P276" s="5"/>
      <c r="Q276" s="5"/>
      <c r="R276" s="5"/>
      <c r="S276" s="5"/>
      <c r="T276" s="5"/>
    </row>
    <row r="277" spans="1:20">
      <c r="A277" s="45"/>
      <c r="B277" s="46"/>
      <c r="C277" s="5"/>
      <c r="D277" s="5"/>
      <c r="E277" s="5"/>
      <c r="F277" s="5"/>
      <c r="G277" s="5"/>
      <c r="H277" s="5"/>
      <c r="I277" s="5"/>
      <c r="J277" s="5"/>
      <c r="K277" s="5"/>
      <c r="L277" s="5"/>
      <c r="M277" s="5"/>
      <c r="N277" s="5"/>
      <c r="O277" s="5"/>
      <c r="P277" s="5"/>
      <c r="Q277" s="5"/>
      <c r="R277" s="5"/>
      <c r="S277" s="5"/>
      <c r="T277" s="5"/>
    </row>
    <row r="278" spans="1:20">
      <c r="A278" s="45"/>
      <c r="B278" s="46"/>
      <c r="C278" s="5"/>
      <c r="D278" s="5"/>
      <c r="E278" s="5"/>
      <c r="F278" s="5"/>
      <c r="G278" s="5"/>
      <c r="H278" s="5"/>
      <c r="I278" s="5"/>
      <c r="J278" s="5"/>
      <c r="K278" s="5"/>
      <c r="L278" s="5"/>
      <c r="M278" s="5"/>
      <c r="N278" s="5"/>
      <c r="O278" s="5"/>
      <c r="P278" s="5"/>
      <c r="Q278" s="5"/>
      <c r="R278" s="5"/>
      <c r="S278" s="5"/>
      <c r="T278" s="5"/>
    </row>
    <row r="279" spans="1:20">
      <c r="A279" s="45"/>
      <c r="B279" s="46"/>
      <c r="C279" s="5"/>
      <c r="D279" s="5"/>
      <c r="E279" s="5"/>
      <c r="F279" s="5"/>
      <c r="G279" s="5"/>
      <c r="H279" s="5"/>
      <c r="I279" s="5"/>
      <c r="J279" s="5"/>
      <c r="K279" s="5"/>
      <c r="L279" s="5"/>
      <c r="M279" s="5"/>
      <c r="N279" s="5"/>
      <c r="O279" s="5"/>
      <c r="P279" s="5"/>
      <c r="Q279" s="5"/>
      <c r="R279" s="5"/>
      <c r="S279" s="5"/>
      <c r="T279" s="5"/>
    </row>
    <row r="280" spans="1:20">
      <c r="A280" s="45"/>
      <c r="B280" s="46"/>
      <c r="C280" s="5"/>
      <c r="D280" s="5"/>
      <c r="E280" s="5"/>
      <c r="F280" s="5"/>
      <c r="G280" s="5"/>
      <c r="H280" s="5"/>
      <c r="I280" s="5"/>
      <c r="J280" s="5"/>
      <c r="K280" s="5"/>
      <c r="L280" s="5"/>
      <c r="M280" s="5"/>
      <c r="N280" s="5"/>
      <c r="O280" s="5"/>
      <c r="P280" s="5"/>
      <c r="Q280" s="5"/>
      <c r="R280" s="5"/>
      <c r="S280" s="5"/>
      <c r="T280" s="5"/>
    </row>
    <row r="281" spans="1:20">
      <c r="A281" s="45"/>
      <c r="B281" s="46"/>
      <c r="C281" s="5"/>
      <c r="D281" s="5"/>
      <c r="E281" s="5"/>
      <c r="F281" s="5"/>
      <c r="G281" s="5"/>
      <c r="H281" s="5"/>
      <c r="I281" s="5"/>
      <c r="J281" s="5"/>
      <c r="K281" s="5"/>
      <c r="L281" s="5"/>
      <c r="M281" s="5"/>
      <c r="N281" s="5"/>
      <c r="O281" s="5"/>
      <c r="P281" s="5"/>
      <c r="Q281" s="5"/>
      <c r="R281" s="5"/>
      <c r="S281" s="5"/>
      <c r="T281" s="5"/>
    </row>
    <row r="282" spans="1:20">
      <c r="A282" s="45"/>
      <c r="B282" s="46"/>
      <c r="C282" s="5"/>
      <c r="D282" s="5"/>
      <c r="E282" s="5"/>
      <c r="F282" s="5"/>
      <c r="G282" s="5"/>
      <c r="H282" s="5"/>
      <c r="I282" s="5"/>
      <c r="J282" s="5"/>
      <c r="K282" s="5"/>
      <c r="L282" s="5"/>
      <c r="M282" s="5"/>
      <c r="N282" s="5"/>
      <c r="O282" s="5"/>
      <c r="P282" s="5"/>
      <c r="Q282" s="5"/>
      <c r="R282" s="5"/>
      <c r="S282" s="5"/>
      <c r="T282" s="5"/>
    </row>
    <row r="283" spans="1:20">
      <c r="A283" s="45"/>
      <c r="B283" s="46"/>
      <c r="C283" s="5"/>
      <c r="D283" s="5"/>
      <c r="E283" s="5"/>
      <c r="F283" s="5"/>
      <c r="G283" s="5"/>
      <c r="H283" s="5"/>
      <c r="I283" s="5"/>
      <c r="J283" s="5"/>
      <c r="K283" s="5"/>
      <c r="L283" s="5"/>
      <c r="M283" s="5"/>
      <c r="N283" s="5"/>
      <c r="O283" s="5"/>
      <c r="P283" s="5"/>
      <c r="Q283" s="5"/>
      <c r="R283" s="5"/>
      <c r="S283" s="5"/>
      <c r="T283" s="5"/>
    </row>
    <row r="284" spans="1:20">
      <c r="A284" s="45"/>
      <c r="B284" s="46"/>
      <c r="C284" s="5"/>
      <c r="D284" s="5"/>
      <c r="E284" s="5"/>
      <c r="F284" s="5"/>
      <c r="G284" s="5"/>
      <c r="H284" s="5"/>
      <c r="I284" s="5"/>
      <c r="J284" s="5"/>
      <c r="K284" s="5"/>
      <c r="L284" s="5"/>
      <c r="M284" s="5"/>
      <c r="N284" s="5"/>
      <c r="O284" s="5"/>
      <c r="P284" s="5"/>
      <c r="Q284" s="5"/>
      <c r="R284" s="5"/>
      <c r="S284" s="5"/>
      <c r="T284" s="5"/>
    </row>
    <row r="285" spans="1:20">
      <c r="A285" s="45"/>
      <c r="B285" s="46"/>
      <c r="C285" s="5"/>
      <c r="D285" s="5"/>
      <c r="E285" s="5"/>
      <c r="F285" s="5"/>
      <c r="G285" s="5"/>
      <c r="H285" s="5"/>
      <c r="I285" s="5"/>
      <c r="J285" s="5"/>
      <c r="K285" s="5"/>
      <c r="L285" s="5"/>
      <c r="M285" s="5"/>
      <c r="N285" s="5"/>
      <c r="O285" s="5"/>
      <c r="P285" s="5"/>
      <c r="Q285" s="5"/>
      <c r="R285" s="5"/>
      <c r="S285" s="5"/>
      <c r="T285" s="5"/>
    </row>
    <row r="286" spans="1:20">
      <c r="A286" s="45"/>
      <c r="B286" s="46"/>
      <c r="C286" s="5"/>
      <c r="D286" s="5"/>
      <c r="E286" s="5"/>
      <c r="F286" s="5"/>
      <c r="G286" s="5"/>
      <c r="H286" s="5"/>
      <c r="I286" s="5"/>
      <c r="J286" s="5"/>
      <c r="K286" s="5"/>
      <c r="L286" s="5"/>
      <c r="M286" s="5"/>
      <c r="N286" s="5"/>
      <c r="O286" s="5"/>
      <c r="P286" s="5"/>
      <c r="Q286" s="5"/>
      <c r="R286" s="5"/>
      <c r="S286" s="5"/>
      <c r="T286" s="5"/>
    </row>
    <row r="287" spans="1:20">
      <c r="A287" s="45"/>
      <c r="B287" s="46"/>
      <c r="C287" s="5"/>
      <c r="D287" s="5"/>
      <c r="E287" s="5"/>
      <c r="F287" s="5"/>
      <c r="G287" s="5"/>
      <c r="H287" s="5"/>
      <c r="I287" s="5"/>
      <c r="J287" s="5"/>
      <c r="K287" s="5"/>
      <c r="L287" s="5"/>
      <c r="M287" s="5"/>
      <c r="N287" s="5"/>
      <c r="O287" s="5"/>
      <c r="P287" s="5"/>
      <c r="Q287" s="5"/>
      <c r="R287" s="5"/>
      <c r="S287" s="5"/>
      <c r="T287" s="5"/>
    </row>
    <row r="288" spans="1:20">
      <c r="A288" s="45"/>
      <c r="B288" s="46"/>
      <c r="C288" s="5"/>
      <c r="D288" s="5"/>
      <c r="E288" s="5"/>
      <c r="F288" s="5"/>
      <c r="G288" s="5"/>
      <c r="H288" s="5"/>
      <c r="I288" s="5"/>
      <c r="J288" s="5"/>
      <c r="K288" s="5"/>
      <c r="L288" s="5"/>
      <c r="M288" s="5"/>
      <c r="N288" s="5"/>
      <c r="O288" s="5"/>
      <c r="P288" s="5"/>
      <c r="Q288" s="5"/>
      <c r="R288" s="5"/>
      <c r="S288" s="5"/>
      <c r="T288" s="5"/>
    </row>
    <row r="289" spans="1:20">
      <c r="A289" s="45"/>
      <c r="B289" s="46"/>
      <c r="C289" s="5"/>
      <c r="D289" s="5"/>
      <c r="E289" s="5"/>
      <c r="F289" s="5"/>
      <c r="G289" s="5"/>
      <c r="H289" s="5"/>
      <c r="I289" s="5"/>
      <c r="J289" s="5"/>
      <c r="K289" s="5"/>
      <c r="L289" s="5"/>
      <c r="M289" s="5"/>
      <c r="N289" s="5"/>
      <c r="O289" s="5"/>
      <c r="P289" s="5"/>
      <c r="Q289" s="5"/>
      <c r="R289" s="5"/>
      <c r="S289" s="5"/>
      <c r="T289" s="5"/>
    </row>
    <row r="290" spans="1:20">
      <c r="A290" s="45"/>
      <c r="B290" s="46"/>
      <c r="C290" s="5"/>
      <c r="D290" s="5"/>
      <c r="E290" s="5"/>
      <c r="F290" s="5"/>
      <c r="G290" s="5"/>
      <c r="H290" s="5"/>
      <c r="I290" s="5"/>
      <c r="J290" s="5"/>
      <c r="K290" s="5"/>
      <c r="L290" s="5"/>
      <c r="M290" s="5"/>
      <c r="N290" s="5"/>
      <c r="O290" s="5"/>
      <c r="P290" s="5"/>
      <c r="Q290" s="5"/>
      <c r="R290" s="5"/>
      <c r="S290" s="5"/>
      <c r="T290" s="5"/>
    </row>
    <row r="291" spans="1:20">
      <c r="A291" s="45"/>
      <c r="B291" s="46"/>
      <c r="C291" s="5"/>
      <c r="D291" s="5"/>
      <c r="E291" s="5"/>
      <c r="F291" s="5"/>
      <c r="G291" s="5"/>
      <c r="H291" s="5"/>
      <c r="I291" s="5"/>
      <c r="J291" s="5"/>
      <c r="K291" s="5"/>
      <c r="L291" s="5"/>
      <c r="M291" s="5"/>
      <c r="N291" s="5"/>
      <c r="O291" s="5"/>
      <c r="P291" s="5"/>
      <c r="Q291" s="5"/>
      <c r="R291" s="5"/>
      <c r="S291" s="5"/>
      <c r="T291" s="5"/>
    </row>
    <row r="292" spans="1:20">
      <c r="A292" s="45"/>
      <c r="B292" s="46"/>
      <c r="C292" s="5"/>
      <c r="D292" s="5"/>
      <c r="E292" s="5"/>
      <c r="F292" s="5"/>
      <c r="G292" s="5"/>
      <c r="H292" s="5"/>
      <c r="I292" s="5"/>
      <c r="J292" s="5"/>
      <c r="K292" s="5"/>
      <c r="L292" s="5"/>
      <c r="M292" s="5"/>
      <c r="N292" s="5"/>
      <c r="O292" s="5"/>
      <c r="P292" s="5"/>
      <c r="Q292" s="5"/>
      <c r="R292" s="5"/>
      <c r="S292" s="5"/>
      <c r="T292" s="5"/>
    </row>
    <row r="293" spans="1:20">
      <c r="A293" s="45"/>
      <c r="B293" s="46"/>
      <c r="C293" s="5"/>
      <c r="D293" s="5"/>
      <c r="E293" s="5"/>
      <c r="F293" s="5"/>
      <c r="G293" s="5"/>
      <c r="H293" s="5"/>
      <c r="I293" s="5"/>
      <c r="J293" s="5"/>
      <c r="K293" s="5"/>
      <c r="L293" s="5"/>
      <c r="M293" s="5"/>
      <c r="N293" s="5"/>
      <c r="O293" s="5"/>
      <c r="P293" s="5"/>
      <c r="Q293" s="5"/>
      <c r="R293" s="5"/>
      <c r="S293" s="5"/>
      <c r="T293" s="5"/>
    </row>
    <row r="294" spans="1:20">
      <c r="A294" s="45"/>
      <c r="B294" s="46"/>
      <c r="C294" s="5"/>
      <c r="D294" s="5"/>
      <c r="E294" s="5"/>
      <c r="F294" s="5"/>
      <c r="G294" s="5"/>
      <c r="H294" s="5"/>
      <c r="I294" s="5"/>
      <c r="J294" s="5"/>
      <c r="K294" s="5"/>
      <c r="L294" s="5"/>
      <c r="M294" s="5"/>
      <c r="N294" s="5"/>
      <c r="O294" s="5"/>
      <c r="P294" s="5"/>
      <c r="Q294" s="5"/>
      <c r="R294" s="5"/>
      <c r="S294" s="5"/>
      <c r="T294" s="5"/>
    </row>
    <row r="295" spans="1:20">
      <c r="A295" s="45"/>
      <c r="B295" s="46"/>
      <c r="C295" s="5"/>
      <c r="D295" s="5"/>
      <c r="E295" s="5"/>
      <c r="F295" s="5"/>
      <c r="G295" s="5"/>
      <c r="H295" s="5"/>
      <c r="I295" s="5"/>
      <c r="J295" s="5"/>
      <c r="K295" s="5"/>
      <c r="L295" s="5"/>
      <c r="M295" s="5"/>
      <c r="N295" s="5"/>
      <c r="O295" s="5"/>
      <c r="P295" s="5"/>
      <c r="Q295" s="5"/>
      <c r="R295" s="5"/>
      <c r="S295" s="5"/>
      <c r="T295" s="5"/>
    </row>
    <row r="296" spans="1:20">
      <c r="A296" s="45"/>
      <c r="B296" s="46"/>
      <c r="C296" s="5"/>
      <c r="D296" s="5"/>
      <c r="E296" s="5"/>
      <c r="F296" s="5"/>
      <c r="G296" s="5"/>
      <c r="H296" s="5"/>
      <c r="I296" s="5"/>
      <c r="J296" s="5"/>
      <c r="K296" s="5"/>
      <c r="L296" s="5"/>
      <c r="M296" s="5"/>
      <c r="N296" s="5"/>
      <c r="O296" s="5"/>
      <c r="P296" s="5"/>
      <c r="Q296" s="5"/>
      <c r="R296" s="5"/>
      <c r="S296" s="5"/>
      <c r="T296" s="5"/>
    </row>
    <row r="297" spans="1:20">
      <c r="A297" s="45"/>
      <c r="B297" s="46"/>
      <c r="C297" s="5"/>
      <c r="D297" s="5"/>
      <c r="E297" s="5"/>
      <c r="F297" s="5"/>
      <c r="G297" s="5"/>
      <c r="H297" s="5"/>
      <c r="I297" s="5"/>
      <c r="J297" s="5"/>
      <c r="K297" s="5"/>
      <c r="L297" s="5"/>
      <c r="M297" s="5"/>
      <c r="N297" s="5"/>
      <c r="O297" s="5"/>
      <c r="P297" s="5"/>
      <c r="Q297" s="5"/>
      <c r="R297" s="5"/>
      <c r="S297" s="5"/>
      <c r="T297" s="5"/>
    </row>
    <row r="298" spans="1:20">
      <c r="A298" s="45"/>
      <c r="B298" s="46"/>
      <c r="C298" s="5"/>
      <c r="D298" s="5"/>
      <c r="E298" s="5"/>
      <c r="F298" s="5"/>
      <c r="G298" s="5"/>
      <c r="H298" s="5"/>
      <c r="I298" s="5"/>
      <c r="J298" s="5"/>
      <c r="K298" s="5"/>
      <c r="L298" s="5"/>
      <c r="M298" s="5"/>
      <c r="N298" s="5"/>
      <c r="O298" s="5"/>
      <c r="P298" s="5"/>
      <c r="Q298" s="5"/>
      <c r="R298" s="5"/>
      <c r="S298" s="5"/>
      <c r="T298" s="5"/>
    </row>
    <row r="299" spans="1:20">
      <c r="A299" s="45"/>
      <c r="B299" s="46"/>
      <c r="C299" s="5"/>
      <c r="D299" s="5"/>
      <c r="E299" s="5"/>
      <c r="F299" s="5"/>
      <c r="G299" s="5"/>
      <c r="H299" s="5"/>
      <c r="I299" s="5"/>
      <c r="J299" s="5"/>
      <c r="K299" s="5"/>
      <c r="L299" s="5"/>
      <c r="M299" s="5"/>
      <c r="N299" s="5"/>
      <c r="O299" s="5"/>
      <c r="P299" s="5"/>
      <c r="Q299" s="5"/>
      <c r="R299" s="5"/>
      <c r="S299" s="5"/>
      <c r="T299" s="5"/>
    </row>
    <row r="300" spans="1:20">
      <c r="A300" s="45"/>
      <c r="B300" s="46"/>
      <c r="C300" s="5"/>
      <c r="D300" s="5"/>
      <c r="E300" s="5"/>
      <c r="F300" s="5"/>
      <c r="G300" s="5"/>
      <c r="H300" s="5"/>
      <c r="I300" s="5"/>
      <c r="J300" s="5"/>
      <c r="K300" s="5"/>
      <c r="L300" s="5"/>
      <c r="M300" s="5"/>
      <c r="N300" s="5"/>
      <c r="O300" s="5"/>
      <c r="P300" s="5"/>
      <c r="Q300" s="5"/>
      <c r="R300" s="5"/>
      <c r="S300" s="5"/>
      <c r="T300" s="5"/>
    </row>
    <row r="301" spans="1:20">
      <c r="A301" s="45"/>
      <c r="B301" s="46"/>
      <c r="C301" s="5"/>
      <c r="D301" s="5"/>
      <c r="E301" s="5"/>
      <c r="F301" s="5"/>
      <c r="G301" s="5"/>
      <c r="H301" s="5"/>
      <c r="I301" s="5"/>
      <c r="J301" s="5"/>
      <c r="K301" s="5"/>
      <c r="L301" s="5"/>
      <c r="M301" s="5"/>
      <c r="N301" s="5"/>
      <c r="O301" s="5"/>
      <c r="P301" s="5"/>
      <c r="Q301" s="5"/>
      <c r="R301" s="5"/>
      <c r="S301" s="5"/>
      <c r="T301" s="5"/>
    </row>
    <row r="302" spans="1:20">
      <c r="A302" s="45"/>
      <c r="B302" s="46"/>
      <c r="C302" s="5"/>
      <c r="D302" s="5"/>
      <c r="E302" s="5"/>
      <c r="F302" s="5"/>
      <c r="G302" s="5"/>
      <c r="H302" s="5"/>
      <c r="I302" s="5"/>
      <c r="J302" s="5"/>
      <c r="K302" s="5"/>
      <c r="L302" s="5"/>
      <c r="M302" s="5"/>
      <c r="N302" s="5"/>
      <c r="O302" s="5"/>
      <c r="P302" s="5"/>
      <c r="Q302" s="5"/>
      <c r="R302" s="5"/>
      <c r="S302" s="5"/>
      <c r="T302" s="5"/>
    </row>
    <row r="303" spans="1:20">
      <c r="A303" s="45"/>
      <c r="B303" s="46"/>
      <c r="C303" s="5"/>
      <c r="D303" s="5"/>
      <c r="E303" s="5"/>
      <c r="F303" s="5"/>
      <c r="G303" s="5"/>
      <c r="H303" s="5"/>
      <c r="I303" s="5"/>
      <c r="J303" s="5"/>
      <c r="K303" s="5"/>
      <c r="L303" s="5"/>
      <c r="M303" s="5"/>
      <c r="N303" s="5"/>
      <c r="O303" s="5"/>
      <c r="P303" s="5"/>
      <c r="Q303" s="5"/>
      <c r="R303" s="5"/>
      <c r="S303" s="5"/>
      <c r="T303" s="5"/>
    </row>
    <row r="304" spans="1:20">
      <c r="A304" s="45"/>
      <c r="B304" s="46"/>
      <c r="C304" s="5"/>
      <c r="D304" s="5"/>
      <c r="E304" s="5"/>
      <c r="F304" s="5"/>
      <c r="G304" s="5"/>
      <c r="H304" s="5"/>
      <c r="I304" s="5"/>
      <c r="J304" s="5"/>
      <c r="K304" s="5"/>
      <c r="L304" s="5"/>
      <c r="M304" s="5"/>
      <c r="N304" s="5"/>
      <c r="O304" s="5"/>
      <c r="P304" s="5"/>
      <c r="Q304" s="5"/>
      <c r="R304" s="5"/>
      <c r="S304" s="5"/>
      <c r="T304" s="5"/>
    </row>
    <row r="305" spans="1:20">
      <c r="A305" s="45"/>
      <c r="B305" s="46"/>
      <c r="C305" s="5"/>
      <c r="D305" s="5"/>
      <c r="E305" s="5"/>
      <c r="F305" s="5"/>
      <c r="G305" s="5"/>
      <c r="H305" s="5"/>
      <c r="I305" s="5"/>
      <c r="J305" s="5"/>
      <c r="K305" s="5"/>
      <c r="L305" s="5"/>
      <c r="M305" s="5"/>
      <c r="N305" s="5"/>
      <c r="O305" s="5"/>
      <c r="P305" s="5"/>
      <c r="Q305" s="5"/>
      <c r="R305" s="5"/>
      <c r="S305" s="5"/>
      <c r="T305" s="5"/>
    </row>
    <row r="306" spans="1:20">
      <c r="A306" s="45"/>
      <c r="B306" s="46"/>
      <c r="C306" s="5"/>
      <c r="D306" s="5"/>
      <c r="E306" s="5"/>
      <c r="F306" s="5"/>
      <c r="G306" s="5"/>
      <c r="H306" s="5"/>
      <c r="I306" s="5"/>
      <c r="J306" s="5"/>
      <c r="K306" s="5"/>
      <c r="L306" s="5"/>
      <c r="M306" s="5"/>
      <c r="N306" s="5"/>
      <c r="O306" s="5"/>
      <c r="P306" s="5"/>
      <c r="Q306" s="5"/>
      <c r="R306" s="5"/>
      <c r="S306" s="5"/>
      <c r="T306" s="5"/>
    </row>
    <row r="307" spans="1:20">
      <c r="A307" s="45"/>
      <c r="B307" s="46"/>
      <c r="C307" s="5"/>
      <c r="D307" s="5"/>
      <c r="E307" s="5"/>
      <c r="F307" s="5"/>
      <c r="G307" s="5"/>
      <c r="H307" s="5"/>
      <c r="I307" s="5"/>
      <c r="J307" s="5"/>
      <c r="K307" s="5"/>
      <c r="L307" s="5"/>
      <c r="M307" s="5"/>
      <c r="N307" s="5"/>
      <c r="O307" s="5"/>
      <c r="P307" s="5"/>
      <c r="Q307" s="5"/>
      <c r="R307" s="5"/>
      <c r="S307" s="5"/>
      <c r="T307" s="5"/>
    </row>
    <row r="308" spans="1:20">
      <c r="A308" s="45"/>
      <c r="B308" s="46"/>
      <c r="C308" s="5"/>
      <c r="D308" s="5"/>
      <c r="E308" s="5"/>
      <c r="F308" s="5"/>
      <c r="G308" s="5"/>
      <c r="H308" s="5"/>
      <c r="I308" s="5"/>
      <c r="J308" s="5"/>
      <c r="K308" s="5"/>
      <c r="L308" s="5"/>
      <c r="M308" s="5"/>
      <c r="N308" s="5"/>
      <c r="O308" s="5"/>
      <c r="P308" s="5"/>
      <c r="Q308" s="5"/>
      <c r="R308" s="5"/>
      <c r="S308" s="5"/>
      <c r="T308" s="5"/>
    </row>
    <row r="309" spans="1:20">
      <c r="A309" s="45"/>
      <c r="B309" s="46"/>
      <c r="C309" s="5"/>
      <c r="D309" s="5"/>
      <c r="E309" s="5"/>
      <c r="F309" s="5"/>
      <c r="G309" s="5"/>
      <c r="H309" s="5"/>
      <c r="I309" s="5"/>
      <c r="J309" s="5"/>
      <c r="K309" s="5"/>
      <c r="L309" s="5"/>
      <c r="M309" s="5"/>
      <c r="N309" s="5"/>
      <c r="O309" s="5"/>
      <c r="P309" s="5"/>
      <c r="Q309" s="5"/>
      <c r="R309" s="5"/>
      <c r="S309" s="5"/>
      <c r="T309" s="5"/>
    </row>
    <row r="310" spans="1:20">
      <c r="A310" s="45"/>
      <c r="B310" s="46"/>
      <c r="C310" s="5"/>
      <c r="D310" s="5"/>
      <c r="E310" s="5"/>
      <c r="F310" s="5"/>
      <c r="G310" s="5"/>
      <c r="H310" s="5"/>
      <c r="I310" s="5"/>
      <c r="J310" s="5"/>
      <c r="K310" s="5"/>
      <c r="L310" s="5"/>
      <c r="M310" s="5"/>
      <c r="N310" s="5"/>
      <c r="O310" s="5"/>
      <c r="P310" s="5"/>
      <c r="Q310" s="5"/>
      <c r="R310" s="5"/>
      <c r="S310" s="5"/>
      <c r="T310" s="5"/>
    </row>
    <row r="311" spans="1:20">
      <c r="A311" s="45"/>
      <c r="B311" s="46"/>
      <c r="C311" s="5"/>
      <c r="D311" s="5"/>
      <c r="E311" s="5"/>
      <c r="F311" s="5"/>
      <c r="G311" s="5"/>
      <c r="H311" s="5"/>
      <c r="I311" s="5"/>
      <c r="J311" s="5"/>
      <c r="K311" s="5"/>
      <c r="L311" s="5"/>
      <c r="M311" s="5"/>
      <c r="N311" s="5"/>
      <c r="O311" s="5"/>
      <c r="P311" s="5"/>
      <c r="Q311" s="5"/>
      <c r="R311" s="5"/>
      <c r="S311" s="5"/>
      <c r="T311" s="5"/>
    </row>
    <row r="312" spans="1:20">
      <c r="A312" s="45"/>
      <c r="B312" s="46"/>
      <c r="C312" s="5"/>
      <c r="D312" s="5"/>
      <c r="E312" s="5"/>
      <c r="F312" s="5"/>
      <c r="G312" s="5"/>
      <c r="H312" s="5"/>
      <c r="I312" s="5"/>
      <c r="J312" s="5"/>
      <c r="K312" s="5"/>
      <c r="L312" s="5"/>
      <c r="M312" s="5"/>
      <c r="N312" s="5"/>
      <c r="O312" s="5"/>
      <c r="P312" s="5"/>
      <c r="Q312" s="5"/>
      <c r="R312" s="5"/>
      <c r="S312" s="5"/>
      <c r="T312" s="5"/>
    </row>
    <row r="313" spans="1:20">
      <c r="A313" s="45"/>
      <c r="B313" s="46"/>
      <c r="C313" s="5"/>
      <c r="D313" s="5"/>
      <c r="E313" s="5"/>
      <c r="F313" s="5"/>
      <c r="G313" s="5"/>
      <c r="H313" s="5"/>
      <c r="I313" s="5"/>
      <c r="J313" s="5"/>
      <c r="K313" s="5"/>
      <c r="L313" s="5"/>
      <c r="M313" s="5"/>
      <c r="N313" s="5"/>
      <c r="O313" s="5"/>
      <c r="P313" s="5"/>
      <c r="Q313" s="5"/>
      <c r="R313" s="5"/>
      <c r="S313" s="5"/>
      <c r="T313" s="5"/>
    </row>
    <row r="314" spans="1:20">
      <c r="A314" s="45"/>
      <c r="B314" s="46"/>
      <c r="C314" s="5"/>
      <c r="D314" s="5"/>
      <c r="E314" s="5"/>
      <c r="F314" s="5"/>
      <c r="G314" s="5"/>
      <c r="H314" s="5"/>
      <c r="I314" s="5"/>
      <c r="J314" s="5"/>
      <c r="K314" s="5"/>
      <c r="L314" s="5"/>
      <c r="M314" s="5"/>
      <c r="N314" s="5"/>
      <c r="O314" s="5"/>
      <c r="P314" s="5"/>
      <c r="Q314" s="5"/>
      <c r="R314" s="5"/>
      <c r="S314" s="5"/>
      <c r="T314" s="5"/>
    </row>
    <row r="315" spans="1:20">
      <c r="A315" s="45"/>
      <c r="B315" s="46"/>
      <c r="C315" s="5"/>
      <c r="D315" s="5"/>
      <c r="E315" s="5"/>
      <c r="F315" s="5"/>
      <c r="G315" s="5"/>
      <c r="H315" s="5"/>
      <c r="I315" s="5"/>
      <c r="J315" s="5"/>
      <c r="K315" s="5"/>
      <c r="L315" s="5"/>
      <c r="M315" s="5"/>
      <c r="N315" s="5"/>
      <c r="O315" s="5"/>
      <c r="P315" s="5"/>
      <c r="Q315" s="5"/>
      <c r="R315" s="5"/>
      <c r="S315" s="5"/>
      <c r="T315" s="5"/>
    </row>
    <row r="316" spans="1:20">
      <c r="A316" s="45"/>
      <c r="B316" s="46"/>
      <c r="C316" s="5"/>
      <c r="D316" s="5"/>
      <c r="E316" s="5"/>
      <c r="F316" s="5"/>
      <c r="G316" s="5"/>
      <c r="H316" s="5"/>
      <c r="I316" s="5"/>
      <c r="J316" s="5"/>
      <c r="K316" s="5"/>
      <c r="L316" s="5"/>
      <c r="M316" s="5"/>
      <c r="N316" s="5"/>
      <c r="O316" s="5"/>
      <c r="P316" s="5"/>
      <c r="Q316" s="5"/>
      <c r="R316" s="5"/>
      <c r="S316" s="5"/>
      <c r="T316" s="5"/>
    </row>
    <row r="317" spans="1:20">
      <c r="A317" s="45"/>
      <c r="B317" s="46"/>
      <c r="C317" s="5"/>
      <c r="D317" s="5"/>
      <c r="E317" s="5"/>
      <c r="F317" s="5"/>
      <c r="G317" s="5"/>
      <c r="H317" s="5"/>
      <c r="I317" s="5"/>
      <c r="J317" s="5"/>
      <c r="K317" s="5"/>
      <c r="L317" s="5"/>
      <c r="M317" s="5"/>
      <c r="N317" s="5"/>
      <c r="O317" s="5"/>
      <c r="P317" s="5"/>
      <c r="Q317" s="5"/>
      <c r="R317" s="5"/>
      <c r="S317" s="5"/>
      <c r="T317" s="5"/>
    </row>
    <row r="318" spans="1:20">
      <c r="A318" s="45"/>
      <c r="B318" s="46"/>
      <c r="C318" s="5"/>
      <c r="D318" s="5"/>
      <c r="E318" s="5"/>
      <c r="F318" s="5"/>
      <c r="G318" s="5"/>
      <c r="H318" s="5"/>
      <c r="I318" s="5"/>
      <c r="J318" s="5"/>
      <c r="K318" s="5"/>
      <c r="L318" s="5"/>
      <c r="M318" s="5"/>
      <c r="N318" s="5"/>
      <c r="O318" s="5"/>
      <c r="P318" s="5"/>
      <c r="Q318" s="5"/>
      <c r="R318" s="5"/>
      <c r="S318" s="5"/>
      <c r="T318" s="5"/>
    </row>
    <row r="319" spans="1:20">
      <c r="A319" s="45"/>
      <c r="B319" s="46"/>
      <c r="C319" s="5"/>
      <c r="D319" s="5"/>
      <c r="E319" s="5"/>
      <c r="F319" s="5"/>
      <c r="G319" s="5"/>
      <c r="H319" s="5"/>
      <c r="I319" s="5"/>
      <c r="J319" s="5"/>
      <c r="K319" s="5"/>
      <c r="L319" s="5"/>
      <c r="M319" s="5"/>
      <c r="N319" s="5"/>
      <c r="O319" s="5"/>
      <c r="P319" s="5"/>
      <c r="Q319" s="5"/>
      <c r="R319" s="5"/>
      <c r="S319" s="5"/>
      <c r="T319" s="5"/>
    </row>
    <row r="320" spans="1:20">
      <c r="A320" s="45"/>
      <c r="B320" s="46"/>
      <c r="C320" s="5"/>
      <c r="D320" s="5"/>
      <c r="E320" s="5"/>
      <c r="F320" s="5"/>
      <c r="G320" s="5"/>
      <c r="H320" s="5"/>
      <c r="I320" s="5"/>
      <c r="J320" s="5"/>
      <c r="K320" s="5"/>
      <c r="L320" s="5"/>
      <c r="M320" s="5"/>
      <c r="N320" s="5"/>
      <c r="O320" s="5"/>
      <c r="P320" s="5"/>
      <c r="Q320" s="5"/>
      <c r="R320" s="5"/>
      <c r="S320" s="5"/>
      <c r="T320" s="5"/>
    </row>
    <row r="321" spans="1:20">
      <c r="A321" s="45"/>
      <c r="B321" s="46"/>
      <c r="C321" s="5"/>
      <c r="D321" s="5"/>
      <c r="E321" s="5"/>
      <c r="F321" s="5"/>
      <c r="G321" s="5"/>
      <c r="H321" s="5"/>
      <c r="I321" s="5"/>
      <c r="J321" s="5"/>
      <c r="K321" s="5"/>
      <c r="L321" s="5"/>
      <c r="M321" s="5"/>
      <c r="N321" s="5"/>
      <c r="O321" s="5"/>
      <c r="P321" s="5"/>
      <c r="Q321" s="5"/>
      <c r="R321" s="5"/>
      <c r="S321" s="5"/>
      <c r="T321" s="5"/>
    </row>
    <row r="322" spans="1:20">
      <c r="A322" s="45"/>
      <c r="B322" s="46"/>
      <c r="C322" s="5"/>
      <c r="D322" s="5"/>
      <c r="E322" s="5"/>
      <c r="F322" s="5"/>
      <c r="G322" s="5"/>
      <c r="H322" s="5"/>
      <c r="I322" s="5"/>
      <c r="J322" s="5"/>
      <c r="K322" s="5"/>
      <c r="L322" s="5"/>
      <c r="M322" s="5"/>
      <c r="N322" s="5"/>
      <c r="O322" s="5"/>
      <c r="P322" s="5"/>
      <c r="Q322" s="5"/>
      <c r="R322" s="5"/>
      <c r="S322" s="5"/>
      <c r="T322" s="5"/>
    </row>
    <row r="323" spans="1:20">
      <c r="A323" s="45"/>
      <c r="B323" s="46"/>
      <c r="C323" s="5"/>
      <c r="D323" s="5"/>
      <c r="E323" s="5"/>
      <c r="F323" s="5"/>
      <c r="G323" s="5"/>
      <c r="H323" s="5"/>
      <c r="I323" s="5"/>
      <c r="J323" s="5"/>
      <c r="K323" s="5"/>
      <c r="L323" s="5"/>
      <c r="M323" s="5"/>
      <c r="N323" s="5"/>
      <c r="O323" s="5"/>
      <c r="P323" s="5"/>
      <c r="Q323" s="5"/>
      <c r="R323" s="5"/>
      <c r="S323" s="5"/>
      <c r="T323" s="5"/>
    </row>
    <row r="324" spans="1:20">
      <c r="A324" s="45"/>
      <c r="B324" s="46"/>
      <c r="C324" s="5"/>
      <c r="D324" s="5"/>
      <c r="E324" s="5"/>
      <c r="F324" s="5"/>
      <c r="G324" s="5"/>
      <c r="H324" s="5"/>
      <c r="I324" s="5"/>
      <c r="J324" s="5"/>
      <c r="K324" s="5"/>
      <c r="L324" s="5"/>
      <c r="M324" s="5"/>
      <c r="N324" s="5"/>
      <c r="O324" s="5"/>
      <c r="P324" s="5"/>
      <c r="Q324" s="5"/>
      <c r="R324" s="5"/>
      <c r="S324" s="5"/>
      <c r="T324" s="5"/>
    </row>
    <row r="325" spans="1:20">
      <c r="A325" s="45"/>
      <c r="B325" s="46"/>
      <c r="C325" s="5"/>
      <c r="D325" s="5"/>
      <c r="E325" s="5"/>
      <c r="F325" s="5"/>
      <c r="G325" s="5"/>
      <c r="H325" s="5"/>
      <c r="I325" s="5"/>
      <c r="J325" s="5"/>
      <c r="K325" s="5"/>
      <c r="L325" s="5"/>
      <c r="M325" s="5"/>
      <c r="N325" s="5"/>
      <c r="O325" s="5"/>
      <c r="P325" s="5"/>
      <c r="Q325" s="5"/>
      <c r="R325" s="5"/>
      <c r="S325" s="5"/>
      <c r="T325" s="5"/>
    </row>
    <row r="326" spans="1:20">
      <c r="A326" s="45"/>
      <c r="B326" s="46"/>
      <c r="C326" s="5"/>
      <c r="D326" s="5"/>
      <c r="E326" s="5"/>
      <c r="F326" s="5"/>
      <c r="G326" s="5"/>
      <c r="H326" s="5"/>
      <c r="I326" s="5"/>
      <c r="J326" s="5"/>
      <c r="K326" s="5"/>
      <c r="L326" s="5"/>
      <c r="M326" s="5"/>
      <c r="N326" s="5"/>
      <c r="O326" s="5"/>
      <c r="P326" s="5"/>
      <c r="Q326" s="5"/>
      <c r="R326" s="5"/>
      <c r="S326" s="5"/>
      <c r="T326" s="5"/>
    </row>
    <row r="327" spans="1:20">
      <c r="A327" s="45"/>
      <c r="B327" s="46"/>
      <c r="C327" s="5"/>
      <c r="D327" s="5"/>
      <c r="E327" s="5"/>
      <c r="F327" s="5"/>
      <c r="G327" s="5"/>
      <c r="H327" s="5"/>
      <c r="I327" s="5"/>
      <c r="J327" s="5"/>
      <c r="K327" s="5"/>
      <c r="L327" s="5"/>
      <c r="M327" s="5"/>
      <c r="N327" s="5"/>
      <c r="O327" s="5"/>
      <c r="P327" s="5"/>
      <c r="Q327" s="5"/>
      <c r="R327" s="5"/>
      <c r="S327" s="5"/>
      <c r="T327" s="5"/>
    </row>
    <row r="328" spans="1:20">
      <c r="A328" s="45"/>
      <c r="B328" s="46"/>
      <c r="C328" s="5"/>
      <c r="D328" s="5"/>
      <c r="E328" s="5"/>
      <c r="F328" s="5"/>
      <c r="G328" s="5"/>
      <c r="H328" s="5"/>
      <c r="I328" s="5"/>
      <c r="J328" s="5"/>
      <c r="K328" s="5"/>
      <c r="L328" s="5"/>
      <c r="M328" s="5"/>
      <c r="N328" s="5"/>
      <c r="O328" s="5"/>
      <c r="P328" s="5"/>
      <c r="Q328" s="5"/>
      <c r="R328" s="5"/>
      <c r="S328" s="5"/>
      <c r="T328" s="5"/>
    </row>
    <row r="329" spans="1:20">
      <c r="A329" s="45"/>
      <c r="B329" s="46"/>
      <c r="C329" s="5"/>
      <c r="D329" s="5"/>
      <c r="E329" s="5"/>
      <c r="F329" s="5"/>
      <c r="G329" s="5"/>
      <c r="H329" s="5"/>
      <c r="I329" s="5"/>
      <c r="J329" s="5"/>
      <c r="K329" s="5"/>
      <c r="L329" s="5"/>
      <c r="M329" s="5"/>
      <c r="N329" s="5"/>
      <c r="O329" s="5"/>
      <c r="P329" s="5"/>
      <c r="Q329" s="5"/>
      <c r="R329" s="5"/>
      <c r="S329" s="5"/>
      <c r="T329" s="5"/>
    </row>
    <row r="330" spans="1:20">
      <c r="A330" s="45"/>
      <c r="B330" s="46"/>
      <c r="C330" s="5"/>
      <c r="D330" s="5"/>
      <c r="E330" s="5"/>
      <c r="F330" s="5"/>
      <c r="G330" s="5"/>
      <c r="H330" s="5"/>
      <c r="I330" s="5"/>
      <c r="J330" s="5"/>
      <c r="K330" s="5"/>
      <c r="L330" s="5"/>
      <c r="M330" s="5"/>
      <c r="N330" s="5"/>
      <c r="O330" s="5"/>
      <c r="P330" s="5"/>
      <c r="Q330" s="5"/>
      <c r="R330" s="5"/>
      <c r="S330" s="5"/>
      <c r="T330" s="5"/>
    </row>
    <row r="331" spans="1:20">
      <c r="A331" s="45"/>
      <c r="B331" s="46"/>
      <c r="C331" s="5"/>
      <c r="D331" s="5"/>
      <c r="E331" s="5"/>
      <c r="F331" s="5"/>
      <c r="G331" s="5"/>
      <c r="H331" s="5"/>
      <c r="I331" s="5"/>
      <c r="J331" s="5"/>
      <c r="K331" s="5"/>
      <c r="L331" s="5"/>
      <c r="M331" s="5"/>
      <c r="N331" s="5"/>
      <c r="O331" s="5"/>
      <c r="P331" s="5"/>
      <c r="Q331" s="5"/>
      <c r="R331" s="5"/>
      <c r="S331" s="5"/>
      <c r="T331" s="5"/>
    </row>
    <row r="332" spans="1:20">
      <c r="A332" s="45"/>
      <c r="B332" s="46"/>
      <c r="C332" s="5"/>
      <c r="D332" s="5"/>
      <c r="E332" s="5"/>
      <c r="F332" s="5"/>
      <c r="G332" s="5"/>
      <c r="H332" s="5"/>
      <c r="I332" s="5"/>
      <c r="J332" s="5"/>
      <c r="K332" s="5"/>
      <c r="L332" s="5"/>
      <c r="M332" s="5"/>
      <c r="N332" s="5"/>
      <c r="O332" s="5"/>
      <c r="P332" s="5"/>
      <c r="Q332" s="5"/>
      <c r="R332" s="5"/>
      <c r="S332" s="5"/>
      <c r="T332" s="5"/>
    </row>
    <row r="333" spans="1:20">
      <c r="A333" s="45"/>
      <c r="B333" s="46"/>
      <c r="C333" s="5"/>
      <c r="D333" s="5"/>
      <c r="E333" s="5"/>
      <c r="F333" s="5"/>
      <c r="G333" s="5"/>
      <c r="H333" s="5"/>
      <c r="I333" s="5"/>
      <c r="J333" s="5"/>
      <c r="K333" s="5"/>
      <c r="L333" s="5"/>
      <c r="M333" s="5"/>
      <c r="N333" s="5"/>
      <c r="O333" s="5"/>
      <c r="P333" s="5"/>
      <c r="Q333" s="5"/>
      <c r="R333" s="5"/>
      <c r="S333" s="5"/>
      <c r="T333" s="5"/>
    </row>
    <row r="334" spans="1:20">
      <c r="A334" s="45"/>
      <c r="B334" s="46"/>
      <c r="C334" s="5"/>
      <c r="D334" s="5"/>
      <c r="E334" s="5"/>
      <c r="F334" s="5"/>
      <c r="G334" s="5"/>
      <c r="H334" s="5"/>
      <c r="I334" s="5"/>
      <c r="J334" s="5"/>
      <c r="K334" s="5"/>
      <c r="L334" s="5"/>
      <c r="M334" s="5"/>
      <c r="N334" s="5"/>
      <c r="O334" s="5"/>
      <c r="P334" s="5"/>
      <c r="Q334" s="5"/>
      <c r="R334" s="5"/>
      <c r="S334" s="5"/>
      <c r="T334" s="5"/>
    </row>
    <row r="335" spans="1:20">
      <c r="A335" s="45"/>
      <c r="B335" s="46"/>
      <c r="C335" s="5"/>
      <c r="D335" s="5"/>
      <c r="E335" s="5"/>
      <c r="F335" s="5"/>
      <c r="G335" s="5"/>
      <c r="H335" s="5"/>
      <c r="I335" s="5"/>
      <c r="J335" s="5"/>
      <c r="K335" s="5"/>
      <c r="L335" s="5"/>
      <c r="M335" s="5"/>
      <c r="N335" s="5"/>
      <c r="O335" s="5"/>
      <c r="P335" s="5"/>
      <c r="Q335" s="5"/>
      <c r="R335" s="5"/>
      <c r="S335" s="5"/>
      <c r="T335" s="5"/>
    </row>
    <row r="336" spans="1:20">
      <c r="A336" s="45"/>
      <c r="B336" s="46"/>
      <c r="C336" s="5"/>
      <c r="D336" s="5"/>
      <c r="E336" s="5"/>
      <c r="F336" s="5"/>
      <c r="G336" s="5"/>
      <c r="H336" s="5"/>
      <c r="I336" s="5"/>
      <c r="J336" s="5"/>
      <c r="K336" s="5"/>
      <c r="L336" s="5"/>
      <c r="M336" s="5"/>
      <c r="N336" s="5"/>
      <c r="O336" s="5"/>
      <c r="P336" s="5"/>
      <c r="Q336" s="5"/>
      <c r="R336" s="5"/>
      <c r="S336" s="5"/>
      <c r="T336" s="5"/>
    </row>
    <row r="337" spans="1:20">
      <c r="A337" s="45"/>
      <c r="B337" s="46"/>
      <c r="C337" s="5"/>
      <c r="D337" s="5"/>
      <c r="E337" s="5"/>
      <c r="F337" s="5"/>
      <c r="G337" s="5"/>
      <c r="H337" s="5"/>
      <c r="I337" s="5"/>
      <c r="J337" s="5"/>
      <c r="K337" s="5"/>
      <c r="L337" s="5"/>
      <c r="M337" s="5"/>
      <c r="N337" s="5"/>
      <c r="O337" s="5"/>
      <c r="P337" s="5"/>
      <c r="Q337" s="5"/>
      <c r="R337" s="5"/>
      <c r="S337" s="5"/>
      <c r="T337" s="5"/>
    </row>
    <row r="338" spans="1:20">
      <c r="A338" s="45"/>
      <c r="B338" s="46"/>
      <c r="C338" s="5"/>
      <c r="D338" s="5"/>
      <c r="E338" s="5"/>
      <c r="F338" s="5"/>
      <c r="G338" s="5"/>
      <c r="H338" s="5"/>
      <c r="I338" s="5"/>
      <c r="J338" s="5"/>
      <c r="K338" s="5"/>
      <c r="L338" s="5"/>
      <c r="M338" s="5"/>
      <c r="N338" s="5"/>
      <c r="O338" s="5"/>
      <c r="P338" s="5"/>
      <c r="Q338" s="5"/>
      <c r="R338" s="5"/>
      <c r="S338" s="5"/>
      <c r="T338" s="5"/>
    </row>
    <row r="339" spans="1:20">
      <c r="A339" s="45"/>
      <c r="B339" s="46"/>
      <c r="C339" s="5"/>
      <c r="D339" s="5"/>
      <c r="E339" s="5"/>
      <c r="F339" s="5"/>
      <c r="G339" s="5"/>
      <c r="H339" s="5"/>
      <c r="I339" s="5"/>
      <c r="J339" s="5"/>
      <c r="K339" s="5"/>
      <c r="L339" s="5"/>
      <c r="M339" s="5"/>
      <c r="N339" s="5"/>
      <c r="O339" s="5"/>
      <c r="P339" s="5"/>
      <c r="Q339" s="5"/>
      <c r="R339" s="5"/>
      <c r="S339" s="5"/>
      <c r="T339" s="5"/>
    </row>
    <row r="340" spans="1:20">
      <c r="A340" s="45"/>
      <c r="B340" s="46"/>
      <c r="C340" s="5"/>
      <c r="D340" s="5"/>
      <c r="E340" s="5"/>
      <c r="F340" s="5"/>
      <c r="G340" s="5"/>
      <c r="H340" s="5"/>
      <c r="I340" s="5"/>
      <c r="J340" s="5"/>
      <c r="K340" s="5"/>
      <c r="L340" s="5"/>
      <c r="M340" s="5"/>
      <c r="N340" s="5"/>
      <c r="O340" s="5"/>
      <c r="P340" s="5"/>
      <c r="Q340" s="5"/>
      <c r="R340" s="5"/>
      <c r="S340" s="5"/>
      <c r="T340" s="5"/>
    </row>
    <row r="341" spans="1:20">
      <c r="A341" s="45"/>
      <c r="B341" s="46"/>
      <c r="C341" s="5"/>
      <c r="D341" s="5"/>
      <c r="E341" s="5"/>
      <c r="F341" s="5"/>
      <c r="G341" s="5"/>
      <c r="H341" s="5"/>
      <c r="I341" s="5"/>
      <c r="J341" s="5"/>
      <c r="K341" s="5"/>
      <c r="L341" s="5"/>
      <c r="M341" s="5"/>
      <c r="N341" s="5"/>
      <c r="O341" s="5"/>
      <c r="P341" s="5"/>
      <c r="Q341" s="5"/>
      <c r="R341" s="5"/>
      <c r="S341" s="5"/>
      <c r="T341" s="5"/>
    </row>
    <row r="342" spans="1:20">
      <c r="A342" s="45"/>
      <c r="B342" s="46"/>
      <c r="C342" s="5"/>
      <c r="D342" s="5"/>
      <c r="E342" s="5"/>
      <c r="F342" s="5"/>
      <c r="G342" s="5"/>
      <c r="H342" s="5"/>
      <c r="I342" s="5"/>
      <c r="J342" s="5"/>
      <c r="K342" s="5"/>
      <c r="L342" s="5"/>
      <c r="M342" s="5"/>
      <c r="N342" s="5"/>
      <c r="O342" s="5"/>
      <c r="P342" s="5"/>
      <c r="Q342" s="5"/>
      <c r="R342" s="5"/>
      <c r="S342" s="5"/>
      <c r="T342" s="5"/>
    </row>
    <row r="343" spans="1:20">
      <c r="A343" s="45"/>
      <c r="B343" s="46"/>
      <c r="C343" s="5"/>
      <c r="D343" s="5"/>
      <c r="E343" s="5"/>
      <c r="F343" s="5"/>
      <c r="G343" s="5"/>
      <c r="H343" s="5"/>
      <c r="I343" s="5"/>
      <c r="J343" s="5"/>
      <c r="K343" s="5"/>
      <c r="L343" s="5"/>
      <c r="M343" s="5"/>
      <c r="N343" s="5"/>
      <c r="O343" s="5"/>
      <c r="P343" s="5"/>
      <c r="Q343" s="5"/>
      <c r="R343" s="5"/>
      <c r="S343" s="5"/>
      <c r="T343" s="5"/>
    </row>
    <row r="344" spans="1:20">
      <c r="A344" s="45"/>
      <c r="B344" s="46"/>
      <c r="C344" s="5"/>
      <c r="D344" s="5"/>
      <c r="E344" s="5"/>
      <c r="F344" s="5"/>
      <c r="G344" s="5"/>
      <c r="H344" s="5"/>
      <c r="I344" s="5"/>
      <c r="J344" s="5"/>
      <c r="K344" s="5"/>
      <c r="L344" s="5"/>
      <c r="M344" s="5"/>
      <c r="N344" s="5"/>
      <c r="O344" s="5"/>
      <c r="P344" s="5"/>
      <c r="Q344" s="5"/>
      <c r="R344" s="5"/>
      <c r="S344" s="5"/>
      <c r="T344" s="5"/>
    </row>
    <row r="345" spans="1:20">
      <c r="A345" s="45"/>
      <c r="B345" s="46"/>
      <c r="C345" s="5"/>
      <c r="D345" s="5"/>
      <c r="E345" s="5"/>
      <c r="F345" s="5"/>
      <c r="G345" s="5"/>
      <c r="H345" s="5"/>
      <c r="I345" s="5"/>
      <c r="J345" s="5"/>
      <c r="K345" s="5"/>
      <c r="L345" s="5"/>
      <c r="M345" s="5"/>
      <c r="N345" s="5"/>
      <c r="O345" s="5"/>
      <c r="P345" s="5"/>
      <c r="Q345" s="5"/>
      <c r="R345" s="5"/>
      <c r="S345" s="5"/>
      <c r="T345" s="5"/>
    </row>
    <row r="346" spans="1:20">
      <c r="A346" s="45"/>
      <c r="B346" s="46"/>
      <c r="C346" s="5"/>
      <c r="D346" s="5"/>
      <c r="E346" s="5"/>
      <c r="F346" s="5"/>
      <c r="G346" s="5"/>
      <c r="H346" s="5"/>
      <c r="I346" s="5"/>
      <c r="J346" s="5"/>
      <c r="K346" s="5"/>
      <c r="L346" s="5"/>
      <c r="M346" s="5"/>
      <c r="N346" s="5"/>
      <c r="O346" s="5"/>
      <c r="P346" s="5"/>
      <c r="Q346" s="5"/>
      <c r="R346" s="5"/>
      <c r="S346" s="5"/>
      <c r="T346" s="5"/>
    </row>
    <row r="347" spans="1:20">
      <c r="A347" s="45"/>
      <c r="B347" s="46"/>
      <c r="C347" s="5"/>
      <c r="D347" s="5"/>
      <c r="E347" s="5"/>
      <c r="F347" s="5"/>
      <c r="G347" s="5"/>
      <c r="H347" s="5"/>
      <c r="I347" s="5"/>
      <c r="J347" s="5"/>
      <c r="K347" s="5"/>
      <c r="L347" s="5"/>
      <c r="M347" s="5"/>
      <c r="N347" s="5"/>
      <c r="O347" s="5"/>
      <c r="P347" s="5"/>
      <c r="Q347" s="5"/>
      <c r="R347" s="5"/>
      <c r="S347" s="5"/>
      <c r="T347" s="5"/>
    </row>
    <row r="348" spans="1:20">
      <c r="A348" s="45"/>
      <c r="B348" s="46"/>
      <c r="C348" s="5"/>
      <c r="D348" s="5"/>
      <c r="E348" s="5"/>
      <c r="F348" s="5"/>
      <c r="G348" s="5"/>
      <c r="H348" s="5"/>
      <c r="I348" s="5"/>
      <c r="J348" s="5"/>
      <c r="K348" s="5"/>
      <c r="L348" s="5"/>
      <c r="M348" s="5"/>
      <c r="N348" s="5"/>
      <c r="O348" s="5"/>
      <c r="P348" s="5"/>
      <c r="Q348" s="5"/>
      <c r="R348" s="5"/>
      <c r="S348" s="5"/>
      <c r="T348" s="5"/>
    </row>
    <row r="349" spans="1:20">
      <c r="A349" s="45"/>
      <c r="B349" s="46"/>
      <c r="C349" s="5"/>
      <c r="D349" s="5"/>
      <c r="E349" s="5"/>
      <c r="F349" s="5"/>
      <c r="G349" s="5"/>
      <c r="H349" s="5"/>
      <c r="I349" s="5"/>
      <c r="J349" s="5"/>
      <c r="K349" s="5"/>
      <c r="L349" s="5"/>
      <c r="M349" s="5"/>
      <c r="N349" s="5"/>
      <c r="O349" s="5"/>
      <c r="P349" s="5"/>
      <c r="Q349" s="5"/>
      <c r="R349" s="5"/>
      <c r="S349" s="5"/>
      <c r="T349" s="5"/>
    </row>
    <row r="350" spans="1:20">
      <c r="A350" s="45"/>
      <c r="B350" s="46"/>
      <c r="C350" s="5"/>
      <c r="D350" s="5"/>
      <c r="E350" s="5"/>
      <c r="F350" s="5"/>
      <c r="G350" s="5"/>
      <c r="H350" s="5"/>
      <c r="I350" s="5"/>
      <c r="J350" s="5"/>
      <c r="K350" s="5"/>
      <c r="L350" s="5"/>
      <c r="M350" s="5"/>
      <c r="N350" s="5"/>
      <c r="O350" s="5"/>
      <c r="P350" s="5"/>
      <c r="Q350" s="5"/>
      <c r="R350" s="5"/>
      <c r="S350" s="5"/>
      <c r="T350" s="5"/>
    </row>
    <row r="351" spans="1:20">
      <c r="A351" s="45"/>
      <c r="B351" s="46"/>
      <c r="C351" s="5"/>
      <c r="D351" s="5"/>
      <c r="E351" s="5"/>
      <c r="F351" s="5"/>
      <c r="G351" s="5"/>
      <c r="H351" s="5"/>
      <c r="I351" s="5"/>
      <c r="J351" s="5"/>
      <c r="K351" s="5"/>
      <c r="L351" s="5"/>
      <c r="M351" s="5"/>
      <c r="N351" s="5"/>
      <c r="O351" s="5"/>
      <c r="P351" s="5"/>
      <c r="Q351" s="5"/>
      <c r="R351" s="5"/>
      <c r="S351" s="5"/>
      <c r="T351" s="5"/>
    </row>
    <row r="352" spans="1:20">
      <c r="A352" s="45"/>
      <c r="B352" s="46"/>
      <c r="C352" s="5"/>
      <c r="D352" s="5"/>
      <c r="E352" s="5"/>
      <c r="F352" s="5"/>
      <c r="G352" s="5"/>
      <c r="H352" s="5"/>
      <c r="I352" s="5"/>
      <c r="J352" s="5"/>
      <c r="K352" s="5"/>
      <c r="L352" s="5"/>
      <c r="M352" s="5"/>
      <c r="N352" s="5"/>
      <c r="O352" s="5"/>
      <c r="P352" s="5"/>
      <c r="Q352" s="5"/>
      <c r="R352" s="5"/>
      <c r="S352" s="5"/>
      <c r="T352" s="5"/>
    </row>
    <row r="353" spans="1:20">
      <c r="A353" s="45"/>
      <c r="B353" s="46"/>
      <c r="C353" s="5"/>
      <c r="D353" s="5"/>
      <c r="E353" s="5"/>
      <c r="F353" s="5"/>
      <c r="G353" s="5"/>
      <c r="H353" s="5"/>
      <c r="I353" s="5"/>
      <c r="J353" s="5"/>
      <c r="K353" s="5"/>
      <c r="L353" s="5"/>
      <c r="M353" s="5"/>
      <c r="N353" s="5"/>
      <c r="O353" s="5"/>
      <c r="P353" s="5"/>
      <c r="Q353" s="5"/>
      <c r="R353" s="5"/>
      <c r="S353" s="5"/>
      <c r="T353" s="5"/>
    </row>
    <row r="354" spans="1:20">
      <c r="A354" s="45"/>
      <c r="B354" s="46"/>
      <c r="C354" s="5"/>
      <c r="D354" s="5"/>
      <c r="E354" s="5"/>
      <c r="F354" s="5"/>
      <c r="G354" s="5"/>
      <c r="H354" s="5"/>
      <c r="I354" s="5"/>
      <c r="J354" s="5"/>
      <c r="K354" s="5"/>
      <c r="L354" s="5"/>
      <c r="M354" s="5"/>
      <c r="N354" s="5"/>
      <c r="O354" s="5"/>
      <c r="P354" s="5"/>
      <c r="Q354" s="5"/>
      <c r="R354" s="5"/>
      <c r="S354" s="5"/>
      <c r="T354" s="5"/>
    </row>
    <row r="355" spans="1:20">
      <c r="A355" s="45"/>
      <c r="B355" s="46"/>
      <c r="C355" s="5"/>
      <c r="D355" s="5"/>
      <c r="E355" s="5"/>
      <c r="F355" s="5"/>
      <c r="G355" s="5"/>
      <c r="H355" s="5"/>
      <c r="I355" s="5"/>
      <c r="J355" s="5"/>
      <c r="K355" s="5"/>
      <c r="L355" s="5"/>
      <c r="M355" s="5"/>
      <c r="N355" s="5"/>
      <c r="O355" s="5"/>
      <c r="P355" s="5"/>
      <c r="Q355" s="5"/>
      <c r="R355" s="5"/>
      <c r="S355" s="5"/>
      <c r="T355" s="5"/>
    </row>
    <row r="356" spans="1:20">
      <c r="A356" s="45"/>
      <c r="B356" s="46"/>
      <c r="C356" s="5"/>
      <c r="D356" s="5"/>
      <c r="E356" s="5"/>
      <c r="F356" s="5"/>
      <c r="G356" s="5"/>
      <c r="H356" s="5"/>
      <c r="I356" s="5"/>
      <c r="J356" s="5"/>
      <c r="K356" s="5"/>
      <c r="L356" s="5"/>
      <c r="M356" s="5"/>
      <c r="N356" s="5"/>
      <c r="O356" s="5"/>
      <c r="P356" s="5"/>
      <c r="Q356" s="5"/>
      <c r="R356" s="5"/>
      <c r="S356" s="5"/>
      <c r="T356" s="5"/>
    </row>
    <row r="357" spans="1:20">
      <c r="A357" s="45"/>
      <c r="B357" s="46"/>
      <c r="C357" s="5"/>
      <c r="D357" s="5"/>
      <c r="E357" s="5"/>
      <c r="F357" s="5"/>
      <c r="G357" s="5"/>
      <c r="H357" s="5"/>
      <c r="I357" s="5"/>
      <c r="J357" s="5"/>
      <c r="K357" s="5"/>
      <c r="L357" s="5"/>
      <c r="M357" s="5"/>
      <c r="N357" s="5"/>
      <c r="O357" s="5"/>
      <c r="P357" s="5"/>
      <c r="Q357" s="5"/>
      <c r="R357" s="5"/>
      <c r="S357" s="5"/>
      <c r="T357" s="5"/>
    </row>
    <row r="358" spans="1:20">
      <c r="A358" s="45"/>
      <c r="B358" s="46"/>
      <c r="C358" s="5"/>
      <c r="D358" s="5"/>
      <c r="E358" s="5"/>
      <c r="F358" s="5"/>
      <c r="G358" s="5"/>
      <c r="H358" s="5"/>
      <c r="I358" s="5"/>
      <c r="J358" s="5"/>
      <c r="K358" s="5"/>
      <c r="L358" s="5"/>
      <c r="M358" s="5"/>
      <c r="N358" s="5"/>
      <c r="O358" s="5"/>
      <c r="P358" s="5"/>
      <c r="Q358" s="5"/>
      <c r="R358" s="5"/>
      <c r="S358" s="5"/>
      <c r="T358" s="5"/>
    </row>
    <row r="359" spans="1:20">
      <c r="A359" s="45"/>
      <c r="B359" s="46"/>
      <c r="C359" s="5"/>
      <c r="D359" s="5"/>
      <c r="E359" s="5"/>
      <c r="F359" s="5"/>
      <c r="G359" s="5"/>
      <c r="H359" s="5"/>
      <c r="I359" s="5"/>
      <c r="J359" s="5"/>
      <c r="K359" s="5"/>
      <c r="L359" s="5"/>
      <c r="M359" s="5"/>
      <c r="N359" s="5"/>
      <c r="O359" s="5"/>
      <c r="P359" s="5"/>
      <c r="Q359" s="5"/>
      <c r="R359" s="5"/>
      <c r="S359" s="5"/>
      <c r="T359" s="5"/>
    </row>
    <row r="360" spans="1:20">
      <c r="A360" s="45"/>
      <c r="B360" s="46"/>
      <c r="C360" s="5"/>
      <c r="D360" s="5"/>
      <c r="E360" s="5"/>
      <c r="F360" s="5"/>
      <c r="G360" s="5"/>
      <c r="H360" s="5"/>
      <c r="I360" s="5"/>
      <c r="J360" s="5"/>
      <c r="K360" s="5"/>
      <c r="L360" s="5"/>
      <c r="M360" s="5"/>
      <c r="N360" s="5"/>
      <c r="O360" s="5"/>
      <c r="P360" s="5"/>
      <c r="Q360" s="5"/>
      <c r="R360" s="5"/>
      <c r="S360" s="5"/>
      <c r="T360" s="5"/>
    </row>
    <row r="361" spans="1:20">
      <c r="A361" s="45"/>
      <c r="B361" s="46"/>
      <c r="C361" s="5"/>
      <c r="D361" s="5"/>
      <c r="E361" s="5"/>
      <c r="F361" s="5"/>
      <c r="G361" s="5"/>
      <c r="H361" s="5"/>
      <c r="I361" s="5"/>
      <c r="J361" s="5"/>
      <c r="K361" s="5"/>
      <c r="L361" s="5"/>
      <c r="M361" s="5"/>
      <c r="N361" s="5"/>
      <c r="O361" s="5"/>
      <c r="P361" s="5"/>
      <c r="Q361" s="5"/>
      <c r="R361" s="5"/>
      <c r="S361" s="5"/>
      <c r="T361" s="5"/>
    </row>
    <row r="362" spans="1:20">
      <c r="A362" s="45"/>
      <c r="B362" s="46"/>
      <c r="C362" s="5"/>
      <c r="D362" s="5"/>
      <c r="E362" s="5"/>
      <c r="F362" s="5"/>
      <c r="G362" s="5"/>
      <c r="H362" s="5"/>
      <c r="I362" s="5"/>
      <c r="J362" s="5"/>
      <c r="K362" s="5"/>
      <c r="L362" s="5"/>
      <c r="M362" s="5"/>
      <c r="N362" s="5"/>
      <c r="O362" s="5"/>
      <c r="P362" s="5"/>
      <c r="Q362" s="5"/>
      <c r="R362" s="5"/>
      <c r="S362" s="5"/>
      <c r="T362" s="5"/>
    </row>
    <row r="363" spans="1:20">
      <c r="A363" s="45"/>
      <c r="B363" s="46"/>
      <c r="C363" s="5"/>
      <c r="D363" s="5"/>
      <c r="E363" s="5"/>
      <c r="F363" s="5"/>
      <c r="G363" s="5"/>
      <c r="H363" s="5"/>
      <c r="I363" s="5"/>
      <c r="J363" s="5"/>
      <c r="K363" s="5"/>
      <c r="L363" s="5"/>
      <c r="M363" s="5"/>
      <c r="N363" s="5"/>
      <c r="O363" s="5"/>
      <c r="P363" s="5"/>
      <c r="Q363" s="5"/>
      <c r="R363" s="5"/>
      <c r="S363" s="5"/>
      <c r="T363" s="5"/>
    </row>
    <row r="364" spans="1:20">
      <c r="A364" s="45"/>
      <c r="B364" s="46"/>
      <c r="C364" s="5"/>
      <c r="D364" s="5"/>
      <c r="E364" s="5"/>
      <c r="F364" s="5"/>
      <c r="G364" s="5"/>
      <c r="H364" s="5"/>
      <c r="I364" s="5"/>
      <c r="J364" s="5"/>
      <c r="K364" s="5"/>
      <c r="L364" s="5"/>
      <c r="M364" s="5"/>
      <c r="N364" s="5"/>
      <c r="O364" s="5"/>
      <c r="P364" s="5"/>
      <c r="Q364" s="5"/>
      <c r="R364" s="5"/>
      <c r="S364" s="5"/>
      <c r="T364" s="5"/>
    </row>
    <row r="365" spans="1:20">
      <c r="A365" s="45"/>
      <c r="B365" s="46"/>
      <c r="C365" s="5"/>
      <c r="D365" s="5"/>
      <c r="E365" s="5"/>
      <c r="F365" s="5"/>
      <c r="G365" s="5"/>
      <c r="H365" s="5"/>
      <c r="I365" s="5"/>
      <c r="J365" s="5"/>
      <c r="K365" s="5"/>
      <c r="L365" s="5"/>
      <c r="M365" s="5"/>
      <c r="N365" s="5"/>
      <c r="O365" s="5"/>
      <c r="P365" s="5"/>
      <c r="Q365" s="5"/>
      <c r="R365" s="5"/>
      <c r="S365" s="5"/>
      <c r="T365" s="5"/>
    </row>
    <row r="366" spans="1:20">
      <c r="A366" s="45"/>
      <c r="B366" s="46"/>
      <c r="C366" s="5"/>
      <c r="D366" s="5"/>
      <c r="E366" s="5"/>
      <c r="F366" s="5"/>
      <c r="G366" s="5"/>
      <c r="H366" s="5"/>
      <c r="I366" s="5"/>
      <c r="J366" s="5"/>
      <c r="K366" s="5"/>
      <c r="L366" s="5"/>
      <c r="M366" s="5"/>
      <c r="N366" s="5"/>
      <c r="O366" s="5"/>
      <c r="P366" s="5"/>
      <c r="Q366" s="5"/>
      <c r="R366" s="5"/>
      <c r="S366" s="5"/>
      <c r="T366" s="5"/>
    </row>
    <row r="367" spans="1:20">
      <c r="A367" s="45"/>
      <c r="B367" s="46"/>
      <c r="C367" s="5"/>
      <c r="D367" s="5"/>
      <c r="E367" s="5"/>
      <c r="F367" s="5"/>
      <c r="G367" s="5"/>
      <c r="H367" s="5"/>
      <c r="I367" s="5"/>
      <c r="J367" s="5"/>
      <c r="K367" s="5"/>
      <c r="L367" s="5"/>
      <c r="M367" s="5"/>
      <c r="N367" s="5"/>
      <c r="O367" s="5"/>
      <c r="P367" s="5"/>
      <c r="Q367" s="5"/>
      <c r="R367" s="5"/>
      <c r="S367" s="5"/>
      <c r="T367" s="5"/>
    </row>
    <row r="368" spans="1:20">
      <c r="A368" s="45"/>
      <c r="B368" s="46"/>
      <c r="C368" s="5"/>
      <c r="D368" s="5"/>
      <c r="E368" s="5"/>
      <c r="F368" s="5"/>
      <c r="G368" s="5"/>
      <c r="H368" s="5"/>
      <c r="I368" s="5"/>
      <c r="J368" s="5"/>
      <c r="K368" s="5"/>
      <c r="L368" s="5"/>
      <c r="M368" s="5"/>
      <c r="N368" s="5"/>
      <c r="O368" s="5"/>
      <c r="P368" s="5"/>
      <c r="Q368" s="5"/>
      <c r="R368" s="5"/>
      <c r="S368" s="5"/>
      <c r="T368" s="5"/>
    </row>
    <row r="369" spans="1:20">
      <c r="A369" s="45"/>
      <c r="B369" s="46"/>
      <c r="C369" s="5"/>
      <c r="D369" s="5"/>
      <c r="E369" s="5"/>
      <c r="F369" s="5"/>
      <c r="G369" s="5"/>
      <c r="H369" s="5"/>
      <c r="I369" s="5"/>
      <c r="J369" s="5"/>
      <c r="K369" s="5"/>
      <c r="L369" s="5"/>
      <c r="M369" s="5"/>
      <c r="N369" s="5"/>
      <c r="O369" s="5"/>
      <c r="P369" s="5"/>
      <c r="Q369" s="5"/>
      <c r="R369" s="5"/>
      <c r="S369" s="5"/>
      <c r="T369" s="5"/>
    </row>
    <row r="370" spans="1:20">
      <c r="A370" s="45"/>
      <c r="B370" s="46"/>
      <c r="C370" s="5"/>
      <c r="D370" s="5"/>
      <c r="E370" s="5"/>
      <c r="F370" s="5"/>
      <c r="G370" s="5"/>
      <c r="H370" s="5"/>
      <c r="I370" s="5"/>
      <c r="J370" s="5"/>
      <c r="K370" s="5"/>
      <c r="L370" s="5"/>
      <c r="M370" s="5"/>
      <c r="N370" s="5"/>
      <c r="O370" s="5"/>
      <c r="P370" s="5"/>
      <c r="Q370" s="5"/>
      <c r="R370" s="5"/>
      <c r="S370" s="5"/>
      <c r="T370" s="5"/>
    </row>
    <row r="371" spans="1:20">
      <c r="A371" s="45"/>
      <c r="B371" s="46"/>
      <c r="C371" s="5"/>
      <c r="D371" s="5"/>
      <c r="E371" s="5"/>
      <c r="F371" s="5"/>
      <c r="G371" s="5"/>
      <c r="H371" s="5"/>
      <c r="I371" s="5"/>
      <c r="J371" s="5"/>
      <c r="K371" s="5"/>
      <c r="L371" s="5"/>
      <c r="M371" s="5"/>
      <c r="N371" s="5"/>
      <c r="O371" s="5"/>
      <c r="P371" s="5"/>
      <c r="Q371" s="5"/>
      <c r="R371" s="5"/>
      <c r="S371" s="5"/>
      <c r="T371" s="5"/>
    </row>
    <row r="372" spans="1:20">
      <c r="A372" s="45"/>
      <c r="B372" s="46"/>
      <c r="C372" s="5"/>
      <c r="D372" s="5"/>
      <c r="E372" s="5"/>
      <c r="F372" s="5"/>
      <c r="G372" s="5"/>
      <c r="H372" s="5"/>
      <c r="I372" s="5"/>
      <c r="J372" s="5"/>
      <c r="K372" s="5"/>
      <c r="L372" s="5"/>
      <c r="M372" s="5"/>
      <c r="N372" s="5"/>
      <c r="O372" s="5"/>
      <c r="P372" s="5"/>
      <c r="Q372" s="5"/>
      <c r="R372" s="5"/>
      <c r="S372" s="5"/>
      <c r="T372" s="5"/>
    </row>
    <row r="373" spans="1:20">
      <c r="A373" s="45"/>
      <c r="B373" s="46"/>
      <c r="C373" s="5"/>
      <c r="D373" s="5"/>
      <c r="E373" s="5"/>
      <c r="F373" s="5"/>
      <c r="G373" s="5"/>
      <c r="H373" s="5"/>
      <c r="I373" s="5"/>
      <c r="J373" s="5"/>
      <c r="K373" s="5"/>
      <c r="L373" s="5"/>
      <c r="M373" s="5"/>
      <c r="N373" s="5"/>
      <c r="O373" s="5"/>
      <c r="P373" s="5"/>
      <c r="Q373" s="5"/>
      <c r="R373" s="5"/>
      <c r="S373" s="5"/>
      <c r="T373" s="5"/>
    </row>
    <row r="374" spans="1:20">
      <c r="A374" s="45"/>
      <c r="B374" s="46"/>
      <c r="C374" s="5"/>
      <c r="D374" s="5"/>
      <c r="E374" s="5"/>
      <c r="F374" s="5"/>
      <c r="G374" s="5"/>
      <c r="H374" s="5"/>
      <c r="I374" s="5"/>
      <c r="J374" s="5"/>
      <c r="K374" s="5"/>
      <c r="L374" s="5"/>
      <c r="M374" s="5"/>
      <c r="N374" s="5"/>
      <c r="O374" s="5"/>
      <c r="P374" s="5"/>
      <c r="Q374" s="5"/>
      <c r="R374" s="5"/>
      <c r="S374" s="5"/>
      <c r="T374" s="5"/>
    </row>
    <row r="375" spans="1:20">
      <c r="A375" s="45"/>
      <c r="B375" s="46"/>
      <c r="C375" s="5"/>
      <c r="D375" s="5"/>
      <c r="E375" s="5"/>
      <c r="F375" s="5"/>
      <c r="G375" s="5"/>
      <c r="H375" s="5"/>
      <c r="I375" s="5"/>
      <c r="J375" s="5"/>
      <c r="K375" s="5"/>
      <c r="L375" s="5"/>
      <c r="M375" s="5"/>
      <c r="N375" s="5"/>
      <c r="O375" s="5"/>
      <c r="P375" s="5"/>
      <c r="Q375" s="5"/>
      <c r="R375" s="5"/>
      <c r="S375" s="5"/>
      <c r="T375" s="5"/>
    </row>
    <row r="376" spans="1:20">
      <c r="A376" s="45"/>
      <c r="B376" s="46"/>
      <c r="C376" s="5"/>
      <c r="D376" s="5"/>
      <c r="E376" s="5"/>
      <c r="F376" s="5"/>
      <c r="G376" s="5"/>
      <c r="H376" s="5"/>
      <c r="I376" s="5"/>
      <c r="J376" s="5"/>
      <c r="K376" s="5"/>
      <c r="L376" s="5"/>
      <c r="M376" s="5"/>
      <c r="N376" s="5"/>
      <c r="O376" s="5"/>
      <c r="P376" s="5"/>
      <c r="Q376" s="5"/>
      <c r="R376" s="5"/>
      <c r="S376" s="5"/>
      <c r="T376" s="5"/>
    </row>
    <row r="377" spans="1:20">
      <c r="A377" s="45"/>
      <c r="B377" s="46"/>
      <c r="C377" s="5"/>
      <c r="D377" s="5"/>
      <c r="E377" s="5"/>
      <c r="F377" s="5"/>
      <c r="G377" s="5"/>
      <c r="H377" s="5"/>
      <c r="I377" s="5"/>
      <c r="J377" s="5"/>
      <c r="K377" s="5"/>
      <c r="L377" s="5"/>
      <c r="M377" s="5"/>
      <c r="N377" s="5"/>
      <c r="O377" s="5"/>
      <c r="P377" s="5"/>
      <c r="Q377" s="5"/>
      <c r="R377" s="5"/>
      <c r="S377" s="5"/>
      <c r="T377" s="5"/>
    </row>
    <row r="378" spans="1:20">
      <c r="A378" s="45"/>
      <c r="B378" s="46"/>
      <c r="C378" s="5"/>
      <c r="D378" s="5"/>
      <c r="E378" s="5"/>
      <c r="F378" s="5"/>
      <c r="G378" s="5"/>
      <c r="H378" s="5"/>
      <c r="I378" s="5"/>
      <c r="J378" s="5"/>
      <c r="K378" s="5"/>
      <c r="L378" s="5"/>
      <c r="M378" s="5"/>
      <c r="N378" s="5"/>
      <c r="O378" s="5"/>
      <c r="P378" s="5"/>
      <c r="Q378" s="5"/>
      <c r="R378" s="5"/>
      <c r="S378" s="5"/>
      <c r="T378" s="5"/>
    </row>
    <row r="379" spans="1:20">
      <c r="A379" s="45"/>
      <c r="B379" s="46"/>
      <c r="C379" s="5"/>
      <c r="D379" s="5"/>
      <c r="E379" s="5"/>
      <c r="F379" s="5"/>
      <c r="G379" s="5"/>
      <c r="H379" s="5"/>
      <c r="I379" s="5"/>
      <c r="J379" s="5"/>
      <c r="K379" s="5"/>
      <c r="L379" s="5"/>
      <c r="M379" s="5"/>
      <c r="N379" s="5"/>
      <c r="O379" s="5"/>
      <c r="P379" s="5"/>
      <c r="Q379" s="5"/>
      <c r="R379" s="5"/>
      <c r="S379" s="5"/>
      <c r="T379" s="5"/>
    </row>
    <row r="380" spans="1:20">
      <c r="A380" s="45"/>
      <c r="B380" s="46"/>
      <c r="C380" s="5"/>
      <c r="D380" s="5"/>
      <c r="E380" s="5"/>
      <c r="F380" s="5"/>
      <c r="G380" s="5"/>
      <c r="H380" s="5"/>
      <c r="I380" s="5"/>
      <c r="J380" s="5"/>
      <c r="K380" s="5"/>
      <c r="L380" s="5"/>
      <c r="M380" s="5"/>
      <c r="N380" s="5"/>
      <c r="O380" s="5"/>
      <c r="P380" s="5"/>
      <c r="Q380" s="5"/>
      <c r="R380" s="5"/>
      <c r="S380" s="5"/>
      <c r="T380" s="5"/>
    </row>
    <row r="381" spans="1:20">
      <c r="A381" s="45"/>
      <c r="B381" s="46"/>
      <c r="C381" s="5"/>
      <c r="D381" s="5"/>
      <c r="E381" s="5"/>
      <c r="F381" s="5"/>
      <c r="G381" s="5"/>
      <c r="H381" s="5"/>
      <c r="I381" s="5"/>
      <c r="J381" s="5"/>
      <c r="K381" s="5"/>
      <c r="L381" s="5"/>
      <c r="M381" s="5"/>
      <c r="N381" s="5"/>
      <c r="O381" s="5"/>
      <c r="P381" s="5"/>
      <c r="Q381" s="5"/>
      <c r="R381" s="5"/>
      <c r="S381" s="5"/>
      <c r="T381" s="5"/>
    </row>
    <row r="382" spans="1:20">
      <c r="A382" s="45"/>
      <c r="B382" s="46"/>
      <c r="C382" s="5"/>
      <c r="D382" s="5"/>
      <c r="E382" s="5"/>
      <c r="F382" s="5"/>
      <c r="G382" s="5"/>
      <c r="H382" s="5"/>
      <c r="I382" s="5"/>
      <c r="J382" s="5"/>
      <c r="K382" s="5"/>
      <c r="L382" s="5"/>
      <c r="M382" s="5"/>
      <c r="N382" s="5"/>
      <c r="O382" s="5"/>
      <c r="P382" s="5"/>
      <c r="Q382" s="5"/>
      <c r="R382" s="5"/>
      <c r="S382" s="5"/>
      <c r="T382" s="5"/>
    </row>
    <row r="383" spans="1:20">
      <c r="A383" s="45"/>
      <c r="B383" s="46"/>
      <c r="C383" s="5"/>
      <c r="D383" s="5"/>
      <c r="E383" s="5"/>
      <c r="F383" s="5"/>
      <c r="G383" s="5"/>
      <c r="H383" s="5"/>
      <c r="I383" s="5"/>
      <c r="J383" s="5"/>
      <c r="K383" s="5"/>
      <c r="L383" s="5"/>
      <c r="M383" s="5"/>
      <c r="N383" s="5"/>
      <c r="O383" s="5"/>
      <c r="P383" s="5"/>
      <c r="Q383" s="5"/>
      <c r="R383" s="5"/>
      <c r="S383" s="5"/>
      <c r="T383" s="5"/>
    </row>
    <row r="384" spans="1:20">
      <c r="A384" s="45"/>
      <c r="B384" s="46"/>
      <c r="C384" s="5"/>
      <c r="D384" s="5"/>
      <c r="E384" s="5"/>
      <c r="F384" s="5"/>
      <c r="G384" s="5"/>
      <c r="H384" s="5"/>
      <c r="I384" s="5"/>
      <c r="J384" s="5"/>
      <c r="K384" s="5"/>
      <c r="L384" s="5"/>
      <c r="M384" s="5"/>
      <c r="N384" s="5"/>
      <c r="O384" s="5"/>
      <c r="P384" s="5"/>
      <c r="Q384" s="5"/>
      <c r="R384" s="5"/>
      <c r="S384" s="5"/>
      <c r="T384" s="5"/>
    </row>
    <row r="385" spans="1:20">
      <c r="A385" s="45"/>
      <c r="B385" s="46"/>
      <c r="C385" s="5"/>
      <c r="D385" s="5"/>
      <c r="E385" s="5"/>
      <c r="F385" s="5"/>
      <c r="G385" s="5"/>
      <c r="H385" s="5"/>
      <c r="I385" s="5"/>
      <c r="J385" s="5"/>
      <c r="K385" s="5"/>
      <c r="L385" s="5"/>
      <c r="M385" s="5"/>
      <c r="N385" s="5"/>
      <c r="O385" s="5"/>
      <c r="P385" s="5"/>
      <c r="Q385" s="5"/>
      <c r="R385" s="5"/>
      <c r="S385" s="5"/>
      <c r="T385" s="5"/>
    </row>
    <row r="386" spans="1:20">
      <c r="A386" s="45"/>
      <c r="B386" s="46"/>
      <c r="C386" s="5"/>
      <c r="D386" s="5"/>
      <c r="E386" s="5"/>
      <c r="F386" s="5"/>
      <c r="G386" s="5"/>
      <c r="H386" s="5"/>
      <c r="I386" s="5"/>
      <c r="J386" s="5"/>
      <c r="K386" s="5"/>
      <c r="L386" s="5"/>
      <c r="M386" s="5"/>
      <c r="N386" s="5"/>
      <c r="O386" s="5"/>
      <c r="P386" s="5"/>
      <c r="Q386" s="5"/>
      <c r="R386" s="5"/>
      <c r="S386" s="5"/>
      <c r="T386" s="5"/>
    </row>
    <row r="387" spans="1:20">
      <c r="A387" s="45"/>
      <c r="B387" s="46"/>
      <c r="C387" s="5"/>
      <c r="D387" s="5"/>
      <c r="E387" s="5"/>
      <c r="F387" s="5"/>
      <c r="G387" s="5"/>
      <c r="H387" s="5"/>
      <c r="I387" s="5"/>
      <c r="J387" s="5"/>
      <c r="K387" s="5"/>
      <c r="L387" s="5"/>
      <c r="M387" s="5"/>
      <c r="N387" s="5"/>
      <c r="O387" s="5"/>
      <c r="P387" s="5"/>
      <c r="Q387" s="5"/>
      <c r="R387" s="5"/>
      <c r="S387" s="5"/>
      <c r="T387" s="5"/>
    </row>
    <row r="388" spans="1:20">
      <c r="A388" s="45"/>
      <c r="B388" s="46"/>
      <c r="C388" s="5"/>
      <c r="D388" s="5"/>
      <c r="E388" s="5"/>
      <c r="F388" s="5"/>
      <c r="G388" s="5"/>
      <c r="H388" s="5"/>
      <c r="I388" s="5"/>
      <c r="J388" s="5"/>
      <c r="K388" s="5"/>
      <c r="L388" s="5"/>
      <c r="M388" s="5"/>
      <c r="N388" s="5"/>
      <c r="O388" s="5"/>
      <c r="P388" s="5"/>
      <c r="Q388" s="5"/>
      <c r="R388" s="5"/>
      <c r="S388" s="5"/>
      <c r="T388" s="5"/>
    </row>
    <row r="389" spans="1:20">
      <c r="A389" s="45"/>
      <c r="B389" s="46"/>
      <c r="C389" s="5"/>
      <c r="D389" s="5"/>
      <c r="E389" s="5"/>
      <c r="F389" s="5"/>
      <c r="G389" s="5"/>
      <c r="H389" s="5"/>
      <c r="I389" s="5"/>
      <c r="J389" s="5"/>
      <c r="K389" s="5"/>
      <c r="L389" s="5"/>
      <c r="M389" s="5"/>
      <c r="N389" s="5"/>
      <c r="O389" s="5"/>
      <c r="P389" s="5"/>
      <c r="Q389" s="5"/>
      <c r="R389" s="5"/>
      <c r="S389" s="5"/>
      <c r="T389" s="5"/>
    </row>
    <row r="390" spans="1:20">
      <c r="A390" s="45"/>
      <c r="B390" s="46"/>
      <c r="C390" s="5"/>
      <c r="D390" s="5"/>
      <c r="E390" s="5"/>
      <c r="F390" s="5"/>
      <c r="G390" s="5"/>
      <c r="H390" s="5"/>
      <c r="I390" s="5"/>
      <c r="J390" s="5"/>
      <c r="K390" s="5"/>
      <c r="L390" s="5"/>
      <c r="M390" s="5"/>
      <c r="N390" s="5"/>
      <c r="O390" s="5"/>
      <c r="P390" s="5"/>
      <c r="Q390" s="5"/>
      <c r="R390" s="5"/>
      <c r="S390" s="5"/>
      <c r="T390" s="5"/>
    </row>
    <row r="391" spans="1:20">
      <c r="A391" s="45"/>
      <c r="B391" s="46"/>
      <c r="C391" s="5"/>
      <c r="D391" s="5"/>
      <c r="E391" s="5"/>
      <c r="F391" s="5"/>
      <c r="G391" s="5"/>
      <c r="H391" s="5"/>
      <c r="I391" s="5"/>
      <c r="J391" s="5"/>
      <c r="K391" s="5"/>
      <c r="L391" s="5"/>
      <c r="M391" s="5"/>
      <c r="N391" s="5"/>
      <c r="O391" s="5"/>
      <c r="P391" s="5"/>
      <c r="Q391" s="5"/>
      <c r="R391" s="5"/>
      <c r="S391" s="5"/>
      <c r="T391" s="5"/>
    </row>
    <row r="392" spans="1:20">
      <c r="A392" s="45"/>
      <c r="B392" s="46"/>
      <c r="C392" s="5"/>
      <c r="D392" s="5"/>
      <c r="E392" s="5"/>
      <c r="F392" s="5"/>
      <c r="G392" s="5"/>
      <c r="H392" s="5"/>
      <c r="I392" s="5"/>
      <c r="J392" s="5"/>
      <c r="K392" s="5"/>
      <c r="L392" s="5"/>
      <c r="M392" s="5"/>
      <c r="N392" s="5"/>
      <c r="O392" s="5"/>
      <c r="P392" s="5"/>
      <c r="Q392" s="5"/>
      <c r="R392" s="5"/>
      <c r="S392" s="5"/>
      <c r="T392" s="5"/>
    </row>
    <row r="393" spans="1:20">
      <c r="A393" s="45"/>
      <c r="B393" s="46"/>
      <c r="C393" s="5"/>
      <c r="D393" s="5"/>
      <c r="E393" s="5"/>
      <c r="F393" s="5"/>
      <c r="G393" s="5"/>
      <c r="H393" s="5"/>
      <c r="I393" s="5"/>
      <c r="J393" s="5"/>
      <c r="K393" s="5"/>
      <c r="L393" s="5"/>
      <c r="M393" s="5"/>
      <c r="N393" s="5"/>
      <c r="O393" s="5"/>
      <c r="P393" s="5"/>
      <c r="Q393" s="5"/>
      <c r="R393" s="5"/>
      <c r="S393" s="5"/>
      <c r="T393" s="5"/>
    </row>
    <row r="394" spans="1:20">
      <c r="A394" s="45"/>
      <c r="B394" s="46"/>
      <c r="C394" s="5"/>
      <c r="D394" s="5"/>
      <c r="E394" s="5"/>
      <c r="F394" s="5"/>
      <c r="G394" s="5"/>
      <c r="H394" s="5"/>
      <c r="I394" s="5"/>
      <c r="J394" s="5"/>
      <c r="K394" s="5"/>
      <c r="L394" s="5"/>
      <c r="M394" s="5"/>
      <c r="N394" s="5"/>
      <c r="O394" s="5"/>
      <c r="P394" s="5"/>
      <c r="Q394" s="5"/>
      <c r="R394" s="5"/>
      <c r="S394" s="5"/>
      <c r="T394" s="5"/>
    </row>
    <row r="395" spans="1:20">
      <c r="A395" s="45"/>
      <c r="B395" s="46"/>
      <c r="C395" s="5"/>
      <c r="D395" s="5"/>
      <c r="E395" s="5"/>
      <c r="F395" s="5"/>
      <c r="G395" s="5"/>
      <c r="H395" s="5"/>
      <c r="I395" s="5"/>
      <c r="J395" s="5"/>
      <c r="K395" s="5"/>
      <c r="L395" s="5"/>
      <c r="M395" s="5"/>
      <c r="N395" s="5"/>
      <c r="O395" s="5"/>
      <c r="P395" s="5"/>
      <c r="Q395" s="5"/>
      <c r="R395" s="5"/>
      <c r="S395" s="5"/>
      <c r="T395" s="5"/>
    </row>
    <row r="396" spans="1:20">
      <c r="A396" s="45"/>
      <c r="B396" s="46"/>
      <c r="C396" s="5"/>
      <c r="D396" s="5"/>
      <c r="E396" s="5"/>
      <c r="F396" s="5"/>
      <c r="G396" s="5"/>
      <c r="H396" s="5"/>
      <c r="I396" s="5"/>
      <c r="J396" s="5"/>
      <c r="K396" s="5"/>
      <c r="L396" s="5"/>
      <c r="M396" s="5"/>
      <c r="N396" s="5"/>
      <c r="O396" s="5"/>
      <c r="P396" s="5"/>
      <c r="Q396" s="5"/>
      <c r="R396" s="5"/>
      <c r="S396" s="5"/>
      <c r="T396" s="5"/>
    </row>
    <row r="397" spans="1:20">
      <c r="A397" s="45"/>
      <c r="B397" s="46"/>
      <c r="C397" s="5"/>
      <c r="D397" s="5"/>
      <c r="E397" s="5"/>
      <c r="F397" s="5"/>
      <c r="G397" s="5"/>
      <c r="H397" s="5"/>
      <c r="I397" s="5"/>
      <c r="J397" s="5"/>
      <c r="K397" s="5"/>
      <c r="L397" s="5"/>
      <c r="M397" s="5"/>
      <c r="N397" s="5"/>
      <c r="O397" s="5"/>
      <c r="P397" s="5"/>
      <c r="Q397" s="5"/>
      <c r="R397" s="5"/>
      <c r="S397" s="5"/>
      <c r="T397" s="5"/>
    </row>
    <row r="398" spans="1:20">
      <c r="A398" s="45"/>
      <c r="B398" s="46"/>
      <c r="C398" s="5"/>
      <c r="D398" s="5"/>
      <c r="E398" s="5"/>
      <c r="F398" s="5"/>
      <c r="G398" s="5"/>
      <c r="H398" s="5"/>
      <c r="I398" s="5"/>
      <c r="J398" s="5"/>
      <c r="K398" s="5"/>
      <c r="L398" s="5"/>
      <c r="M398" s="5"/>
      <c r="N398" s="5"/>
      <c r="O398" s="5"/>
      <c r="P398" s="5"/>
      <c r="Q398" s="5"/>
      <c r="R398" s="5"/>
      <c r="S398" s="5"/>
      <c r="T398" s="5"/>
    </row>
    <row r="399" spans="1:20">
      <c r="A399" s="45"/>
      <c r="B399" s="46"/>
      <c r="C399" s="5"/>
      <c r="D399" s="5"/>
      <c r="E399" s="5"/>
      <c r="F399" s="5"/>
      <c r="G399" s="5"/>
      <c r="H399" s="5"/>
      <c r="I399" s="5"/>
      <c r="J399" s="5"/>
      <c r="K399" s="5"/>
      <c r="L399" s="5"/>
      <c r="M399" s="5"/>
      <c r="N399" s="5"/>
      <c r="O399" s="5"/>
      <c r="P399" s="5"/>
      <c r="Q399" s="5"/>
      <c r="R399" s="5"/>
      <c r="S399" s="5"/>
      <c r="T399" s="5"/>
    </row>
    <row r="400" spans="1:20">
      <c r="A400" s="45"/>
      <c r="B400" s="46"/>
      <c r="C400" s="5"/>
      <c r="D400" s="5"/>
      <c r="E400" s="5"/>
      <c r="F400" s="5"/>
      <c r="G400" s="5"/>
      <c r="H400" s="5"/>
      <c r="I400" s="5"/>
      <c r="J400" s="5"/>
      <c r="K400" s="5"/>
      <c r="L400" s="5"/>
      <c r="M400" s="5"/>
      <c r="N400" s="5"/>
      <c r="O400" s="5"/>
      <c r="P400" s="5"/>
      <c r="Q400" s="5"/>
      <c r="R400" s="5"/>
      <c r="S400" s="5"/>
      <c r="T400" s="5"/>
    </row>
    <row r="401" spans="1:20">
      <c r="A401" s="45"/>
      <c r="B401" s="46"/>
      <c r="C401" s="5"/>
      <c r="D401" s="5"/>
      <c r="E401" s="5"/>
      <c r="F401" s="5"/>
      <c r="G401" s="5"/>
      <c r="H401" s="5"/>
      <c r="I401" s="5"/>
      <c r="J401" s="5"/>
      <c r="K401" s="5"/>
      <c r="L401" s="5"/>
      <c r="M401" s="5"/>
      <c r="N401" s="5"/>
      <c r="O401" s="5"/>
      <c r="P401" s="5"/>
      <c r="Q401" s="5"/>
      <c r="R401" s="5"/>
      <c r="S401" s="5"/>
      <c r="T401" s="5"/>
    </row>
    <row r="402" spans="1:20">
      <c r="A402" s="45"/>
      <c r="B402" s="46"/>
      <c r="C402" s="5"/>
      <c r="D402" s="5"/>
      <c r="E402" s="5"/>
      <c r="F402" s="5"/>
      <c r="G402" s="5"/>
      <c r="H402" s="5"/>
      <c r="I402" s="5"/>
      <c r="J402" s="5"/>
      <c r="K402" s="5"/>
      <c r="L402" s="5"/>
      <c r="M402" s="5"/>
      <c r="N402" s="5"/>
      <c r="O402" s="5"/>
      <c r="P402" s="5"/>
      <c r="Q402" s="5"/>
      <c r="R402" s="5"/>
      <c r="S402" s="5"/>
      <c r="T402" s="5"/>
    </row>
    <row r="403" spans="1:20">
      <c r="A403" s="45"/>
      <c r="B403" s="46"/>
      <c r="C403" s="5"/>
      <c r="D403" s="5"/>
      <c r="E403" s="5"/>
      <c r="F403" s="5"/>
      <c r="G403" s="5"/>
      <c r="H403" s="5"/>
      <c r="I403" s="5"/>
      <c r="J403" s="5"/>
      <c r="K403" s="5"/>
      <c r="L403" s="5"/>
      <c r="M403" s="5"/>
      <c r="N403" s="5"/>
      <c r="O403" s="5"/>
      <c r="P403" s="5"/>
      <c r="Q403" s="5"/>
      <c r="R403" s="5"/>
      <c r="S403" s="5"/>
      <c r="T403" s="5"/>
    </row>
    <row r="404" spans="1:20">
      <c r="A404" s="45"/>
      <c r="B404" s="46"/>
      <c r="C404" s="5"/>
      <c r="D404" s="5"/>
      <c r="E404" s="5"/>
      <c r="F404" s="5"/>
      <c r="G404" s="5"/>
      <c r="H404" s="5"/>
      <c r="I404" s="5"/>
      <c r="J404" s="5"/>
      <c r="K404" s="5"/>
      <c r="L404" s="5"/>
      <c r="M404" s="5"/>
      <c r="N404" s="5"/>
      <c r="O404" s="5"/>
      <c r="P404" s="5"/>
      <c r="Q404" s="5"/>
      <c r="R404" s="5"/>
      <c r="S404" s="5"/>
      <c r="T404" s="5"/>
    </row>
    <row r="405" spans="1:20">
      <c r="A405" s="45"/>
      <c r="B405" s="46"/>
      <c r="C405" s="5"/>
      <c r="D405" s="5"/>
      <c r="E405" s="5"/>
      <c r="F405" s="5"/>
      <c r="G405" s="5"/>
      <c r="H405" s="5"/>
      <c r="I405" s="5"/>
      <c r="J405" s="5"/>
      <c r="K405" s="5"/>
      <c r="L405" s="5"/>
      <c r="M405" s="5"/>
      <c r="N405" s="5"/>
      <c r="O405" s="5"/>
      <c r="P405" s="5"/>
      <c r="Q405" s="5"/>
      <c r="R405" s="5"/>
      <c r="S405" s="5"/>
      <c r="T405" s="5"/>
    </row>
    <row r="406" spans="1:20">
      <c r="A406" s="45"/>
      <c r="B406" s="46"/>
      <c r="C406" s="5"/>
      <c r="D406" s="5"/>
      <c r="E406" s="5"/>
      <c r="F406" s="5"/>
      <c r="G406" s="5"/>
      <c r="H406" s="5"/>
      <c r="I406" s="5"/>
      <c r="J406" s="5"/>
      <c r="K406" s="5"/>
      <c r="L406" s="5"/>
      <c r="M406" s="5"/>
      <c r="N406" s="5"/>
      <c r="O406" s="5"/>
      <c r="P406" s="5"/>
      <c r="Q406" s="5"/>
      <c r="R406" s="5"/>
      <c r="S406" s="5"/>
      <c r="T406" s="5"/>
    </row>
    <row r="407" spans="1:20">
      <c r="A407" s="45"/>
      <c r="B407" s="46"/>
      <c r="C407" s="5"/>
      <c r="D407" s="5"/>
      <c r="E407" s="5"/>
      <c r="F407" s="5"/>
      <c r="G407" s="5"/>
      <c r="H407" s="5"/>
      <c r="I407" s="5"/>
      <c r="J407" s="5"/>
      <c r="K407" s="5"/>
      <c r="L407" s="5"/>
      <c r="M407" s="5"/>
      <c r="N407" s="5"/>
      <c r="O407" s="5"/>
      <c r="P407" s="5"/>
      <c r="Q407" s="5"/>
      <c r="R407" s="5"/>
      <c r="S407" s="5"/>
      <c r="T407" s="5"/>
    </row>
    <row r="408" spans="1:20">
      <c r="A408" s="45"/>
      <c r="B408" s="46"/>
      <c r="C408" s="5"/>
      <c r="D408" s="5"/>
      <c r="E408" s="5"/>
      <c r="F408" s="5"/>
      <c r="G408" s="5"/>
      <c r="H408" s="5"/>
      <c r="I408" s="5"/>
      <c r="J408" s="5"/>
      <c r="K408" s="5"/>
      <c r="L408" s="5"/>
      <c r="M408" s="5"/>
      <c r="N408" s="5"/>
      <c r="O408" s="5"/>
      <c r="P408" s="5"/>
      <c r="Q408" s="5"/>
      <c r="R408" s="5"/>
      <c r="S408" s="5"/>
      <c r="T408" s="5"/>
    </row>
    <row r="409" spans="1:20">
      <c r="A409" s="45"/>
      <c r="B409" s="46"/>
      <c r="C409" s="5"/>
      <c r="D409" s="5"/>
      <c r="E409" s="5"/>
      <c r="F409" s="5"/>
      <c r="G409" s="5"/>
      <c r="H409" s="5"/>
      <c r="I409" s="5"/>
      <c r="J409" s="5"/>
      <c r="K409" s="5"/>
      <c r="L409" s="5"/>
      <c r="M409" s="5"/>
      <c r="N409" s="5"/>
      <c r="O409" s="5"/>
      <c r="P409" s="5"/>
      <c r="Q409" s="5"/>
      <c r="R409" s="5"/>
      <c r="S409" s="5"/>
      <c r="T409" s="5"/>
    </row>
    <row r="410" spans="1:20">
      <c r="A410" s="45"/>
      <c r="B410" s="46"/>
      <c r="C410" s="5"/>
      <c r="D410" s="5"/>
      <c r="E410" s="5"/>
      <c r="F410" s="5"/>
      <c r="G410" s="5"/>
      <c r="H410" s="5"/>
      <c r="I410" s="5"/>
      <c r="J410" s="5"/>
      <c r="K410" s="5"/>
      <c r="L410" s="5"/>
      <c r="M410" s="5"/>
      <c r="N410" s="5"/>
      <c r="O410" s="5"/>
      <c r="P410" s="5"/>
      <c r="Q410" s="5"/>
      <c r="R410" s="5"/>
      <c r="S410" s="5"/>
      <c r="T410" s="5"/>
    </row>
    <row r="411" spans="1:20">
      <c r="A411" s="45"/>
      <c r="B411" s="46"/>
      <c r="C411" s="5"/>
      <c r="D411" s="5"/>
      <c r="E411" s="5"/>
      <c r="F411" s="5"/>
      <c r="G411" s="5"/>
      <c r="H411" s="5"/>
      <c r="I411" s="5"/>
      <c r="J411" s="5"/>
      <c r="K411" s="5"/>
      <c r="L411" s="5"/>
      <c r="M411" s="5"/>
      <c r="N411" s="5"/>
      <c r="O411" s="5"/>
      <c r="P411" s="5"/>
      <c r="Q411" s="5"/>
      <c r="R411" s="5"/>
      <c r="S411" s="5"/>
      <c r="T411" s="5"/>
    </row>
    <row r="412" spans="1:20">
      <c r="A412" s="45"/>
      <c r="B412" s="46"/>
      <c r="C412" s="5"/>
      <c r="D412" s="5"/>
      <c r="E412" s="5"/>
      <c r="F412" s="5"/>
      <c r="G412" s="5"/>
      <c r="H412" s="5"/>
      <c r="I412" s="5"/>
      <c r="J412" s="5"/>
      <c r="K412" s="5"/>
      <c r="L412" s="5"/>
      <c r="M412" s="5"/>
      <c r="N412" s="5"/>
      <c r="O412" s="5"/>
      <c r="P412" s="5"/>
      <c r="Q412" s="5"/>
      <c r="R412" s="5"/>
      <c r="S412" s="5"/>
      <c r="T412" s="5"/>
    </row>
    <row r="413" spans="1:20">
      <c r="A413" s="45"/>
      <c r="B413" s="46"/>
      <c r="C413" s="5"/>
      <c r="D413" s="5"/>
      <c r="E413" s="5"/>
      <c r="F413" s="5"/>
      <c r="G413" s="5"/>
      <c r="H413" s="5"/>
      <c r="I413" s="5"/>
      <c r="J413" s="5"/>
      <c r="K413" s="5"/>
      <c r="L413" s="5"/>
      <c r="M413" s="5"/>
      <c r="N413" s="5"/>
      <c r="O413" s="5"/>
      <c r="P413" s="5"/>
      <c r="Q413" s="5"/>
      <c r="R413" s="5"/>
      <c r="S413" s="5"/>
      <c r="T413" s="5"/>
    </row>
    <row r="414" spans="1:20">
      <c r="A414" s="45"/>
      <c r="B414" s="46"/>
      <c r="C414" s="5"/>
      <c r="D414" s="5"/>
      <c r="E414" s="5"/>
      <c r="F414" s="5"/>
      <c r="G414" s="5"/>
      <c r="H414" s="5"/>
      <c r="I414" s="5"/>
      <c r="J414" s="5"/>
      <c r="K414" s="5"/>
      <c r="L414" s="5"/>
      <c r="M414" s="5"/>
      <c r="N414" s="5"/>
      <c r="O414" s="5"/>
      <c r="P414" s="5"/>
      <c r="Q414" s="5"/>
      <c r="R414" s="5"/>
      <c r="S414" s="5"/>
      <c r="T414" s="5"/>
    </row>
    <row r="415" spans="1:20">
      <c r="A415" s="45"/>
      <c r="B415" s="46"/>
      <c r="C415" s="5"/>
      <c r="D415" s="5"/>
      <c r="E415" s="5"/>
      <c r="F415" s="5"/>
      <c r="G415" s="5"/>
      <c r="H415" s="5"/>
      <c r="I415" s="5"/>
      <c r="J415" s="5"/>
      <c r="K415" s="5"/>
      <c r="L415" s="5"/>
      <c r="M415" s="5"/>
      <c r="N415" s="5"/>
      <c r="O415" s="5"/>
      <c r="P415" s="5"/>
      <c r="Q415" s="5"/>
      <c r="R415" s="5"/>
      <c r="S415" s="5"/>
      <c r="T415" s="5"/>
    </row>
    <row r="416" spans="1:20">
      <c r="A416" s="45"/>
      <c r="B416" s="46"/>
      <c r="C416" s="5"/>
      <c r="D416" s="5"/>
      <c r="E416" s="5"/>
      <c r="F416" s="5"/>
      <c r="G416" s="5"/>
      <c r="H416" s="5"/>
      <c r="I416" s="5"/>
      <c r="J416" s="5"/>
      <c r="K416" s="5"/>
      <c r="L416" s="5"/>
      <c r="M416" s="5"/>
      <c r="N416" s="5"/>
      <c r="O416" s="5"/>
      <c r="P416" s="5"/>
      <c r="Q416" s="5"/>
      <c r="R416" s="5"/>
      <c r="S416" s="5"/>
      <c r="T416" s="5"/>
    </row>
    <row r="417" spans="1:20">
      <c r="A417" s="45"/>
      <c r="B417" s="46"/>
      <c r="C417" s="5"/>
      <c r="D417" s="5"/>
      <c r="E417" s="5"/>
      <c r="F417" s="5"/>
      <c r="G417" s="5"/>
      <c r="H417" s="5"/>
      <c r="I417" s="5"/>
      <c r="J417" s="5"/>
      <c r="K417" s="5"/>
      <c r="L417" s="5"/>
      <c r="M417" s="5"/>
      <c r="N417" s="5"/>
      <c r="O417" s="5"/>
      <c r="P417" s="5"/>
      <c r="Q417" s="5"/>
      <c r="R417" s="5"/>
      <c r="S417" s="5"/>
      <c r="T417" s="5"/>
    </row>
    <row r="418" spans="1:20">
      <c r="A418" s="45"/>
      <c r="B418" s="46"/>
      <c r="C418" s="5"/>
      <c r="D418" s="5"/>
      <c r="E418" s="5"/>
      <c r="F418" s="5"/>
      <c r="G418" s="5"/>
      <c r="H418" s="5"/>
      <c r="I418" s="5"/>
      <c r="J418" s="5"/>
      <c r="K418" s="5"/>
      <c r="L418" s="5"/>
      <c r="M418" s="5"/>
      <c r="N418" s="5"/>
      <c r="O418" s="5"/>
      <c r="P418" s="5"/>
      <c r="Q418" s="5"/>
      <c r="R418" s="5"/>
      <c r="S418" s="5"/>
      <c r="T418" s="5"/>
    </row>
    <row r="419" spans="1:20">
      <c r="A419" s="45"/>
      <c r="B419" s="46"/>
      <c r="C419" s="5"/>
      <c r="D419" s="5"/>
      <c r="E419" s="5"/>
      <c r="F419" s="5"/>
      <c r="G419" s="5"/>
      <c r="H419" s="5"/>
      <c r="I419" s="5"/>
      <c r="J419" s="5"/>
      <c r="K419" s="5"/>
      <c r="L419" s="5"/>
      <c r="M419" s="5"/>
      <c r="N419" s="5"/>
      <c r="O419" s="5"/>
      <c r="P419" s="5"/>
      <c r="Q419" s="5"/>
      <c r="R419" s="5"/>
      <c r="S419" s="5"/>
      <c r="T419" s="5"/>
    </row>
    <row r="420" spans="1:20">
      <c r="A420" s="45"/>
      <c r="B420" s="46"/>
      <c r="C420" s="5"/>
      <c r="D420" s="5"/>
      <c r="E420" s="5"/>
      <c r="F420" s="5"/>
      <c r="G420" s="5"/>
      <c r="H420" s="5"/>
      <c r="I420" s="5"/>
      <c r="J420" s="5"/>
      <c r="K420" s="5"/>
      <c r="L420" s="5"/>
      <c r="M420" s="5"/>
      <c r="N420" s="5"/>
      <c r="O420" s="5"/>
      <c r="P420" s="5"/>
      <c r="Q420" s="5"/>
      <c r="R420" s="5"/>
      <c r="S420" s="5"/>
      <c r="T420" s="5"/>
    </row>
    <row r="421" spans="1:20">
      <c r="A421" s="45"/>
      <c r="B421" s="46"/>
      <c r="C421" s="5"/>
      <c r="D421" s="5"/>
      <c r="E421" s="5"/>
      <c r="F421" s="5"/>
      <c r="G421" s="5"/>
      <c r="H421" s="5"/>
      <c r="I421" s="5"/>
      <c r="J421" s="5"/>
      <c r="K421" s="5"/>
      <c r="L421" s="5"/>
      <c r="M421" s="5"/>
      <c r="N421" s="5"/>
      <c r="O421" s="5"/>
      <c r="P421" s="5"/>
      <c r="Q421" s="5"/>
      <c r="R421" s="5"/>
      <c r="S421" s="5"/>
      <c r="T421" s="5"/>
    </row>
    <row r="422" spans="1:20">
      <c r="A422" s="45"/>
      <c r="B422" s="46"/>
      <c r="C422" s="5"/>
      <c r="D422" s="5"/>
      <c r="E422" s="5"/>
      <c r="F422" s="5"/>
      <c r="G422" s="5"/>
      <c r="H422" s="5"/>
      <c r="I422" s="5"/>
      <c r="J422" s="5"/>
      <c r="K422" s="5"/>
      <c r="L422" s="5"/>
      <c r="M422" s="5"/>
      <c r="N422" s="5"/>
      <c r="O422" s="5"/>
      <c r="P422" s="5"/>
      <c r="Q422" s="5"/>
      <c r="R422" s="5"/>
      <c r="S422" s="5"/>
      <c r="T422" s="5"/>
    </row>
    <row r="423" spans="1:20">
      <c r="A423" s="45"/>
      <c r="B423" s="46"/>
      <c r="C423" s="5"/>
      <c r="D423" s="5"/>
      <c r="E423" s="5"/>
      <c r="F423" s="5"/>
      <c r="G423" s="5"/>
      <c r="H423" s="5"/>
      <c r="I423" s="5"/>
      <c r="J423" s="5"/>
      <c r="K423" s="5"/>
      <c r="L423" s="5"/>
      <c r="M423" s="5"/>
      <c r="N423" s="5"/>
      <c r="O423" s="5"/>
      <c r="P423" s="5"/>
      <c r="Q423" s="5"/>
      <c r="R423" s="5"/>
      <c r="S423" s="5"/>
      <c r="T423" s="5"/>
    </row>
    <row r="424" spans="1:20">
      <c r="A424" s="45"/>
      <c r="B424" s="46"/>
      <c r="C424" s="5"/>
      <c r="D424" s="5"/>
      <c r="E424" s="5"/>
      <c r="F424" s="5"/>
      <c r="G424" s="5"/>
      <c r="H424" s="5"/>
      <c r="I424" s="5"/>
      <c r="J424" s="5"/>
      <c r="K424" s="5"/>
      <c r="L424" s="5"/>
      <c r="M424" s="5"/>
      <c r="N424" s="5"/>
      <c r="O424" s="5"/>
      <c r="P424" s="5"/>
      <c r="Q424" s="5"/>
      <c r="R424" s="5"/>
      <c r="S424" s="5"/>
      <c r="T424" s="5"/>
    </row>
    <row r="425" spans="1:20">
      <c r="A425" s="45"/>
      <c r="B425" s="46"/>
      <c r="C425" s="5"/>
      <c r="D425" s="5"/>
      <c r="E425" s="5"/>
      <c r="F425" s="5"/>
      <c r="G425" s="5"/>
      <c r="H425" s="5"/>
      <c r="I425" s="5"/>
      <c r="J425" s="5"/>
      <c r="K425" s="5"/>
      <c r="L425" s="5"/>
      <c r="M425" s="5"/>
      <c r="N425" s="5"/>
      <c r="O425" s="5"/>
      <c r="P425" s="5"/>
      <c r="Q425" s="5"/>
      <c r="R425" s="5"/>
      <c r="S425" s="5"/>
      <c r="T425" s="5"/>
    </row>
    <row r="426" spans="1:20">
      <c r="A426" s="45"/>
      <c r="B426" s="46"/>
      <c r="C426" s="5"/>
      <c r="D426" s="5"/>
      <c r="E426" s="5"/>
      <c r="F426" s="5"/>
      <c r="G426" s="5"/>
      <c r="H426" s="5"/>
      <c r="I426" s="5"/>
      <c r="J426" s="5"/>
      <c r="K426" s="5"/>
      <c r="L426" s="5"/>
      <c r="M426" s="5"/>
      <c r="N426" s="5"/>
      <c r="O426" s="5"/>
      <c r="P426" s="5"/>
      <c r="Q426" s="5"/>
      <c r="R426" s="5"/>
      <c r="S426" s="5"/>
      <c r="T426" s="5"/>
    </row>
    <row r="427" spans="1:20">
      <c r="A427" s="45"/>
      <c r="B427" s="46"/>
      <c r="C427" s="5"/>
      <c r="D427" s="5"/>
      <c r="E427" s="5"/>
      <c r="F427" s="5"/>
      <c r="G427" s="5"/>
      <c r="H427" s="5"/>
      <c r="I427" s="5"/>
      <c r="J427" s="5"/>
      <c r="K427" s="5"/>
      <c r="L427" s="5"/>
      <c r="M427" s="5"/>
      <c r="N427" s="5"/>
      <c r="O427" s="5"/>
      <c r="P427" s="5"/>
      <c r="Q427" s="5"/>
      <c r="R427" s="5"/>
      <c r="S427" s="5"/>
      <c r="T427" s="5"/>
    </row>
    <row r="428" spans="1:20">
      <c r="A428" s="45"/>
      <c r="B428" s="46"/>
      <c r="C428" s="5"/>
      <c r="D428" s="5"/>
      <c r="E428" s="5"/>
      <c r="F428" s="5"/>
      <c r="G428" s="5"/>
      <c r="H428" s="5"/>
      <c r="I428" s="5"/>
      <c r="J428" s="5"/>
      <c r="K428" s="5"/>
      <c r="L428" s="5"/>
      <c r="M428" s="5"/>
      <c r="N428" s="5"/>
      <c r="O428" s="5"/>
      <c r="P428" s="5"/>
      <c r="Q428" s="5"/>
      <c r="R428" s="5"/>
      <c r="S428" s="5"/>
      <c r="T428" s="5"/>
    </row>
    <row r="429" spans="1:20">
      <c r="A429" s="45"/>
      <c r="B429" s="46"/>
      <c r="C429" s="5"/>
      <c r="D429" s="5"/>
      <c r="E429" s="5"/>
      <c r="F429" s="5"/>
      <c r="G429" s="5"/>
      <c r="H429" s="5"/>
      <c r="I429" s="5"/>
      <c r="J429" s="5"/>
      <c r="K429" s="5"/>
      <c r="L429" s="5"/>
      <c r="M429" s="5"/>
      <c r="N429" s="5"/>
      <c r="O429" s="5"/>
      <c r="P429" s="5"/>
      <c r="Q429" s="5"/>
      <c r="R429" s="5"/>
      <c r="S429" s="5"/>
      <c r="T429" s="5"/>
    </row>
    <row r="430" spans="1:20">
      <c r="A430" s="45"/>
      <c r="B430" s="46"/>
      <c r="C430" s="5"/>
      <c r="D430" s="5"/>
      <c r="E430" s="5"/>
      <c r="F430" s="5"/>
      <c r="G430" s="5"/>
      <c r="H430" s="5"/>
      <c r="I430" s="5"/>
      <c r="J430" s="5"/>
      <c r="K430" s="5"/>
      <c r="L430" s="5"/>
      <c r="M430" s="5"/>
      <c r="N430" s="5"/>
      <c r="O430" s="5"/>
      <c r="P430" s="5"/>
      <c r="Q430" s="5"/>
      <c r="R430" s="5"/>
      <c r="S430" s="5"/>
      <c r="T430" s="5"/>
    </row>
    <row r="431" spans="1:20">
      <c r="A431" s="45"/>
      <c r="B431" s="46"/>
      <c r="C431" s="5"/>
      <c r="D431" s="5"/>
      <c r="E431" s="5"/>
      <c r="F431" s="5"/>
      <c r="G431" s="5"/>
      <c r="H431" s="5"/>
      <c r="I431" s="5"/>
      <c r="J431" s="5"/>
      <c r="K431" s="5"/>
      <c r="L431" s="5"/>
      <c r="M431" s="5"/>
      <c r="N431" s="5"/>
      <c r="O431" s="5"/>
      <c r="P431" s="5"/>
      <c r="Q431" s="5"/>
      <c r="R431" s="5"/>
      <c r="S431" s="5"/>
      <c r="T431" s="5"/>
    </row>
    <row r="432" spans="1:20">
      <c r="A432" s="45"/>
      <c r="B432" s="46"/>
      <c r="C432" s="5"/>
      <c r="D432" s="5"/>
      <c r="E432" s="5"/>
      <c r="F432" s="5"/>
      <c r="G432" s="5"/>
      <c r="H432" s="5"/>
      <c r="I432" s="5"/>
      <c r="J432" s="5"/>
      <c r="K432" s="5"/>
      <c r="L432" s="5"/>
      <c r="M432" s="5"/>
      <c r="N432" s="5"/>
      <c r="O432" s="5"/>
      <c r="P432" s="5"/>
      <c r="Q432" s="5"/>
      <c r="R432" s="5"/>
      <c r="S432" s="5"/>
      <c r="T432" s="5"/>
    </row>
    <row r="433" spans="1:20">
      <c r="A433" s="45"/>
      <c r="B433" s="46"/>
      <c r="C433" s="5"/>
      <c r="D433" s="5"/>
      <c r="E433" s="5"/>
      <c r="F433" s="5"/>
      <c r="G433" s="5"/>
      <c r="H433" s="5"/>
      <c r="I433" s="5"/>
      <c r="J433" s="5"/>
      <c r="K433" s="5"/>
      <c r="L433" s="5"/>
      <c r="M433" s="5"/>
      <c r="N433" s="5"/>
      <c r="O433" s="5"/>
      <c r="P433" s="5"/>
      <c r="Q433" s="5"/>
      <c r="R433" s="5"/>
      <c r="S433" s="5"/>
      <c r="T433" s="5"/>
    </row>
    <row r="434" spans="1:20">
      <c r="A434" s="45"/>
      <c r="B434" s="46"/>
      <c r="C434" s="5"/>
      <c r="D434" s="5"/>
      <c r="E434" s="5"/>
      <c r="F434" s="5"/>
      <c r="G434" s="5"/>
      <c r="H434" s="5"/>
      <c r="I434" s="5"/>
      <c r="J434" s="5"/>
      <c r="K434" s="5"/>
      <c r="L434" s="5"/>
      <c r="M434" s="5"/>
      <c r="N434" s="5"/>
      <c r="O434" s="5"/>
      <c r="P434" s="5"/>
      <c r="Q434" s="5"/>
      <c r="R434" s="5"/>
      <c r="S434" s="5"/>
      <c r="T434" s="5"/>
    </row>
    <row r="435" spans="1:20">
      <c r="A435" s="45"/>
      <c r="B435" s="46"/>
      <c r="C435" s="5"/>
      <c r="D435" s="5"/>
      <c r="E435" s="5"/>
      <c r="F435" s="5"/>
      <c r="G435" s="5"/>
      <c r="H435" s="5"/>
      <c r="I435" s="5"/>
      <c r="J435" s="5"/>
      <c r="K435" s="5"/>
      <c r="L435" s="5"/>
      <c r="M435" s="5"/>
      <c r="N435" s="5"/>
      <c r="O435" s="5"/>
      <c r="P435" s="5"/>
      <c r="Q435" s="5"/>
      <c r="R435" s="5"/>
      <c r="S435" s="5"/>
      <c r="T435" s="5"/>
    </row>
    <row r="436" spans="1:20">
      <c r="A436" s="45"/>
      <c r="B436" s="46"/>
      <c r="C436" s="5"/>
      <c r="D436" s="5"/>
      <c r="E436" s="5"/>
      <c r="F436" s="5"/>
      <c r="G436" s="5"/>
      <c r="H436" s="5"/>
      <c r="I436" s="5"/>
      <c r="J436" s="5"/>
      <c r="K436" s="5"/>
      <c r="L436" s="5"/>
      <c r="M436" s="5"/>
      <c r="N436" s="5"/>
      <c r="O436" s="5"/>
      <c r="P436" s="5"/>
      <c r="Q436" s="5"/>
      <c r="R436" s="5"/>
      <c r="S436" s="5"/>
      <c r="T436" s="5"/>
    </row>
    <row r="437" spans="1:20">
      <c r="A437" s="45"/>
      <c r="B437" s="46"/>
      <c r="C437" s="5"/>
      <c r="D437" s="5"/>
      <c r="E437" s="5"/>
      <c r="F437" s="5"/>
      <c r="G437" s="5"/>
      <c r="H437" s="5"/>
      <c r="I437" s="5"/>
      <c r="J437" s="5"/>
      <c r="K437" s="5"/>
      <c r="L437" s="5"/>
      <c r="M437" s="5"/>
      <c r="N437" s="5"/>
      <c r="O437" s="5"/>
      <c r="P437" s="5"/>
      <c r="Q437" s="5"/>
      <c r="R437" s="5"/>
      <c r="S437" s="5"/>
      <c r="T437" s="5"/>
    </row>
    <row r="438" spans="1:20">
      <c r="A438" s="45"/>
      <c r="B438" s="46"/>
      <c r="C438" s="5"/>
      <c r="D438" s="5"/>
      <c r="E438" s="5"/>
      <c r="F438" s="5"/>
      <c r="G438" s="5"/>
      <c r="H438" s="5"/>
      <c r="I438" s="5"/>
      <c r="J438" s="5"/>
      <c r="K438" s="5"/>
      <c r="L438" s="5"/>
      <c r="M438" s="5"/>
      <c r="N438" s="5"/>
      <c r="O438" s="5"/>
      <c r="P438" s="5"/>
      <c r="Q438" s="5"/>
      <c r="R438" s="5"/>
      <c r="S438" s="5"/>
      <c r="T438" s="5"/>
    </row>
    <row r="439" spans="1:20">
      <c r="A439" s="45"/>
      <c r="B439" s="46"/>
      <c r="C439" s="5"/>
      <c r="D439" s="5"/>
      <c r="E439" s="5"/>
      <c r="F439" s="5"/>
      <c r="G439" s="5"/>
      <c r="H439" s="5"/>
      <c r="I439" s="5"/>
      <c r="J439" s="5"/>
      <c r="K439" s="5"/>
      <c r="L439" s="5"/>
      <c r="M439" s="5"/>
      <c r="N439" s="5"/>
      <c r="O439" s="5"/>
      <c r="P439" s="5"/>
      <c r="Q439" s="5"/>
      <c r="R439" s="5"/>
      <c r="S439" s="5"/>
      <c r="T439" s="5"/>
    </row>
    <row r="440" spans="1:20">
      <c r="A440" s="45"/>
      <c r="B440" s="46"/>
      <c r="C440" s="5"/>
      <c r="D440" s="5"/>
      <c r="E440" s="5"/>
      <c r="F440" s="5"/>
      <c r="G440" s="5"/>
      <c r="H440" s="5"/>
      <c r="I440" s="5"/>
      <c r="J440" s="5"/>
      <c r="K440" s="5"/>
      <c r="L440" s="5"/>
      <c r="M440" s="5"/>
      <c r="N440" s="5"/>
      <c r="O440" s="5"/>
      <c r="P440" s="5"/>
      <c r="Q440" s="5"/>
      <c r="R440" s="5"/>
      <c r="S440" s="5"/>
      <c r="T440" s="5"/>
    </row>
    <row r="441" spans="1:20">
      <c r="A441" s="45"/>
      <c r="B441" s="46"/>
      <c r="C441" s="5"/>
      <c r="D441" s="5"/>
      <c r="E441" s="5"/>
      <c r="F441" s="5"/>
      <c r="G441" s="5"/>
      <c r="H441" s="5"/>
      <c r="I441" s="5"/>
      <c r="J441" s="5"/>
      <c r="K441" s="5"/>
      <c r="L441" s="5"/>
      <c r="M441" s="5"/>
      <c r="N441" s="5"/>
      <c r="O441" s="5"/>
      <c r="P441" s="5"/>
      <c r="Q441" s="5"/>
      <c r="R441" s="5"/>
      <c r="S441" s="5"/>
      <c r="T441" s="5"/>
    </row>
    <row r="442" spans="1:20">
      <c r="A442" s="45"/>
      <c r="B442" s="46"/>
      <c r="C442" s="5"/>
      <c r="D442" s="5"/>
      <c r="E442" s="5"/>
      <c r="F442" s="5"/>
      <c r="G442" s="5"/>
      <c r="H442" s="5"/>
      <c r="I442" s="5"/>
      <c r="J442" s="5"/>
      <c r="K442" s="5"/>
      <c r="L442" s="5"/>
      <c r="M442" s="5"/>
      <c r="N442" s="5"/>
      <c r="O442" s="5"/>
      <c r="P442" s="5"/>
      <c r="Q442" s="5"/>
      <c r="R442" s="5"/>
      <c r="S442" s="5"/>
      <c r="T442" s="5"/>
    </row>
    <row r="443" spans="1:20">
      <c r="A443" s="45"/>
      <c r="B443" s="46"/>
      <c r="C443" s="5"/>
      <c r="D443" s="5"/>
      <c r="E443" s="5"/>
      <c r="F443" s="5"/>
      <c r="G443" s="5"/>
      <c r="H443" s="5"/>
      <c r="I443" s="5"/>
      <c r="J443" s="5"/>
      <c r="K443" s="5"/>
      <c r="L443" s="5"/>
      <c r="M443" s="5"/>
      <c r="N443" s="5"/>
      <c r="O443" s="5"/>
      <c r="P443" s="5"/>
      <c r="Q443" s="5"/>
      <c r="R443" s="5"/>
      <c r="S443" s="5"/>
      <c r="T443" s="5"/>
    </row>
    <row r="444" spans="1:20">
      <c r="A444" s="45"/>
      <c r="B444" s="46"/>
      <c r="C444" s="5"/>
      <c r="D444" s="5"/>
      <c r="E444" s="5"/>
      <c r="F444" s="5"/>
      <c r="G444" s="5"/>
      <c r="H444" s="5"/>
      <c r="I444" s="5"/>
      <c r="J444" s="5"/>
      <c r="K444" s="5"/>
      <c r="L444" s="5"/>
      <c r="M444" s="5"/>
      <c r="N444" s="5"/>
      <c r="O444" s="5"/>
      <c r="P444" s="5"/>
      <c r="Q444" s="5"/>
      <c r="R444" s="5"/>
      <c r="S444" s="5"/>
      <c r="T444" s="5"/>
    </row>
    <row r="445" spans="1:20">
      <c r="A445" s="45"/>
      <c r="B445" s="46"/>
      <c r="C445" s="5"/>
      <c r="D445" s="5"/>
      <c r="E445" s="5"/>
      <c r="F445" s="5"/>
      <c r="G445" s="5"/>
      <c r="H445" s="5"/>
      <c r="I445" s="5"/>
      <c r="J445" s="5"/>
      <c r="K445" s="5"/>
      <c r="L445" s="5"/>
      <c r="M445" s="5"/>
      <c r="N445" s="5"/>
      <c r="O445" s="5"/>
      <c r="P445" s="5"/>
      <c r="Q445" s="5"/>
      <c r="R445" s="5"/>
      <c r="S445" s="5"/>
      <c r="T445" s="5"/>
    </row>
    <row r="446" spans="1:20">
      <c r="A446" s="45"/>
      <c r="B446" s="46"/>
      <c r="C446" s="5"/>
      <c r="D446" s="5"/>
      <c r="E446" s="5"/>
      <c r="F446" s="5"/>
      <c r="G446" s="5"/>
      <c r="H446" s="5"/>
      <c r="I446" s="5"/>
      <c r="J446" s="5"/>
      <c r="K446" s="5"/>
      <c r="L446" s="5"/>
      <c r="M446" s="5"/>
      <c r="N446" s="5"/>
      <c r="O446" s="5"/>
      <c r="P446" s="5"/>
      <c r="Q446" s="5"/>
      <c r="R446" s="5"/>
      <c r="S446" s="5"/>
      <c r="T446" s="5"/>
    </row>
    <row r="447" spans="1:20">
      <c r="A447" s="45"/>
      <c r="B447" s="46"/>
      <c r="C447" s="5"/>
      <c r="D447" s="5"/>
      <c r="E447" s="5"/>
      <c r="F447" s="5"/>
      <c r="G447" s="5"/>
      <c r="H447" s="5"/>
      <c r="I447" s="5"/>
      <c r="J447" s="5"/>
      <c r="K447" s="5"/>
      <c r="L447" s="5"/>
      <c r="M447" s="5"/>
      <c r="N447" s="5"/>
      <c r="O447" s="5"/>
      <c r="P447" s="5"/>
      <c r="Q447" s="5"/>
      <c r="R447" s="5"/>
      <c r="S447" s="5"/>
      <c r="T447" s="5"/>
    </row>
    <row r="448" spans="1:20">
      <c r="A448" s="45"/>
      <c r="B448" s="46"/>
      <c r="C448" s="5"/>
      <c r="D448" s="5"/>
      <c r="E448" s="5"/>
      <c r="F448" s="5"/>
      <c r="G448" s="5"/>
      <c r="H448" s="5"/>
      <c r="I448" s="5"/>
      <c r="J448" s="5"/>
      <c r="K448" s="5"/>
      <c r="L448" s="5"/>
      <c r="M448" s="5"/>
      <c r="N448" s="5"/>
      <c r="O448" s="5"/>
      <c r="P448" s="5"/>
      <c r="Q448" s="5"/>
      <c r="R448" s="5"/>
      <c r="S448" s="5"/>
      <c r="T448" s="5"/>
    </row>
    <row r="449" spans="1:20">
      <c r="A449" s="45"/>
      <c r="B449" s="46"/>
      <c r="C449" s="5"/>
      <c r="D449" s="5"/>
      <c r="E449" s="5"/>
      <c r="F449" s="5"/>
      <c r="G449" s="5"/>
      <c r="H449" s="5"/>
      <c r="I449" s="5"/>
      <c r="J449" s="5"/>
      <c r="K449" s="5"/>
      <c r="L449" s="5"/>
      <c r="M449" s="5"/>
      <c r="N449" s="5"/>
      <c r="O449" s="5"/>
      <c r="P449" s="5"/>
      <c r="Q449" s="5"/>
      <c r="R449" s="5"/>
      <c r="S449" s="5"/>
      <c r="T449" s="5"/>
    </row>
    <row r="450" spans="1:20">
      <c r="A450" s="45"/>
      <c r="B450" s="46"/>
      <c r="C450" s="5"/>
      <c r="D450" s="5"/>
      <c r="E450" s="5"/>
      <c r="F450" s="5"/>
      <c r="G450" s="5"/>
      <c r="H450" s="5"/>
      <c r="I450" s="5"/>
      <c r="J450" s="5"/>
      <c r="K450" s="5"/>
      <c r="L450" s="5"/>
      <c r="M450" s="5"/>
      <c r="N450" s="5"/>
      <c r="O450" s="5"/>
      <c r="P450" s="5"/>
      <c r="Q450" s="5"/>
      <c r="R450" s="5"/>
      <c r="S450" s="5"/>
      <c r="T450" s="5"/>
    </row>
    <row r="451" spans="1:20">
      <c r="A451" s="45"/>
      <c r="B451" s="46"/>
      <c r="C451" s="5"/>
      <c r="D451" s="5"/>
      <c r="E451" s="5"/>
      <c r="F451" s="5"/>
      <c r="G451" s="5"/>
      <c r="H451" s="5"/>
      <c r="I451" s="5"/>
      <c r="J451" s="5"/>
      <c r="K451" s="5"/>
      <c r="L451" s="5"/>
      <c r="M451" s="5"/>
      <c r="N451" s="5"/>
      <c r="O451" s="5"/>
      <c r="P451" s="5"/>
      <c r="Q451" s="5"/>
      <c r="R451" s="5"/>
      <c r="S451" s="5"/>
      <c r="T451" s="5"/>
    </row>
    <row r="452" spans="1:20">
      <c r="A452" s="45"/>
      <c r="B452" s="46"/>
      <c r="C452" s="5"/>
      <c r="D452" s="5"/>
      <c r="E452" s="5"/>
      <c r="F452" s="5"/>
      <c r="G452" s="5"/>
      <c r="H452" s="5"/>
      <c r="I452" s="5"/>
      <c r="J452" s="5"/>
      <c r="K452" s="5"/>
      <c r="L452" s="5"/>
      <c r="M452" s="5"/>
      <c r="N452" s="5"/>
      <c r="O452" s="5"/>
      <c r="P452" s="5"/>
      <c r="Q452" s="5"/>
      <c r="R452" s="5"/>
      <c r="S452" s="5"/>
      <c r="T452" s="5"/>
    </row>
    <row r="453" spans="1:20">
      <c r="A453" s="45"/>
      <c r="B453" s="46"/>
      <c r="C453" s="5"/>
      <c r="D453" s="5"/>
      <c r="E453" s="5"/>
      <c r="F453" s="5"/>
      <c r="G453" s="5"/>
      <c r="H453" s="5"/>
      <c r="I453" s="5"/>
      <c r="J453" s="5"/>
      <c r="K453" s="5"/>
      <c r="L453" s="5"/>
      <c r="M453" s="5"/>
      <c r="N453" s="5"/>
      <c r="O453" s="5"/>
      <c r="P453" s="5"/>
      <c r="Q453" s="5"/>
      <c r="R453" s="5"/>
      <c r="S453" s="5"/>
      <c r="T453" s="5"/>
    </row>
    <row r="454" spans="1:20">
      <c r="A454" s="45"/>
      <c r="B454" s="46"/>
      <c r="C454" s="5"/>
      <c r="D454" s="5"/>
      <c r="E454" s="5"/>
      <c r="F454" s="5"/>
      <c r="G454" s="5"/>
      <c r="H454" s="5"/>
      <c r="I454" s="5"/>
      <c r="J454" s="5"/>
      <c r="K454" s="5"/>
      <c r="L454" s="5"/>
      <c r="M454" s="5"/>
      <c r="N454" s="5"/>
      <c r="O454" s="5"/>
      <c r="P454" s="5"/>
      <c r="Q454" s="5"/>
      <c r="R454" s="5"/>
      <c r="S454" s="5"/>
      <c r="T454" s="5"/>
    </row>
    <row r="455" spans="1:20">
      <c r="A455" s="45"/>
      <c r="B455" s="46"/>
      <c r="C455" s="5"/>
      <c r="D455" s="5"/>
      <c r="E455" s="5"/>
      <c r="F455" s="5"/>
      <c r="G455" s="5"/>
      <c r="H455" s="5"/>
      <c r="I455" s="5"/>
      <c r="J455" s="5"/>
      <c r="K455" s="5"/>
      <c r="L455" s="5"/>
      <c r="M455" s="5"/>
      <c r="N455" s="5"/>
      <c r="O455" s="5"/>
      <c r="P455" s="5"/>
      <c r="Q455" s="5"/>
      <c r="R455" s="5"/>
      <c r="S455" s="5"/>
      <c r="T455" s="5"/>
    </row>
    <row r="456" spans="1:20">
      <c r="A456" s="45"/>
      <c r="B456" s="46"/>
      <c r="C456" s="5"/>
      <c r="D456" s="5"/>
      <c r="E456" s="5"/>
      <c r="F456" s="5"/>
      <c r="G456" s="5"/>
      <c r="H456" s="5"/>
      <c r="I456" s="5"/>
      <c r="J456" s="5"/>
      <c r="K456" s="5"/>
      <c r="L456" s="5"/>
      <c r="M456" s="5"/>
      <c r="N456" s="5"/>
      <c r="O456" s="5"/>
      <c r="P456" s="5"/>
      <c r="Q456" s="5"/>
      <c r="R456" s="5"/>
      <c r="S456" s="5"/>
      <c r="T456" s="5"/>
    </row>
    <row r="457" spans="1:20">
      <c r="A457" s="45"/>
      <c r="B457" s="46"/>
      <c r="C457" s="5"/>
      <c r="D457" s="5"/>
      <c r="E457" s="5"/>
      <c r="F457" s="5"/>
      <c r="G457" s="5"/>
      <c r="H457" s="5"/>
      <c r="I457" s="5"/>
      <c r="J457" s="5"/>
      <c r="K457" s="5"/>
      <c r="L457" s="5"/>
      <c r="M457" s="5"/>
      <c r="N457" s="5"/>
      <c r="O457" s="5"/>
      <c r="P457" s="5"/>
      <c r="Q457" s="5"/>
      <c r="R457" s="5"/>
      <c r="S457" s="5"/>
      <c r="T457" s="5"/>
    </row>
    <row r="458" spans="1:20">
      <c r="A458" s="45"/>
      <c r="B458" s="46"/>
      <c r="C458" s="5"/>
      <c r="D458" s="5"/>
      <c r="E458" s="5"/>
      <c r="F458" s="5"/>
      <c r="G458" s="5"/>
      <c r="H458" s="5"/>
      <c r="I458" s="5"/>
      <c r="J458" s="5"/>
      <c r="K458" s="5"/>
      <c r="L458" s="5"/>
      <c r="M458" s="5"/>
      <c r="N458" s="5"/>
      <c r="O458" s="5"/>
      <c r="P458" s="5"/>
      <c r="Q458" s="5"/>
      <c r="R458" s="5"/>
      <c r="S458" s="5"/>
      <c r="T458" s="5"/>
    </row>
    <row r="459" spans="1:20">
      <c r="A459" s="45"/>
      <c r="B459" s="46"/>
      <c r="C459" s="5"/>
      <c r="D459" s="5"/>
      <c r="E459" s="5"/>
      <c r="F459" s="5"/>
      <c r="G459" s="5"/>
      <c r="H459" s="5"/>
      <c r="I459" s="5"/>
      <c r="J459" s="5"/>
      <c r="K459" s="5"/>
      <c r="L459" s="5"/>
      <c r="M459" s="5"/>
      <c r="N459" s="5"/>
      <c r="O459" s="5"/>
      <c r="P459" s="5"/>
      <c r="Q459" s="5"/>
      <c r="R459" s="5"/>
      <c r="S459" s="5"/>
      <c r="T459" s="5"/>
    </row>
    <row r="460" spans="1:20">
      <c r="A460" s="45"/>
      <c r="B460" s="46"/>
      <c r="C460" s="5"/>
      <c r="D460" s="5"/>
      <c r="E460" s="5"/>
      <c r="F460" s="5"/>
      <c r="G460" s="5"/>
      <c r="H460" s="5"/>
      <c r="I460" s="5"/>
      <c r="J460" s="5"/>
      <c r="K460" s="5"/>
      <c r="L460" s="5"/>
      <c r="M460" s="5"/>
      <c r="N460" s="5"/>
      <c r="O460" s="5"/>
      <c r="P460" s="5"/>
      <c r="Q460" s="5"/>
      <c r="R460" s="5"/>
      <c r="S460" s="5"/>
      <c r="T460" s="5"/>
    </row>
    <row r="461" spans="1:20">
      <c r="A461" s="45"/>
      <c r="B461" s="46"/>
      <c r="C461" s="5"/>
      <c r="D461" s="5"/>
      <c r="E461" s="5"/>
      <c r="F461" s="5"/>
      <c r="G461" s="5"/>
      <c r="H461" s="5"/>
      <c r="I461" s="5"/>
      <c r="J461" s="5"/>
      <c r="K461" s="5"/>
      <c r="L461" s="5"/>
      <c r="M461" s="5"/>
      <c r="N461" s="5"/>
      <c r="O461" s="5"/>
      <c r="P461" s="5"/>
      <c r="Q461" s="5"/>
      <c r="R461" s="5"/>
      <c r="S461" s="5"/>
      <c r="T461" s="5"/>
    </row>
    <row r="462" spans="1:20">
      <c r="A462" s="45"/>
      <c r="B462" s="46"/>
      <c r="C462" s="5"/>
      <c r="D462" s="5"/>
      <c r="E462" s="5"/>
      <c r="F462" s="5"/>
      <c r="G462" s="5"/>
      <c r="H462" s="5"/>
      <c r="I462" s="5"/>
      <c r="J462" s="5"/>
      <c r="K462" s="5"/>
      <c r="L462" s="5"/>
      <c r="M462" s="5"/>
      <c r="N462" s="5"/>
      <c r="O462" s="5"/>
      <c r="P462" s="5"/>
      <c r="Q462" s="5"/>
      <c r="R462" s="5"/>
      <c r="S462" s="5"/>
      <c r="T462" s="5"/>
    </row>
    <row r="463" spans="1:20">
      <c r="A463" s="45"/>
      <c r="B463" s="46"/>
      <c r="C463" s="5"/>
      <c r="D463" s="5"/>
      <c r="E463" s="5"/>
      <c r="F463" s="5"/>
      <c r="G463" s="5"/>
      <c r="H463" s="5"/>
      <c r="I463" s="5"/>
      <c r="J463" s="5"/>
      <c r="K463" s="5"/>
      <c r="L463" s="5"/>
      <c r="M463" s="5"/>
      <c r="N463" s="5"/>
      <c r="O463" s="5"/>
      <c r="P463" s="5"/>
      <c r="Q463" s="5"/>
      <c r="R463" s="5"/>
      <c r="S463" s="5"/>
      <c r="T463" s="5"/>
    </row>
    <row r="464" spans="1:20">
      <c r="A464" s="45"/>
      <c r="B464" s="46"/>
      <c r="C464" s="5"/>
      <c r="D464" s="5"/>
      <c r="E464" s="5"/>
      <c r="F464" s="5"/>
      <c r="G464" s="5"/>
      <c r="H464" s="5"/>
      <c r="I464" s="5"/>
      <c r="J464" s="5"/>
      <c r="K464" s="5"/>
      <c r="L464" s="5"/>
      <c r="M464" s="5"/>
      <c r="N464" s="5"/>
      <c r="O464" s="5"/>
      <c r="P464" s="5"/>
      <c r="Q464" s="5"/>
      <c r="R464" s="5"/>
      <c r="S464" s="5"/>
      <c r="T464" s="5"/>
    </row>
    <row r="465" spans="1:20">
      <c r="A465" s="45"/>
      <c r="B465" s="46"/>
      <c r="C465" s="5"/>
      <c r="D465" s="5"/>
      <c r="E465" s="5"/>
      <c r="F465" s="5"/>
      <c r="G465" s="5"/>
      <c r="H465" s="5"/>
      <c r="I465" s="5"/>
      <c r="J465" s="5"/>
      <c r="K465" s="5"/>
      <c r="L465" s="5"/>
      <c r="M465" s="5"/>
      <c r="N465" s="5"/>
      <c r="O465" s="5"/>
      <c r="P465" s="5"/>
      <c r="Q465" s="5"/>
      <c r="R465" s="5"/>
      <c r="S465" s="5"/>
      <c r="T465" s="5"/>
    </row>
    <row r="466" spans="1:20">
      <c r="A466" s="45"/>
      <c r="B466" s="46"/>
      <c r="C466" s="5"/>
      <c r="D466" s="5"/>
      <c r="E466" s="5"/>
      <c r="F466" s="5"/>
      <c r="G466" s="5"/>
      <c r="H466" s="5"/>
      <c r="I466" s="5"/>
      <c r="J466" s="5"/>
      <c r="K466" s="5"/>
      <c r="L466" s="5"/>
      <c r="M466" s="5"/>
      <c r="N466" s="5"/>
      <c r="O466" s="5"/>
      <c r="P466" s="5"/>
      <c r="Q466" s="5"/>
      <c r="R466" s="5"/>
      <c r="S466" s="5"/>
      <c r="T466" s="5"/>
    </row>
    <row r="467" spans="1:20">
      <c r="A467" s="45"/>
      <c r="B467" s="46"/>
      <c r="C467" s="5"/>
      <c r="D467" s="5"/>
      <c r="E467" s="5"/>
      <c r="F467" s="5"/>
      <c r="G467" s="5"/>
      <c r="H467" s="5"/>
      <c r="I467" s="5"/>
      <c r="J467" s="5"/>
      <c r="K467" s="5"/>
      <c r="L467" s="5"/>
      <c r="M467" s="5"/>
      <c r="N467" s="5"/>
      <c r="O467" s="5"/>
      <c r="P467" s="5"/>
      <c r="Q467" s="5"/>
      <c r="R467" s="5"/>
      <c r="S467" s="5"/>
      <c r="T467" s="5"/>
    </row>
    <row r="468" spans="1:20">
      <c r="A468" s="45"/>
      <c r="B468" s="46"/>
      <c r="C468" s="5"/>
      <c r="D468" s="5"/>
      <c r="E468" s="5"/>
      <c r="F468" s="5"/>
      <c r="G468" s="5"/>
      <c r="H468" s="5"/>
      <c r="I468" s="5"/>
      <c r="J468" s="5"/>
      <c r="K468" s="5"/>
      <c r="L468" s="5"/>
      <c r="M468" s="5"/>
      <c r="N468" s="5"/>
      <c r="O468" s="5"/>
      <c r="P468" s="5"/>
      <c r="Q468" s="5"/>
      <c r="R468" s="5"/>
      <c r="S468" s="5"/>
      <c r="T468" s="5"/>
    </row>
    <row r="469" spans="1:20">
      <c r="A469" s="45"/>
      <c r="B469" s="46"/>
      <c r="C469" s="5"/>
      <c r="D469" s="5"/>
      <c r="E469" s="5"/>
      <c r="F469" s="5"/>
      <c r="G469" s="5"/>
      <c r="H469" s="5"/>
      <c r="I469" s="5"/>
      <c r="J469" s="5"/>
      <c r="K469" s="5"/>
      <c r="L469" s="5"/>
      <c r="M469" s="5"/>
      <c r="N469" s="5"/>
      <c r="O469" s="5"/>
      <c r="P469" s="5"/>
      <c r="Q469" s="5"/>
      <c r="R469" s="5"/>
      <c r="S469" s="5"/>
      <c r="T469" s="5"/>
    </row>
    <row r="470" spans="1:20">
      <c r="A470" s="45"/>
      <c r="B470" s="46"/>
      <c r="C470" s="5"/>
      <c r="D470" s="5"/>
      <c r="E470" s="5"/>
      <c r="F470" s="5"/>
      <c r="G470" s="5"/>
      <c r="H470" s="5"/>
      <c r="I470" s="5"/>
      <c r="J470" s="5"/>
      <c r="K470" s="5"/>
      <c r="L470" s="5"/>
      <c r="M470" s="5"/>
      <c r="N470" s="5"/>
      <c r="O470" s="5"/>
      <c r="P470" s="5"/>
      <c r="Q470" s="5"/>
      <c r="R470" s="5"/>
      <c r="S470" s="5"/>
      <c r="T470" s="5"/>
    </row>
    <row r="471" spans="1:20">
      <c r="A471" s="45"/>
      <c r="B471" s="46"/>
      <c r="C471" s="5"/>
      <c r="D471" s="5"/>
      <c r="E471" s="5"/>
      <c r="F471" s="5"/>
      <c r="G471" s="5"/>
      <c r="H471" s="5"/>
      <c r="I471" s="5"/>
      <c r="J471" s="5"/>
      <c r="K471" s="5"/>
      <c r="L471" s="5"/>
      <c r="M471" s="5"/>
      <c r="N471" s="5"/>
      <c r="O471" s="5"/>
      <c r="P471" s="5"/>
      <c r="Q471" s="5"/>
      <c r="R471" s="5"/>
      <c r="S471" s="5"/>
      <c r="T471" s="5"/>
    </row>
    <row r="472" spans="1:20">
      <c r="A472" s="45"/>
      <c r="B472" s="46"/>
      <c r="C472" s="5"/>
      <c r="D472" s="5"/>
      <c r="E472" s="5"/>
      <c r="F472" s="5"/>
      <c r="G472" s="5"/>
      <c r="H472" s="5"/>
      <c r="I472" s="5"/>
      <c r="J472" s="5"/>
      <c r="K472" s="5"/>
      <c r="L472" s="5"/>
      <c r="M472" s="5"/>
      <c r="N472" s="5"/>
      <c r="O472" s="5"/>
      <c r="P472" s="5"/>
      <c r="Q472" s="5"/>
      <c r="R472" s="5"/>
      <c r="S472" s="5"/>
      <c r="T472" s="5"/>
    </row>
    <row r="473" spans="1:20">
      <c r="A473" s="45"/>
      <c r="B473" s="46"/>
      <c r="C473" s="5"/>
      <c r="D473" s="5"/>
      <c r="E473" s="5"/>
      <c r="F473" s="5"/>
      <c r="G473" s="5"/>
      <c r="H473" s="5"/>
      <c r="I473" s="5"/>
      <c r="J473" s="5"/>
      <c r="K473" s="5"/>
      <c r="L473" s="5"/>
      <c r="M473" s="5"/>
      <c r="N473" s="5"/>
      <c r="O473" s="5"/>
      <c r="P473" s="5"/>
      <c r="Q473" s="5"/>
      <c r="R473" s="5"/>
      <c r="S473" s="5"/>
      <c r="T473" s="5"/>
    </row>
    <row r="474" spans="1:20">
      <c r="A474" s="45"/>
      <c r="B474" s="46"/>
      <c r="C474" s="5"/>
      <c r="D474" s="5"/>
      <c r="E474" s="5"/>
      <c r="F474" s="5"/>
      <c r="G474" s="5"/>
      <c r="H474" s="5"/>
      <c r="I474" s="5"/>
      <c r="J474" s="5"/>
      <c r="K474" s="5"/>
      <c r="L474" s="5"/>
      <c r="M474" s="5"/>
      <c r="N474" s="5"/>
      <c r="O474" s="5"/>
      <c r="P474" s="5"/>
      <c r="Q474" s="5"/>
      <c r="R474" s="5"/>
      <c r="S474" s="5"/>
      <c r="T474" s="5"/>
    </row>
    <row r="475" spans="1:20">
      <c r="A475" s="45"/>
      <c r="B475" s="46"/>
      <c r="C475" s="5"/>
      <c r="D475" s="5"/>
      <c r="E475" s="5"/>
      <c r="F475" s="5"/>
      <c r="G475" s="5"/>
      <c r="H475" s="5"/>
      <c r="I475" s="5"/>
      <c r="J475" s="5"/>
      <c r="K475" s="5"/>
      <c r="L475" s="5"/>
      <c r="M475" s="5"/>
      <c r="N475" s="5"/>
      <c r="O475" s="5"/>
      <c r="P475" s="5"/>
      <c r="Q475" s="5"/>
      <c r="R475" s="5"/>
      <c r="S475" s="5"/>
      <c r="T475" s="5"/>
    </row>
    <row r="476" spans="1:20">
      <c r="A476" s="45"/>
      <c r="B476" s="46"/>
      <c r="C476" s="5"/>
      <c r="D476" s="5"/>
      <c r="E476" s="5"/>
      <c r="F476" s="5"/>
      <c r="G476" s="5"/>
      <c r="H476" s="5"/>
      <c r="I476" s="5"/>
      <c r="J476" s="5"/>
      <c r="K476" s="5"/>
      <c r="L476" s="5"/>
      <c r="M476" s="5"/>
      <c r="N476" s="5"/>
      <c r="O476" s="5"/>
      <c r="P476" s="5"/>
      <c r="Q476" s="5"/>
      <c r="R476" s="5"/>
      <c r="S476" s="5"/>
      <c r="T476" s="5"/>
    </row>
    <row r="477" spans="1:20">
      <c r="A477" s="45"/>
      <c r="B477" s="46"/>
      <c r="C477" s="5"/>
      <c r="D477" s="5"/>
      <c r="E477" s="5"/>
      <c r="F477" s="5"/>
      <c r="G477" s="5"/>
      <c r="H477" s="5"/>
      <c r="I477" s="5"/>
      <c r="J477" s="5"/>
      <c r="K477" s="5"/>
      <c r="L477" s="5"/>
      <c r="M477" s="5"/>
      <c r="N477" s="5"/>
      <c r="O477" s="5"/>
      <c r="P477" s="5"/>
      <c r="Q477" s="5"/>
      <c r="R477" s="5"/>
      <c r="S477" s="5"/>
      <c r="T477" s="5"/>
    </row>
    <row r="478" spans="1:20">
      <c r="A478" s="45"/>
      <c r="B478" s="46"/>
      <c r="C478" s="5"/>
      <c r="D478" s="5"/>
      <c r="E478" s="5"/>
      <c r="F478" s="5"/>
      <c r="G478" s="5"/>
      <c r="H478" s="5"/>
      <c r="I478" s="5"/>
      <c r="J478" s="5"/>
      <c r="K478" s="5"/>
      <c r="L478" s="5"/>
      <c r="M478" s="5"/>
      <c r="N478" s="5"/>
      <c r="O478" s="5"/>
      <c r="P478" s="5"/>
      <c r="Q478" s="5"/>
      <c r="R478" s="5"/>
      <c r="S478" s="5"/>
      <c r="T478" s="5"/>
    </row>
    <row r="479" spans="1:20">
      <c r="A479" s="45"/>
      <c r="B479" s="46"/>
      <c r="C479" s="5"/>
      <c r="D479" s="5"/>
      <c r="E479" s="5"/>
      <c r="F479" s="5"/>
      <c r="G479" s="5"/>
      <c r="H479" s="5"/>
      <c r="I479" s="5"/>
      <c r="J479" s="5"/>
      <c r="K479" s="5"/>
      <c r="L479" s="5"/>
      <c r="M479" s="5"/>
      <c r="N479" s="5"/>
      <c r="O479" s="5"/>
      <c r="P479" s="5"/>
      <c r="Q479" s="5"/>
      <c r="R479" s="5"/>
      <c r="S479" s="5"/>
      <c r="T479" s="5"/>
    </row>
    <row r="480" spans="1:20">
      <c r="A480" s="45"/>
      <c r="B480" s="46"/>
      <c r="C480" s="5"/>
      <c r="D480" s="5"/>
      <c r="E480" s="5"/>
      <c r="F480" s="5"/>
      <c r="G480" s="5"/>
      <c r="H480" s="5"/>
      <c r="I480" s="5"/>
      <c r="J480" s="5"/>
      <c r="K480" s="5"/>
      <c r="L480" s="5"/>
      <c r="M480" s="5"/>
      <c r="N480" s="5"/>
      <c r="O480" s="5"/>
      <c r="P480" s="5"/>
      <c r="Q480" s="5"/>
      <c r="R480" s="5"/>
      <c r="S480" s="5"/>
      <c r="T480" s="5"/>
    </row>
    <row r="481" spans="1:20">
      <c r="A481" s="45"/>
      <c r="B481" s="46"/>
      <c r="C481" s="5"/>
      <c r="D481" s="5"/>
      <c r="E481" s="5"/>
      <c r="F481" s="5"/>
      <c r="G481" s="5"/>
      <c r="H481" s="5"/>
      <c r="I481" s="5"/>
      <c r="J481" s="5"/>
      <c r="K481" s="5"/>
      <c r="L481" s="5"/>
      <c r="M481" s="5"/>
      <c r="N481" s="5"/>
      <c r="O481" s="5"/>
      <c r="P481" s="5"/>
      <c r="Q481" s="5"/>
      <c r="R481" s="5"/>
      <c r="S481" s="5"/>
      <c r="T481" s="5"/>
    </row>
    <row r="482" spans="1:20">
      <c r="A482" s="45"/>
      <c r="B482" s="46"/>
      <c r="C482" s="5"/>
      <c r="D482" s="5"/>
      <c r="E482" s="5"/>
      <c r="F482" s="5"/>
      <c r="G482" s="5"/>
      <c r="H482" s="5"/>
      <c r="I482" s="5"/>
      <c r="J482" s="5"/>
      <c r="K482" s="5"/>
      <c r="L482" s="5"/>
      <c r="M482" s="5"/>
      <c r="N482" s="5"/>
      <c r="O482" s="5"/>
      <c r="P482" s="5"/>
      <c r="Q482" s="5"/>
      <c r="R482" s="5"/>
      <c r="S482" s="5"/>
      <c r="T482" s="5"/>
    </row>
    <row r="483" spans="1:20">
      <c r="A483" s="45"/>
      <c r="B483" s="46"/>
      <c r="C483" s="5"/>
      <c r="D483" s="5"/>
      <c r="E483" s="5"/>
      <c r="F483" s="5"/>
      <c r="G483" s="5"/>
      <c r="H483" s="5"/>
      <c r="I483" s="5"/>
      <c r="J483" s="5"/>
      <c r="K483" s="5"/>
      <c r="L483" s="5"/>
      <c r="M483" s="5"/>
      <c r="N483" s="5"/>
      <c r="O483" s="5"/>
      <c r="P483" s="5"/>
      <c r="Q483" s="5"/>
      <c r="R483" s="5"/>
      <c r="S483" s="5"/>
      <c r="T483" s="5"/>
    </row>
    <row r="484" spans="1:20">
      <c r="A484" s="45"/>
      <c r="B484" s="46"/>
      <c r="C484" s="5"/>
      <c r="D484" s="5"/>
      <c r="E484" s="5"/>
      <c r="F484" s="5"/>
      <c r="G484" s="5"/>
      <c r="H484" s="5"/>
      <c r="I484" s="5"/>
      <c r="J484" s="5"/>
      <c r="K484" s="5"/>
      <c r="L484" s="5"/>
      <c r="M484" s="5"/>
      <c r="N484" s="5"/>
      <c r="O484" s="5"/>
      <c r="P484" s="5"/>
      <c r="Q484" s="5"/>
      <c r="R484" s="5"/>
      <c r="S484" s="5"/>
      <c r="T484" s="5"/>
    </row>
    <row r="485" spans="1:20">
      <c r="A485" s="45"/>
      <c r="B485" s="46"/>
      <c r="C485" s="5"/>
      <c r="D485" s="5"/>
      <c r="E485" s="5"/>
      <c r="F485" s="5"/>
      <c r="G485" s="5"/>
      <c r="H485" s="5"/>
      <c r="I485" s="5"/>
      <c r="J485" s="5"/>
      <c r="K485" s="5"/>
      <c r="L485" s="5"/>
      <c r="M485" s="5"/>
      <c r="N485" s="5"/>
      <c r="O485" s="5"/>
      <c r="P485" s="5"/>
      <c r="Q485" s="5"/>
      <c r="R485" s="5"/>
      <c r="S485" s="5"/>
      <c r="T485" s="5"/>
    </row>
    <row r="486" spans="1:20">
      <c r="A486" s="45"/>
      <c r="B486" s="46"/>
      <c r="C486" s="5"/>
      <c r="D486" s="5"/>
      <c r="E486" s="5"/>
      <c r="F486" s="5"/>
      <c r="G486" s="5"/>
      <c r="H486" s="5"/>
      <c r="I486" s="5"/>
      <c r="J486" s="5"/>
      <c r="K486" s="5"/>
      <c r="L486" s="5"/>
      <c r="M486" s="5"/>
      <c r="N486" s="5"/>
      <c r="O486" s="5"/>
      <c r="P486" s="5"/>
      <c r="Q486" s="5"/>
      <c r="R486" s="5"/>
      <c r="S486" s="5"/>
      <c r="T486" s="5"/>
    </row>
    <row r="487" spans="1:20">
      <c r="A487" s="45"/>
      <c r="B487" s="46"/>
      <c r="C487" s="5"/>
      <c r="D487" s="5"/>
      <c r="E487" s="5"/>
      <c r="F487" s="5"/>
      <c r="G487" s="5"/>
      <c r="H487" s="5"/>
      <c r="I487" s="5"/>
      <c r="J487" s="5"/>
      <c r="K487" s="5"/>
      <c r="L487" s="5"/>
      <c r="M487" s="5"/>
      <c r="N487" s="5"/>
      <c r="O487" s="5"/>
      <c r="P487" s="5"/>
      <c r="Q487" s="5"/>
      <c r="R487" s="5"/>
      <c r="S487" s="5"/>
      <c r="T487" s="5"/>
    </row>
    <row r="488" spans="1:20">
      <c r="A488" s="45"/>
      <c r="B488" s="46"/>
      <c r="C488" s="5"/>
      <c r="D488" s="5"/>
      <c r="E488" s="5"/>
      <c r="F488" s="5"/>
      <c r="G488" s="5"/>
      <c r="H488" s="5"/>
      <c r="I488" s="5"/>
      <c r="J488" s="5"/>
      <c r="K488" s="5"/>
      <c r="L488" s="5"/>
      <c r="M488" s="5"/>
      <c r="N488" s="5"/>
      <c r="O488" s="5"/>
      <c r="P488" s="5"/>
      <c r="Q488" s="5"/>
      <c r="R488" s="5"/>
      <c r="S488" s="5"/>
      <c r="T488" s="5"/>
    </row>
    <row r="489" spans="1:20">
      <c r="A489" s="45"/>
      <c r="B489" s="46"/>
      <c r="C489" s="5"/>
      <c r="D489" s="5"/>
      <c r="E489" s="5"/>
      <c r="F489" s="5"/>
      <c r="G489" s="5"/>
      <c r="H489" s="5"/>
      <c r="I489" s="5"/>
      <c r="J489" s="5"/>
      <c r="K489" s="5"/>
      <c r="L489" s="5"/>
      <c r="M489" s="5"/>
      <c r="N489" s="5"/>
      <c r="O489" s="5"/>
      <c r="P489" s="5"/>
      <c r="Q489" s="5"/>
      <c r="R489" s="5"/>
      <c r="S489" s="5"/>
      <c r="T489" s="5"/>
    </row>
    <row r="490" spans="1:20">
      <c r="A490" s="45"/>
      <c r="B490" s="46"/>
      <c r="C490" s="5"/>
      <c r="D490" s="5"/>
      <c r="E490" s="5"/>
      <c r="F490" s="5"/>
      <c r="G490" s="5"/>
      <c r="H490" s="5"/>
      <c r="I490" s="5"/>
      <c r="J490" s="5"/>
      <c r="K490" s="5"/>
      <c r="L490" s="5"/>
      <c r="M490" s="5"/>
      <c r="N490" s="5"/>
      <c r="O490" s="5"/>
      <c r="P490" s="5"/>
      <c r="Q490" s="5"/>
      <c r="R490" s="5"/>
      <c r="S490" s="5"/>
      <c r="T490" s="5"/>
    </row>
    <row r="491" spans="1:20">
      <c r="A491" s="45"/>
      <c r="B491" s="46"/>
      <c r="C491" s="5"/>
      <c r="D491" s="5"/>
      <c r="E491" s="5"/>
      <c r="F491" s="5"/>
      <c r="G491" s="5"/>
      <c r="H491" s="5"/>
      <c r="I491" s="5"/>
      <c r="J491" s="5"/>
      <c r="K491" s="5"/>
      <c r="L491" s="5"/>
      <c r="M491" s="5"/>
      <c r="N491" s="5"/>
      <c r="O491" s="5"/>
      <c r="P491" s="5"/>
      <c r="Q491" s="5"/>
      <c r="R491" s="5"/>
      <c r="S491" s="5"/>
      <c r="T491" s="5"/>
    </row>
    <row r="492" spans="1:20">
      <c r="A492" s="45"/>
      <c r="B492" s="46"/>
      <c r="C492" s="5"/>
      <c r="D492" s="5"/>
      <c r="E492" s="5"/>
      <c r="F492" s="5"/>
      <c r="G492" s="5"/>
      <c r="H492" s="5"/>
      <c r="I492" s="5"/>
      <c r="J492" s="5"/>
      <c r="K492" s="5"/>
      <c r="L492" s="5"/>
      <c r="M492" s="5"/>
      <c r="N492" s="5"/>
      <c r="O492" s="5"/>
      <c r="P492" s="5"/>
      <c r="Q492" s="5"/>
      <c r="R492" s="5"/>
      <c r="S492" s="5"/>
      <c r="T492" s="5"/>
    </row>
    <row r="493" spans="1:20">
      <c r="A493" s="45"/>
      <c r="B493" s="46"/>
      <c r="C493" s="5"/>
      <c r="D493" s="5"/>
      <c r="E493" s="5"/>
      <c r="F493" s="5"/>
      <c r="G493" s="5"/>
      <c r="H493" s="5"/>
      <c r="I493" s="5"/>
      <c r="J493" s="5"/>
      <c r="K493" s="5"/>
      <c r="L493" s="5"/>
      <c r="M493" s="5"/>
      <c r="N493" s="5"/>
      <c r="O493" s="5"/>
      <c r="P493" s="5"/>
      <c r="Q493" s="5"/>
      <c r="R493" s="5"/>
      <c r="S493" s="5"/>
      <c r="T493" s="5"/>
    </row>
    <row r="494" spans="1:20">
      <c r="A494" s="45"/>
      <c r="B494" s="46"/>
      <c r="C494" s="5"/>
      <c r="D494" s="5"/>
      <c r="E494" s="5"/>
      <c r="F494" s="5"/>
      <c r="G494" s="5"/>
      <c r="H494" s="5"/>
      <c r="I494" s="5"/>
      <c r="J494" s="5"/>
      <c r="K494" s="5"/>
      <c r="L494" s="5"/>
      <c r="M494" s="5"/>
      <c r="N494" s="5"/>
      <c r="O494" s="5"/>
      <c r="P494" s="5"/>
      <c r="Q494" s="5"/>
      <c r="R494" s="5"/>
      <c r="S494" s="5"/>
      <c r="T494" s="5"/>
    </row>
    <row r="495" spans="1:20">
      <c r="A495" s="45"/>
      <c r="B495" s="46"/>
      <c r="C495" s="5"/>
      <c r="D495" s="5"/>
      <c r="E495" s="5"/>
      <c r="F495" s="5"/>
      <c r="G495" s="5"/>
      <c r="H495" s="5"/>
      <c r="I495" s="5"/>
      <c r="J495" s="5"/>
      <c r="K495" s="5"/>
      <c r="L495" s="5"/>
      <c r="M495" s="5"/>
      <c r="N495" s="5"/>
      <c r="O495" s="5"/>
      <c r="P495" s="5"/>
      <c r="Q495" s="5"/>
      <c r="R495" s="5"/>
      <c r="S495" s="5"/>
      <c r="T495" s="5"/>
    </row>
    <row r="496" spans="1:20">
      <c r="A496" s="45"/>
      <c r="B496" s="46"/>
      <c r="C496" s="5"/>
      <c r="D496" s="5"/>
      <c r="E496" s="5"/>
      <c r="F496" s="5"/>
      <c r="G496" s="5"/>
      <c r="H496" s="5"/>
      <c r="I496" s="5"/>
      <c r="J496" s="5"/>
      <c r="K496" s="5"/>
      <c r="L496" s="5"/>
      <c r="M496" s="5"/>
      <c r="N496" s="5"/>
      <c r="O496" s="5"/>
      <c r="P496" s="5"/>
      <c r="Q496" s="5"/>
      <c r="R496" s="5"/>
      <c r="S496" s="5"/>
      <c r="T496" s="5"/>
    </row>
    <row r="497" spans="1:20">
      <c r="A497" s="45"/>
      <c r="B497" s="46"/>
      <c r="C497" s="5"/>
      <c r="D497" s="5"/>
      <c r="E497" s="5"/>
      <c r="F497" s="5"/>
      <c r="G497" s="5"/>
      <c r="H497" s="5"/>
      <c r="I497" s="5"/>
      <c r="J497" s="5"/>
      <c r="K497" s="5"/>
      <c r="L497" s="5"/>
      <c r="M497" s="5"/>
      <c r="N497" s="5"/>
      <c r="O497" s="5"/>
      <c r="P497" s="5"/>
      <c r="Q497" s="5"/>
      <c r="R497" s="5"/>
      <c r="S497" s="5"/>
      <c r="T497" s="5"/>
    </row>
    <row r="498" spans="1:20">
      <c r="A498" s="45"/>
      <c r="B498" s="46"/>
      <c r="C498" s="5"/>
      <c r="D498" s="5"/>
      <c r="E498" s="5"/>
      <c r="F498" s="5"/>
      <c r="G498" s="5"/>
      <c r="H498" s="5"/>
      <c r="I498" s="5"/>
      <c r="J498" s="5"/>
      <c r="K498" s="5"/>
      <c r="L498" s="5"/>
      <c r="M498" s="5"/>
      <c r="N498" s="5"/>
      <c r="O498" s="5"/>
      <c r="P498" s="5"/>
      <c r="Q498" s="5"/>
      <c r="R498" s="5"/>
      <c r="S498" s="5"/>
      <c r="T498" s="5"/>
    </row>
    <row r="499" spans="1:20">
      <c r="A499" s="45"/>
      <c r="B499" s="46"/>
      <c r="C499" s="5"/>
      <c r="D499" s="5"/>
      <c r="E499" s="5"/>
      <c r="F499" s="5"/>
      <c r="G499" s="5"/>
      <c r="H499" s="5"/>
      <c r="I499" s="5"/>
      <c r="J499" s="5"/>
      <c r="K499" s="5"/>
      <c r="L499" s="5"/>
      <c r="M499" s="5"/>
      <c r="N499" s="5"/>
      <c r="O499" s="5"/>
      <c r="P499" s="5"/>
      <c r="Q499" s="5"/>
      <c r="R499" s="5"/>
      <c r="S499" s="5"/>
      <c r="T499" s="5"/>
    </row>
    <row r="500" spans="1:20">
      <c r="A500" s="45"/>
      <c r="B500" s="46"/>
      <c r="C500" s="5"/>
      <c r="D500" s="5"/>
      <c r="E500" s="5"/>
      <c r="F500" s="5"/>
      <c r="G500" s="5"/>
      <c r="H500" s="5"/>
      <c r="I500" s="5"/>
      <c r="J500" s="5"/>
      <c r="K500" s="5"/>
      <c r="L500" s="5"/>
      <c r="M500" s="5"/>
      <c r="N500" s="5"/>
      <c r="O500" s="5"/>
      <c r="P500" s="5"/>
      <c r="Q500" s="5"/>
      <c r="R500" s="5"/>
      <c r="S500" s="5"/>
      <c r="T500" s="5"/>
    </row>
    <row r="501" spans="1:20">
      <c r="A501" s="45"/>
      <c r="B501" s="46"/>
      <c r="C501" s="5"/>
      <c r="D501" s="5"/>
      <c r="E501" s="5"/>
      <c r="F501" s="5"/>
      <c r="G501" s="5"/>
      <c r="H501" s="5"/>
      <c r="I501" s="5"/>
      <c r="J501" s="5"/>
      <c r="K501" s="5"/>
      <c r="L501" s="5"/>
      <c r="M501" s="5"/>
      <c r="N501" s="5"/>
      <c r="O501" s="5"/>
      <c r="P501" s="5"/>
      <c r="Q501" s="5"/>
      <c r="R501" s="5"/>
      <c r="S501" s="5"/>
      <c r="T501" s="5"/>
    </row>
    <row r="502" spans="1:20">
      <c r="A502" s="45"/>
      <c r="B502" s="46"/>
      <c r="C502" s="5"/>
      <c r="D502" s="5"/>
      <c r="E502" s="5"/>
      <c r="F502" s="5"/>
      <c r="G502" s="5"/>
      <c r="H502" s="5"/>
      <c r="I502" s="5"/>
      <c r="J502" s="5"/>
      <c r="K502" s="5"/>
      <c r="L502" s="5"/>
      <c r="M502" s="5"/>
      <c r="N502" s="5"/>
      <c r="O502" s="5"/>
      <c r="P502" s="5"/>
      <c r="Q502" s="5"/>
      <c r="R502" s="5"/>
      <c r="S502" s="5"/>
      <c r="T502" s="5"/>
    </row>
    <row r="503" spans="1:20">
      <c r="A503" s="45"/>
      <c r="B503" s="46"/>
      <c r="C503" s="5"/>
      <c r="D503" s="5"/>
      <c r="E503" s="5"/>
      <c r="F503" s="5"/>
      <c r="G503" s="5"/>
      <c r="H503" s="5"/>
      <c r="I503" s="5"/>
      <c r="J503" s="5"/>
      <c r="K503" s="5"/>
      <c r="L503" s="5"/>
      <c r="M503" s="5"/>
      <c r="N503" s="5"/>
      <c r="O503" s="5"/>
      <c r="P503" s="5"/>
      <c r="Q503" s="5"/>
      <c r="R503" s="5"/>
      <c r="S503" s="5"/>
      <c r="T503" s="5"/>
    </row>
    <row r="504" spans="1:20">
      <c r="A504" s="45"/>
      <c r="B504" s="46"/>
      <c r="C504" s="5"/>
      <c r="D504" s="5"/>
      <c r="E504" s="5"/>
      <c r="F504" s="5"/>
      <c r="G504" s="5"/>
      <c r="H504" s="5"/>
      <c r="I504" s="5"/>
      <c r="J504" s="5"/>
      <c r="K504" s="5"/>
      <c r="L504" s="5"/>
      <c r="M504" s="5"/>
      <c r="N504" s="5"/>
      <c r="O504" s="5"/>
      <c r="P504" s="5"/>
      <c r="Q504" s="5"/>
      <c r="R504" s="5"/>
      <c r="S504" s="5"/>
      <c r="T504" s="5"/>
    </row>
    <row r="505" spans="1:20">
      <c r="A505" s="45"/>
      <c r="B505" s="46"/>
      <c r="C505" s="5"/>
      <c r="D505" s="5"/>
      <c r="E505" s="5"/>
      <c r="F505" s="5"/>
      <c r="G505" s="5"/>
      <c r="H505" s="5"/>
      <c r="I505" s="5"/>
      <c r="J505" s="5"/>
      <c r="K505" s="5"/>
      <c r="L505" s="5"/>
      <c r="M505" s="5"/>
      <c r="N505" s="5"/>
      <c r="O505" s="5"/>
      <c r="P505" s="5"/>
      <c r="Q505" s="5"/>
      <c r="R505" s="5"/>
      <c r="S505" s="5"/>
      <c r="T505" s="5"/>
    </row>
    <row r="506" spans="1:20">
      <c r="A506" s="45"/>
      <c r="B506" s="46"/>
      <c r="C506" s="5"/>
      <c r="D506" s="5"/>
      <c r="E506" s="5"/>
      <c r="F506" s="5"/>
      <c r="G506" s="5"/>
      <c r="H506" s="5"/>
      <c r="I506" s="5"/>
      <c r="J506" s="5"/>
      <c r="K506" s="5"/>
      <c r="L506" s="5"/>
      <c r="M506" s="5"/>
      <c r="N506" s="5"/>
      <c r="O506" s="5"/>
      <c r="P506" s="5"/>
      <c r="Q506" s="5"/>
      <c r="R506" s="5"/>
      <c r="S506" s="5"/>
      <c r="T506" s="5"/>
    </row>
    <row r="507" spans="1:20">
      <c r="A507" s="45"/>
      <c r="B507" s="46"/>
      <c r="C507" s="5"/>
      <c r="D507" s="5"/>
      <c r="E507" s="5"/>
      <c r="F507" s="5"/>
      <c r="G507" s="5"/>
      <c r="H507" s="5"/>
      <c r="I507" s="5"/>
      <c r="J507" s="5"/>
      <c r="K507" s="5"/>
      <c r="L507" s="5"/>
      <c r="M507" s="5"/>
      <c r="N507" s="5"/>
      <c r="O507" s="5"/>
      <c r="P507" s="5"/>
      <c r="Q507" s="5"/>
      <c r="R507" s="5"/>
      <c r="S507" s="5"/>
      <c r="T507" s="5"/>
    </row>
    <row r="508" spans="1:20">
      <c r="A508" s="45"/>
      <c r="B508" s="46"/>
      <c r="C508" s="5"/>
      <c r="D508" s="5"/>
      <c r="E508" s="5"/>
      <c r="F508" s="5"/>
      <c r="G508" s="5"/>
      <c r="H508" s="5"/>
      <c r="I508" s="5"/>
      <c r="J508" s="5"/>
      <c r="K508" s="5"/>
      <c r="L508" s="5"/>
      <c r="M508" s="5"/>
      <c r="N508" s="5"/>
      <c r="O508" s="5"/>
      <c r="P508" s="5"/>
      <c r="Q508" s="5"/>
      <c r="R508" s="5"/>
      <c r="S508" s="5"/>
      <c r="T508" s="5"/>
    </row>
    <row r="509" spans="1:20">
      <c r="A509" s="45"/>
      <c r="B509" s="46"/>
      <c r="C509" s="5"/>
      <c r="D509" s="5"/>
      <c r="E509" s="5"/>
      <c r="F509" s="5"/>
      <c r="G509" s="5"/>
      <c r="H509" s="5"/>
      <c r="I509" s="5"/>
      <c r="J509" s="5"/>
      <c r="K509" s="5"/>
      <c r="L509" s="5"/>
      <c r="M509" s="5"/>
      <c r="N509" s="5"/>
      <c r="O509" s="5"/>
      <c r="P509" s="5"/>
      <c r="Q509" s="5"/>
      <c r="R509" s="5"/>
      <c r="S509" s="5"/>
      <c r="T509" s="5"/>
    </row>
    <row r="510" spans="1:20">
      <c r="A510" s="45"/>
      <c r="B510" s="46"/>
      <c r="C510" s="5"/>
      <c r="D510" s="5"/>
      <c r="E510" s="5"/>
      <c r="F510" s="5"/>
      <c r="G510" s="5"/>
      <c r="H510" s="5"/>
      <c r="I510" s="5"/>
      <c r="J510" s="5"/>
      <c r="K510" s="5"/>
      <c r="L510" s="5"/>
      <c r="M510" s="5"/>
      <c r="N510" s="5"/>
      <c r="O510" s="5"/>
      <c r="P510" s="5"/>
      <c r="Q510" s="5"/>
      <c r="R510" s="5"/>
      <c r="S510" s="5"/>
      <c r="T510" s="5"/>
    </row>
    <row r="511" spans="1:20">
      <c r="A511" s="45"/>
      <c r="B511" s="46"/>
      <c r="C511" s="5"/>
      <c r="D511" s="5"/>
      <c r="E511" s="5"/>
      <c r="F511" s="5"/>
      <c r="G511" s="5"/>
      <c r="H511" s="5"/>
      <c r="I511" s="5"/>
      <c r="J511" s="5"/>
      <c r="K511" s="5"/>
      <c r="L511" s="5"/>
      <c r="M511" s="5"/>
      <c r="N511" s="5"/>
      <c r="O511" s="5"/>
      <c r="P511" s="5"/>
      <c r="Q511" s="5"/>
      <c r="R511" s="5"/>
      <c r="S511" s="5"/>
      <c r="T511" s="5"/>
    </row>
    <row r="512" spans="1:20">
      <c r="A512" s="45"/>
      <c r="B512" s="46"/>
      <c r="C512" s="5"/>
      <c r="D512" s="5"/>
      <c r="E512" s="5"/>
      <c r="F512" s="5"/>
      <c r="G512" s="5"/>
      <c r="H512" s="5"/>
      <c r="I512" s="5"/>
      <c r="J512" s="5"/>
      <c r="K512" s="5"/>
      <c r="L512" s="5"/>
      <c r="M512" s="5"/>
      <c r="N512" s="5"/>
      <c r="O512" s="5"/>
      <c r="P512" s="5"/>
      <c r="Q512" s="5"/>
      <c r="R512" s="5"/>
      <c r="S512" s="5"/>
      <c r="T512" s="5"/>
    </row>
    <row r="513" spans="1:20">
      <c r="A513" s="45"/>
      <c r="B513" s="46"/>
      <c r="C513" s="5"/>
      <c r="D513" s="5"/>
      <c r="E513" s="5"/>
      <c r="F513" s="5"/>
      <c r="G513" s="5"/>
      <c r="H513" s="5"/>
      <c r="I513" s="5"/>
      <c r="J513" s="5"/>
      <c r="K513" s="5"/>
      <c r="L513" s="5"/>
      <c r="M513" s="5"/>
      <c r="N513" s="5"/>
      <c r="O513" s="5"/>
      <c r="P513" s="5"/>
      <c r="Q513" s="5"/>
      <c r="R513" s="5"/>
      <c r="S513" s="5"/>
      <c r="T513" s="5"/>
    </row>
    <row r="514" spans="1:20">
      <c r="A514" s="45"/>
      <c r="B514" s="46"/>
      <c r="C514" s="5"/>
      <c r="D514" s="5"/>
      <c r="E514" s="5"/>
      <c r="F514" s="5"/>
      <c r="G514" s="5"/>
      <c r="H514" s="5"/>
      <c r="I514" s="5"/>
      <c r="J514" s="5"/>
      <c r="K514" s="5"/>
      <c r="L514" s="5"/>
      <c r="M514" s="5"/>
      <c r="N514" s="5"/>
      <c r="O514" s="5"/>
      <c r="P514" s="5"/>
      <c r="Q514" s="5"/>
      <c r="R514" s="5"/>
      <c r="S514" s="5"/>
      <c r="T514" s="5"/>
    </row>
    <row r="515" spans="1:20">
      <c r="A515" s="45"/>
      <c r="B515" s="46"/>
      <c r="C515" s="5"/>
      <c r="D515" s="5"/>
      <c r="E515" s="5"/>
      <c r="F515" s="5"/>
      <c r="G515" s="5"/>
      <c r="H515" s="5"/>
      <c r="I515" s="5"/>
      <c r="J515" s="5"/>
      <c r="K515" s="5"/>
      <c r="L515" s="5"/>
      <c r="M515" s="5"/>
      <c r="N515" s="5"/>
      <c r="O515" s="5"/>
      <c r="P515" s="5"/>
      <c r="Q515" s="5"/>
      <c r="R515" s="5"/>
      <c r="S515" s="5"/>
      <c r="T515" s="5"/>
    </row>
    <row r="516" spans="1:20">
      <c r="A516" s="45"/>
      <c r="B516" s="46"/>
      <c r="C516" s="5"/>
      <c r="D516" s="5"/>
      <c r="E516" s="5"/>
      <c r="F516" s="5"/>
      <c r="G516" s="5"/>
      <c r="H516" s="5"/>
      <c r="I516" s="5"/>
      <c r="J516" s="5"/>
      <c r="K516" s="5"/>
      <c r="L516" s="5"/>
      <c r="M516" s="5"/>
      <c r="N516" s="5"/>
      <c r="O516" s="5"/>
      <c r="P516" s="5"/>
      <c r="Q516" s="5"/>
      <c r="R516" s="5"/>
      <c r="S516" s="5"/>
      <c r="T516" s="5"/>
    </row>
    <row r="517" spans="1:20">
      <c r="A517" s="45"/>
      <c r="B517" s="46"/>
      <c r="C517" s="5"/>
      <c r="D517" s="5"/>
      <c r="E517" s="5"/>
      <c r="F517" s="5"/>
      <c r="G517" s="5"/>
      <c r="H517" s="5"/>
      <c r="I517" s="5"/>
      <c r="J517" s="5"/>
      <c r="K517" s="5"/>
      <c r="L517" s="5"/>
      <c r="M517" s="5"/>
      <c r="N517" s="5"/>
      <c r="O517" s="5"/>
      <c r="P517" s="5"/>
      <c r="Q517" s="5"/>
      <c r="R517" s="5"/>
      <c r="S517" s="5"/>
      <c r="T517" s="5"/>
    </row>
    <row r="518" spans="1:20">
      <c r="A518" s="45"/>
      <c r="B518" s="46"/>
      <c r="C518" s="5"/>
      <c r="D518" s="5"/>
      <c r="E518" s="5"/>
      <c r="F518" s="5"/>
      <c r="G518" s="5"/>
      <c r="H518" s="5"/>
      <c r="I518" s="5"/>
      <c r="J518" s="5"/>
      <c r="K518" s="5"/>
      <c r="L518" s="5"/>
      <c r="M518" s="5"/>
      <c r="N518" s="5"/>
      <c r="O518" s="5"/>
      <c r="P518" s="5"/>
      <c r="Q518" s="5"/>
      <c r="R518" s="5"/>
      <c r="S518" s="5"/>
      <c r="T518" s="5"/>
    </row>
    <row r="519" spans="1:20">
      <c r="A519" s="45"/>
      <c r="B519" s="46"/>
      <c r="C519" s="5"/>
      <c r="D519" s="5"/>
      <c r="E519" s="5"/>
      <c r="F519" s="5"/>
      <c r="G519" s="5"/>
      <c r="H519" s="5"/>
      <c r="I519" s="5"/>
      <c r="J519" s="5"/>
      <c r="K519" s="5"/>
      <c r="L519" s="5"/>
      <c r="M519" s="5"/>
      <c r="N519" s="5"/>
      <c r="O519" s="5"/>
      <c r="P519" s="5"/>
      <c r="Q519" s="5"/>
      <c r="R519" s="5"/>
      <c r="S519" s="5"/>
      <c r="T519" s="5"/>
    </row>
    <row r="520" spans="1:20">
      <c r="A520" s="45"/>
      <c r="B520" s="46"/>
      <c r="C520" s="5"/>
      <c r="D520" s="5"/>
      <c r="E520" s="5"/>
      <c r="F520" s="5"/>
      <c r="G520" s="5"/>
      <c r="H520" s="5"/>
      <c r="I520" s="5"/>
      <c r="J520" s="5"/>
      <c r="K520" s="5"/>
      <c r="L520" s="5"/>
      <c r="M520" s="5"/>
      <c r="N520" s="5"/>
      <c r="O520" s="5"/>
      <c r="P520" s="5"/>
      <c r="Q520" s="5"/>
      <c r="R520" s="5"/>
      <c r="S520" s="5"/>
      <c r="T520" s="5"/>
    </row>
    <row r="521" spans="1:20">
      <c r="A521" s="45"/>
      <c r="B521" s="46"/>
      <c r="C521" s="5"/>
      <c r="D521" s="5"/>
      <c r="E521" s="5"/>
      <c r="F521" s="5"/>
      <c r="G521" s="5"/>
      <c r="H521" s="5"/>
      <c r="I521" s="5"/>
      <c r="J521" s="5"/>
      <c r="K521" s="5"/>
      <c r="L521" s="5"/>
      <c r="M521" s="5"/>
      <c r="N521" s="5"/>
      <c r="O521" s="5"/>
      <c r="P521" s="5"/>
      <c r="Q521" s="5"/>
      <c r="R521" s="5"/>
      <c r="S521" s="5"/>
      <c r="T521" s="5"/>
    </row>
    <row r="522" spans="1:20">
      <c r="A522" s="45"/>
      <c r="B522" s="46"/>
      <c r="C522" s="5"/>
      <c r="D522" s="5"/>
      <c r="E522" s="5"/>
      <c r="F522" s="5"/>
      <c r="G522" s="5"/>
      <c r="H522" s="5"/>
      <c r="I522" s="5"/>
      <c r="J522" s="5"/>
      <c r="K522" s="5"/>
      <c r="L522" s="5"/>
      <c r="M522" s="5"/>
      <c r="N522" s="5"/>
      <c r="O522" s="5"/>
      <c r="P522" s="5"/>
      <c r="Q522" s="5"/>
      <c r="R522" s="5"/>
      <c r="S522" s="5"/>
      <c r="T522" s="5"/>
    </row>
    <row r="523" spans="1:20">
      <c r="A523" s="45"/>
      <c r="B523" s="46"/>
      <c r="C523" s="5"/>
      <c r="D523" s="5"/>
      <c r="E523" s="5"/>
      <c r="F523" s="5"/>
      <c r="G523" s="5"/>
      <c r="H523" s="5"/>
      <c r="I523" s="5"/>
      <c r="J523" s="5"/>
      <c r="K523" s="5"/>
      <c r="L523" s="5"/>
      <c r="M523" s="5"/>
      <c r="N523" s="5"/>
      <c r="O523" s="5"/>
      <c r="P523" s="5"/>
      <c r="Q523" s="5"/>
      <c r="R523" s="5"/>
      <c r="S523" s="5"/>
      <c r="T523" s="5"/>
    </row>
    <row r="524" spans="1:20">
      <c r="A524" s="45"/>
      <c r="B524" s="46"/>
      <c r="C524" s="5"/>
      <c r="D524" s="5"/>
      <c r="E524" s="5"/>
      <c r="F524" s="5"/>
      <c r="G524" s="5"/>
      <c r="H524" s="5"/>
      <c r="I524" s="5"/>
      <c r="J524" s="5"/>
      <c r="K524" s="5"/>
      <c r="L524" s="5"/>
      <c r="M524" s="5"/>
      <c r="N524" s="5"/>
      <c r="O524" s="5"/>
      <c r="P524" s="5"/>
      <c r="Q524" s="5"/>
      <c r="R524" s="5"/>
      <c r="S524" s="5"/>
      <c r="T524" s="5"/>
    </row>
    <row r="525" spans="1:20">
      <c r="A525" s="45"/>
      <c r="B525" s="46"/>
      <c r="C525" s="5"/>
      <c r="D525" s="5"/>
      <c r="E525" s="5"/>
      <c r="F525" s="5"/>
      <c r="G525" s="5"/>
      <c r="H525" s="5"/>
      <c r="I525" s="5"/>
      <c r="J525" s="5"/>
      <c r="K525" s="5"/>
      <c r="L525" s="5"/>
      <c r="M525" s="5"/>
      <c r="N525" s="5"/>
      <c r="O525" s="5"/>
      <c r="P525" s="5"/>
      <c r="Q525" s="5"/>
      <c r="R525" s="5"/>
      <c r="S525" s="5"/>
      <c r="T525" s="5"/>
    </row>
    <row r="526" spans="1:20">
      <c r="A526" s="45"/>
      <c r="B526" s="46"/>
      <c r="C526" s="5"/>
      <c r="D526" s="5"/>
      <c r="E526" s="5"/>
      <c r="F526" s="5"/>
      <c r="G526" s="5"/>
      <c r="H526" s="5"/>
      <c r="I526" s="5"/>
      <c r="J526" s="5"/>
      <c r="K526" s="5"/>
      <c r="L526" s="5"/>
      <c r="M526" s="5"/>
      <c r="N526" s="5"/>
      <c r="O526" s="5"/>
      <c r="P526" s="5"/>
      <c r="Q526" s="5"/>
      <c r="R526" s="5"/>
      <c r="S526" s="5"/>
      <c r="T526" s="5"/>
    </row>
    <row r="527" spans="1:20">
      <c r="A527" s="45"/>
      <c r="B527" s="46"/>
      <c r="C527" s="5"/>
      <c r="D527" s="5"/>
      <c r="E527" s="5"/>
      <c r="F527" s="5"/>
      <c r="G527" s="5"/>
      <c r="H527" s="5"/>
      <c r="I527" s="5"/>
      <c r="J527" s="5"/>
      <c r="K527" s="5"/>
      <c r="L527" s="5"/>
      <c r="M527" s="5"/>
      <c r="N527" s="5"/>
      <c r="O527" s="5"/>
      <c r="P527" s="5"/>
      <c r="Q527" s="5"/>
      <c r="R527" s="5"/>
      <c r="S527" s="5"/>
      <c r="T527" s="5"/>
    </row>
    <row r="528" spans="1:20">
      <c r="A528" s="45"/>
      <c r="B528" s="46"/>
      <c r="C528" s="5"/>
      <c r="D528" s="5"/>
      <c r="E528" s="5"/>
      <c r="F528" s="5"/>
      <c r="G528" s="5"/>
      <c r="H528" s="5"/>
      <c r="I528" s="5"/>
      <c r="J528" s="5"/>
      <c r="K528" s="5"/>
      <c r="L528" s="5"/>
      <c r="M528" s="5"/>
      <c r="N528" s="5"/>
      <c r="O528" s="5"/>
      <c r="P528" s="5"/>
      <c r="Q528" s="5"/>
      <c r="R528" s="5"/>
      <c r="S528" s="5"/>
      <c r="T528" s="5"/>
    </row>
    <row r="529" spans="1:20">
      <c r="A529" s="45"/>
      <c r="B529" s="46"/>
      <c r="C529" s="5"/>
      <c r="D529" s="5"/>
      <c r="E529" s="5"/>
      <c r="F529" s="5"/>
      <c r="G529" s="5"/>
      <c r="H529" s="5"/>
      <c r="I529" s="5"/>
      <c r="J529" s="5"/>
      <c r="K529" s="5"/>
      <c r="L529" s="5"/>
      <c r="M529" s="5"/>
      <c r="N529" s="5"/>
      <c r="O529" s="5"/>
      <c r="P529" s="5"/>
      <c r="Q529" s="5"/>
      <c r="R529" s="5"/>
      <c r="S529" s="5"/>
      <c r="T529" s="5"/>
    </row>
    <row r="530" spans="1:20">
      <c r="A530" s="45"/>
      <c r="B530" s="46"/>
      <c r="C530" s="5"/>
      <c r="D530" s="5"/>
      <c r="E530" s="5"/>
      <c r="F530" s="5"/>
      <c r="G530" s="5"/>
      <c r="H530" s="5"/>
      <c r="I530" s="5"/>
      <c r="J530" s="5"/>
      <c r="K530" s="5"/>
      <c r="L530" s="5"/>
      <c r="M530" s="5"/>
      <c r="N530" s="5"/>
      <c r="O530" s="5"/>
      <c r="P530" s="5"/>
      <c r="Q530" s="5"/>
      <c r="R530" s="5"/>
      <c r="S530" s="5"/>
      <c r="T530" s="5"/>
    </row>
    <row r="531" spans="1:20">
      <c r="A531" s="45"/>
      <c r="B531" s="46"/>
      <c r="C531" s="5"/>
      <c r="D531" s="5"/>
      <c r="E531" s="5"/>
      <c r="F531" s="5"/>
      <c r="G531" s="5"/>
      <c r="H531" s="5"/>
      <c r="I531" s="5"/>
      <c r="J531" s="5"/>
      <c r="K531" s="5"/>
      <c r="L531" s="5"/>
      <c r="M531" s="5"/>
      <c r="N531" s="5"/>
      <c r="O531" s="5"/>
      <c r="P531" s="5"/>
      <c r="Q531" s="5"/>
      <c r="R531" s="5"/>
      <c r="S531" s="5"/>
      <c r="T531" s="5"/>
    </row>
    <row r="532" spans="1:20">
      <c r="A532" s="45"/>
      <c r="B532" s="46"/>
      <c r="C532" s="5"/>
      <c r="D532" s="5"/>
      <c r="E532" s="5"/>
      <c r="F532" s="5"/>
      <c r="G532" s="5"/>
      <c r="H532" s="5"/>
      <c r="I532" s="5"/>
      <c r="J532" s="5"/>
      <c r="K532" s="5"/>
      <c r="L532" s="5"/>
      <c r="M532" s="5"/>
      <c r="N532" s="5"/>
      <c r="O532" s="5"/>
      <c r="P532" s="5"/>
      <c r="Q532" s="5"/>
      <c r="R532" s="5"/>
      <c r="S532" s="5"/>
      <c r="T532" s="5"/>
    </row>
    <row r="533" spans="1:20">
      <c r="A533" s="45"/>
      <c r="B533" s="46"/>
      <c r="C533" s="5"/>
      <c r="D533" s="5"/>
      <c r="E533" s="5"/>
      <c r="F533" s="5"/>
      <c r="G533" s="5"/>
      <c r="H533" s="5"/>
      <c r="I533" s="5"/>
      <c r="J533" s="5"/>
      <c r="K533" s="5"/>
      <c r="L533" s="5"/>
      <c r="M533" s="5"/>
      <c r="N533" s="5"/>
      <c r="O533" s="5"/>
      <c r="P533" s="5"/>
      <c r="Q533" s="5"/>
      <c r="R533" s="5"/>
      <c r="S533" s="5"/>
      <c r="T533" s="5"/>
    </row>
    <row r="534" spans="1:20">
      <c r="A534" s="45"/>
      <c r="B534" s="46"/>
      <c r="C534" s="5"/>
      <c r="D534" s="5"/>
      <c r="E534" s="5"/>
      <c r="F534" s="5"/>
      <c r="G534" s="5"/>
      <c r="H534" s="5"/>
      <c r="I534" s="5"/>
      <c r="J534" s="5"/>
      <c r="K534" s="5"/>
      <c r="L534" s="5"/>
      <c r="M534" s="5"/>
      <c r="N534" s="5"/>
      <c r="O534" s="5"/>
      <c r="P534" s="5"/>
      <c r="Q534" s="5"/>
      <c r="R534" s="5"/>
      <c r="S534" s="5"/>
      <c r="T534" s="5"/>
    </row>
    <row r="535" spans="1:20">
      <c r="A535" s="45"/>
      <c r="B535" s="46"/>
      <c r="C535" s="5"/>
      <c r="D535" s="5"/>
      <c r="E535" s="5"/>
      <c r="F535" s="5"/>
      <c r="G535" s="5"/>
      <c r="H535" s="5"/>
      <c r="I535" s="5"/>
      <c r="J535" s="5"/>
      <c r="K535" s="5"/>
      <c r="L535" s="5"/>
      <c r="M535" s="5"/>
      <c r="N535" s="5"/>
      <c r="O535" s="5"/>
      <c r="P535" s="5"/>
      <c r="Q535" s="5"/>
      <c r="R535" s="5"/>
      <c r="S535" s="5"/>
      <c r="T535" s="5"/>
    </row>
    <row r="536" spans="1:20">
      <c r="A536" s="45"/>
      <c r="B536" s="46"/>
      <c r="C536" s="5"/>
      <c r="D536" s="5"/>
      <c r="E536" s="5"/>
      <c r="F536" s="5"/>
      <c r="G536" s="5"/>
      <c r="H536" s="5"/>
      <c r="I536" s="5"/>
      <c r="J536" s="5"/>
      <c r="K536" s="5"/>
      <c r="L536" s="5"/>
      <c r="M536" s="5"/>
      <c r="N536" s="5"/>
      <c r="O536" s="5"/>
      <c r="P536" s="5"/>
      <c r="Q536" s="5"/>
      <c r="R536" s="5"/>
      <c r="S536" s="5"/>
      <c r="T536" s="5"/>
    </row>
    <row r="537" spans="1:20">
      <c r="A537" s="45"/>
      <c r="B537" s="46"/>
      <c r="C537" s="5"/>
      <c r="D537" s="5"/>
      <c r="E537" s="5"/>
      <c r="F537" s="5"/>
      <c r="G537" s="5"/>
      <c r="H537" s="5"/>
      <c r="I537" s="5"/>
      <c r="J537" s="5"/>
      <c r="K537" s="5"/>
      <c r="L537" s="5"/>
      <c r="M537" s="5"/>
      <c r="N537" s="5"/>
      <c r="O537" s="5"/>
      <c r="P537" s="5"/>
      <c r="Q537" s="5"/>
      <c r="R537" s="5"/>
      <c r="S537" s="5"/>
      <c r="T537" s="5"/>
    </row>
    <row r="538" spans="1:20">
      <c r="A538" s="45"/>
      <c r="B538" s="46"/>
      <c r="C538" s="5"/>
      <c r="D538" s="5"/>
      <c r="E538" s="5"/>
      <c r="F538" s="5"/>
      <c r="G538" s="5"/>
      <c r="H538" s="5"/>
      <c r="I538" s="5"/>
      <c r="J538" s="5"/>
      <c r="K538" s="5"/>
      <c r="L538" s="5"/>
      <c r="M538" s="5"/>
      <c r="N538" s="5"/>
      <c r="O538" s="5"/>
      <c r="P538" s="5"/>
      <c r="Q538" s="5"/>
      <c r="R538" s="5"/>
      <c r="S538" s="5"/>
      <c r="T538" s="5"/>
    </row>
    <row r="539" spans="1:20">
      <c r="A539" s="45"/>
      <c r="B539" s="46"/>
      <c r="C539" s="5"/>
      <c r="D539" s="5"/>
      <c r="E539" s="5"/>
      <c r="F539" s="5"/>
      <c r="G539" s="5"/>
      <c r="H539" s="5"/>
      <c r="I539" s="5"/>
      <c r="J539" s="5"/>
      <c r="K539" s="5"/>
      <c r="L539" s="5"/>
      <c r="M539" s="5"/>
      <c r="N539" s="5"/>
      <c r="O539" s="5"/>
      <c r="P539" s="5"/>
      <c r="Q539" s="5"/>
      <c r="R539" s="5"/>
      <c r="S539" s="5"/>
      <c r="T539" s="5"/>
    </row>
    <row r="540" spans="1:20">
      <c r="A540" s="45"/>
      <c r="B540" s="46"/>
      <c r="C540" s="5"/>
      <c r="D540" s="5"/>
      <c r="E540" s="5"/>
      <c r="F540" s="5"/>
      <c r="G540" s="5"/>
      <c r="H540" s="5"/>
      <c r="I540" s="5"/>
      <c r="J540" s="5"/>
      <c r="K540" s="5"/>
      <c r="L540" s="5"/>
      <c r="M540" s="5"/>
      <c r="N540" s="5"/>
      <c r="O540" s="5"/>
      <c r="P540" s="5"/>
      <c r="Q540" s="5"/>
      <c r="R540" s="5"/>
      <c r="S540" s="5"/>
      <c r="T540" s="5"/>
    </row>
    <row r="541" spans="1:20">
      <c r="A541" s="45"/>
      <c r="B541" s="46"/>
      <c r="C541" s="5"/>
      <c r="D541" s="5"/>
      <c r="E541" s="5"/>
      <c r="F541" s="5"/>
      <c r="G541" s="5"/>
      <c r="H541" s="5"/>
      <c r="I541" s="5"/>
      <c r="J541" s="5"/>
      <c r="K541" s="5"/>
      <c r="L541" s="5"/>
      <c r="M541" s="5"/>
      <c r="N541" s="5"/>
      <c r="O541" s="5"/>
      <c r="P541" s="5"/>
      <c r="Q541" s="5"/>
      <c r="R541" s="5"/>
      <c r="S541" s="5"/>
      <c r="T541" s="5"/>
    </row>
    <row r="542" spans="1:20">
      <c r="A542" s="45"/>
      <c r="B542" s="46"/>
      <c r="C542" s="5"/>
      <c r="D542" s="5"/>
      <c r="E542" s="5"/>
      <c r="F542" s="5"/>
      <c r="G542" s="5"/>
      <c r="H542" s="5"/>
      <c r="I542" s="5"/>
      <c r="J542" s="5"/>
      <c r="K542" s="5"/>
      <c r="L542" s="5"/>
      <c r="M542" s="5"/>
      <c r="N542" s="5"/>
      <c r="O542" s="5"/>
      <c r="P542" s="5"/>
      <c r="Q542" s="5"/>
      <c r="R542" s="5"/>
      <c r="S542" s="5"/>
      <c r="T542" s="5"/>
    </row>
    <row r="543" spans="1:20">
      <c r="A543" s="45"/>
      <c r="B543" s="46"/>
      <c r="C543" s="5"/>
      <c r="D543" s="5"/>
      <c r="E543" s="5"/>
      <c r="F543" s="5"/>
      <c r="G543" s="5"/>
      <c r="H543" s="5"/>
      <c r="I543" s="5"/>
      <c r="J543" s="5"/>
      <c r="K543" s="5"/>
      <c r="L543" s="5"/>
      <c r="M543" s="5"/>
      <c r="N543" s="5"/>
      <c r="O543" s="5"/>
      <c r="P543" s="5"/>
      <c r="Q543" s="5"/>
      <c r="R543" s="5"/>
      <c r="S543" s="5"/>
      <c r="T543" s="5"/>
    </row>
    <row r="544" spans="1:20">
      <c r="A544" s="45"/>
      <c r="B544" s="46"/>
      <c r="C544" s="5"/>
      <c r="D544" s="5"/>
      <c r="E544" s="5"/>
      <c r="F544" s="5"/>
      <c r="G544" s="5"/>
      <c r="H544" s="5"/>
      <c r="I544" s="5"/>
      <c r="J544" s="5"/>
      <c r="K544" s="5"/>
      <c r="L544" s="5"/>
      <c r="M544" s="5"/>
      <c r="N544" s="5"/>
      <c r="O544" s="5"/>
      <c r="P544" s="5"/>
      <c r="Q544" s="5"/>
      <c r="R544" s="5"/>
      <c r="S544" s="5"/>
      <c r="T544" s="5"/>
    </row>
    <row r="545" spans="1:20">
      <c r="A545" s="45"/>
      <c r="B545" s="46"/>
      <c r="C545" s="5"/>
      <c r="D545" s="5"/>
      <c r="E545" s="5"/>
      <c r="F545" s="5"/>
      <c r="G545" s="5"/>
      <c r="H545" s="5"/>
      <c r="I545" s="5"/>
      <c r="J545" s="5"/>
      <c r="K545" s="5"/>
      <c r="L545" s="5"/>
      <c r="M545" s="5"/>
      <c r="N545" s="5"/>
      <c r="O545" s="5"/>
      <c r="P545" s="5"/>
      <c r="Q545" s="5"/>
      <c r="R545" s="5"/>
      <c r="S545" s="5"/>
      <c r="T545" s="5"/>
    </row>
    <row r="546" spans="1:20">
      <c r="A546" s="45"/>
      <c r="B546" s="46"/>
      <c r="C546" s="5"/>
      <c r="D546" s="5"/>
      <c r="E546" s="5"/>
      <c r="F546" s="5"/>
      <c r="G546" s="5"/>
      <c r="H546" s="5"/>
      <c r="I546" s="5"/>
      <c r="J546" s="5"/>
      <c r="K546" s="5"/>
      <c r="L546" s="5"/>
      <c r="M546" s="5"/>
      <c r="N546" s="5"/>
      <c r="O546" s="5"/>
      <c r="P546" s="5"/>
      <c r="Q546" s="5"/>
      <c r="R546" s="5"/>
      <c r="S546" s="5"/>
      <c r="T546" s="5"/>
    </row>
    <row r="547" spans="1:20">
      <c r="A547" s="45"/>
      <c r="B547" s="46"/>
      <c r="C547" s="5"/>
      <c r="D547" s="5"/>
      <c r="E547" s="5"/>
      <c r="F547" s="5"/>
      <c r="G547" s="5"/>
      <c r="H547" s="5"/>
      <c r="I547" s="5"/>
      <c r="J547" s="5"/>
      <c r="K547" s="5"/>
      <c r="L547" s="5"/>
      <c r="M547" s="5"/>
      <c r="N547" s="5"/>
      <c r="O547" s="5"/>
      <c r="P547" s="5"/>
      <c r="Q547" s="5"/>
      <c r="R547" s="5"/>
      <c r="S547" s="5"/>
      <c r="T547" s="5"/>
    </row>
    <row r="548" spans="1:20">
      <c r="A548" s="45"/>
      <c r="B548" s="46"/>
      <c r="C548" s="5"/>
      <c r="D548" s="5"/>
      <c r="E548" s="5"/>
      <c r="F548" s="5"/>
      <c r="G548" s="5"/>
      <c r="H548" s="5"/>
      <c r="I548" s="5"/>
      <c r="J548" s="5"/>
      <c r="K548" s="5"/>
      <c r="L548" s="5"/>
      <c r="M548" s="5"/>
      <c r="N548" s="5"/>
      <c r="O548" s="5"/>
      <c r="P548" s="5"/>
      <c r="Q548" s="5"/>
      <c r="R548" s="5"/>
      <c r="S548" s="5"/>
      <c r="T548" s="5"/>
    </row>
    <row r="549" spans="1:20">
      <c r="A549" s="45"/>
      <c r="B549" s="46"/>
      <c r="C549" s="5"/>
      <c r="D549" s="5"/>
      <c r="E549" s="5"/>
      <c r="F549" s="5"/>
      <c r="G549" s="5"/>
      <c r="H549" s="5"/>
      <c r="I549" s="5"/>
      <c r="J549" s="5"/>
      <c r="K549" s="5"/>
      <c r="L549" s="5"/>
      <c r="M549" s="5"/>
      <c r="N549" s="5"/>
      <c r="O549" s="5"/>
      <c r="P549" s="5"/>
      <c r="Q549" s="5"/>
      <c r="R549" s="5"/>
      <c r="S549" s="5"/>
      <c r="T549" s="5"/>
    </row>
    <row r="550" spans="1:20">
      <c r="A550" s="45"/>
      <c r="B550" s="46"/>
      <c r="C550" s="5"/>
      <c r="D550" s="5"/>
      <c r="E550" s="5"/>
      <c r="F550" s="5"/>
      <c r="G550" s="5"/>
      <c r="H550" s="5"/>
      <c r="I550" s="5"/>
      <c r="J550" s="5"/>
      <c r="K550" s="5"/>
      <c r="L550" s="5"/>
      <c r="M550" s="5"/>
      <c r="N550" s="5"/>
      <c r="O550" s="5"/>
      <c r="P550" s="5"/>
      <c r="Q550" s="5"/>
      <c r="R550" s="5"/>
      <c r="S550" s="5"/>
      <c r="T550" s="5"/>
    </row>
    <row r="551" spans="1:20">
      <c r="A551" s="45"/>
      <c r="B551" s="46"/>
      <c r="C551" s="5"/>
      <c r="D551" s="5"/>
      <c r="E551" s="5"/>
      <c r="F551" s="5"/>
      <c r="G551" s="5"/>
      <c r="H551" s="5"/>
      <c r="I551" s="5"/>
      <c r="J551" s="5"/>
      <c r="K551" s="5"/>
      <c r="L551" s="5"/>
      <c r="M551" s="5"/>
      <c r="N551" s="5"/>
      <c r="O551" s="5"/>
      <c r="P551" s="5"/>
      <c r="Q551" s="5"/>
      <c r="R551" s="5"/>
      <c r="S551" s="5"/>
      <c r="T551" s="5"/>
    </row>
    <row r="552" spans="1:20">
      <c r="A552" s="45"/>
      <c r="B552" s="46"/>
      <c r="C552" s="5"/>
      <c r="D552" s="5"/>
      <c r="E552" s="5"/>
      <c r="F552" s="5"/>
      <c r="G552" s="5"/>
      <c r="H552" s="5"/>
      <c r="I552" s="5"/>
      <c r="J552" s="5"/>
      <c r="K552" s="5"/>
      <c r="L552" s="5"/>
      <c r="M552" s="5"/>
      <c r="N552" s="5"/>
      <c r="O552" s="5"/>
      <c r="P552" s="5"/>
      <c r="Q552" s="5"/>
      <c r="R552" s="5"/>
      <c r="S552" s="5"/>
      <c r="T552" s="5"/>
    </row>
    <row r="553" spans="1:20">
      <c r="A553" s="45"/>
      <c r="B553" s="46"/>
      <c r="C553" s="5"/>
      <c r="D553" s="5"/>
      <c r="E553" s="5"/>
      <c r="F553" s="5"/>
      <c r="G553" s="5"/>
      <c r="H553" s="5"/>
      <c r="I553" s="5"/>
      <c r="J553" s="5"/>
      <c r="K553" s="5"/>
      <c r="L553" s="5"/>
      <c r="M553" s="5"/>
      <c r="N553" s="5"/>
      <c r="O553" s="5"/>
      <c r="P553" s="5"/>
      <c r="Q553" s="5"/>
      <c r="R553" s="5"/>
      <c r="S553" s="5"/>
      <c r="T553" s="5"/>
    </row>
    <row r="554" spans="1:20">
      <c r="A554" s="45"/>
      <c r="B554" s="46"/>
      <c r="C554" s="5"/>
      <c r="D554" s="5"/>
      <c r="E554" s="5"/>
      <c r="F554" s="5"/>
      <c r="G554" s="5"/>
      <c r="H554" s="5"/>
      <c r="I554" s="5"/>
      <c r="J554" s="5"/>
      <c r="K554" s="5"/>
      <c r="L554" s="5"/>
      <c r="M554" s="5"/>
      <c r="N554" s="5"/>
      <c r="O554" s="5"/>
      <c r="P554" s="5"/>
      <c r="Q554" s="5"/>
      <c r="R554" s="5"/>
      <c r="S554" s="5"/>
      <c r="T554" s="5"/>
    </row>
    <row r="555" spans="1:20">
      <c r="A555" s="45"/>
      <c r="B555" s="46"/>
      <c r="C555" s="5"/>
      <c r="D555" s="5"/>
      <c r="E555" s="5"/>
      <c r="F555" s="5"/>
      <c r="G555" s="5"/>
      <c r="H555" s="5"/>
      <c r="I555" s="5"/>
      <c r="J555" s="5"/>
      <c r="K555" s="5"/>
      <c r="L555" s="5"/>
      <c r="M555" s="5"/>
      <c r="N555" s="5"/>
      <c r="O555" s="5"/>
      <c r="P555" s="5"/>
      <c r="Q555" s="5"/>
      <c r="R555" s="5"/>
      <c r="S555" s="5"/>
      <c r="T555" s="5"/>
    </row>
    <row r="556" spans="1:20">
      <c r="A556" s="45"/>
      <c r="B556" s="46"/>
      <c r="C556" s="5"/>
      <c r="D556" s="5"/>
      <c r="E556" s="5"/>
      <c r="F556" s="5"/>
      <c r="G556" s="5"/>
      <c r="H556" s="5"/>
      <c r="I556" s="5"/>
      <c r="J556" s="5"/>
      <c r="K556" s="5"/>
      <c r="L556" s="5"/>
      <c r="M556" s="5"/>
      <c r="N556" s="5"/>
      <c r="O556" s="5"/>
      <c r="P556" s="5"/>
      <c r="Q556" s="5"/>
      <c r="R556" s="5"/>
      <c r="S556" s="5"/>
      <c r="T556" s="5"/>
    </row>
    <row r="557" spans="1:20">
      <c r="A557" s="45"/>
      <c r="B557" s="46"/>
      <c r="C557" s="5"/>
      <c r="D557" s="5"/>
      <c r="E557" s="5"/>
      <c r="F557" s="5"/>
      <c r="G557" s="5"/>
      <c r="H557" s="5"/>
      <c r="I557" s="5"/>
      <c r="J557" s="5"/>
      <c r="K557" s="5"/>
      <c r="L557" s="5"/>
      <c r="M557" s="5"/>
      <c r="N557" s="5"/>
      <c r="O557" s="5"/>
      <c r="P557" s="5"/>
      <c r="Q557" s="5"/>
      <c r="R557" s="5"/>
      <c r="S557" s="5"/>
      <c r="T557" s="5"/>
    </row>
    <row r="558" spans="1:20">
      <c r="A558" s="45"/>
      <c r="B558" s="46"/>
      <c r="C558" s="5"/>
      <c r="D558" s="5"/>
      <c r="E558" s="5"/>
      <c r="F558" s="5"/>
      <c r="G558" s="5"/>
      <c r="H558" s="5"/>
      <c r="I558" s="5"/>
      <c r="J558" s="5"/>
      <c r="K558" s="5"/>
      <c r="L558" s="5"/>
      <c r="M558" s="5"/>
      <c r="N558" s="5"/>
      <c r="O558" s="5"/>
      <c r="P558" s="5"/>
      <c r="Q558" s="5"/>
      <c r="R558" s="5"/>
      <c r="S558" s="5"/>
      <c r="T558" s="5"/>
    </row>
    <row r="559" spans="1:20">
      <c r="A559" s="45"/>
      <c r="B559" s="46"/>
      <c r="C559" s="5"/>
      <c r="D559" s="5"/>
      <c r="E559" s="5"/>
      <c r="F559" s="5"/>
      <c r="G559" s="5"/>
      <c r="H559" s="5"/>
      <c r="I559" s="5"/>
      <c r="J559" s="5"/>
      <c r="K559" s="5"/>
      <c r="L559" s="5"/>
      <c r="M559" s="5"/>
      <c r="N559" s="5"/>
      <c r="O559" s="5"/>
      <c r="P559" s="5"/>
      <c r="Q559" s="5"/>
      <c r="R559" s="5"/>
      <c r="S559" s="5"/>
      <c r="T559" s="5"/>
    </row>
    <row r="560" spans="1:20">
      <c r="A560" s="45"/>
      <c r="B560" s="46"/>
      <c r="C560" s="5"/>
      <c r="D560" s="5"/>
      <c r="E560" s="5"/>
      <c r="F560" s="5"/>
      <c r="G560" s="5"/>
      <c r="H560" s="5"/>
      <c r="I560" s="5"/>
      <c r="J560" s="5"/>
      <c r="K560" s="5"/>
      <c r="L560" s="5"/>
      <c r="M560" s="5"/>
      <c r="N560" s="5"/>
      <c r="O560" s="5"/>
      <c r="P560" s="5"/>
      <c r="Q560" s="5"/>
      <c r="R560" s="5"/>
      <c r="S560" s="5"/>
      <c r="T560" s="5"/>
    </row>
    <row r="561" spans="1:20">
      <c r="A561" s="45"/>
      <c r="B561" s="46"/>
      <c r="C561" s="5"/>
      <c r="D561" s="5"/>
      <c r="E561" s="5"/>
      <c r="F561" s="5"/>
      <c r="G561" s="5"/>
      <c r="H561" s="5"/>
      <c r="I561" s="5"/>
      <c r="J561" s="5"/>
      <c r="K561" s="5"/>
      <c r="L561" s="5"/>
      <c r="M561" s="5"/>
      <c r="N561" s="5"/>
      <c r="O561" s="5"/>
      <c r="P561" s="5"/>
      <c r="Q561" s="5"/>
      <c r="R561" s="5"/>
      <c r="S561" s="5"/>
      <c r="T561" s="5"/>
    </row>
    <row r="562" spans="1:20">
      <c r="A562" s="45"/>
      <c r="B562" s="46"/>
      <c r="C562" s="5"/>
      <c r="D562" s="5"/>
      <c r="E562" s="5"/>
      <c r="F562" s="5"/>
      <c r="G562" s="5"/>
      <c r="H562" s="5"/>
      <c r="I562" s="5"/>
      <c r="J562" s="5"/>
      <c r="K562" s="5"/>
      <c r="L562" s="5"/>
      <c r="M562" s="5"/>
      <c r="N562" s="5"/>
      <c r="O562" s="5"/>
      <c r="P562" s="5"/>
      <c r="Q562" s="5"/>
      <c r="R562" s="5"/>
      <c r="S562" s="5"/>
      <c r="T562" s="5"/>
    </row>
    <row r="563" spans="1:20">
      <c r="A563" s="45"/>
      <c r="B563" s="46"/>
      <c r="C563" s="5"/>
      <c r="D563" s="5"/>
      <c r="E563" s="5"/>
      <c r="F563" s="5"/>
      <c r="G563" s="5"/>
      <c r="H563" s="5"/>
      <c r="I563" s="5"/>
      <c r="J563" s="5"/>
      <c r="K563" s="5"/>
      <c r="L563" s="5"/>
      <c r="M563" s="5"/>
      <c r="N563" s="5"/>
      <c r="O563" s="5"/>
      <c r="P563" s="5"/>
      <c r="Q563" s="5"/>
      <c r="R563" s="5"/>
      <c r="S563" s="5"/>
      <c r="T563" s="5"/>
    </row>
    <row r="564" spans="1:20">
      <c r="A564" s="45"/>
      <c r="B564" s="46"/>
      <c r="C564" s="5"/>
      <c r="D564" s="5"/>
      <c r="E564" s="5"/>
      <c r="F564" s="5"/>
      <c r="G564" s="5"/>
      <c r="H564" s="5"/>
      <c r="I564" s="5"/>
      <c r="J564" s="5"/>
      <c r="K564" s="5"/>
      <c r="L564" s="5"/>
      <c r="M564" s="5"/>
      <c r="N564" s="5"/>
      <c r="O564" s="5"/>
      <c r="P564" s="5"/>
      <c r="Q564" s="5"/>
      <c r="R564" s="5"/>
      <c r="S564" s="5"/>
      <c r="T564" s="5"/>
    </row>
    <row r="565" spans="1:20">
      <c r="A565" s="45"/>
      <c r="B565" s="46"/>
      <c r="C565" s="5"/>
      <c r="D565" s="5"/>
      <c r="E565" s="5"/>
      <c r="F565" s="5"/>
      <c r="G565" s="5"/>
      <c r="H565" s="5"/>
      <c r="I565" s="5"/>
      <c r="J565" s="5"/>
      <c r="K565" s="5"/>
      <c r="L565" s="5"/>
      <c r="M565" s="5"/>
      <c r="N565" s="5"/>
      <c r="O565" s="5"/>
      <c r="P565" s="5"/>
      <c r="Q565" s="5"/>
      <c r="R565" s="5"/>
      <c r="S565" s="5"/>
      <c r="T565" s="5"/>
    </row>
    <row r="566" spans="1:20">
      <c r="A566" s="45"/>
      <c r="B566" s="46"/>
      <c r="C566" s="5"/>
      <c r="D566" s="5"/>
      <c r="E566" s="5"/>
      <c r="F566" s="5"/>
      <c r="G566" s="5"/>
      <c r="H566" s="5"/>
      <c r="I566" s="5"/>
      <c r="J566" s="5"/>
      <c r="K566" s="5"/>
      <c r="L566" s="5"/>
      <c r="M566" s="5"/>
      <c r="N566" s="5"/>
      <c r="O566" s="5"/>
      <c r="P566" s="5"/>
      <c r="Q566" s="5"/>
      <c r="R566" s="5"/>
      <c r="S566" s="5"/>
      <c r="T566" s="5"/>
    </row>
    <row r="567" spans="1:20">
      <c r="A567" s="45"/>
      <c r="B567" s="46"/>
      <c r="C567" s="5"/>
      <c r="D567" s="5"/>
      <c r="E567" s="5"/>
      <c r="F567" s="5"/>
      <c r="G567" s="5"/>
      <c r="H567" s="5"/>
      <c r="I567" s="5"/>
      <c r="J567" s="5"/>
      <c r="K567" s="5"/>
      <c r="L567" s="5"/>
      <c r="M567" s="5"/>
      <c r="N567" s="5"/>
      <c r="O567" s="5"/>
      <c r="P567" s="5"/>
      <c r="Q567" s="5"/>
      <c r="R567" s="5"/>
      <c r="S567" s="5"/>
      <c r="T567" s="5"/>
    </row>
    <row r="568" spans="1:20">
      <c r="A568" s="45"/>
      <c r="B568" s="46"/>
      <c r="C568" s="5"/>
      <c r="D568" s="5"/>
      <c r="E568" s="5"/>
      <c r="F568" s="5"/>
      <c r="G568" s="5"/>
      <c r="H568" s="5"/>
      <c r="I568" s="5"/>
      <c r="J568" s="5"/>
      <c r="K568" s="5"/>
      <c r="L568" s="5"/>
      <c r="M568" s="5"/>
      <c r="N568" s="5"/>
      <c r="O568" s="5"/>
      <c r="P568" s="5"/>
      <c r="Q568" s="5"/>
      <c r="R568" s="5"/>
      <c r="S568" s="5"/>
      <c r="T568" s="5"/>
    </row>
    <row r="569" spans="1:20">
      <c r="A569" s="45"/>
      <c r="B569" s="46"/>
      <c r="C569" s="5"/>
      <c r="D569" s="5"/>
      <c r="E569" s="5"/>
      <c r="F569" s="5"/>
      <c r="G569" s="5"/>
      <c r="H569" s="5"/>
      <c r="I569" s="5"/>
      <c r="J569" s="5"/>
      <c r="K569" s="5"/>
      <c r="L569" s="5"/>
      <c r="M569" s="5"/>
      <c r="N569" s="5"/>
      <c r="O569" s="5"/>
      <c r="P569" s="5"/>
      <c r="Q569" s="5"/>
      <c r="R569" s="5"/>
      <c r="S569" s="5"/>
      <c r="T569" s="5"/>
    </row>
    <row r="570" spans="1:20">
      <c r="A570" s="45"/>
      <c r="B570" s="46"/>
      <c r="C570" s="5"/>
      <c r="D570" s="5"/>
      <c r="E570" s="5"/>
      <c r="F570" s="5"/>
      <c r="G570" s="5"/>
      <c r="H570" s="5"/>
      <c r="I570" s="5"/>
      <c r="J570" s="5"/>
      <c r="K570" s="5"/>
      <c r="L570" s="5"/>
      <c r="M570" s="5"/>
      <c r="N570" s="5"/>
      <c r="O570" s="5"/>
      <c r="P570" s="5"/>
      <c r="Q570" s="5"/>
      <c r="R570" s="5"/>
      <c r="S570" s="5"/>
      <c r="T570" s="5"/>
    </row>
    <row r="571" spans="1:20">
      <c r="A571" s="45"/>
      <c r="B571" s="46"/>
      <c r="C571" s="5"/>
      <c r="D571" s="5"/>
      <c r="E571" s="5"/>
      <c r="F571" s="5"/>
      <c r="G571" s="5"/>
      <c r="H571" s="5"/>
      <c r="I571" s="5"/>
      <c r="J571" s="5"/>
      <c r="K571" s="5"/>
      <c r="L571" s="5"/>
      <c r="M571" s="5"/>
      <c r="N571" s="5"/>
      <c r="O571" s="5"/>
      <c r="P571" s="5"/>
      <c r="Q571" s="5"/>
      <c r="R571" s="5"/>
      <c r="S571" s="5"/>
      <c r="T571" s="5"/>
    </row>
    <row r="572" spans="1:20">
      <c r="A572" s="45"/>
      <c r="B572" s="46"/>
      <c r="C572" s="5"/>
      <c r="D572" s="5"/>
      <c r="E572" s="5"/>
      <c r="F572" s="5"/>
      <c r="G572" s="5"/>
      <c r="H572" s="5"/>
      <c r="I572" s="5"/>
      <c r="J572" s="5"/>
      <c r="K572" s="5"/>
      <c r="L572" s="5"/>
      <c r="M572" s="5"/>
      <c r="N572" s="5"/>
      <c r="O572" s="5"/>
      <c r="P572" s="5"/>
      <c r="Q572" s="5"/>
      <c r="R572" s="5"/>
      <c r="S572" s="5"/>
      <c r="T572" s="5"/>
    </row>
    <row r="573" spans="1:20">
      <c r="A573" s="45"/>
      <c r="B573" s="46"/>
      <c r="C573" s="5"/>
      <c r="D573" s="5"/>
      <c r="E573" s="5"/>
      <c r="F573" s="5"/>
      <c r="G573" s="5"/>
      <c r="H573" s="5"/>
      <c r="I573" s="5"/>
      <c r="J573" s="5"/>
      <c r="K573" s="5"/>
      <c r="L573" s="5"/>
      <c r="M573" s="5"/>
      <c r="N573" s="5"/>
      <c r="O573" s="5"/>
      <c r="P573" s="5"/>
      <c r="Q573" s="5"/>
      <c r="R573" s="5"/>
      <c r="S573" s="5"/>
      <c r="T573" s="5"/>
    </row>
    <row r="574" spans="1:20">
      <c r="A574" s="45"/>
      <c r="B574" s="46"/>
      <c r="C574" s="5"/>
      <c r="D574" s="5"/>
      <c r="E574" s="5"/>
      <c r="F574" s="5"/>
      <c r="G574" s="5"/>
      <c r="H574" s="5"/>
      <c r="I574" s="5"/>
      <c r="J574" s="5"/>
      <c r="K574" s="5"/>
      <c r="L574" s="5"/>
      <c r="M574" s="5"/>
      <c r="N574" s="5"/>
      <c r="O574" s="5"/>
      <c r="P574" s="5"/>
      <c r="Q574" s="5"/>
      <c r="R574" s="5"/>
      <c r="S574" s="5"/>
      <c r="T574" s="5"/>
    </row>
    <row r="575" spans="1:20">
      <c r="A575" s="45"/>
      <c r="B575" s="46"/>
      <c r="C575" s="5"/>
      <c r="D575" s="5"/>
      <c r="E575" s="5"/>
      <c r="F575" s="5"/>
      <c r="G575" s="5"/>
      <c r="H575" s="5"/>
      <c r="I575" s="5"/>
      <c r="J575" s="5"/>
      <c r="K575" s="5"/>
      <c r="L575" s="5"/>
      <c r="M575" s="5"/>
      <c r="N575" s="5"/>
      <c r="O575" s="5"/>
      <c r="P575" s="5"/>
      <c r="Q575" s="5"/>
      <c r="R575" s="5"/>
      <c r="S575" s="5"/>
      <c r="T575" s="5"/>
    </row>
    <row r="576" spans="1:20">
      <c r="A576" s="45"/>
      <c r="B576" s="46"/>
      <c r="C576" s="5"/>
      <c r="D576" s="5"/>
      <c r="E576" s="5"/>
      <c r="F576" s="5"/>
      <c r="G576" s="5"/>
      <c r="H576" s="5"/>
      <c r="I576" s="5"/>
      <c r="J576" s="5"/>
      <c r="K576" s="5"/>
      <c r="L576" s="5"/>
      <c r="M576" s="5"/>
      <c r="N576" s="5"/>
      <c r="O576" s="5"/>
      <c r="P576" s="5"/>
      <c r="Q576" s="5"/>
      <c r="R576" s="5"/>
      <c r="S576" s="5"/>
      <c r="T576" s="5"/>
    </row>
    <row r="577" spans="1:20">
      <c r="A577" s="45"/>
      <c r="B577" s="46"/>
      <c r="C577" s="5"/>
      <c r="D577" s="5"/>
      <c r="E577" s="5"/>
      <c r="F577" s="5"/>
      <c r="G577" s="5"/>
      <c r="H577" s="5"/>
      <c r="I577" s="5"/>
      <c r="J577" s="5"/>
      <c r="K577" s="5"/>
      <c r="L577" s="5"/>
      <c r="M577" s="5"/>
      <c r="N577" s="5"/>
      <c r="O577" s="5"/>
      <c r="P577" s="5"/>
      <c r="Q577" s="5"/>
      <c r="R577" s="5"/>
      <c r="S577" s="5"/>
      <c r="T577" s="5"/>
    </row>
    <row r="578" spans="1:20">
      <c r="A578" s="45"/>
      <c r="B578" s="46"/>
      <c r="C578" s="5"/>
      <c r="D578" s="5"/>
      <c r="E578" s="5"/>
      <c r="F578" s="5"/>
      <c r="G578" s="5"/>
      <c r="H578" s="5"/>
      <c r="I578" s="5"/>
      <c r="J578" s="5"/>
      <c r="K578" s="5"/>
      <c r="L578" s="5"/>
      <c r="M578" s="5"/>
      <c r="N578" s="5"/>
      <c r="O578" s="5"/>
      <c r="P578" s="5"/>
      <c r="Q578" s="5"/>
      <c r="R578" s="5"/>
      <c r="S578" s="5"/>
      <c r="T578" s="5"/>
    </row>
    <row r="579" spans="1:20">
      <c r="A579" s="45"/>
      <c r="B579" s="46"/>
      <c r="C579" s="5"/>
      <c r="D579" s="5"/>
      <c r="E579" s="5"/>
      <c r="F579" s="5"/>
      <c r="G579" s="5"/>
      <c r="H579" s="5"/>
      <c r="I579" s="5"/>
      <c r="J579" s="5"/>
      <c r="K579" s="5"/>
      <c r="L579" s="5"/>
      <c r="M579" s="5"/>
      <c r="N579" s="5"/>
      <c r="O579" s="5"/>
      <c r="P579" s="5"/>
      <c r="Q579" s="5"/>
      <c r="R579" s="5"/>
      <c r="S579" s="5"/>
      <c r="T579" s="5"/>
    </row>
    <row r="580" spans="1:20">
      <c r="A580" s="45"/>
      <c r="B580" s="46"/>
      <c r="C580" s="5"/>
      <c r="D580" s="5"/>
      <c r="E580" s="5"/>
      <c r="F580" s="5"/>
      <c r="G580" s="5"/>
      <c r="H580" s="5"/>
      <c r="I580" s="5"/>
      <c r="J580" s="5"/>
      <c r="K580" s="5"/>
      <c r="L580" s="5"/>
      <c r="M580" s="5"/>
      <c r="N580" s="5"/>
      <c r="O580" s="5"/>
      <c r="P580" s="5"/>
      <c r="Q580" s="5"/>
      <c r="R580" s="5"/>
      <c r="S580" s="5"/>
      <c r="T580" s="5"/>
    </row>
    <row r="581" spans="1:20">
      <c r="A581" s="45"/>
      <c r="B581" s="46"/>
      <c r="C581" s="5"/>
      <c r="D581" s="5"/>
      <c r="E581" s="5"/>
      <c r="F581" s="5"/>
      <c r="G581" s="5"/>
      <c r="H581" s="5"/>
      <c r="I581" s="5"/>
      <c r="J581" s="5"/>
      <c r="K581" s="5"/>
      <c r="L581" s="5"/>
      <c r="M581" s="5"/>
      <c r="N581" s="5"/>
      <c r="O581" s="5"/>
      <c r="P581" s="5"/>
      <c r="Q581" s="5"/>
      <c r="R581" s="5"/>
      <c r="S581" s="5"/>
      <c r="T581" s="5"/>
    </row>
    <row r="582" spans="1:20">
      <c r="A582" s="45"/>
      <c r="B582" s="46"/>
      <c r="C582" s="5"/>
      <c r="D582" s="5"/>
      <c r="E582" s="5"/>
      <c r="F582" s="5"/>
      <c r="G582" s="5"/>
      <c r="H582" s="5"/>
      <c r="I582" s="5"/>
      <c r="J582" s="5"/>
      <c r="K582" s="5"/>
      <c r="L582" s="5"/>
      <c r="M582" s="5"/>
      <c r="N582" s="5"/>
      <c r="O582" s="5"/>
      <c r="P582" s="5"/>
      <c r="Q582" s="5"/>
      <c r="R582" s="5"/>
      <c r="S582" s="5"/>
      <c r="T582" s="5"/>
    </row>
    <row r="583" spans="1:20">
      <c r="A583" s="45"/>
      <c r="B583" s="46"/>
      <c r="C583" s="5"/>
      <c r="D583" s="5"/>
      <c r="E583" s="5"/>
      <c r="F583" s="5"/>
      <c r="G583" s="5"/>
      <c r="H583" s="5"/>
      <c r="I583" s="5"/>
      <c r="J583" s="5"/>
      <c r="K583" s="5"/>
      <c r="L583" s="5"/>
      <c r="M583" s="5"/>
      <c r="N583" s="5"/>
      <c r="O583" s="5"/>
      <c r="P583" s="5"/>
      <c r="Q583" s="5"/>
      <c r="R583" s="5"/>
      <c r="S583" s="5"/>
      <c r="T583" s="5"/>
    </row>
    <row r="584" spans="1:20">
      <c r="A584" s="45"/>
      <c r="B584" s="46"/>
      <c r="C584" s="5"/>
      <c r="D584" s="5"/>
      <c r="E584" s="5"/>
      <c r="F584" s="5"/>
      <c r="G584" s="5"/>
      <c r="H584" s="5"/>
      <c r="I584" s="5"/>
      <c r="J584" s="5"/>
      <c r="K584" s="5"/>
      <c r="L584" s="5"/>
      <c r="M584" s="5"/>
      <c r="N584" s="5"/>
      <c r="O584" s="5"/>
      <c r="P584" s="5"/>
      <c r="Q584" s="5"/>
      <c r="R584" s="5"/>
      <c r="S584" s="5"/>
      <c r="T584" s="5"/>
    </row>
    <row r="585" spans="1:20">
      <c r="A585" s="45"/>
      <c r="B585" s="46"/>
      <c r="C585" s="5"/>
      <c r="D585" s="5"/>
      <c r="E585" s="5"/>
      <c r="F585" s="5"/>
      <c r="G585" s="5"/>
      <c r="H585" s="5"/>
      <c r="I585" s="5"/>
      <c r="J585" s="5"/>
      <c r="K585" s="5"/>
      <c r="L585" s="5"/>
      <c r="M585" s="5"/>
      <c r="N585" s="5"/>
      <c r="O585" s="5"/>
      <c r="P585" s="5"/>
      <c r="Q585" s="5"/>
      <c r="R585" s="5"/>
      <c r="S585" s="5"/>
      <c r="T585" s="5"/>
    </row>
    <row r="586" spans="1:20">
      <c r="A586" s="45"/>
      <c r="B586" s="46"/>
      <c r="C586" s="5"/>
      <c r="D586" s="5"/>
      <c r="E586" s="5"/>
      <c r="F586" s="5"/>
      <c r="G586" s="5"/>
      <c r="H586" s="5"/>
      <c r="I586" s="5"/>
      <c r="J586" s="5"/>
      <c r="K586" s="5"/>
      <c r="L586" s="5"/>
      <c r="M586" s="5"/>
      <c r="N586" s="5"/>
      <c r="O586" s="5"/>
      <c r="P586" s="5"/>
      <c r="Q586" s="5"/>
      <c r="R586" s="5"/>
      <c r="S586" s="5"/>
      <c r="T586" s="5"/>
    </row>
    <row r="587" spans="1:20">
      <c r="A587" s="45"/>
      <c r="B587" s="46"/>
      <c r="C587" s="5"/>
      <c r="D587" s="5"/>
      <c r="E587" s="5"/>
      <c r="F587" s="5"/>
      <c r="G587" s="5"/>
      <c r="H587" s="5"/>
      <c r="I587" s="5"/>
      <c r="J587" s="5"/>
      <c r="K587" s="5"/>
      <c r="L587" s="5"/>
      <c r="M587" s="5"/>
      <c r="N587" s="5"/>
      <c r="O587" s="5"/>
      <c r="P587" s="5"/>
      <c r="Q587" s="5"/>
      <c r="R587" s="5"/>
      <c r="S587" s="5"/>
      <c r="T587" s="5"/>
    </row>
    <row r="588" spans="1:20">
      <c r="A588" s="45"/>
      <c r="B588" s="46"/>
      <c r="C588" s="5"/>
      <c r="D588" s="5"/>
      <c r="E588" s="5"/>
      <c r="F588" s="5"/>
      <c r="G588" s="5"/>
      <c r="H588" s="5"/>
      <c r="I588" s="5"/>
      <c r="J588" s="5"/>
      <c r="K588" s="5"/>
      <c r="L588" s="5"/>
      <c r="M588" s="5"/>
      <c r="N588" s="5"/>
      <c r="O588" s="5"/>
      <c r="P588" s="5"/>
      <c r="Q588" s="5"/>
      <c r="R588" s="5"/>
      <c r="S588" s="5"/>
      <c r="T588" s="5"/>
    </row>
    <row r="589" spans="1:20">
      <c r="A589" s="45"/>
      <c r="B589" s="46"/>
      <c r="C589" s="5"/>
      <c r="D589" s="5"/>
      <c r="E589" s="5"/>
      <c r="F589" s="5"/>
      <c r="G589" s="5"/>
      <c r="H589" s="5"/>
      <c r="I589" s="5"/>
      <c r="J589" s="5"/>
      <c r="K589" s="5"/>
      <c r="L589" s="5"/>
      <c r="M589" s="5"/>
      <c r="N589" s="5"/>
      <c r="O589" s="5"/>
      <c r="P589" s="5"/>
      <c r="Q589" s="5"/>
      <c r="R589" s="5"/>
      <c r="S589" s="5"/>
      <c r="T589" s="5"/>
    </row>
    <row r="590" spans="1:20">
      <c r="A590" s="45"/>
      <c r="B590" s="46"/>
      <c r="C590" s="5"/>
      <c r="D590" s="5"/>
      <c r="E590" s="5"/>
      <c r="F590" s="5"/>
      <c r="G590" s="5"/>
      <c r="H590" s="5"/>
      <c r="I590" s="5"/>
      <c r="J590" s="5"/>
      <c r="K590" s="5"/>
      <c r="L590" s="5"/>
      <c r="M590" s="5"/>
      <c r="N590" s="5"/>
      <c r="O590" s="5"/>
      <c r="P590" s="5"/>
      <c r="Q590" s="5"/>
      <c r="R590" s="5"/>
      <c r="S590" s="5"/>
      <c r="T590" s="5"/>
    </row>
    <row r="591" spans="1:20">
      <c r="A591" s="45"/>
      <c r="B591" s="46"/>
      <c r="C591" s="5"/>
      <c r="D591" s="5"/>
      <c r="E591" s="5"/>
      <c r="F591" s="5"/>
      <c r="G591" s="5"/>
      <c r="H591" s="5"/>
      <c r="I591" s="5"/>
      <c r="J591" s="5"/>
      <c r="K591" s="5"/>
      <c r="L591" s="5"/>
      <c r="M591" s="5"/>
      <c r="N591" s="5"/>
      <c r="O591" s="5"/>
      <c r="P591" s="5"/>
      <c r="Q591" s="5"/>
      <c r="R591" s="5"/>
      <c r="S591" s="5"/>
      <c r="T591" s="5"/>
    </row>
    <row r="592" spans="1:20">
      <c r="A592" s="45"/>
      <c r="B592" s="46"/>
      <c r="C592" s="5"/>
      <c r="D592" s="5"/>
      <c r="E592" s="5"/>
      <c r="F592" s="5"/>
      <c r="G592" s="5"/>
      <c r="H592" s="5"/>
      <c r="I592" s="5"/>
      <c r="J592" s="5"/>
      <c r="K592" s="5"/>
      <c r="L592" s="5"/>
      <c r="M592" s="5"/>
      <c r="N592" s="5"/>
      <c r="O592" s="5"/>
      <c r="P592" s="5"/>
      <c r="Q592" s="5"/>
      <c r="R592" s="5"/>
      <c r="S592" s="5"/>
      <c r="T592" s="5"/>
    </row>
    <row r="593" spans="1:20">
      <c r="A593" s="45"/>
      <c r="B593" s="46"/>
      <c r="C593" s="5"/>
      <c r="D593" s="5"/>
      <c r="E593" s="5"/>
      <c r="F593" s="5"/>
      <c r="G593" s="5"/>
      <c r="H593" s="5"/>
      <c r="I593" s="5"/>
      <c r="J593" s="5"/>
      <c r="K593" s="5"/>
      <c r="L593" s="5"/>
      <c r="M593" s="5"/>
      <c r="N593" s="5"/>
      <c r="O593" s="5"/>
      <c r="P593" s="5"/>
      <c r="Q593" s="5"/>
      <c r="R593" s="5"/>
      <c r="S593" s="5"/>
      <c r="T593" s="5"/>
    </row>
    <row r="594" spans="1:20">
      <c r="A594" s="45"/>
      <c r="B594" s="46"/>
      <c r="C594" s="5"/>
      <c r="D594" s="5"/>
      <c r="E594" s="5"/>
      <c r="F594" s="5"/>
      <c r="G594" s="5"/>
      <c r="H594" s="5"/>
      <c r="I594" s="5"/>
      <c r="J594" s="5"/>
      <c r="K594" s="5"/>
      <c r="L594" s="5"/>
      <c r="M594" s="5"/>
      <c r="N594" s="5"/>
      <c r="O594" s="5"/>
      <c r="P594" s="5"/>
      <c r="Q594" s="5"/>
      <c r="R594" s="5"/>
      <c r="S594" s="5"/>
      <c r="T594" s="5"/>
    </row>
    <row r="595" spans="1:20">
      <c r="A595" s="45"/>
      <c r="B595" s="46"/>
      <c r="C595" s="5"/>
      <c r="D595" s="5"/>
      <c r="E595" s="5"/>
      <c r="F595" s="5"/>
      <c r="G595" s="5"/>
      <c r="H595" s="5"/>
      <c r="I595" s="5"/>
      <c r="J595" s="5"/>
      <c r="K595" s="5"/>
      <c r="L595" s="5"/>
      <c r="M595" s="5"/>
      <c r="N595" s="5"/>
      <c r="O595" s="5"/>
      <c r="P595" s="5"/>
      <c r="Q595" s="5"/>
      <c r="R595" s="5"/>
      <c r="S595" s="5"/>
      <c r="T595" s="5"/>
    </row>
    <row r="596" spans="1:20">
      <c r="A596" s="45"/>
      <c r="B596" s="46"/>
      <c r="C596" s="5"/>
      <c r="D596" s="5"/>
      <c r="E596" s="5"/>
      <c r="F596" s="5"/>
      <c r="G596" s="5"/>
      <c r="H596" s="5"/>
      <c r="I596" s="5"/>
      <c r="J596" s="5"/>
      <c r="K596" s="5"/>
      <c r="L596" s="5"/>
      <c r="M596" s="5"/>
      <c r="N596" s="5"/>
      <c r="O596" s="5"/>
      <c r="P596" s="5"/>
      <c r="Q596" s="5"/>
      <c r="R596" s="5"/>
      <c r="S596" s="5"/>
      <c r="T596" s="5"/>
    </row>
    <row r="597" spans="1:20">
      <c r="A597" s="45"/>
      <c r="B597" s="46"/>
      <c r="C597" s="5"/>
      <c r="D597" s="5"/>
      <c r="E597" s="5"/>
      <c r="F597" s="5"/>
      <c r="G597" s="5"/>
      <c r="H597" s="5"/>
      <c r="I597" s="5"/>
      <c r="J597" s="5"/>
      <c r="K597" s="5"/>
      <c r="L597" s="5"/>
      <c r="M597" s="5"/>
      <c r="N597" s="5"/>
      <c r="O597" s="5"/>
      <c r="P597" s="5"/>
      <c r="Q597" s="5"/>
      <c r="R597" s="5"/>
      <c r="S597" s="5"/>
      <c r="T597" s="5"/>
    </row>
    <row r="598" spans="1:20">
      <c r="A598" s="45"/>
      <c r="B598" s="46"/>
      <c r="C598" s="5"/>
      <c r="D598" s="5"/>
      <c r="E598" s="5"/>
      <c r="F598" s="5"/>
      <c r="G598" s="5"/>
      <c r="H598" s="5"/>
      <c r="I598" s="5"/>
      <c r="J598" s="5"/>
      <c r="K598" s="5"/>
      <c r="L598" s="5"/>
      <c r="M598" s="5"/>
      <c r="N598" s="5"/>
      <c r="O598" s="5"/>
      <c r="P598" s="5"/>
      <c r="Q598" s="5"/>
      <c r="R598" s="5"/>
      <c r="S598" s="5"/>
      <c r="T598" s="5"/>
    </row>
    <row r="599" spans="1:20">
      <c r="A599" s="45"/>
      <c r="B599" s="46"/>
      <c r="C599" s="5"/>
      <c r="D599" s="5"/>
      <c r="E599" s="5"/>
      <c r="F599" s="5"/>
      <c r="G599" s="5"/>
      <c r="H599" s="5"/>
      <c r="I599" s="5"/>
      <c r="J599" s="5"/>
      <c r="K599" s="5"/>
      <c r="L599" s="5"/>
      <c r="M599" s="5"/>
      <c r="N599" s="5"/>
      <c r="O599" s="5"/>
      <c r="P599" s="5"/>
      <c r="Q599" s="5"/>
      <c r="R599" s="5"/>
      <c r="S599" s="5"/>
      <c r="T599" s="5"/>
    </row>
    <row r="600" spans="1:20">
      <c r="A600" s="45"/>
      <c r="B600" s="46"/>
      <c r="C600" s="5"/>
      <c r="D600" s="5"/>
      <c r="E600" s="5"/>
      <c r="F600" s="5"/>
      <c r="G600" s="5"/>
      <c r="H600" s="5"/>
      <c r="I600" s="5"/>
      <c r="J600" s="5"/>
      <c r="K600" s="5"/>
      <c r="L600" s="5"/>
      <c r="M600" s="5"/>
      <c r="N600" s="5"/>
      <c r="O600" s="5"/>
      <c r="P600" s="5"/>
      <c r="Q600" s="5"/>
      <c r="R600" s="5"/>
      <c r="S600" s="5"/>
      <c r="T600" s="5"/>
    </row>
    <row r="601" spans="1:20">
      <c r="A601" s="45"/>
      <c r="B601" s="46"/>
      <c r="C601" s="5"/>
      <c r="D601" s="5"/>
      <c r="E601" s="5"/>
      <c r="F601" s="5"/>
      <c r="G601" s="5"/>
      <c r="H601" s="5"/>
      <c r="I601" s="5"/>
      <c r="J601" s="5"/>
      <c r="K601" s="5"/>
      <c r="L601" s="5"/>
      <c r="M601" s="5"/>
      <c r="N601" s="5"/>
      <c r="O601" s="5"/>
      <c r="P601" s="5"/>
      <c r="Q601" s="5"/>
      <c r="R601" s="5"/>
      <c r="S601" s="5"/>
      <c r="T601" s="5"/>
    </row>
    <row r="602" spans="1:20">
      <c r="A602" s="45"/>
      <c r="B602" s="46"/>
      <c r="C602" s="5"/>
      <c r="D602" s="5"/>
      <c r="E602" s="5"/>
      <c r="F602" s="5"/>
      <c r="G602" s="5"/>
      <c r="H602" s="5"/>
      <c r="I602" s="5"/>
      <c r="J602" s="5"/>
      <c r="K602" s="5"/>
      <c r="L602" s="5"/>
      <c r="M602" s="5"/>
      <c r="N602" s="5"/>
      <c r="O602" s="5"/>
      <c r="P602" s="5"/>
      <c r="Q602" s="5"/>
      <c r="R602" s="5"/>
      <c r="S602" s="5"/>
      <c r="T602" s="5"/>
    </row>
    <row r="603" spans="1:20">
      <c r="A603" s="45"/>
      <c r="B603" s="46"/>
      <c r="C603" s="5"/>
      <c r="D603" s="5"/>
      <c r="E603" s="5"/>
      <c r="F603" s="5"/>
      <c r="G603" s="5"/>
      <c r="H603" s="5"/>
      <c r="I603" s="5"/>
      <c r="J603" s="5"/>
      <c r="K603" s="5"/>
      <c r="L603" s="5"/>
      <c r="M603" s="5"/>
      <c r="N603" s="5"/>
      <c r="O603" s="5"/>
      <c r="P603" s="5"/>
      <c r="Q603" s="5"/>
      <c r="R603" s="5"/>
      <c r="S603" s="5"/>
      <c r="T603" s="5"/>
    </row>
    <row r="604" spans="1:20">
      <c r="A604" s="45"/>
      <c r="B604" s="46"/>
      <c r="C604" s="5"/>
      <c r="D604" s="5"/>
      <c r="E604" s="5"/>
      <c r="F604" s="5"/>
      <c r="G604" s="5"/>
      <c r="H604" s="5"/>
      <c r="I604" s="5"/>
      <c r="J604" s="5"/>
      <c r="K604" s="5"/>
      <c r="L604" s="5"/>
      <c r="M604" s="5"/>
      <c r="N604" s="5"/>
      <c r="O604" s="5"/>
      <c r="P604" s="5"/>
      <c r="Q604" s="5"/>
      <c r="R604" s="5"/>
      <c r="S604" s="5"/>
      <c r="T604" s="5"/>
    </row>
    <row r="605" spans="1:20">
      <c r="A605" s="45"/>
      <c r="B605" s="46"/>
      <c r="C605" s="5"/>
      <c r="D605" s="5"/>
      <c r="E605" s="5"/>
      <c r="F605" s="5"/>
      <c r="G605" s="5"/>
      <c r="H605" s="5"/>
      <c r="I605" s="5"/>
      <c r="J605" s="5"/>
      <c r="K605" s="5"/>
      <c r="L605" s="5"/>
      <c r="M605" s="5"/>
      <c r="N605" s="5"/>
      <c r="O605" s="5"/>
      <c r="P605" s="5"/>
      <c r="Q605" s="5"/>
      <c r="R605" s="5"/>
      <c r="S605" s="5"/>
      <c r="T605" s="5"/>
    </row>
    <row r="606" spans="1:20">
      <c r="A606" s="45"/>
      <c r="B606" s="46"/>
      <c r="C606" s="5"/>
      <c r="D606" s="5"/>
      <c r="E606" s="5"/>
      <c r="F606" s="5"/>
      <c r="G606" s="5"/>
      <c r="H606" s="5"/>
      <c r="I606" s="5"/>
      <c r="J606" s="5"/>
      <c r="K606" s="5"/>
      <c r="L606" s="5"/>
      <c r="M606" s="5"/>
      <c r="N606" s="5"/>
      <c r="O606" s="5"/>
      <c r="P606" s="5"/>
      <c r="Q606" s="5"/>
      <c r="R606" s="5"/>
      <c r="S606" s="5"/>
      <c r="T606" s="5"/>
    </row>
    <row r="607" spans="1:20">
      <c r="A607" s="45"/>
      <c r="B607" s="46"/>
      <c r="C607" s="5"/>
      <c r="D607" s="5"/>
      <c r="E607" s="5"/>
      <c r="F607" s="5"/>
      <c r="G607" s="5"/>
      <c r="H607" s="5"/>
      <c r="I607" s="5"/>
      <c r="J607" s="5"/>
      <c r="K607" s="5"/>
      <c r="L607" s="5"/>
      <c r="M607" s="5"/>
      <c r="N607" s="5"/>
      <c r="O607" s="5"/>
      <c r="P607" s="5"/>
      <c r="Q607" s="5"/>
      <c r="R607" s="5"/>
      <c r="S607" s="5"/>
      <c r="T607" s="5"/>
    </row>
    <row r="608" spans="1:20">
      <c r="A608" s="45"/>
      <c r="B608" s="46"/>
      <c r="C608" s="5"/>
      <c r="D608" s="5"/>
      <c r="E608" s="5"/>
      <c r="F608" s="5"/>
      <c r="G608" s="5"/>
      <c r="H608" s="5"/>
      <c r="I608" s="5"/>
      <c r="J608" s="5"/>
      <c r="K608" s="5"/>
      <c r="L608" s="5"/>
      <c r="M608" s="5"/>
      <c r="N608" s="5"/>
      <c r="O608" s="5"/>
      <c r="P608" s="5"/>
      <c r="Q608" s="5"/>
      <c r="R608" s="5"/>
      <c r="S608" s="5"/>
      <c r="T608" s="5"/>
    </row>
    <row r="609" spans="1:20">
      <c r="A609" s="45"/>
      <c r="B609" s="46"/>
      <c r="C609" s="5"/>
      <c r="D609" s="5"/>
      <c r="E609" s="5"/>
      <c r="F609" s="5"/>
      <c r="G609" s="5"/>
      <c r="H609" s="5"/>
      <c r="I609" s="5"/>
      <c r="J609" s="5"/>
      <c r="K609" s="5"/>
      <c r="L609" s="5"/>
      <c r="M609" s="5"/>
      <c r="N609" s="5"/>
      <c r="O609" s="5"/>
      <c r="P609" s="5"/>
      <c r="Q609" s="5"/>
      <c r="R609" s="5"/>
      <c r="S609" s="5"/>
      <c r="T609" s="5"/>
    </row>
    <row r="610" spans="1:20">
      <c r="A610" s="45"/>
      <c r="B610" s="46"/>
      <c r="C610" s="5"/>
      <c r="D610" s="5"/>
      <c r="E610" s="5"/>
      <c r="F610" s="5"/>
      <c r="G610" s="5"/>
      <c r="H610" s="5"/>
      <c r="I610" s="5"/>
      <c r="J610" s="5"/>
      <c r="K610" s="5"/>
      <c r="L610" s="5"/>
      <c r="M610" s="5"/>
      <c r="N610" s="5"/>
      <c r="O610" s="5"/>
      <c r="P610" s="5"/>
      <c r="Q610" s="5"/>
      <c r="R610" s="5"/>
      <c r="S610" s="5"/>
      <c r="T610" s="5"/>
    </row>
    <row r="611" spans="1:20">
      <c r="A611" s="45"/>
      <c r="B611" s="46"/>
      <c r="C611" s="5"/>
      <c r="D611" s="5"/>
      <c r="E611" s="5"/>
      <c r="F611" s="5"/>
      <c r="G611" s="5"/>
      <c r="H611" s="5"/>
      <c r="I611" s="5"/>
      <c r="J611" s="5"/>
      <c r="K611" s="5"/>
      <c r="L611" s="5"/>
      <c r="M611" s="5"/>
      <c r="N611" s="5"/>
      <c r="O611" s="5"/>
      <c r="P611" s="5"/>
      <c r="Q611" s="5"/>
      <c r="R611" s="5"/>
      <c r="S611" s="5"/>
      <c r="T611" s="5"/>
    </row>
    <row r="612" spans="1:20">
      <c r="A612" s="45"/>
      <c r="B612" s="46"/>
      <c r="C612" s="5"/>
      <c r="D612" s="5"/>
      <c r="E612" s="5"/>
      <c r="F612" s="5"/>
      <c r="G612" s="5"/>
      <c r="H612" s="5"/>
      <c r="I612" s="5"/>
      <c r="J612" s="5"/>
      <c r="K612" s="5"/>
      <c r="L612" s="5"/>
      <c r="M612" s="5"/>
      <c r="N612" s="5"/>
      <c r="O612" s="5"/>
      <c r="P612" s="5"/>
      <c r="Q612" s="5"/>
      <c r="R612" s="5"/>
      <c r="S612" s="5"/>
      <c r="T612" s="5"/>
    </row>
    <row r="613" spans="1:20">
      <c r="A613" s="45"/>
      <c r="B613" s="46"/>
      <c r="C613" s="5"/>
      <c r="D613" s="5"/>
      <c r="E613" s="5"/>
      <c r="F613" s="5"/>
      <c r="G613" s="5"/>
      <c r="H613" s="5"/>
      <c r="I613" s="5"/>
      <c r="J613" s="5"/>
      <c r="K613" s="5"/>
      <c r="L613" s="5"/>
      <c r="M613" s="5"/>
      <c r="N613" s="5"/>
      <c r="O613" s="5"/>
      <c r="P613" s="5"/>
      <c r="Q613" s="5"/>
      <c r="R613" s="5"/>
      <c r="S613" s="5"/>
      <c r="T613" s="5"/>
    </row>
    <row r="614" spans="1:20">
      <c r="A614" s="45"/>
      <c r="B614" s="46"/>
      <c r="C614" s="5"/>
      <c r="D614" s="5"/>
      <c r="E614" s="5"/>
      <c r="F614" s="5"/>
      <c r="G614" s="5"/>
      <c r="H614" s="5"/>
      <c r="I614" s="5"/>
      <c r="J614" s="5"/>
      <c r="K614" s="5"/>
      <c r="L614" s="5"/>
      <c r="M614" s="5"/>
      <c r="N614" s="5"/>
      <c r="O614" s="5"/>
      <c r="P614" s="5"/>
      <c r="Q614" s="5"/>
      <c r="R614" s="5"/>
      <c r="S614" s="5"/>
      <c r="T614" s="5"/>
    </row>
    <row r="615" spans="1:20">
      <c r="A615" s="45"/>
      <c r="B615" s="46"/>
      <c r="C615" s="5"/>
      <c r="D615" s="5"/>
      <c r="E615" s="5"/>
      <c r="F615" s="5"/>
      <c r="G615" s="5"/>
      <c r="H615" s="5"/>
      <c r="I615" s="5"/>
      <c r="J615" s="5"/>
      <c r="K615" s="5"/>
      <c r="L615" s="5"/>
      <c r="M615" s="5"/>
      <c r="N615" s="5"/>
      <c r="O615" s="5"/>
      <c r="P615" s="5"/>
      <c r="Q615" s="5"/>
      <c r="R615" s="5"/>
      <c r="S615" s="5"/>
      <c r="T615" s="5"/>
    </row>
    <row r="616" spans="1:20">
      <c r="A616" s="45"/>
      <c r="B616" s="46"/>
      <c r="C616" s="5"/>
      <c r="D616" s="5"/>
      <c r="E616" s="5"/>
      <c r="F616" s="5"/>
      <c r="G616" s="5"/>
      <c r="H616" s="5"/>
      <c r="I616" s="5"/>
      <c r="J616" s="5"/>
      <c r="K616" s="5"/>
      <c r="L616" s="5"/>
      <c r="M616" s="5"/>
      <c r="N616" s="5"/>
      <c r="O616" s="5"/>
      <c r="P616" s="5"/>
      <c r="Q616" s="5"/>
      <c r="R616" s="5"/>
      <c r="S616" s="5"/>
      <c r="T616" s="5"/>
    </row>
    <row r="617" spans="1:20">
      <c r="A617" s="45"/>
      <c r="B617" s="46"/>
      <c r="C617" s="5"/>
      <c r="D617" s="5"/>
      <c r="E617" s="5"/>
      <c r="F617" s="5"/>
      <c r="G617" s="5"/>
      <c r="H617" s="5"/>
      <c r="I617" s="5"/>
      <c r="J617" s="5"/>
      <c r="K617" s="5"/>
      <c r="L617" s="5"/>
      <c r="M617" s="5"/>
      <c r="N617" s="5"/>
      <c r="O617" s="5"/>
      <c r="P617" s="5"/>
      <c r="Q617" s="5"/>
      <c r="R617" s="5"/>
      <c r="S617" s="5"/>
      <c r="T617" s="5"/>
    </row>
    <row r="618" spans="1:20">
      <c r="A618" s="45"/>
      <c r="B618" s="46"/>
      <c r="C618" s="5"/>
      <c r="D618" s="5"/>
      <c r="E618" s="5"/>
      <c r="F618" s="5"/>
      <c r="G618" s="5"/>
      <c r="H618" s="5"/>
      <c r="I618" s="5"/>
      <c r="J618" s="5"/>
      <c r="K618" s="5"/>
      <c r="L618" s="5"/>
      <c r="M618" s="5"/>
      <c r="N618" s="5"/>
      <c r="O618" s="5"/>
      <c r="P618" s="5"/>
      <c r="Q618" s="5"/>
      <c r="R618" s="5"/>
      <c r="S618" s="5"/>
      <c r="T618" s="5"/>
    </row>
    <row r="619" spans="1:20">
      <c r="A619" s="45"/>
      <c r="B619" s="46"/>
      <c r="C619" s="5"/>
      <c r="D619" s="5"/>
      <c r="E619" s="5"/>
      <c r="F619" s="5"/>
      <c r="G619" s="5"/>
      <c r="H619" s="5"/>
      <c r="I619" s="5"/>
      <c r="J619" s="5"/>
      <c r="K619" s="5"/>
      <c r="L619" s="5"/>
      <c r="M619" s="5"/>
      <c r="N619" s="5"/>
      <c r="O619" s="5"/>
      <c r="P619" s="5"/>
      <c r="Q619" s="5"/>
      <c r="R619" s="5"/>
      <c r="S619" s="5"/>
      <c r="T619" s="5"/>
    </row>
    <row r="620" spans="1:20">
      <c r="A620" s="45"/>
      <c r="B620" s="46"/>
      <c r="C620" s="5"/>
      <c r="D620" s="5"/>
      <c r="E620" s="5"/>
      <c r="F620" s="5"/>
      <c r="G620" s="5"/>
      <c r="H620" s="5"/>
      <c r="I620" s="5"/>
      <c r="J620" s="5"/>
      <c r="K620" s="5"/>
      <c r="L620" s="5"/>
      <c r="M620" s="5"/>
      <c r="N620" s="5"/>
      <c r="O620" s="5"/>
      <c r="P620" s="5"/>
      <c r="Q620" s="5"/>
      <c r="R620" s="5"/>
      <c r="S620" s="5"/>
      <c r="T620" s="5"/>
    </row>
    <row r="621" spans="1:20">
      <c r="A621" s="45"/>
      <c r="B621" s="46"/>
      <c r="C621" s="5"/>
      <c r="D621" s="5"/>
      <c r="E621" s="5"/>
      <c r="F621" s="5"/>
      <c r="G621" s="5"/>
      <c r="H621" s="5"/>
      <c r="I621" s="5"/>
      <c r="J621" s="5"/>
      <c r="K621" s="5"/>
      <c r="L621" s="5"/>
      <c r="M621" s="5"/>
      <c r="N621" s="5"/>
      <c r="O621" s="5"/>
      <c r="P621" s="5"/>
      <c r="Q621" s="5"/>
      <c r="R621" s="5"/>
      <c r="S621" s="5"/>
      <c r="T621" s="5"/>
    </row>
    <row r="622" spans="1:20">
      <c r="A622" s="45"/>
      <c r="B622" s="46"/>
      <c r="C622" s="5"/>
      <c r="D622" s="5"/>
      <c r="E622" s="5"/>
      <c r="F622" s="5"/>
      <c r="G622" s="5"/>
      <c r="H622" s="5"/>
      <c r="I622" s="5"/>
      <c r="J622" s="5"/>
      <c r="K622" s="5"/>
      <c r="L622" s="5"/>
      <c r="M622" s="5"/>
      <c r="N622" s="5"/>
      <c r="O622" s="5"/>
      <c r="P622" s="5"/>
      <c r="Q622" s="5"/>
      <c r="R622" s="5"/>
      <c r="S622" s="5"/>
      <c r="T622" s="5"/>
    </row>
    <row r="623" spans="1:20">
      <c r="A623" s="45"/>
      <c r="B623" s="46"/>
      <c r="C623" s="5"/>
      <c r="D623" s="5"/>
      <c r="E623" s="5"/>
      <c r="F623" s="5"/>
      <c r="G623" s="5"/>
      <c r="H623" s="5"/>
      <c r="I623" s="5"/>
      <c r="J623" s="5"/>
      <c r="K623" s="5"/>
      <c r="L623" s="5"/>
      <c r="M623" s="5"/>
      <c r="N623" s="5"/>
      <c r="O623" s="5"/>
      <c r="P623" s="5"/>
      <c r="Q623" s="5"/>
      <c r="R623" s="5"/>
      <c r="S623" s="5"/>
      <c r="T623" s="5"/>
    </row>
    <row r="624" spans="1:20">
      <c r="A624" s="45"/>
      <c r="B624" s="46"/>
      <c r="C624" s="5"/>
      <c r="D624" s="5"/>
      <c r="E624" s="5"/>
      <c r="F624" s="5"/>
      <c r="G624" s="5"/>
      <c r="H624" s="5"/>
      <c r="I624" s="5"/>
      <c r="J624" s="5"/>
      <c r="K624" s="5"/>
      <c r="L624" s="5"/>
      <c r="M624" s="5"/>
      <c r="N624" s="5"/>
      <c r="O624" s="5"/>
      <c r="P624" s="5"/>
      <c r="Q624" s="5"/>
      <c r="R624" s="5"/>
      <c r="S624" s="5"/>
      <c r="T624" s="5"/>
    </row>
    <row r="625" spans="1:20">
      <c r="A625" s="45"/>
      <c r="B625" s="46"/>
      <c r="C625" s="5"/>
      <c r="D625" s="5"/>
      <c r="E625" s="5"/>
      <c r="F625" s="5"/>
      <c r="G625" s="5"/>
      <c r="H625" s="5"/>
      <c r="I625" s="5"/>
      <c r="J625" s="5"/>
      <c r="K625" s="5"/>
      <c r="L625" s="5"/>
      <c r="M625" s="5"/>
      <c r="N625" s="5"/>
      <c r="O625" s="5"/>
      <c r="P625" s="5"/>
      <c r="Q625" s="5"/>
      <c r="R625" s="5"/>
      <c r="S625" s="5"/>
      <c r="T625" s="5"/>
    </row>
    <row r="626" spans="1:20">
      <c r="A626" s="45"/>
      <c r="B626" s="46"/>
      <c r="C626" s="5"/>
      <c r="D626" s="5"/>
      <c r="E626" s="5"/>
      <c r="F626" s="5"/>
      <c r="G626" s="5"/>
      <c r="H626" s="5"/>
      <c r="I626" s="5"/>
      <c r="J626" s="5"/>
      <c r="K626" s="5"/>
      <c r="L626" s="5"/>
      <c r="M626" s="5"/>
      <c r="N626" s="5"/>
      <c r="O626" s="5"/>
      <c r="P626" s="5"/>
      <c r="Q626" s="5"/>
      <c r="R626" s="5"/>
      <c r="S626" s="5"/>
      <c r="T626" s="5"/>
    </row>
    <row r="627" spans="1:20">
      <c r="A627" s="45"/>
      <c r="B627" s="46"/>
      <c r="C627" s="5"/>
      <c r="D627" s="5"/>
      <c r="E627" s="5"/>
      <c r="F627" s="5"/>
      <c r="G627" s="5"/>
      <c r="H627" s="5"/>
      <c r="I627" s="5"/>
      <c r="J627" s="5"/>
      <c r="K627" s="5"/>
      <c r="L627" s="5"/>
      <c r="M627" s="5"/>
      <c r="N627" s="5"/>
      <c r="O627" s="5"/>
      <c r="P627" s="5"/>
      <c r="Q627" s="5"/>
      <c r="R627" s="5"/>
      <c r="S627" s="5"/>
      <c r="T627" s="5"/>
    </row>
    <row r="628" spans="1:20">
      <c r="A628" s="45"/>
      <c r="B628" s="46"/>
      <c r="C628" s="5"/>
      <c r="D628" s="5"/>
      <c r="E628" s="5"/>
      <c r="F628" s="5"/>
      <c r="G628" s="5"/>
      <c r="H628" s="5"/>
      <c r="I628" s="5"/>
      <c r="J628" s="5"/>
      <c r="K628" s="5"/>
      <c r="L628" s="5"/>
      <c r="M628" s="5"/>
      <c r="N628" s="5"/>
      <c r="O628" s="5"/>
      <c r="P628" s="5"/>
      <c r="Q628" s="5"/>
      <c r="R628" s="5"/>
      <c r="S628" s="5"/>
      <c r="T628" s="5"/>
    </row>
    <row r="629" spans="1:20">
      <c r="A629" s="45"/>
      <c r="B629" s="46"/>
      <c r="C629" s="5"/>
      <c r="D629" s="5"/>
      <c r="E629" s="5"/>
      <c r="F629" s="5"/>
      <c r="G629" s="5"/>
      <c r="H629" s="5"/>
      <c r="I629" s="5"/>
      <c r="J629" s="5"/>
      <c r="K629" s="5"/>
      <c r="L629" s="5"/>
      <c r="M629" s="5"/>
      <c r="N629" s="5"/>
      <c r="O629" s="5"/>
      <c r="P629" s="5"/>
      <c r="Q629" s="5"/>
      <c r="R629" s="5"/>
      <c r="S629" s="5"/>
      <c r="T629" s="5"/>
    </row>
    <row r="630" spans="1:20">
      <c r="A630" s="45"/>
      <c r="B630" s="46"/>
      <c r="C630" s="5"/>
      <c r="D630" s="5"/>
      <c r="E630" s="5"/>
      <c r="F630" s="5"/>
      <c r="G630" s="5"/>
      <c r="H630" s="5"/>
      <c r="I630" s="5"/>
      <c r="J630" s="5"/>
      <c r="K630" s="5"/>
      <c r="L630" s="5"/>
      <c r="M630" s="5"/>
      <c r="N630" s="5"/>
      <c r="O630" s="5"/>
      <c r="P630" s="5"/>
      <c r="Q630" s="5"/>
      <c r="R630" s="5"/>
      <c r="S630" s="5"/>
      <c r="T630" s="5"/>
    </row>
    <row r="631" spans="1:20">
      <c r="A631" s="45"/>
      <c r="B631" s="46"/>
      <c r="C631" s="5"/>
      <c r="D631" s="5"/>
      <c r="E631" s="5"/>
      <c r="F631" s="5"/>
      <c r="G631" s="5"/>
      <c r="H631" s="5"/>
      <c r="I631" s="5"/>
      <c r="J631" s="5"/>
      <c r="K631" s="5"/>
      <c r="L631" s="5"/>
      <c r="M631" s="5"/>
      <c r="N631" s="5"/>
      <c r="O631" s="5"/>
      <c r="P631" s="5"/>
      <c r="Q631" s="5"/>
      <c r="R631" s="5"/>
      <c r="S631" s="5"/>
      <c r="T631" s="5"/>
    </row>
    <row r="632" spans="1:20">
      <c r="A632" s="45"/>
      <c r="B632" s="46"/>
      <c r="C632" s="5"/>
      <c r="D632" s="5"/>
      <c r="E632" s="5"/>
      <c r="F632" s="5"/>
      <c r="G632" s="5"/>
      <c r="H632" s="5"/>
      <c r="I632" s="5"/>
      <c r="J632" s="5"/>
      <c r="K632" s="5"/>
      <c r="L632" s="5"/>
      <c r="M632" s="5"/>
      <c r="N632" s="5"/>
      <c r="O632" s="5"/>
      <c r="P632" s="5"/>
      <c r="Q632" s="5"/>
      <c r="R632" s="5"/>
      <c r="S632" s="5"/>
      <c r="T632" s="5"/>
    </row>
    <row r="633" spans="1:20">
      <c r="A633" s="45"/>
      <c r="B633" s="46"/>
      <c r="C633" s="5"/>
      <c r="D633" s="5"/>
      <c r="E633" s="5"/>
      <c r="F633" s="5"/>
      <c r="G633" s="5"/>
      <c r="H633" s="5"/>
      <c r="I633" s="5"/>
      <c r="J633" s="5"/>
      <c r="K633" s="5"/>
      <c r="L633" s="5"/>
      <c r="M633" s="5"/>
      <c r="N633" s="5"/>
      <c r="O633" s="5"/>
      <c r="P633" s="5"/>
      <c r="Q633" s="5"/>
      <c r="R633" s="5"/>
      <c r="S633" s="5"/>
      <c r="T633" s="5"/>
    </row>
    <row r="634" spans="1:20">
      <c r="A634" s="45"/>
      <c r="B634" s="46"/>
      <c r="C634" s="5"/>
      <c r="D634" s="5"/>
      <c r="E634" s="5"/>
      <c r="F634" s="5"/>
      <c r="G634" s="5"/>
      <c r="H634" s="5"/>
      <c r="I634" s="5"/>
      <c r="J634" s="5"/>
      <c r="K634" s="5"/>
      <c r="L634" s="5"/>
      <c r="M634" s="5"/>
      <c r="N634" s="5"/>
      <c r="O634" s="5"/>
      <c r="P634" s="5"/>
      <c r="Q634" s="5"/>
      <c r="R634" s="5"/>
      <c r="S634" s="5"/>
      <c r="T634" s="5"/>
    </row>
    <row r="635" spans="1:20">
      <c r="A635" s="45"/>
      <c r="B635" s="46"/>
      <c r="C635" s="5"/>
      <c r="D635" s="5"/>
      <c r="E635" s="5"/>
      <c r="F635" s="5"/>
      <c r="G635" s="5"/>
      <c r="H635" s="5"/>
      <c r="I635" s="5"/>
      <c r="J635" s="5"/>
      <c r="K635" s="5"/>
      <c r="L635" s="5"/>
      <c r="M635" s="5"/>
      <c r="N635" s="5"/>
      <c r="O635" s="5"/>
      <c r="P635" s="5"/>
      <c r="Q635" s="5"/>
      <c r="R635" s="5"/>
      <c r="S635" s="5"/>
      <c r="T635" s="5"/>
    </row>
    <row r="636" spans="1:20">
      <c r="A636" s="45"/>
      <c r="B636" s="46"/>
      <c r="C636" s="5"/>
      <c r="D636" s="5"/>
      <c r="E636" s="5"/>
      <c r="F636" s="5"/>
      <c r="G636" s="5"/>
      <c r="H636" s="5"/>
      <c r="I636" s="5"/>
      <c r="J636" s="5"/>
      <c r="K636" s="5"/>
      <c r="L636" s="5"/>
      <c r="M636" s="5"/>
      <c r="N636" s="5"/>
      <c r="O636" s="5"/>
      <c r="P636" s="5"/>
      <c r="Q636" s="5"/>
      <c r="R636" s="5"/>
      <c r="S636" s="5"/>
      <c r="T636" s="5"/>
    </row>
    <row r="637" spans="1:20">
      <c r="A637" s="45"/>
      <c r="B637" s="46"/>
      <c r="C637" s="5"/>
      <c r="D637" s="5"/>
      <c r="E637" s="5"/>
      <c r="F637" s="5"/>
      <c r="G637" s="5"/>
      <c r="H637" s="5"/>
      <c r="I637" s="5"/>
      <c r="J637" s="5"/>
      <c r="K637" s="5"/>
      <c r="L637" s="5"/>
      <c r="M637" s="5"/>
      <c r="N637" s="5"/>
      <c r="O637" s="5"/>
      <c r="P637" s="5"/>
      <c r="Q637" s="5"/>
      <c r="R637" s="5"/>
      <c r="S637" s="5"/>
      <c r="T637" s="5"/>
    </row>
    <row r="638" spans="1:20">
      <c r="A638" s="45"/>
      <c r="B638" s="46"/>
      <c r="C638" s="5"/>
      <c r="D638" s="5"/>
      <c r="E638" s="5"/>
      <c r="F638" s="5"/>
      <c r="G638" s="5"/>
      <c r="H638" s="5"/>
      <c r="I638" s="5"/>
      <c r="J638" s="5"/>
      <c r="K638" s="5"/>
      <c r="L638" s="5"/>
      <c r="M638" s="5"/>
      <c r="N638" s="5"/>
      <c r="O638" s="5"/>
      <c r="P638" s="5"/>
      <c r="Q638" s="5"/>
      <c r="R638" s="5"/>
      <c r="S638" s="5"/>
      <c r="T638" s="5"/>
    </row>
    <row r="639" spans="1:20">
      <c r="A639" s="45"/>
      <c r="B639" s="46"/>
      <c r="C639" s="5"/>
      <c r="D639" s="5"/>
      <c r="E639" s="5"/>
      <c r="F639" s="5"/>
      <c r="G639" s="5"/>
      <c r="H639" s="5"/>
      <c r="I639" s="5"/>
      <c r="J639" s="5"/>
      <c r="K639" s="5"/>
      <c r="L639" s="5"/>
      <c r="M639" s="5"/>
      <c r="N639" s="5"/>
      <c r="O639" s="5"/>
      <c r="P639" s="5"/>
      <c r="Q639" s="5"/>
      <c r="R639" s="5"/>
      <c r="S639" s="5"/>
      <c r="T639" s="5"/>
    </row>
    <row r="640" spans="1:20">
      <c r="A640" s="45"/>
      <c r="B640" s="46"/>
      <c r="C640" s="5"/>
      <c r="D640" s="5"/>
      <c r="E640" s="5"/>
      <c r="F640" s="5"/>
      <c r="G640" s="5"/>
      <c r="H640" s="5"/>
      <c r="I640" s="5"/>
      <c r="J640" s="5"/>
      <c r="K640" s="5"/>
      <c r="L640" s="5"/>
      <c r="M640" s="5"/>
      <c r="N640" s="5"/>
      <c r="O640" s="5"/>
      <c r="P640" s="5"/>
      <c r="Q640" s="5"/>
      <c r="R640" s="5"/>
      <c r="S640" s="5"/>
      <c r="T640" s="5"/>
    </row>
    <row r="641" spans="1:20">
      <c r="A641" s="45"/>
      <c r="B641" s="46"/>
      <c r="C641" s="5"/>
      <c r="D641" s="5"/>
      <c r="E641" s="5"/>
      <c r="F641" s="5"/>
      <c r="G641" s="5"/>
      <c r="H641" s="5"/>
      <c r="I641" s="5"/>
      <c r="J641" s="5"/>
      <c r="K641" s="5"/>
      <c r="L641" s="5"/>
      <c r="M641" s="5"/>
      <c r="N641" s="5"/>
      <c r="O641" s="5"/>
      <c r="P641" s="5"/>
      <c r="Q641" s="5"/>
      <c r="R641" s="5"/>
      <c r="S641" s="5"/>
      <c r="T641" s="5"/>
    </row>
    <row r="642" spans="1:20">
      <c r="A642" s="45"/>
      <c r="B642" s="46"/>
      <c r="C642" s="5"/>
      <c r="D642" s="5"/>
      <c r="E642" s="5"/>
      <c r="F642" s="5"/>
      <c r="G642" s="5"/>
      <c r="H642" s="5"/>
      <c r="I642" s="5"/>
      <c r="J642" s="5"/>
      <c r="K642" s="5"/>
      <c r="L642" s="5"/>
      <c r="M642" s="5"/>
      <c r="N642" s="5"/>
      <c r="O642" s="5"/>
      <c r="P642" s="5"/>
      <c r="Q642" s="5"/>
      <c r="R642" s="5"/>
      <c r="S642" s="5"/>
      <c r="T642" s="5"/>
    </row>
    <row r="643" spans="1:20">
      <c r="A643" s="45"/>
      <c r="B643" s="46"/>
      <c r="C643" s="5"/>
      <c r="D643" s="5"/>
      <c r="E643" s="5"/>
      <c r="F643" s="5"/>
      <c r="G643" s="5"/>
      <c r="H643" s="5"/>
      <c r="I643" s="5"/>
      <c r="J643" s="5"/>
      <c r="K643" s="5"/>
      <c r="L643" s="5"/>
      <c r="M643" s="5"/>
      <c r="N643" s="5"/>
      <c r="O643" s="5"/>
      <c r="P643" s="5"/>
      <c r="Q643" s="5"/>
      <c r="R643" s="5"/>
      <c r="S643" s="5"/>
      <c r="T643" s="5"/>
    </row>
    <row r="644" spans="1:20">
      <c r="A644" s="45"/>
      <c r="B644" s="46"/>
      <c r="C644" s="5"/>
      <c r="D644" s="5"/>
      <c r="E644" s="5"/>
      <c r="F644" s="5"/>
      <c r="G644" s="5"/>
      <c r="H644" s="5"/>
      <c r="I644" s="5"/>
      <c r="J644" s="5"/>
      <c r="K644" s="5"/>
      <c r="L644" s="5"/>
      <c r="M644" s="5"/>
      <c r="N644" s="5"/>
      <c r="O644" s="5"/>
      <c r="P644" s="5"/>
      <c r="Q644" s="5"/>
      <c r="R644" s="5"/>
      <c r="S644" s="5"/>
      <c r="T644" s="5"/>
    </row>
    <row r="645" spans="1:20">
      <c r="A645" s="45"/>
      <c r="B645" s="46"/>
      <c r="C645" s="5"/>
      <c r="D645" s="5"/>
      <c r="E645" s="5"/>
      <c r="F645" s="5"/>
      <c r="G645" s="5"/>
      <c r="H645" s="5"/>
      <c r="I645" s="5"/>
      <c r="J645" s="5"/>
      <c r="K645" s="5"/>
      <c r="L645" s="5"/>
      <c r="M645" s="5"/>
      <c r="N645" s="5"/>
      <c r="O645" s="5"/>
      <c r="P645" s="5"/>
      <c r="Q645" s="5"/>
      <c r="R645" s="5"/>
      <c r="S645" s="5"/>
      <c r="T645" s="5"/>
    </row>
    <row r="646" spans="1:20">
      <c r="A646" s="45"/>
      <c r="B646" s="46"/>
      <c r="C646" s="5"/>
      <c r="D646" s="5"/>
      <c r="E646" s="5"/>
      <c r="F646" s="5"/>
      <c r="G646" s="5"/>
      <c r="H646" s="5"/>
      <c r="I646" s="5"/>
      <c r="J646" s="5"/>
      <c r="K646" s="5"/>
      <c r="L646" s="5"/>
      <c r="M646" s="5"/>
      <c r="N646" s="5"/>
      <c r="O646" s="5"/>
      <c r="P646" s="5"/>
      <c r="Q646" s="5"/>
      <c r="R646" s="5"/>
      <c r="S646" s="5"/>
      <c r="T646" s="5"/>
    </row>
    <row r="647" spans="1:20">
      <c r="A647" s="45"/>
      <c r="B647" s="46"/>
      <c r="C647" s="5"/>
      <c r="D647" s="5"/>
      <c r="E647" s="5"/>
      <c r="F647" s="5"/>
      <c r="G647" s="5"/>
      <c r="H647" s="5"/>
      <c r="I647" s="5"/>
      <c r="J647" s="5"/>
      <c r="K647" s="5"/>
      <c r="L647" s="5"/>
      <c r="M647" s="5"/>
      <c r="N647" s="5"/>
      <c r="O647" s="5"/>
      <c r="P647" s="5"/>
      <c r="Q647" s="5"/>
      <c r="R647" s="5"/>
      <c r="S647" s="5"/>
      <c r="T647" s="5"/>
    </row>
    <row r="648" spans="1:20">
      <c r="A648" s="45"/>
      <c r="B648" s="46"/>
      <c r="C648" s="5"/>
      <c r="D648" s="5"/>
      <c r="E648" s="5"/>
      <c r="F648" s="5"/>
      <c r="G648" s="5"/>
      <c r="H648" s="5"/>
      <c r="I648" s="5"/>
      <c r="J648" s="5"/>
      <c r="K648" s="5"/>
      <c r="L648" s="5"/>
      <c r="M648" s="5"/>
      <c r="N648" s="5"/>
      <c r="O648" s="5"/>
      <c r="P648" s="5"/>
      <c r="Q648" s="5"/>
      <c r="R648" s="5"/>
      <c r="S648" s="5"/>
      <c r="T648" s="5"/>
    </row>
    <row r="649" spans="1:20">
      <c r="A649" s="45"/>
      <c r="B649" s="46"/>
      <c r="C649" s="5"/>
      <c r="D649" s="5"/>
      <c r="E649" s="5"/>
      <c r="F649" s="5"/>
      <c r="G649" s="5"/>
      <c r="H649" s="5"/>
      <c r="I649" s="5"/>
      <c r="J649" s="5"/>
      <c r="K649" s="5"/>
      <c r="L649" s="5"/>
      <c r="M649" s="5"/>
      <c r="N649" s="5"/>
      <c r="O649" s="5"/>
      <c r="P649" s="5"/>
      <c r="Q649" s="5"/>
      <c r="R649" s="5"/>
      <c r="S649" s="5"/>
      <c r="T649" s="5"/>
    </row>
    <row r="650" spans="1:20">
      <c r="A650" s="45"/>
      <c r="B650" s="46"/>
      <c r="C650" s="5"/>
      <c r="D650" s="5"/>
      <c r="E650" s="5"/>
      <c r="F650" s="5"/>
      <c r="G650" s="5"/>
      <c r="H650" s="5"/>
      <c r="I650" s="5"/>
      <c r="J650" s="5"/>
      <c r="K650" s="5"/>
      <c r="L650" s="5"/>
      <c r="M650" s="5"/>
      <c r="N650" s="5"/>
      <c r="O650" s="5"/>
      <c r="P650" s="5"/>
      <c r="Q650" s="5"/>
      <c r="R650" s="5"/>
      <c r="S650" s="5"/>
      <c r="T650" s="5"/>
    </row>
    <row r="651" spans="1:20">
      <c r="A651" s="45"/>
      <c r="B651" s="46"/>
      <c r="C651" s="5"/>
      <c r="D651" s="5"/>
      <c r="E651" s="5"/>
      <c r="F651" s="5"/>
      <c r="G651" s="5"/>
      <c r="H651" s="5"/>
      <c r="I651" s="5"/>
      <c r="J651" s="5"/>
      <c r="K651" s="5"/>
      <c r="L651" s="5"/>
      <c r="M651" s="5"/>
      <c r="N651" s="5"/>
      <c r="O651" s="5"/>
      <c r="P651" s="5"/>
      <c r="Q651" s="5"/>
      <c r="R651" s="5"/>
      <c r="S651" s="5"/>
      <c r="T651" s="5"/>
    </row>
    <row r="652" spans="1:20">
      <c r="A652" s="45"/>
      <c r="B652" s="46"/>
      <c r="C652" s="5"/>
      <c r="D652" s="5"/>
      <c r="E652" s="5"/>
      <c r="F652" s="5"/>
      <c r="G652" s="5"/>
      <c r="H652" s="5"/>
      <c r="I652" s="5"/>
      <c r="J652" s="5"/>
      <c r="K652" s="5"/>
      <c r="L652" s="5"/>
      <c r="M652" s="5"/>
      <c r="N652" s="5"/>
      <c r="O652" s="5"/>
      <c r="P652" s="5"/>
      <c r="Q652" s="5"/>
      <c r="R652" s="5"/>
      <c r="S652" s="5"/>
      <c r="T652" s="5"/>
    </row>
    <row r="653" spans="1:20">
      <c r="A653" s="45"/>
      <c r="B653" s="46"/>
      <c r="C653" s="5"/>
      <c r="D653" s="5"/>
      <c r="E653" s="5"/>
      <c r="F653" s="5"/>
      <c r="G653" s="5"/>
      <c r="H653" s="5"/>
      <c r="I653" s="5"/>
      <c r="J653" s="5"/>
      <c r="K653" s="5"/>
      <c r="L653" s="5"/>
      <c r="M653" s="5"/>
      <c r="N653" s="5"/>
      <c r="O653" s="5"/>
      <c r="P653" s="5"/>
      <c r="Q653" s="5"/>
      <c r="R653" s="5"/>
      <c r="S653" s="5"/>
      <c r="T653" s="5"/>
    </row>
    <row r="654" spans="1:20">
      <c r="A654" s="45"/>
      <c r="B654" s="46"/>
      <c r="C654" s="5"/>
      <c r="D654" s="5"/>
      <c r="E654" s="5"/>
      <c r="F654" s="5"/>
      <c r="G654" s="5"/>
      <c r="H654" s="5"/>
      <c r="I654" s="5"/>
      <c r="J654" s="5"/>
      <c r="K654" s="5"/>
      <c r="L654" s="5"/>
      <c r="M654" s="5"/>
      <c r="N654" s="5"/>
      <c r="O654" s="5"/>
      <c r="P654" s="5"/>
      <c r="Q654" s="5"/>
      <c r="R654" s="5"/>
      <c r="S654" s="5"/>
      <c r="T654" s="5"/>
    </row>
    <row r="655" spans="1:20">
      <c r="A655" s="45"/>
      <c r="B655" s="46"/>
      <c r="C655" s="5"/>
      <c r="D655" s="5"/>
      <c r="E655" s="5"/>
      <c r="F655" s="5"/>
      <c r="G655" s="5"/>
      <c r="H655" s="5"/>
      <c r="I655" s="5"/>
      <c r="J655" s="5"/>
      <c r="K655" s="5"/>
      <c r="L655" s="5"/>
      <c r="M655" s="5"/>
      <c r="N655" s="5"/>
      <c r="O655" s="5"/>
      <c r="P655" s="5"/>
      <c r="Q655" s="5"/>
      <c r="R655" s="5"/>
      <c r="S655" s="5"/>
      <c r="T655" s="5"/>
    </row>
    <row r="656" spans="1:20">
      <c r="A656" s="45"/>
      <c r="B656" s="46"/>
      <c r="C656" s="5"/>
      <c r="D656" s="5"/>
      <c r="E656" s="5"/>
      <c r="F656" s="5"/>
      <c r="G656" s="5"/>
      <c r="H656" s="5"/>
      <c r="I656" s="5"/>
      <c r="J656" s="5"/>
      <c r="K656" s="5"/>
      <c r="L656" s="5"/>
      <c r="M656" s="5"/>
      <c r="N656" s="5"/>
      <c r="O656" s="5"/>
      <c r="P656" s="5"/>
      <c r="Q656" s="5"/>
      <c r="R656" s="5"/>
      <c r="S656" s="5"/>
      <c r="T656" s="5"/>
    </row>
    <row r="657" spans="1:20">
      <c r="A657" s="45"/>
      <c r="B657" s="46"/>
      <c r="C657" s="5"/>
      <c r="D657" s="5"/>
      <c r="E657" s="5"/>
      <c r="F657" s="5"/>
      <c r="G657" s="5"/>
      <c r="H657" s="5"/>
      <c r="I657" s="5"/>
      <c r="J657" s="5"/>
      <c r="K657" s="5"/>
      <c r="L657" s="5"/>
      <c r="M657" s="5"/>
      <c r="N657" s="5"/>
      <c r="O657" s="5"/>
      <c r="P657" s="5"/>
      <c r="Q657" s="5"/>
      <c r="R657" s="5"/>
      <c r="S657" s="5"/>
      <c r="T657" s="5"/>
    </row>
    <row r="658" spans="1:20">
      <c r="A658" s="45"/>
      <c r="B658" s="46"/>
      <c r="C658" s="5"/>
      <c r="D658" s="5"/>
      <c r="E658" s="5"/>
      <c r="F658" s="5"/>
      <c r="G658" s="5"/>
      <c r="H658" s="5"/>
      <c r="I658" s="5"/>
      <c r="J658" s="5"/>
      <c r="K658" s="5"/>
      <c r="L658" s="5"/>
      <c r="M658" s="5"/>
      <c r="N658" s="5"/>
      <c r="O658" s="5"/>
      <c r="P658" s="5"/>
      <c r="Q658" s="5"/>
      <c r="R658" s="5"/>
      <c r="S658" s="5"/>
      <c r="T658" s="5"/>
    </row>
    <row r="659" spans="1:20">
      <c r="A659" s="45"/>
      <c r="B659" s="46"/>
      <c r="C659" s="5"/>
      <c r="D659" s="5"/>
      <c r="E659" s="5"/>
      <c r="F659" s="5"/>
      <c r="G659" s="5"/>
      <c r="H659" s="5"/>
      <c r="I659" s="5"/>
      <c r="J659" s="5"/>
      <c r="K659" s="5"/>
      <c r="L659" s="5"/>
      <c r="M659" s="5"/>
      <c r="N659" s="5"/>
      <c r="O659" s="5"/>
      <c r="P659" s="5"/>
      <c r="Q659" s="5"/>
      <c r="R659" s="5"/>
      <c r="S659" s="5"/>
      <c r="T659" s="5"/>
    </row>
    <row r="660" spans="1:20">
      <c r="A660" s="45"/>
      <c r="B660" s="46"/>
      <c r="C660" s="5"/>
      <c r="D660" s="5"/>
      <c r="E660" s="5"/>
      <c r="F660" s="5"/>
      <c r="G660" s="5"/>
      <c r="H660" s="5"/>
      <c r="I660" s="5"/>
      <c r="J660" s="5"/>
      <c r="K660" s="5"/>
      <c r="L660" s="5"/>
      <c r="M660" s="5"/>
      <c r="N660" s="5"/>
      <c r="O660" s="5"/>
      <c r="P660" s="5"/>
      <c r="Q660" s="5"/>
      <c r="R660" s="5"/>
      <c r="S660" s="5"/>
      <c r="T660" s="5"/>
    </row>
    <row r="661" spans="1:20">
      <c r="A661" s="45"/>
      <c r="B661" s="46"/>
      <c r="C661" s="5"/>
      <c r="D661" s="5"/>
      <c r="E661" s="5"/>
      <c r="F661" s="5"/>
      <c r="G661" s="5"/>
      <c r="H661" s="5"/>
      <c r="I661" s="5"/>
      <c r="J661" s="5"/>
      <c r="K661" s="5"/>
      <c r="L661" s="5"/>
      <c r="M661" s="5"/>
      <c r="N661" s="5"/>
      <c r="O661" s="5"/>
      <c r="P661" s="5"/>
      <c r="Q661" s="5"/>
      <c r="R661" s="5"/>
      <c r="S661" s="5"/>
      <c r="T661" s="5"/>
    </row>
    <row r="662" spans="1:20">
      <c r="A662" s="45"/>
      <c r="B662" s="46"/>
      <c r="C662" s="5"/>
      <c r="D662" s="5"/>
      <c r="E662" s="5"/>
      <c r="F662" s="5"/>
      <c r="G662" s="5"/>
      <c r="H662" s="5"/>
      <c r="I662" s="5"/>
      <c r="J662" s="5"/>
      <c r="K662" s="5"/>
      <c r="L662" s="5"/>
      <c r="M662" s="5"/>
      <c r="N662" s="5"/>
      <c r="O662" s="5"/>
      <c r="P662" s="5"/>
      <c r="Q662" s="5"/>
      <c r="R662" s="5"/>
      <c r="S662" s="5"/>
      <c r="T662" s="5"/>
    </row>
    <row r="663" spans="1:20">
      <c r="A663" s="45"/>
      <c r="B663" s="46"/>
      <c r="C663" s="5"/>
      <c r="D663" s="5"/>
      <c r="E663" s="5"/>
      <c r="F663" s="5"/>
      <c r="G663" s="5"/>
      <c r="H663" s="5"/>
      <c r="I663" s="5"/>
      <c r="J663" s="5"/>
      <c r="K663" s="5"/>
      <c r="L663" s="5"/>
      <c r="M663" s="5"/>
      <c r="N663" s="5"/>
      <c r="O663" s="5"/>
      <c r="P663" s="5"/>
      <c r="Q663" s="5"/>
      <c r="R663" s="5"/>
      <c r="S663" s="5"/>
      <c r="T663" s="5"/>
    </row>
    <row r="664" spans="1:20">
      <c r="A664" s="45"/>
      <c r="B664" s="46"/>
      <c r="C664" s="5"/>
      <c r="D664" s="5"/>
      <c r="E664" s="5"/>
      <c r="F664" s="5"/>
      <c r="G664" s="5"/>
      <c r="H664" s="5"/>
      <c r="I664" s="5"/>
      <c r="J664" s="5"/>
      <c r="K664" s="5"/>
      <c r="L664" s="5"/>
      <c r="M664" s="5"/>
      <c r="N664" s="5"/>
      <c r="O664" s="5"/>
      <c r="P664" s="5"/>
      <c r="Q664" s="5"/>
      <c r="R664" s="5"/>
      <c r="S664" s="5"/>
      <c r="T664" s="5"/>
    </row>
    <row r="665" spans="1:20">
      <c r="A665" s="45"/>
      <c r="B665" s="46"/>
      <c r="C665" s="5"/>
      <c r="D665" s="5"/>
      <c r="E665" s="5"/>
      <c r="F665" s="5"/>
      <c r="G665" s="5"/>
      <c r="H665" s="5"/>
      <c r="I665" s="5"/>
      <c r="J665" s="5"/>
      <c r="K665" s="5"/>
      <c r="L665" s="5"/>
      <c r="M665" s="5"/>
      <c r="N665" s="5"/>
      <c r="O665" s="5"/>
      <c r="P665" s="5"/>
      <c r="Q665" s="5"/>
      <c r="R665" s="5"/>
      <c r="S665" s="5"/>
      <c r="T665" s="5"/>
    </row>
    <row r="666" spans="1:20">
      <c r="A666" s="45"/>
      <c r="B666" s="46"/>
      <c r="C666" s="5"/>
      <c r="D666" s="5"/>
      <c r="E666" s="5"/>
      <c r="F666" s="5"/>
      <c r="G666" s="5"/>
      <c r="H666" s="5"/>
      <c r="I666" s="5"/>
      <c r="J666" s="5"/>
      <c r="K666" s="5"/>
      <c r="L666" s="5"/>
      <c r="M666" s="5"/>
      <c r="N666" s="5"/>
      <c r="O666" s="5"/>
      <c r="P666" s="5"/>
      <c r="Q666" s="5"/>
      <c r="R666" s="5"/>
      <c r="S666" s="5"/>
      <c r="T666" s="5"/>
    </row>
    <row r="667" spans="1:20">
      <c r="A667" s="45"/>
      <c r="B667" s="46"/>
      <c r="C667" s="5"/>
      <c r="D667" s="5"/>
      <c r="E667" s="5"/>
      <c r="F667" s="5"/>
      <c r="G667" s="5"/>
      <c r="H667" s="5"/>
      <c r="I667" s="5"/>
      <c r="J667" s="5"/>
      <c r="K667" s="5"/>
      <c r="L667" s="5"/>
      <c r="M667" s="5"/>
      <c r="N667" s="5"/>
      <c r="O667" s="5"/>
      <c r="P667" s="5"/>
      <c r="Q667" s="5"/>
      <c r="R667" s="5"/>
      <c r="S667" s="5"/>
      <c r="T667" s="5"/>
    </row>
    <row r="668" spans="1:20">
      <c r="A668" s="45"/>
      <c r="B668" s="46"/>
      <c r="C668" s="5"/>
      <c r="D668" s="5"/>
      <c r="E668" s="5"/>
      <c r="F668" s="5"/>
      <c r="G668" s="5"/>
      <c r="H668" s="5"/>
      <c r="I668" s="5"/>
      <c r="J668" s="5"/>
      <c r="K668" s="5"/>
      <c r="L668" s="5"/>
      <c r="M668" s="5"/>
      <c r="N668" s="5"/>
      <c r="O668" s="5"/>
      <c r="P668" s="5"/>
      <c r="Q668" s="5"/>
      <c r="R668" s="5"/>
      <c r="S668" s="5"/>
      <c r="T668" s="5"/>
    </row>
    <row r="669" spans="1:20">
      <c r="A669" s="45"/>
      <c r="B669" s="46"/>
      <c r="C669" s="5"/>
      <c r="D669" s="5"/>
      <c r="E669" s="5"/>
      <c r="F669" s="5"/>
      <c r="G669" s="5"/>
      <c r="H669" s="5"/>
      <c r="I669" s="5"/>
      <c r="J669" s="5"/>
      <c r="K669" s="5"/>
      <c r="L669" s="5"/>
      <c r="M669" s="5"/>
      <c r="N669" s="5"/>
      <c r="O669" s="5"/>
      <c r="P669" s="5"/>
      <c r="Q669" s="5"/>
      <c r="R669" s="5"/>
      <c r="S669" s="5"/>
      <c r="T669" s="5"/>
    </row>
    <row r="670" spans="1:20">
      <c r="A670" s="45"/>
      <c r="B670" s="46"/>
      <c r="C670" s="5"/>
      <c r="D670" s="5"/>
      <c r="E670" s="5"/>
      <c r="F670" s="5"/>
      <c r="G670" s="5"/>
      <c r="H670" s="5"/>
      <c r="I670" s="5"/>
      <c r="J670" s="5"/>
      <c r="K670" s="5"/>
      <c r="L670" s="5"/>
      <c r="M670" s="5"/>
      <c r="N670" s="5"/>
      <c r="O670" s="5"/>
      <c r="P670" s="5"/>
      <c r="Q670" s="5"/>
      <c r="R670" s="5"/>
      <c r="S670" s="5"/>
      <c r="T670" s="5"/>
    </row>
    <row r="671" spans="1:20">
      <c r="A671" s="45"/>
      <c r="B671" s="46"/>
      <c r="C671" s="5"/>
      <c r="D671" s="5"/>
      <c r="E671" s="5"/>
      <c r="F671" s="5"/>
      <c r="G671" s="5"/>
      <c r="H671" s="5"/>
      <c r="I671" s="5"/>
      <c r="J671" s="5"/>
      <c r="K671" s="5"/>
      <c r="L671" s="5"/>
      <c r="M671" s="5"/>
      <c r="N671" s="5"/>
      <c r="O671" s="5"/>
      <c r="P671" s="5"/>
      <c r="Q671" s="5"/>
      <c r="R671" s="5"/>
      <c r="S671" s="5"/>
      <c r="T671" s="5"/>
    </row>
    <row r="672" spans="1:20">
      <c r="A672" s="45"/>
      <c r="B672" s="46"/>
      <c r="C672" s="5"/>
      <c r="D672" s="5"/>
      <c r="E672" s="5"/>
      <c r="F672" s="5"/>
      <c r="G672" s="5"/>
      <c r="H672" s="5"/>
      <c r="I672" s="5"/>
      <c r="J672" s="5"/>
      <c r="K672" s="5"/>
      <c r="L672" s="5"/>
      <c r="M672" s="5"/>
      <c r="N672" s="5"/>
      <c r="O672" s="5"/>
      <c r="P672" s="5"/>
      <c r="Q672" s="5"/>
      <c r="R672" s="5"/>
      <c r="S672" s="5"/>
      <c r="T672" s="5"/>
    </row>
    <row r="673" spans="1:20">
      <c r="A673" s="45"/>
      <c r="B673" s="46"/>
      <c r="C673" s="5"/>
      <c r="D673" s="5"/>
      <c r="E673" s="5"/>
      <c r="F673" s="5"/>
      <c r="G673" s="5"/>
      <c r="H673" s="5"/>
      <c r="I673" s="5"/>
      <c r="J673" s="5"/>
      <c r="K673" s="5"/>
      <c r="L673" s="5"/>
      <c r="M673" s="5"/>
      <c r="N673" s="5"/>
      <c r="O673" s="5"/>
      <c r="P673" s="5"/>
      <c r="Q673" s="5"/>
      <c r="R673" s="5"/>
      <c r="S673" s="5"/>
      <c r="T673" s="5"/>
    </row>
    <row r="674" spans="1:20">
      <c r="A674" s="45"/>
      <c r="B674" s="46"/>
      <c r="C674" s="5"/>
      <c r="D674" s="5"/>
      <c r="E674" s="5"/>
      <c r="F674" s="5"/>
      <c r="G674" s="5"/>
      <c r="H674" s="5"/>
      <c r="I674" s="5"/>
      <c r="J674" s="5"/>
      <c r="K674" s="5"/>
      <c r="L674" s="5"/>
      <c r="M674" s="5"/>
      <c r="N674" s="5"/>
      <c r="O674" s="5"/>
      <c r="P674" s="5"/>
      <c r="Q674" s="5"/>
      <c r="R674" s="5"/>
      <c r="S674" s="5"/>
      <c r="T674" s="5"/>
    </row>
    <row r="675" spans="1:20">
      <c r="A675" s="45"/>
      <c r="B675" s="46"/>
      <c r="C675" s="5"/>
      <c r="D675" s="5"/>
      <c r="E675" s="5"/>
      <c r="F675" s="5"/>
      <c r="G675" s="5"/>
      <c r="H675" s="5"/>
      <c r="I675" s="5"/>
      <c r="J675" s="5"/>
      <c r="K675" s="5"/>
      <c r="L675" s="5"/>
      <c r="M675" s="5"/>
      <c r="N675" s="5"/>
      <c r="O675" s="5"/>
      <c r="P675" s="5"/>
      <c r="Q675" s="5"/>
      <c r="R675" s="5"/>
      <c r="S675" s="5"/>
      <c r="T675" s="5"/>
    </row>
    <row r="676" spans="1:20">
      <c r="A676" s="45"/>
      <c r="B676" s="46"/>
      <c r="C676" s="5"/>
      <c r="D676" s="5"/>
      <c r="E676" s="5"/>
      <c r="F676" s="5"/>
      <c r="G676" s="5"/>
      <c r="H676" s="5"/>
      <c r="I676" s="5"/>
      <c r="J676" s="5"/>
      <c r="K676" s="5"/>
      <c r="L676" s="5"/>
      <c r="M676" s="5"/>
      <c r="N676" s="5"/>
      <c r="O676" s="5"/>
      <c r="P676" s="5"/>
      <c r="Q676" s="5"/>
      <c r="R676" s="5"/>
      <c r="S676" s="5"/>
      <c r="T676" s="5"/>
    </row>
    <row r="677" spans="1:20">
      <c r="A677" s="45"/>
      <c r="B677" s="46"/>
      <c r="C677" s="5"/>
      <c r="D677" s="5"/>
      <c r="E677" s="5"/>
      <c r="F677" s="5"/>
      <c r="G677" s="5"/>
      <c r="H677" s="5"/>
      <c r="I677" s="5"/>
      <c r="J677" s="5"/>
      <c r="K677" s="5"/>
      <c r="L677" s="5"/>
      <c r="M677" s="5"/>
      <c r="N677" s="5"/>
      <c r="O677" s="5"/>
      <c r="P677" s="5"/>
      <c r="Q677" s="5"/>
      <c r="R677" s="5"/>
      <c r="S677" s="5"/>
      <c r="T677" s="5"/>
    </row>
    <row r="678" spans="1:20">
      <c r="A678" s="45"/>
      <c r="B678" s="46"/>
      <c r="C678" s="5"/>
      <c r="D678" s="5"/>
      <c r="E678" s="5"/>
      <c r="F678" s="5"/>
      <c r="G678" s="5"/>
      <c r="H678" s="5"/>
      <c r="I678" s="5"/>
      <c r="J678" s="5"/>
      <c r="K678" s="5"/>
      <c r="L678" s="5"/>
      <c r="M678" s="5"/>
      <c r="N678" s="5"/>
      <c r="O678" s="5"/>
      <c r="P678" s="5"/>
      <c r="Q678" s="5"/>
      <c r="R678" s="5"/>
      <c r="S678" s="5"/>
      <c r="T678" s="5"/>
    </row>
    <row r="679" spans="1:20">
      <c r="A679" s="45"/>
      <c r="B679" s="46"/>
      <c r="C679" s="5"/>
      <c r="D679" s="5"/>
      <c r="E679" s="5"/>
      <c r="F679" s="5"/>
      <c r="G679" s="5"/>
      <c r="H679" s="5"/>
      <c r="I679" s="5"/>
      <c r="J679" s="5"/>
      <c r="K679" s="5"/>
      <c r="L679" s="5"/>
      <c r="M679" s="5"/>
      <c r="N679" s="5"/>
      <c r="O679" s="5"/>
      <c r="P679" s="5"/>
      <c r="Q679" s="5"/>
      <c r="R679" s="5"/>
      <c r="S679" s="5"/>
      <c r="T679" s="5"/>
    </row>
    <row r="680" spans="1:20">
      <c r="A680" s="45"/>
      <c r="B680" s="46"/>
      <c r="C680" s="5"/>
      <c r="D680" s="5"/>
      <c r="E680" s="5"/>
      <c r="F680" s="5"/>
      <c r="G680" s="5"/>
      <c r="H680" s="5"/>
      <c r="I680" s="5"/>
      <c r="J680" s="5"/>
      <c r="K680" s="5"/>
      <c r="L680" s="5"/>
      <c r="M680" s="5"/>
      <c r="N680" s="5"/>
      <c r="O680" s="5"/>
      <c r="P680" s="5"/>
      <c r="Q680" s="5"/>
      <c r="R680" s="5"/>
      <c r="S680" s="5"/>
      <c r="T680" s="5"/>
    </row>
    <row r="681" spans="1:20">
      <c r="A681" s="45"/>
      <c r="B681" s="46"/>
      <c r="C681" s="5"/>
      <c r="D681" s="5"/>
      <c r="E681" s="5"/>
      <c r="F681" s="5"/>
      <c r="G681" s="5"/>
      <c r="H681" s="5"/>
      <c r="I681" s="5"/>
      <c r="J681" s="5"/>
      <c r="K681" s="5"/>
      <c r="L681" s="5"/>
      <c r="M681" s="5"/>
      <c r="N681" s="5"/>
      <c r="O681" s="5"/>
      <c r="P681" s="5"/>
      <c r="Q681" s="5"/>
      <c r="R681" s="5"/>
      <c r="S681" s="5"/>
      <c r="T681" s="5"/>
    </row>
    <row r="682" spans="1:20">
      <c r="A682" s="45"/>
      <c r="B682" s="46"/>
      <c r="C682" s="5"/>
      <c r="D682" s="5"/>
      <c r="E682" s="5"/>
      <c r="F682" s="5"/>
      <c r="G682" s="5"/>
      <c r="H682" s="5"/>
      <c r="I682" s="5"/>
      <c r="J682" s="5"/>
      <c r="K682" s="5"/>
      <c r="L682" s="5"/>
      <c r="M682" s="5"/>
      <c r="N682" s="5"/>
      <c r="O682" s="5"/>
      <c r="P682" s="5"/>
      <c r="Q682" s="5"/>
      <c r="R682" s="5"/>
      <c r="S682" s="5"/>
      <c r="T682" s="5"/>
    </row>
    <row r="683" spans="1:20">
      <c r="A683" s="45"/>
      <c r="B683" s="46"/>
      <c r="C683" s="5"/>
      <c r="D683" s="5"/>
      <c r="E683" s="5"/>
      <c r="F683" s="5"/>
      <c r="G683" s="5"/>
      <c r="H683" s="5"/>
      <c r="I683" s="5"/>
      <c r="J683" s="5"/>
      <c r="K683" s="5"/>
      <c r="L683" s="5"/>
      <c r="M683" s="5"/>
      <c r="N683" s="5"/>
      <c r="O683" s="5"/>
      <c r="P683" s="5"/>
      <c r="Q683" s="5"/>
      <c r="R683" s="5"/>
      <c r="S683" s="5"/>
      <c r="T683" s="5"/>
    </row>
    <row r="684" spans="1:20">
      <c r="A684" s="45"/>
      <c r="B684" s="46"/>
      <c r="C684" s="5"/>
      <c r="D684" s="5"/>
      <c r="E684" s="5"/>
      <c r="F684" s="5"/>
      <c r="G684" s="5"/>
      <c r="H684" s="5"/>
      <c r="I684" s="5"/>
      <c r="J684" s="5"/>
      <c r="K684" s="5"/>
      <c r="L684" s="5"/>
      <c r="M684" s="5"/>
      <c r="N684" s="5"/>
      <c r="O684" s="5"/>
      <c r="P684" s="5"/>
      <c r="Q684" s="5"/>
      <c r="R684" s="5"/>
      <c r="S684" s="5"/>
      <c r="T684" s="5"/>
    </row>
    <row r="685" spans="1:20">
      <c r="A685" s="45"/>
      <c r="B685" s="46"/>
      <c r="C685" s="5"/>
      <c r="D685" s="5"/>
      <c r="E685" s="5"/>
      <c r="F685" s="5"/>
      <c r="G685" s="5"/>
      <c r="H685" s="5"/>
      <c r="I685" s="5"/>
      <c r="J685" s="5"/>
      <c r="K685" s="5"/>
      <c r="L685" s="5"/>
      <c r="M685" s="5"/>
      <c r="N685" s="5"/>
      <c r="O685" s="5"/>
      <c r="P685" s="5"/>
      <c r="Q685" s="5"/>
      <c r="R685" s="5"/>
      <c r="S685" s="5"/>
      <c r="T685" s="5"/>
    </row>
    <row r="686" spans="1:20">
      <c r="A686" s="45"/>
      <c r="B686" s="46"/>
      <c r="C686" s="5"/>
      <c r="D686" s="5"/>
      <c r="E686" s="5"/>
      <c r="F686" s="5"/>
      <c r="G686" s="5"/>
      <c r="H686" s="5"/>
      <c r="I686" s="5"/>
      <c r="J686" s="5"/>
      <c r="K686" s="5"/>
      <c r="L686" s="5"/>
      <c r="M686" s="5"/>
      <c r="N686" s="5"/>
      <c r="O686" s="5"/>
      <c r="P686" s="5"/>
      <c r="Q686" s="5"/>
      <c r="R686" s="5"/>
      <c r="S686" s="5"/>
      <c r="T686" s="5"/>
    </row>
    <row r="687" spans="1:20">
      <c r="A687" s="45"/>
      <c r="B687" s="46"/>
      <c r="C687" s="5"/>
      <c r="D687" s="5"/>
      <c r="E687" s="5"/>
      <c r="F687" s="5"/>
      <c r="G687" s="5"/>
      <c r="H687" s="5"/>
      <c r="I687" s="5"/>
      <c r="J687" s="5"/>
      <c r="K687" s="5"/>
      <c r="L687" s="5"/>
      <c r="M687" s="5"/>
      <c r="N687" s="5"/>
      <c r="O687" s="5"/>
      <c r="P687" s="5"/>
      <c r="Q687" s="5"/>
      <c r="R687" s="5"/>
      <c r="S687" s="5"/>
      <c r="T687" s="5"/>
    </row>
    <row r="688" spans="1:20">
      <c r="A688" s="45"/>
      <c r="B688" s="46"/>
      <c r="C688" s="5"/>
      <c r="D688" s="5"/>
      <c r="E688" s="5"/>
      <c r="F688" s="5"/>
      <c r="G688" s="5"/>
      <c r="H688" s="5"/>
      <c r="I688" s="5"/>
      <c r="J688" s="5"/>
      <c r="K688" s="5"/>
      <c r="L688" s="5"/>
      <c r="M688" s="5"/>
      <c r="N688" s="5"/>
      <c r="O688" s="5"/>
      <c r="P688" s="5"/>
      <c r="Q688" s="5"/>
      <c r="R688" s="5"/>
      <c r="S688" s="5"/>
      <c r="T688" s="5"/>
    </row>
    <row r="689" spans="1:20">
      <c r="A689" s="45"/>
      <c r="B689" s="46"/>
      <c r="C689" s="5"/>
      <c r="D689" s="5"/>
      <c r="E689" s="5"/>
      <c r="F689" s="5"/>
      <c r="G689" s="5"/>
      <c r="H689" s="5"/>
      <c r="I689" s="5"/>
      <c r="J689" s="5"/>
      <c r="K689" s="5"/>
      <c r="L689" s="5"/>
      <c r="M689" s="5"/>
      <c r="N689" s="5"/>
      <c r="O689" s="5"/>
      <c r="P689" s="5"/>
      <c r="Q689" s="5"/>
      <c r="R689" s="5"/>
      <c r="S689" s="5"/>
      <c r="T689" s="5"/>
    </row>
    <row r="690" spans="1:20">
      <c r="A690" s="45"/>
      <c r="B690" s="46"/>
      <c r="C690" s="5"/>
      <c r="D690" s="5"/>
      <c r="E690" s="5"/>
      <c r="F690" s="5"/>
      <c r="G690" s="5"/>
      <c r="H690" s="5"/>
      <c r="I690" s="5"/>
      <c r="J690" s="5"/>
      <c r="K690" s="5"/>
      <c r="L690" s="5"/>
      <c r="M690" s="5"/>
      <c r="N690" s="5"/>
      <c r="O690" s="5"/>
      <c r="P690" s="5"/>
      <c r="Q690" s="5"/>
      <c r="R690" s="5"/>
      <c r="S690" s="5"/>
      <c r="T690" s="5"/>
    </row>
    <row r="691" spans="1:20">
      <c r="A691" s="45"/>
      <c r="B691" s="46"/>
      <c r="C691" s="5"/>
      <c r="D691" s="5"/>
      <c r="E691" s="5"/>
      <c r="F691" s="5"/>
      <c r="G691" s="5"/>
      <c r="H691" s="5"/>
      <c r="I691" s="5"/>
      <c r="J691" s="5"/>
      <c r="K691" s="5"/>
      <c r="L691" s="5"/>
      <c r="M691" s="5"/>
      <c r="N691" s="5"/>
      <c r="O691" s="5"/>
      <c r="P691" s="5"/>
      <c r="Q691" s="5"/>
      <c r="R691" s="5"/>
      <c r="S691" s="5"/>
      <c r="T691" s="5"/>
    </row>
    <row r="692" spans="1:20">
      <c r="A692" s="45"/>
      <c r="B692" s="46"/>
      <c r="C692" s="5"/>
      <c r="D692" s="5"/>
      <c r="E692" s="5"/>
      <c r="F692" s="5"/>
      <c r="G692" s="5"/>
      <c r="H692" s="5"/>
      <c r="I692" s="5"/>
      <c r="J692" s="5"/>
      <c r="K692" s="5"/>
      <c r="L692" s="5"/>
      <c r="M692" s="5"/>
      <c r="N692" s="5"/>
      <c r="O692" s="5"/>
      <c r="P692" s="5"/>
      <c r="Q692" s="5"/>
      <c r="R692" s="5"/>
      <c r="S692" s="5"/>
      <c r="T692" s="5"/>
    </row>
    <row r="693" spans="1:20">
      <c r="A693" s="45"/>
      <c r="B693" s="46"/>
      <c r="C693" s="5"/>
      <c r="D693" s="5"/>
      <c r="E693" s="5"/>
      <c r="F693" s="5"/>
      <c r="G693" s="5"/>
      <c r="H693" s="5"/>
      <c r="I693" s="5"/>
      <c r="J693" s="5"/>
      <c r="K693" s="5"/>
      <c r="L693" s="5"/>
      <c r="M693" s="5"/>
      <c r="N693" s="5"/>
      <c r="O693" s="5"/>
      <c r="P693" s="5"/>
      <c r="Q693" s="5"/>
      <c r="R693" s="5"/>
      <c r="S693" s="5"/>
      <c r="T693" s="5"/>
    </row>
    <row r="694" spans="1:20">
      <c r="A694" s="45"/>
      <c r="B694" s="46"/>
      <c r="C694" s="5"/>
      <c r="D694" s="5"/>
      <c r="E694" s="5"/>
      <c r="F694" s="5"/>
      <c r="G694" s="5"/>
      <c r="H694" s="5"/>
      <c r="I694" s="5"/>
      <c r="J694" s="5"/>
      <c r="K694" s="5"/>
      <c r="L694" s="5"/>
      <c r="M694" s="5"/>
      <c r="N694" s="5"/>
      <c r="O694" s="5"/>
      <c r="P694" s="5"/>
      <c r="Q694" s="5"/>
      <c r="R694" s="5"/>
      <c r="S694" s="5"/>
      <c r="T694" s="5"/>
    </row>
    <row r="695" spans="1:20">
      <c r="A695" s="45"/>
      <c r="B695" s="46"/>
      <c r="C695" s="5"/>
      <c r="D695" s="5"/>
      <c r="E695" s="5"/>
      <c r="F695" s="5"/>
      <c r="G695" s="5"/>
      <c r="H695" s="5"/>
      <c r="I695" s="5"/>
      <c r="J695" s="5"/>
      <c r="K695" s="5"/>
      <c r="L695" s="5"/>
      <c r="M695" s="5"/>
      <c r="N695" s="5"/>
      <c r="O695" s="5"/>
      <c r="P695" s="5"/>
      <c r="Q695" s="5"/>
      <c r="R695" s="5"/>
      <c r="S695" s="5"/>
      <c r="T695" s="5"/>
    </row>
    <row r="696" spans="1:20">
      <c r="A696" s="45"/>
      <c r="B696" s="46"/>
      <c r="C696" s="5"/>
      <c r="D696" s="5"/>
      <c r="E696" s="5"/>
      <c r="F696" s="5"/>
      <c r="G696" s="5"/>
      <c r="H696" s="5"/>
      <c r="I696" s="5"/>
      <c r="J696" s="5"/>
      <c r="K696" s="5"/>
      <c r="L696" s="5"/>
      <c r="M696" s="5"/>
      <c r="N696" s="5"/>
      <c r="O696" s="5"/>
      <c r="P696" s="5"/>
      <c r="Q696" s="5"/>
      <c r="R696" s="5"/>
      <c r="S696" s="5"/>
      <c r="T696" s="5"/>
    </row>
    <row r="697" spans="1:20">
      <c r="A697" s="45"/>
      <c r="B697" s="46"/>
      <c r="C697" s="5"/>
      <c r="D697" s="5"/>
      <c r="E697" s="5"/>
      <c r="F697" s="5"/>
      <c r="G697" s="5"/>
      <c r="H697" s="5"/>
      <c r="I697" s="5"/>
      <c r="J697" s="5"/>
      <c r="K697" s="5"/>
      <c r="L697" s="5"/>
      <c r="M697" s="5"/>
      <c r="N697" s="5"/>
      <c r="O697" s="5"/>
      <c r="P697" s="5"/>
      <c r="Q697" s="5"/>
      <c r="R697" s="5"/>
      <c r="S697" s="5"/>
      <c r="T697" s="5"/>
    </row>
    <row r="698" spans="1:20">
      <c r="A698" s="45"/>
      <c r="B698" s="46"/>
      <c r="C698" s="5"/>
      <c r="D698" s="5"/>
      <c r="E698" s="5"/>
      <c r="F698" s="5"/>
      <c r="G698" s="5"/>
      <c r="H698" s="5"/>
      <c r="I698" s="5"/>
      <c r="J698" s="5"/>
      <c r="K698" s="5"/>
      <c r="L698" s="5"/>
      <c r="M698" s="5"/>
      <c r="N698" s="5"/>
      <c r="O698" s="5"/>
      <c r="P698" s="5"/>
      <c r="Q698" s="5"/>
      <c r="R698" s="5"/>
      <c r="S698" s="5"/>
      <c r="T698" s="5"/>
    </row>
    <row r="699" spans="1:20">
      <c r="A699" s="45"/>
      <c r="B699" s="46"/>
      <c r="C699" s="5"/>
      <c r="D699" s="5"/>
      <c r="E699" s="5"/>
      <c r="F699" s="5"/>
      <c r="G699" s="5"/>
      <c r="H699" s="5"/>
      <c r="I699" s="5"/>
      <c r="J699" s="5"/>
      <c r="K699" s="5"/>
      <c r="L699" s="5"/>
      <c r="M699" s="5"/>
      <c r="N699" s="5"/>
      <c r="O699" s="5"/>
      <c r="P699" s="5"/>
      <c r="Q699" s="5"/>
      <c r="R699" s="5"/>
      <c r="S699" s="5"/>
      <c r="T699" s="5"/>
    </row>
    <row r="700" spans="1:20">
      <c r="A700" s="45"/>
      <c r="B700" s="46"/>
      <c r="C700" s="5"/>
      <c r="D700" s="5"/>
      <c r="E700" s="5"/>
      <c r="F700" s="5"/>
      <c r="G700" s="5"/>
      <c r="H700" s="5"/>
      <c r="I700" s="5"/>
      <c r="J700" s="5"/>
      <c r="K700" s="5"/>
      <c r="L700" s="5"/>
      <c r="M700" s="5"/>
      <c r="N700" s="5"/>
      <c r="O700" s="5"/>
      <c r="P700" s="5"/>
      <c r="Q700" s="5"/>
      <c r="R700" s="5"/>
      <c r="S700" s="5"/>
      <c r="T700" s="5"/>
    </row>
    <row r="701" spans="1:20">
      <c r="A701" s="45"/>
      <c r="B701" s="46"/>
      <c r="C701" s="5"/>
      <c r="D701" s="5"/>
      <c r="E701" s="5"/>
      <c r="F701" s="5"/>
      <c r="G701" s="5"/>
      <c r="H701" s="5"/>
      <c r="I701" s="5"/>
      <c r="J701" s="5"/>
      <c r="K701" s="5"/>
      <c r="L701" s="5"/>
      <c r="M701" s="5"/>
      <c r="N701" s="5"/>
      <c r="O701" s="5"/>
      <c r="P701" s="5"/>
      <c r="Q701" s="5"/>
      <c r="R701" s="5"/>
      <c r="S701" s="5"/>
      <c r="T701" s="5"/>
    </row>
    <row r="702" spans="1:20">
      <c r="A702" s="45"/>
      <c r="B702" s="46"/>
      <c r="C702" s="5"/>
      <c r="D702" s="5"/>
      <c r="E702" s="5"/>
      <c r="F702" s="5"/>
      <c r="G702" s="5"/>
      <c r="H702" s="5"/>
      <c r="I702" s="5"/>
      <c r="J702" s="5"/>
      <c r="K702" s="5"/>
      <c r="L702" s="5"/>
      <c r="M702" s="5"/>
      <c r="N702" s="5"/>
      <c r="O702" s="5"/>
      <c r="P702" s="5"/>
      <c r="Q702" s="5"/>
      <c r="R702" s="5"/>
      <c r="S702" s="5"/>
      <c r="T702" s="5"/>
    </row>
    <row r="703" spans="1:20">
      <c r="A703" s="45"/>
      <c r="B703" s="46"/>
      <c r="C703" s="5"/>
      <c r="D703" s="5"/>
      <c r="E703" s="5"/>
      <c r="F703" s="5"/>
      <c r="G703" s="5"/>
      <c r="H703" s="5"/>
      <c r="I703" s="5"/>
      <c r="J703" s="5"/>
      <c r="K703" s="5"/>
      <c r="L703" s="5"/>
      <c r="M703" s="5"/>
      <c r="N703" s="5"/>
      <c r="O703" s="5"/>
      <c r="P703" s="5"/>
      <c r="Q703" s="5"/>
      <c r="R703" s="5"/>
      <c r="S703" s="5"/>
      <c r="T703" s="5"/>
    </row>
    <row r="704" spans="1:20">
      <c r="A704" s="45"/>
      <c r="B704" s="46"/>
      <c r="C704" s="5"/>
      <c r="D704" s="5"/>
      <c r="E704" s="5"/>
      <c r="F704" s="5"/>
      <c r="G704" s="5"/>
      <c r="H704" s="5"/>
      <c r="I704" s="5"/>
      <c r="J704" s="5"/>
      <c r="K704" s="5"/>
      <c r="L704" s="5"/>
      <c r="M704" s="5"/>
      <c r="N704" s="5"/>
      <c r="O704" s="5"/>
      <c r="P704" s="5"/>
      <c r="Q704" s="5"/>
      <c r="R704" s="5"/>
      <c r="S704" s="5"/>
      <c r="T704" s="5"/>
    </row>
    <row r="705" spans="1:20">
      <c r="A705" s="45"/>
      <c r="B705" s="46"/>
      <c r="C705" s="5"/>
      <c r="D705" s="5"/>
      <c r="E705" s="5"/>
      <c r="F705" s="5"/>
      <c r="G705" s="5"/>
      <c r="H705" s="5"/>
      <c r="I705" s="5"/>
      <c r="J705" s="5"/>
      <c r="K705" s="5"/>
      <c r="L705" s="5"/>
      <c r="M705" s="5"/>
      <c r="N705" s="5"/>
      <c r="O705" s="5"/>
      <c r="P705" s="5"/>
      <c r="Q705" s="5"/>
      <c r="R705" s="5"/>
      <c r="S705" s="5"/>
      <c r="T705" s="5"/>
    </row>
    <row r="706" spans="1:20">
      <c r="A706" s="45"/>
      <c r="B706" s="46"/>
      <c r="C706" s="5"/>
      <c r="D706" s="5"/>
      <c r="E706" s="5"/>
      <c r="F706" s="5"/>
      <c r="G706" s="5"/>
      <c r="H706" s="5"/>
      <c r="I706" s="5"/>
      <c r="J706" s="5"/>
      <c r="K706" s="5"/>
      <c r="L706" s="5"/>
      <c r="M706" s="5"/>
      <c r="N706" s="5"/>
      <c r="O706" s="5"/>
      <c r="P706" s="5"/>
      <c r="Q706" s="5"/>
      <c r="R706" s="5"/>
      <c r="S706" s="5"/>
      <c r="T706" s="5"/>
    </row>
    <row r="707" spans="1:20">
      <c r="A707" s="45"/>
      <c r="B707" s="46"/>
      <c r="C707" s="5"/>
      <c r="D707" s="5"/>
      <c r="E707" s="5"/>
      <c r="F707" s="5"/>
      <c r="G707" s="5"/>
      <c r="H707" s="5"/>
      <c r="I707" s="5"/>
      <c r="J707" s="5"/>
      <c r="K707" s="5"/>
      <c r="L707" s="5"/>
      <c r="M707" s="5"/>
      <c r="N707" s="5"/>
      <c r="O707" s="5"/>
      <c r="P707" s="5"/>
      <c r="Q707" s="5"/>
      <c r="R707" s="5"/>
      <c r="S707" s="5"/>
      <c r="T707" s="5"/>
    </row>
    <row r="708" spans="1:20">
      <c r="A708" s="45"/>
      <c r="B708" s="46"/>
      <c r="C708" s="5"/>
      <c r="D708" s="5"/>
      <c r="E708" s="5"/>
      <c r="F708" s="5"/>
      <c r="G708" s="5"/>
      <c r="H708" s="5"/>
      <c r="I708" s="5"/>
      <c r="J708" s="5"/>
      <c r="K708" s="5"/>
      <c r="L708" s="5"/>
      <c r="M708" s="5"/>
      <c r="N708" s="5"/>
      <c r="O708" s="5"/>
      <c r="P708" s="5"/>
      <c r="Q708" s="5"/>
      <c r="R708" s="5"/>
      <c r="S708" s="5"/>
      <c r="T708" s="5"/>
    </row>
    <row r="709" spans="1:20">
      <c r="A709" s="45"/>
      <c r="B709" s="46"/>
      <c r="C709" s="5"/>
      <c r="D709" s="5"/>
      <c r="E709" s="5"/>
      <c r="F709" s="5"/>
      <c r="G709" s="5"/>
      <c r="H709" s="5"/>
      <c r="I709" s="5"/>
      <c r="J709" s="5"/>
      <c r="K709" s="5"/>
      <c r="L709" s="5"/>
      <c r="M709" s="5"/>
      <c r="N709" s="5"/>
      <c r="O709" s="5"/>
      <c r="P709" s="5"/>
      <c r="Q709" s="5"/>
      <c r="R709" s="5"/>
      <c r="S709" s="5"/>
      <c r="T709" s="5"/>
    </row>
    <row r="710" spans="1:20">
      <c r="A710" s="45"/>
      <c r="B710" s="46"/>
      <c r="C710" s="5"/>
      <c r="D710" s="5"/>
      <c r="E710" s="5"/>
      <c r="F710" s="5"/>
      <c r="G710" s="5"/>
      <c r="H710" s="5"/>
      <c r="I710" s="5"/>
      <c r="J710" s="5"/>
      <c r="K710" s="5"/>
      <c r="L710" s="5"/>
      <c r="M710" s="5"/>
      <c r="N710" s="5"/>
      <c r="O710" s="5"/>
      <c r="P710" s="5"/>
      <c r="Q710" s="5"/>
      <c r="R710" s="5"/>
      <c r="S710" s="5"/>
      <c r="T710" s="5"/>
    </row>
    <row r="711" spans="1:20">
      <c r="A711" s="45"/>
      <c r="B711" s="46"/>
      <c r="C711" s="5"/>
      <c r="D711" s="5"/>
      <c r="E711" s="5"/>
      <c r="F711" s="5"/>
      <c r="G711" s="5"/>
      <c r="H711" s="5"/>
      <c r="I711" s="5"/>
      <c r="J711" s="5"/>
      <c r="K711" s="5"/>
      <c r="L711" s="5"/>
      <c r="M711" s="5"/>
      <c r="N711" s="5"/>
      <c r="O711" s="5"/>
      <c r="P711" s="5"/>
      <c r="Q711" s="5"/>
      <c r="R711" s="5"/>
      <c r="S711" s="5"/>
      <c r="T711" s="5"/>
    </row>
    <row r="712" spans="1:20">
      <c r="A712" s="45"/>
      <c r="B712" s="46"/>
      <c r="C712" s="5"/>
      <c r="D712" s="5"/>
      <c r="E712" s="5"/>
      <c r="F712" s="5"/>
      <c r="G712" s="5"/>
      <c r="H712" s="5"/>
      <c r="I712" s="5"/>
      <c r="J712" s="5"/>
      <c r="K712" s="5"/>
      <c r="L712" s="5"/>
      <c r="M712" s="5"/>
      <c r="N712" s="5"/>
      <c r="O712" s="5"/>
      <c r="P712" s="5"/>
      <c r="Q712" s="5"/>
      <c r="R712" s="5"/>
      <c r="S712" s="5"/>
      <c r="T712" s="5"/>
    </row>
    <row r="713" spans="1:20">
      <c r="A713" s="45"/>
      <c r="B713" s="46"/>
      <c r="C713" s="5"/>
      <c r="D713" s="5"/>
      <c r="E713" s="5"/>
      <c r="F713" s="5"/>
      <c r="G713" s="5"/>
      <c r="H713" s="5"/>
      <c r="I713" s="5"/>
      <c r="J713" s="5"/>
      <c r="K713" s="5"/>
      <c r="L713" s="5"/>
      <c r="M713" s="5"/>
      <c r="N713" s="5"/>
      <c r="O713" s="5"/>
      <c r="P713" s="5"/>
      <c r="Q713" s="5"/>
      <c r="R713" s="5"/>
      <c r="S713" s="5"/>
      <c r="T713" s="5"/>
    </row>
    <row r="714" spans="1:20">
      <c r="A714" s="45"/>
      <c r="B714" s="46"/>
      <c r="C714" s="5"/>
      <c r="D714" s="5"/>
      <c r="E714" s="5"/>
      <c r="F714" s="5"/>
      <c r="G714" s="5"/>
      <c r="H714" s="5"/>
      <c r="I714" s="5"/>
      <c r="J714" s="5"/>
      <c r="K714" s="5"/>
      <c r="L714" s="5"/>
      <c r="M714" s="5"/>
      <c r="N714" s="5"/>
      <c r="O714" s="5"/>
      <c r="P714" s="5"/>
      <c r="Q714" s="5"/>
      <c r="R714" s="5"/>
      <c r="S714" s="5"/>
      <c r="T714" s="5"/>
    </row>
    <row r="715" spans="1:20">
      <c r="A715" s="45"/>
      <c r="B715" s="46"/>
      <c r="C715" s="5"/>
      <c r="D715" s="5"/>
      <c r="E715" s="5"/>
      <c r="F715" s="5"/>
      <c r="G715" s="5"/>
      <c r="H715" s="5"/>
      <c r="I715" s="5"/>
      <c r="J715" s="5"/>
      <c r="K715" s="5"/>
      <c r="L715" s="5"/>
      <c r="M715" s="5"/>
      <c r="N715" s="5"/>
      <c r="O715" s="5"/>
      <c r="P715" s="5"/>
      <c r="Q715" s="5"/>
      <c r="R715" s="5"/>
      <c r="S715" s="5"/>
      <c r="T715" s="5"/>
    </row>
    <row r="716" spans="1:20">
      <c r="A716" s="45"/>
      <c r="B716" s="46"/>
      <c r="C716" s="5"/>
      <c r="D716" s="5"/>
      <c r="E716" s="5"/>
      <c r="F716" s="5"/>
      <c r="G716" s="5"/>
      <c r="H716" s="5"/>
      <c r="I716" s="5"/>
      <c r="J716" s="5"/>
      <c r="K716" s="5"/>
      <c r="L716" s="5"/>
      <c r="M716" s="5"/>
      <c r="N716" s="5"/>
      <c r="O716" s="5"/>
      <c r="P716" s="5"/>
      <c r="Q716" s="5"/>
      <c r="R716" s="5"/>
      <c r="S716" s="5"/>
      <c r="T716" s="5"/>
    </row>
    <row r="717" spans="1:20">
      <c r="A717" s="45"/>
      <c r="B717" s="46"/>
      <c r="C717" s="5"/>
      <c r="D717" s="5"/>
      <c r="E717" s="5"/>
      <c r="F717" s="5"/>
      <c r="G717" s="5"/>
      <c r="H717" s="5"/>
      <c r="I717" s="5"/>
      <c r="J717" s="5"/>
      <c r="K717" s="5"/>
      <c r="L717" s="5"/>
      <c r="M717" s="5"/>
      <c r="N717" s="5"/>
      <c r="O717" s="5"/>
      <c r="P717" s="5"/>
      <c r="Q717" s="5"/>
      <c r="R717" s="5"/>
      <c r="S717" s="5"/>
      <c r="T717" s="5"/>
    </row>
    <row r="718" spans="1:20">
      <c r="A718" s="45"/>
      <c r="B718" s="46"/>
      <c r="C718" s="5"/>
      <c r="D718" s="5"/>
      <c r="E718" s="5"/>
      <c r="F718" s="5"/>
      <c r="G718" s="5"/>
      <c r="H718" s="5"/>
      <c r="I718" s="5"/>
      <c r="J718" s="5"/>
      <c r="K718" s="5"/>
      <c r="L718" s="5"/>
      <c r="M718" s="5"/>
      <c r="N718" s="5"/>
      <c r="O718" s="5"/>
      <c r="P718" s="5"/>
      <c r="Q718" s="5"/>
      <c r="R718" s="5"/>
      <c r="S718" s="5"/>
      <c r="T718" s="5"/>
    </row>
    <row r="719" spans="1:20">
      <c r="A719" s="45"/>
      <c r="B719" s="46"/>
      <c r="C719" s="5"/>
      <c r="D719" s="5"/>
      <c r="E719" s="5"/>
      <c r="F719" s="5"/>
      <c r="G719" s="5"/>
      <c r="H719" s="5"/>
      <c r="I719" s="5"/>
      <c r="J719" s="5"/>
      <c r="K719" s="5"/>
      <c r="L719" s="5"/>
      <c r="M719" s="5"/>
      <c r="N719" s="5"/>
      <c r="O719" s="5"/>
      <c r="P719" s="5"/>
      <c r="Q719" s="5"/>
      <c r="R719" s="5"/>
      <c r="S719" s="5"/>
      <c r="T719" s="5"/>
    </row>
    <row r="720" spans="1:20">
      <c r="A720" s="45"/>
      <c r="B720" s="46"/>
      <c r="C720" s="5"/>
      <c r="D720" s="5"/>
      <c r="E720" s="5"/>
      <c r="F720" s="5"/>
      <c r="G720" s="5"/>
      <c r="H720" s="5"/>
      <c r="I720" s="5"/>
      <c r="J720" s="5"/>
      <c r="K720" s="5"/>
      <c r="L720" s="5"/>
      <c r="M720" s="5"/>
      <c r="N720" s="5"/>
      <c r="O720" s="5"/>
      <c r="P720" s="5"/>
      <c r="Q720" s="5"/>
      <c r="R720" s="5"/>
      <c r="S720" s="5"/>
      <c r="T720" s="5"/>
    </row>
    <row r="721" spans="1:20">
      <c r="A721" s="45"/>
      <c r="B721" s="46"/>
      <c r="C721" s="5"/>
      <c r="D721" s="5"/>
      <c r="E721" s="5"/>
      <c r="F721" s="5"/>
      <c r="G721" s="5"/>
      <c r="H721" s="5"/>
      <c r="I721" s="5"/>
      <c r="J721" s="5"/>
      <c r="K721" s="5"/>
      <c r="L721" s="5"/>
      <c r="M721" s="5"/>
      <c r="N721" s="5"/>
      <c r="O721" s="5"/>
      <c r="P721" s="5"/>
      <c r="Q721" s="5"/>
      <c r="R721" s="5"/>
      <c r="S721" s="5"/>
      <c r="T721" s="5"/>
    </row>
    <row r="722" spans="1:20">
      <c r="A722" s="45"/>
      <c r="B722" s="46"/>
      <c r="C722" s="5"/>
      <c r="D722" s="5"/>
      <c r="E722" s="5"/>
      <c r="F722" s="5"/>
      <c r="G722" s="5"/>
      <c r="H722" s="5"/>
      <c r="I722" s="5"/>
      <c r="J722" s="5"/>
      <c r="K722" s="5"/>
      <c r="L722" s="5"/>
      <c r="M722" s="5"/>
      <c r="N722" s="5"/>
      <c r="O722" s="5"/>
      <c r="P722" s="5"/>
      <c r="Q722" s="5"/>
      <c r="R722" s="5"/>
      <c r="S722" s="5"/>
      <c r="T722" s="5"/>
    </row>
    <row r="723" spans="1:20">
      <c r="A723" s="45"/>
      <c r="B723" s="46"/>
      <c r="C723" s="5"/>
      <c r="D723" s="5"/>
      <c r="E723" s="5"/>
      <c r="F723" s="5"/>
      <c r="G723" s="5"/>
      <c r="H723" s="5"/>
      <c r="I723" s="5"/>
      <c r="J723" s="5"/>
      <c r="K723" s="5"/>
      <c r="L723" s="5"/>
      <c r="M723" s="5"/>
      <c r="N723" s="5"/>
      <c r="O723" s="5"/>
      <c r="P723" s="5"/>
      <c r="Q723" s="5"/>
      <c r="R723" s="5"/>
      <c r="S723" s="5"/>
      <c r="T723" s="5"/>
    </row>
    <row r="724" spans="1:20">
      <c r="A724" s="45"/>
      <c r="B724" s="46"/>
      <c r="C724" s="5"/>
      <c r="D724" s="5"/>
      <c r="E724" s="5"/>
      <c r="F724" s="5"/>
      <c r="G724" s="5"/>
      <c r="H724" s="5"/>
      <c r="I724" s="5"/>
      <c r="J724" s="5"/>
      <c r="K724" s="5"/>
      <c r="L724" s="5"/>
      <c r="M724" s="5"/>
      <c r="N724" s="5"/>
      <c r="O724" s="5"/>
      <c r="P724" s="5"/>
      <c r="Q724" s="5"/>
      <c r="R724" s="5"/>
      <c r="S724" s="5"/>
      <c r="T724" s="5"/>
    </row>
    <row r="725" spans="1:20">
      <c r="A725" s="45"/>
      <c r="B725" s="46"/>
      <c r="C725" s="5"/>
      <c r="D725" s="5"/>
      <c r="E725" s="5"/>
      <c r="F725" s="5"/>
      <c r="G725" s="5"/>
      <c r="H725" s="5"/>
      <c r="I725" s="5"/>
      <c r="J725" s="5"/>
      <c r="K725" s="5"/>
      <c r="L725" s="5"/>
      <c r="M725" s="5"/>
      <c r="N725" s="5"/>
      <c r="O725" s="5"/>
      <c r="P725" s="5"/>
      <c r="Q725" s="5"/>
      <c r="R725" s="5"/>
      <c r="S725" s="5"/>
      <c r="T725" s="5"/>
    </row>
    <row r="726" spans="1:20">
      <c r="A726" s="45"/>
      <c r="B726" s="46"/>
      <c r="C726" s="5"/>
      <c r="D726" s="5"/>
      <c r="E726" s="5"/>
      <c r="F726" s="5"/>
      <c r="G726" s="5"/>
      <c r="H726" s="5"/>
      <c r="I726" s="5"/>
      <c r="J726" s="5"/>
      <c r="K726" s="5"/>
      <c r="L726" s="5"/>
      <c r="M726" s="5"/>
      <c r="N726" s="5"/>
      <c r="O726" s="5"/>
      <c r="P726" s="5"/>
      <c r="Q726" s="5"/>
      <c r="R726" s="5"/>
      <c r="S726" s="5"/>
      <c r="T726" s="5"/>
    </row>
    <row r="727" spans="1:20">
      <c r="A727" s="45"/>
      <c r="B727" s="46"/>
      <c r="C727" s="5"/>
      <c r="D727" s="5"/>
      <c r="E727" s="5"/>
      <c r="F727" s="5"/>
      <c r="G727" s="5"/>
      <c r="H727" s="5"/>
      <c r="I727" s="5"/>
      <c r="J727" s="5"/>
      <c r="K727" s="5"/>
      <c r="L727" s="5"/>
      <c r="M727" s="5"/>
      <c r="N727" s="5"/>
      <c r="O727" s="5"/>
      <c r="P727" s="5"/>
      <c r="Q727" s="5"/>
      <c r="R727" s="5"/>
      <c r="S727" s="5"/>
      <c r="T727" s="5"/>
    </row>
    <row r="728" spans="1:20">
      <c r="A728" s="45"/>
      <c r="B728" s="46"/>
      <c r="C728" s="5"/>
      <c r="D728" s="5"/>
      <c r="E728" s="5"/>
      <c r="F728" s="5"/>
      <c r="G728" s="5"/>
      <c r="H728" s="5"/>
      <c r="I728" s="5"/>
      <c r="J728" s="5"/>
      <c r="K728" s="5"/>
      <c r="L728" s="5"/>
      <c r="M728" s="5"/>
      <c r="N728" s="5"/>
      <c r="O728" s="5"/>
      <c r="P728" s="5"/>
      <c r="Q728" s="5"/>
      <c r="R728" s="5"/>
      <c r="S728" s="5"/>
      <c r="T728" s="5"/>
    </row>
    <row r="729" spans="1:20">
      <c r="A729" s="45"/>
      <c r="B729" s="46"/>
      <c r="C729" s="5"/>
      <c r="D729" s="5"/>
      <c r="E729" s="5"/>
      <c r="F729" s="5"/>
      <c r="G729" s="5"/>
      <c r="H729" s="5"/>
      <c r="I729" s="5"/>
      <c r="J729" s="5"/>
      <c r="K729" s="5"/>
      <c r="L729" s="5"/>
      <c r="M729" s="5"/>
      <c r="N729" s="5"/>
      <c r="O729" s="5"/>
      <c r="P729" s="5"/>
      <c r="Q729" s="5"/>
      <c r="R729" s="5"/>
      <c r="S729" s="5"/>
      <c r="T729" s="5"/>
    </row>
    <row r="730" spans="1:20">
      <c r="A730" s="45"/>
      <c r="B730" s="46"/>
      <c r="C730" s="5"/>
      <c r="D730" s="5"/>
      <c r="E730" s="5"/>
      <c r="F730" s="5"/>
      <c r="G730" s="5"/>
      <c r="H730" s="5"/>
      <c r="I730" s="5"/>
      <c r="J730" s="5"/>
      <c r="K730" s="5"/>
      <c r="L730" s="5"/>
      <c r="M730" s="5"/>
      <c r="N730" s="5"/>
      <c r="O730" s="5"/>
      <c r="P730" s="5"/>
      <c r="Q730" s="5"/>
      <c r="R730" s="5"/>
      <c r="S730" s="5"/>
      <c r="T730" s="5"/>
    </row>
    <row r="731" spans="1:20">
      <c r="A731" s="45"/>
      <c r="B731" s="46"/>
      <c r="C731" s="5"/>
      <c r="D731" s="5"/>
      <c r="E731" s="5"/>
      <c r="F731" s="5"/>
      <c r="G731" s="5"/>
      <c r="H731" s="5"/>
      <c r="I731" s="5"/>
      <c r="J731" s="5"/>
      <c r="K731" s="5"/>
      <c r="L731" s="5"/>
      <c r="M731" s="5"/>
      <c r="N731" s="5"/>
      <c r="O731" s="5"/>
      <c r="P731" s="5"/>
      <c r="Q731" s="5"/>
      <c r="R731" s="5"/>
      <c r="S731" s="5"/>
      <c r="T731" s="5"/>
    </row>
    <row r="732" spans="1:20">
      <c r="A732" s="45"/>
      <c r="B732" s="46"/>
      <c r="C732" s="5"/>
      <c r="D732" s="5"/>
      <c r="E732" s="5"/>
      <c r="F732" s="5"/>
      <c r="G732" s="5"/>
      <c r="H732" s="5"/>
      <c r="I732" s="5"/>
      <c r="J732" s="5"/>
      <c r="K732" s="5"/>
      <c r="L732" s="5"/>
      <c r="M732" s="5"/>
      <c r="N732" s="5"/>
      <c r="O732" s="5"/>
      <c r="P732" s="5"/>
      <c r="Q732" s="5"/>
      <c r="R732" s="5"/>
      <c r="S732" s="5"/>
      <c r="T732" s="5"/>
    </row>
    <row r="733" spans="1:20">
      <c r="A733" s="45"/>
      <c r="B733" s="46"/>
      <c r="C733" s="5"/>
      <c r="D733" s="5"/>
      <c r="E733" s="5"/>
      <c r="F733" s="5"/>
      <c r="G733" s="5"/>
      <c r="H733" s="5"/>
      <c r="I733" s="5"/>
      <c r="J733" s="5"/>
      <c r="K733" s="5"/>
      <c r="L733" s="5"/>
      <c r="M733" s="5"/>
      <c r="N733" s="5"/>
      <c r="O733" s="5"/>
      <c r="P733" s="5"/>
      <c r="Q733" s="5"/>
      <c r="R733" s="5"/>
      <c r="S733" s="5"/>
      <c r="T733" s="5"/>
    </row>
    <row r="734" spans="1:20">
      <c r="A734" s="45"/>
      <c r="B734" s="46"/>
      <c r="C734" s="5"/>
      <c r="D734" s="5"/>
      <c r="E734" s="5"/>
      <c r="F734" s="5"/>
      <c r="G734" s="5"/>
      <c r="H734" s="5"/>
      <c r="I734" s="5"/>
      <c r="J734" s="5"/>
      <c r="K734" s="5"/>
      <c r="L734" s="5"/>
      <c r="M734" s="5"/>
      <c r="N734" s="5"/>
      <c r="O734" s="5"/>
      <c r="P734" s="5"/>
      <c r="Q734" s="5"/>
      <c r="R734" s="5"/>
      <c r="S734" s="5"/>
      <c r="T734" s="5"/>
    </row>
    <row r="735" spans="1:20">
      <c r="A735" s="45"/>
      <c r="B735" s="46"/>
      <c r="C735" s="5"/>
      <c r="D735" s="5"/>
      <c r="E735" s="5"/>
      <c r="F735" s="5"/>
      <c r="G735" s="5"/>
      <c r="H735" s="5"/>
      <c r="I735" s="5"/>
      <c r="J735" s="5"/>
      <c r="K735" s="5"/>
      <c r="L735" s="5"/>
      <c r="M735" s="5"/>
      <c r="N735" s="5"/>
      <c r="O735" s="5"/>
      <c r="P735" s="5"/>
      <c r="Q735" s="5"/>
      <c r="R735" s="5"/>
      <c r="S735" s="5"/>
      <c r="T735" s="5"/>
    </row>
    <row r="736" spans="1:20">
      <c r="A736" s="45"/>
      <c r="B736" s="46"/>
      <c r="C736" s="5"/>
      <c r="D736" s="5"/>
      <c r="E736" s="5"/>
      <c r="F736" s="5"/>
      <c r="G736" s="5"/>
      <c r="H736" s="5"/>
      <c r="I736" s="5"/>
      <c r="J736" s="5"/>
      <c r="K736" s="5"/>
      <c r="L736" s="5"/>
      <c r="M736" s="5"/>
      <c r="N736" s="5"/>
      <c r="O736" s="5"/>
      <c r="P736" s="5"/>
      <c r="Q736" s="5"/>
      <c r="R736" s="5"/>
      <c r="S736" s="5"/>
      <c r="T736" s="5"/>
    </row>
    <row r="737" spans="1:20">
      <c r="A737" s="45"/>
      <c r="B737" s="46"/>
      <c r="C737" s="5"/>
      <c r="D737" s="5"/>
      <c r="E737" s="5"/>
      <c r="F737" s="5"/>
      <c r="G737" s="5"/>
      <c r="H737" s="5"/>
      <c r="I737" s="5"/>
      <c r="J737" s="5"/>
      <c r="K737" s="5"/>
      <c r="L737" s="5"/>
      <c r="M737" s="5"/>
      <c r="N737" s="5"/>
      <c r="O737" s="5"/>
      <c r="P737" s="5"/>
      <c r="Q737" s="5"/>
      <c r="R737" s="5"/>
      <c r="S737" s="5"/>
      <c r="T737" s="5"/>
    </row>
    <row r="738" spans="1:20">
      <c r="A738" s="45"/>
      <c r="B738" s="46"/>
      <c r="C738" s="5"/>
      <c r="D738" s="5"/>
      <c r="E738" s="5"/>
      <c r="F738" s="5"/>
      <c r="G738" s="5"/>
      <c r="H738" s="5"/>
      <c r="I738" s="5"/>
      <c r="J738" s="5"/>
      <c r="K738" s="5"/>
      <c r="L738" s="5"/>
      <c r="M738" s="5"/>
      <c r="N738" s="5"/>
      <c r="O738" s="5"/>
      <c r="P738" s="5"/>
      <c r="Q738" s="5"/>
      <c r="R738" s="5"/>
      <c r="S738" s="5"/>
      <c r="T738" s="5"/>
    </row>
    <row r="739" spans="1:20">
      <c r="A739" s="45"/>
      <c r="B739" s="46"/>
      <c r="C739" s="5"/>
      <c r="D739" s="5"/>
      <c r="E739" s="5"/>
      <c r="F739" s="5"/>
      <c r="G739" s="5"/>
      <c r="H739" s="5"/>
      <c r="I739" s="5"/>
      <c r="J739" s="5"/>
      <c r="K739" s="5"/>
      <c r="L739" s="5"/>
      <c r="M739" s="5"/>
      <c r="N739" s="5"/>
      <c r="O739" s="5"/>
      <c r="P739" s="5"/>
      <c r="Q739" s="5"/>
      <c r="R739" s="5"/>
      <c r="S739" s="5"/>
      <c r="T739" s="5"/>
    </row>
    <row r="740" spans="1:20">
      <c r="A740" s="45"/>
      <c r="B740" s="46"/>
      <c r="C740" s="5"/>
      <c r="D740" s="5"/>
      <c r="E740" s="5"/>
      <c r="F740" s="5"/>
      <c r="G740" s="5"/>
      <c r="H740" s="5"/>
      <c r="I740" s="5"/>
      <c r="J740" s="5"/>
      <c r="K740" s="5"/>
      <c r="L740" s="5"/>
      <c r="M740" s="5"/>
      <c r="N740" s="5"/>
      <c r="O740" s="5"/>
      <c r="P740" s="5"/>
      <c r="Q740" s="5"/>
      <c r="R740" s="5"/>
      <c r="S740" s="5"/>
      <c r="T740" s="5"/>
    </row>
    <row r="741" spans="1:20">
      <c r="A741" s="45"/>
      <c r="B741" s="46"/>
      <c r="C741" s="5"/>
      <c r="D741" s="5"/>
      <c r="E741" s="5"/>
      <c r="F741" s="5"/>
      <c r="G741" s="5"/>
      <c r="H741" s="5"/>
      <c r="I741" s="5"/>
      <c r="J741" s="5"/>
      <c r="K741" s="5"/>
      <c r="L741" s="5"/>
      <c r="M741" s="5"/>
      <c r="N741" s="5"/>
      <c r="O741" s="5"/>
      <c r="P741" s="5"/>
      <c r="Q741" s="5"/>
      <c r="R741" s="5"/>
      <c r="S741" s="5"/>
      <c r="T741" s="5"/>
    </row>
    <row r="742" spans="1:20">
      <c r="A742" s="45"/>
      <c r="B742" s="46"/>
      <c r="C742" s="5"/>
      <c r="D742" s="5"/>
      <c r="E742" s="5"/>
      <c r="F742" s="5"/>
      <c r="G742" s="5"/>
      <c r="H742" s="5"/>
      <c r="I742" s="5"/>
      <c r="J742" s="5"/>
      <c r="K742" s="5"/>
      <c r="L742" s="5"/>
      <c r="M742" s="5"/>
      <c r="N742" s="5"/>
      <c r="O742" s="5"/>
      <c r="P742" s="5"/>
      <c r="Q742" s="5"/>
      <c r="R742" s="5"/>
      <c r="S742" s="5"/>
      <c r="T742" s="5"/>
    </row>
    <row r="743" spans="1:20">
      <c r="A743" s="45"/>
      <c r="B743" s="46"/>
      <c r="C743" s="5"/>
      <c r="D743" s="5"/>
      <c r="E743" s="5"/>
      <c r="F743" s="5"/>
      <c r="G743" s="5"/>
      <c r="H743" s="5"/>
      <c r="I743" s="5"/>
      <c r="J743" s="5"/>
      <c r="K743" s="5"/>
      <c r="L743" s="5"/>
      <c r="M743" s="5"/>
      <c r="N743" s="5"/>
      <c r="O743" s="5"/>
      <c r="P743" s="5"/>
      <c r="Q743" s="5"/>
      <c r="R743" s="5"/>
      <c r="S743" s="5"/>
      <c r="T743" s="5"/>
    </row>
    <row r="744" spans="1:20">
      <c r="A744" s="45"/>
      <c r="B744" s="46"/>
      <c r="C744" s="5"/>
      <c r="D744" s="5"/>
      <c r="E744" s="5"/>
      <c r="F744" s="5"/>
      <c r="G744" s="5"/>
      <c r="H744" s="5"/>
      <c r="I744" s="5"/>
      <c r="J744" s="5"/>
      <c r="K744" s="5"/>
      <c r="L744" s="5"/>
      <c r="M744" s="5"/>
      <c r="N744" s="5"/>
      <c r="O744" s="5"/>
      <c r="P744" s="5"/>
      <c r="Q744" s="5"/>
      <c r="R744" s="5"/>
      <c r="S744" s="5"/>
      <c r="T744" s="5"/>
    </row>
    <row r="745" spans="1:20">
      <c r="A745" s="45"/>
      <c r="B745" s="46"/>
      <c r="C745" s="5"/>
      <c r="D745" s="5"/>
      <c r="E745" s="5"/>
      <c r="F745" s="5"/>
      <c r="G745" s="5"/>
      <c r="H745" s="5"/>
      <c r="I745" s="5"/>
      <c r="J745" s="5"/>
      <c r="K745" s="5"/>
      <c r="L745" s="5"/>
      <c r="M745" s="5"/>
      <c r="N745" s="5"/>
      <c r="O745" s="5"/>
      <c r="P745" s="5"/>
      <c r="Q745" s="5"/>
      <c r="R745" s="5"/>
      <c r="S745" s="5"/>
      <c r="T745" s="5"/>
    </row>
    <row r="746" spans="1:20">
      <c r="A746" s="45"/>
      <c r="B746" s="46"/>
      <c r="C746" s="5"/>
      <c r="D746" s="5"/>
      <c r="E746" s="5"/>
      <c r="F746" s="5"/>
      <c r="G746" s="5"/>
      <c r="H746" s="5"/>
      <c r="I746" s="5"/>
      <c r="J746" s="5"/>
      <c r="K746" s="5"/>
      <c r="L746" s="5"/>
      <c r="M746" s="5"/>
      <c r="N746" s="5"/>
      <c r="O746" s="5"/>
      <c r="P746" s="5"/>
      <c r="Q746" s="5"/>
      <c r="R746" s="5"/>
      <c r="S746" s="5"/>
      <c r="T746" s="5"/>
    </row>
    <row r="747" spans="1:20">
      <c r="A747" s="45"/>
      <c r="B747" s="46"/>
      <c r="C747" s="5"/>
      <c r="D747" s="5"/>
      <c r="E747" s="5"/>
      <c r="F747" s="5"/>
      <c r="G747" s="5"/>
      <c r="H747" s="5"/>
      <c r="I747" s="5"/>
      <c r="J747" s="5"/>
      <c r="K747" s="5"/>
      <c r="L747" s="5"/>
      <c r="M747" s="5"/>
      <c r="N747" s="5"/>
      <c r="O747" s="5"/>
      <c r="P747" s="5"/>
      <c r="Q747" s="5"/>
      <c r="R747" s="5"/>
      <c r="S747" s="5"/>
      <c r="T747" s="5"/>
    </row>
    <row r="748" spans="1:20">
      <c r="A748" s="45"/>
      <c r="B748" s="46"/>
      <c r="C748" s="5"/>
      <c r="D748" s="5"/>
      <c r="E748" s="5"/>
      <c r="F748" s="5"/>
      <c r="G748" s="5"/>
      <c r="H748" s="5"/>
      <c r="I748" s="5"/>
      <c r="J748" s="5"/>
      <c r="K748" s="5"/>
      <c r="L748" s="5"/>
      <c r="M748" s="5"/>
      <c r="N748" s="5"/>
      <c r="O748" s="5"/>
      <c r="P748" s="5"/>
      <c r="Q748" s="5"/>
      <c r="R748" s="5"/>
      <c r="S748" s="5"/>
      <c r="T748" s="5"/>
    </row>
    <row r="749" spans="1:20">
      <c r="A749" s="45"/>
      <c r="B749" s="46"/>
      <c r="C749" s="5"/>
      <c r="D749" s="5"/>
      <c r="E749" s="5"/>
      <c r="F749" s="5"/>
      <c r="G749" s="5"/>
      <c r="H749" s="5"/>
      <c r="I749" s="5"/>
      <c r="J749" s="5"/>
      <c r="K749" s="5"/>
      <c r="L749" s="5"/>
      <c r="M749" s="5"/>
      <c r="N749" s="5"/>
      <c r="O749" s="5"/>
      <c r="P749" s="5"/>
      <c r="Q749" s="5"/>
      <c r="R749" s="5"/>
      <c r="S749" s="5"/>
      <c r="T749" s="5"/>
    </row>
    <row r="750" spans="1:20">
      <c r="A750" s="45"/>
      <c r="B750" s="46"/>
      <c r="C750" s="5"/>
      <c r="D750" s="5"/>
      <c r="E750" s="5"/>
      <c r="F750" s="5"/>
      <c r="G750" s="5"/>
      <c r="H750" s="5"/>
      <c r="I750" s="5"/>
      <c r="J750" s="5"/>
      <c r="K750" s="5"/>
      <c r="L750" s="5"/>
      <c r="M750" s="5"/>
      <c r="N750" s="5"/>
      <c r="O750" s="5"/>
      <c r="P750" s="5"/>
      <c r="Q750" s="5"/>
      <c r="R750" s="5"/>
      <c r="S750" s="5"/>
      <c r="T750" s="5"/>
    </row>
    <row r="751" spans="1:20">
      <c r="A751" s="45"/>
      <c r="B751" s="46"/>
      <c r="C751" s="5"/>
      <c r="D751" s="5"/>
      <c r="E751" s="5"/>
      <c r="F751" s="5"/>
      <c r="G751" s="5"/>
      <c r="H751" s="5"/>
      <c r="I751" s="5"/>
      <c r="J751" s="5"/>
      <c r="K751" s="5"/>
      <c r="L751" s="5"/>
      <c r="M751" s="5"/>
      <c r="N751" s="5"/>
      <c r="O751" s="5"/>
      <c r="P751" s="5"/>
      <c r="Q751" s="5"/>
      <c r="R751" s="5"/>
      <c r="S751" s="5"/>
      <c r="T751" s="5"/>
    </row>
    <row r="752" spans="1:20">
      <c r="A752" s="45"/>
      <c r="B752" s="46"/>
      <c r="C752" s="5"/>
      <c r="D752" s="5"/>
      <c r="E752" s="5"/>
      <c r="F752" s="5"/>
      <c r="G752" s="5"/>
      <c r="H752" s="5"/>
      <c r="I752" s="5"/>
      <c r="J752" s="5"/>
      <c r="K752" s="5"/>
      <c r="L752" s="5"/>
      <c r="M752" s="5"/>
      <c r="N752" s="5"/>
      <c r="O752" s="5"/>
      <c r="P752" s="5"/>
      <c r="Q752" s="5"/>
      <c r="R752" s="5"/>
      <c r="S752" s="5"/>
      <c r="T752" s="5"/>
    </row>
    <row r="753" spans="1:20">
      <c r="A753" s="45"/>
      <c r="B753" s="46"/>
      <c r="C753" s="5"/>
      <c r="D753" s="5"/>
      <c r="E753" s="5"/>
      <c r="F753" s="5"/>
      <c r="G753" s="5"/>
      <c r="H753" s="5"/>
      <c r="I753" s="5"/>
      <c r="J753" s="5"/>
      <c r="K753" s="5"/>
      <c r="L753" s="5"/>
      <c r="M753" s="5"/>
      <c r="N753" s="5"/>
      <c r="O753" s="5"/>
      <c r="P753" s="5"/>
      <c r="Q753" s="5"/>
      <c r="R753" s="5"/>
      <c r="S753" s="5"/>
      <c r="T753" s="5"/>
    </row>
    <row r="754" spans="1:20">
      <c r="A754" s="45"/>
      <c r="B754" s="46"/>
      <c r="C754" s="5"/>
      <c r="D754" s="5"/>
      <c r="E754" s="5"/>
      <c r="F754" s="5"/>
      <c r="G754" s="5"/>
      <c r="H754" s="5"/>
      <c r="I754" s="5"/>
      <c r="J754" s="5"/>
      <c r="K754" s="5"/>
      <c r="L754" s="5"/>
      <c r="M754" s="5"/>
      <c r="N754" s="5"/>
      <c r="O754" s="5"/>
      <c r="P754" s="5"/>
      <c r="Q754" s="5"/>
      <c r="R754" s="5"/>
      <c r="S754" s="5"/>
      <c r="T754" s="5"/>
    </row>
    <row r="755" spans="1:20">
      <c r="A755" s="45"/>
      <c r="B755" s="46"/>
      <c r="C755" s="5"/>
      <c r="D755" s="5"/>
      <c r="E755" s="5"/>
      <c r="F755" s="5"/>
      <c r="G755" s="5"/>
      <c r="H755" s="5"/>
      <c r="I755" s="5"/>
      <c r="J755" s="5"/>
      <c r="K755" s="5"/>
      <c r="L755" s="5"/>
      <c r="M755" s="5"/>
      <c r="N755" s="5"/>
      <c r="O755" s="5"/>
      <c r="P755" s="5"/>
      <c r="Q755" s="5"/>
      <c r="R755" s="5"/>
      <c r="S755" s="5"/>
      <c r="T755" s="5"/>
    </row>
    <row r="756" spans="1:20">
      <c r="A756" s="45"/>
      <c r="B756" s="46"/>
      <c r="C756" s="5"/>
      <c r="D756" s="5"/>
      <c r="E756" s="5"/>
      <c r="F756" s="5"/>
      <c r="G756" s="5"/>
      <c r="H756" s="5"/>
      <c r="I756" s="5"/>
      <c r="J756" s="5"/>
      <c r="K756" s="5"/>
      <c r="L756" s="5"/>
      <c r="M756" s="5"/>
      <c r="N756" s="5"/>
      <c r="O756" s="5"/>
      <c r="P756" s="5"/>
      <c r="Q756" s="5"/>
      <c r="R756" s="5"/>
      <c r="S756" s="5"/>
      <c r="T756" s="5"/>
    </row>
    <row r="757" spans="1:20">
      <c r="A757" s="45"/>
      <c r="B757" s="46"/>
      <c r="C757" s="5"/>
      <c r="D757" s="5"/>
      <c r="E757" s="5"/>
      <c r="F757" s="5"/>
      <c r="G757" s="5"/>
      <c r="H757" s="5"/>
      <c r="I757" s="5"/>
      <c r="J757" s="5"/>
      <c r="K757" s="5"/>
      <c r="L757" s="5"/>
      <c r="M757" s="5"/>
      <c r="N757" s="5"/>
      <c r="O757" s="5"/>
      <c r="P757" s="5"/>
      <c r="Q757" s="5"/>
      <c r="R757" s="5"/>
      <c r="S757" s="5"/>
      <c r="T757" s="5"/>
    </row>
    <row r="758" spans="1:20">
      <c r="A758" s="45"/>
      <c r="B758" s="46"/>
      <c r="C758" s="5"/>
      <c r="D758" s="5"/>
      <c r="E758" s="5"/>
      <c r="F758" s="5"/>
      <c r="G758" s="5"/>
      <c r="H758" s="5"/>
      <c r="I758" s="5"/>
      <c r="J758" s="5"/>
      <c r="K758" s="5"/>
      <c r="L758" s="5"/>
      <c r="M758" s="5"/>
      <c r="N758" s="5"/>
      <c r="O758" s="5"/>
      <c r="P758" s="5"/>
      <c r="Q758" s="5"/>
      <c r="R758" s="5"/>
      <c r="S758" s="5"/>
      <c r="T758" s="5"/>
    </row>
    <row r="759" spans="1:20">
      <c r="A759" s="45"/>
      <c r="B759" s="46"/>
      <c r="C759" s="5"/>
      <c r="D759" s="5"/>
      <c r="E759" s="5"/>
      <c r="F759" s="5"/>
      <c r="G759" s="5"/>
      <c r="H759" s="5"/>
      <c r="I759" s="5"/>
      <c r="J759" s="5"/>
      <c r="K759" s="5"/>
      <c r="L759" s="5"/>
      <c r="M759" s="5"/>
      <c r="N759" s="5"/>
      <c r="O759" s="5"/>
      <c r="P759" s="5"/>
      <c r="Q759" s="5"/>
      <c r="R759" s="5"/>
      <c r="S759" s="5"/>
      <c r="T759" s="5"/>
    </row>
    <row r="760" spans="1:20">
      <c r="A760" s="45"/>
      <c r="B760" s="46"/>
      <c r="C760" s="5"/>
      <c r="D760" s="5"/>
      <c r="E760" s="5"/>
      <c r="F760" s="5"/>
      <c r="G760" s="5"/>
      <c r="H760" s="5"/>
      <c r="I760" s="5"/>
      <c r="J760" s="5"/>
      <c r="K760" s="5"/>
      <c r="L760" s="5"/>
      <c r="M760" s="5"/>
      <c r="N760" s="5"/>
      <c r="O760" s="5"/>
      <c r="P760" s="5"/>
      <c r="Q760" s="5"/>
      <c r="R760" s="5"/>
      <c r="S760" s="5"/>
      <c r="T760" s="5"/>
    </row>
    <row r="761" spans="1:20">
      <c r="A761" s="45"/>
      <c r="B761" s="46"/>
      <c r="C761" s="5"/>
      <c r="D761" s="5"/>
      <c r="E761" s="5"/>
      <c r="F761" s="5"/>
      <c r="G761" s="5"/>
      <c r="H761" s="5"/>
      <c r="I761" s="5"/>
      <c r="J761" s="5"/>
      <c r="K761" s="5"/>
      <c r="L761" s="5"/>
      <c r="M761" s="5"/>
      <c r="N761" s="5"/>
      <c r="O761" s="5"/>
      <c r="P761" s="5"/>
      <c r="Q761" s="5"/>
      <c r="R761" s="5"/>
      <c r="S761" s="5"/>
      <c r="T761" s="5"/>
    </row>
    <row r="762" spans="1:20">
      <c r="A762" s="45"/>
      <c r="B762" s="46"/>
      <c r="C762" s="5"/>
      <c r="D762" s="5"/>
      <c r="E762" s="5"/>
      <c r="F762" s="5"/>
      <c r="G762" s="5"/>
      <c r="H762" s="5"/>
      <c r="I762" s="5"/>
      <c r="J762" s="5"/>
      <c r="K762" s="5"/>
      <c r="L762" s="5"/>
      <c r="M762" s="5"/>
      <c r="N762" s="5"/>
      <c r="O762" s="5"/>
      <c r="P762" s="5"/>
      <c r="Q762" s="5"/>
      <c r="R762" s="5"/>
      <c r="S762" s="5"/>
      <c r="T762" s="5"/>
    </row>
    <row r="763" spans="1:20">
      <c r="A763" s="45"/>
      <c r="B763" s="46"/>
      <c r="C763" s="5"/>
      <c r="D763" s="5"/>
      <c r="E763" s="5"/>
      <c r="F763" s="5"/>
      <c r="G763" s="5"/>
      <c r="H763" s="5"/>
      <c r="I763" s="5"/>
      <c r="J763" s="5"/>
      <c r="K763" s="5"/>
      <c r="L763" s="5"/>
      <c r="M763" s="5"/>
      <c r="N763" s="5"/>
      <c r="O763" s="5"/>
      <c r="P763" s="5"/>
      <c r="Q763" s="5"/>
      <c r="R763" s="5"/>
      <c r="S763" s="5"/>
      <c r="T763" s="5"/>
    </row>
    <row r="764" spans="1:20">
      <c r="A764" s="45"/>
      <c r="B764" s="46"/>
      <c r="C764" s="5"/>
      <c r="D764" s="5"/>
      <c r="E764" s="5"/>
      <c r="F764" s="5"/>
      <c r="G764" s="5"/>
      <c r="H764" s="5"/>
      <c r="I764" s="5"/>
      <c r="J764" s="5"/>
      <c r="K764" s="5"/>
      <c r="L764" s="5"/>
      <c r="M764" s="5"/>
      <c r="N764" s="5"/>
      <c r="O764" s="5"/>
      <c r="P764" s="5"/>
      <c r="Q764" s="5"/>
      <c r="R764" s="5"/>
      <c r="S764" s="5"/>
      <c r="T764" s="5"/>
    </row>
    <row r="765" spans="1:20">
      <c r="A765" s="45"/>
      <c r="B765" s="46"/>
      <c r="C765" s="5"/>
      <c r="D765" s="5"/>
      <c r="E765" s="5"/>
      <c r="F765" s="5"/>
      <c r="G765" s="5"/>
      <c r="H765" s="5"/>
      <c r="I765" s="5"/>
      <c r="J765" s="5"/>
      <c r="K765" s="5"/>
      <c r="L765" s="5"/>
      <c r="M765" s="5"/>
      <c r="N765" s="5"/>
      <c r="O765" s="5"/>
      <c r="P765" s="5"/>
      <c r="Q765" s="5"/>
      <c r="R765" s="5"/>
      <c r="S765" s="5"/>
      <c r="T765" s="5"/>
    </row>
    <row r="766" spans="1:20">
      <c r="A766" s="45"/>
      <c r="B766" s="46"/>
      <c r="C766" s="5"/>
      <c r="D766" s="5"/>
      <c r="E766" s="5"/>
      <c r="F766" s="5"/>
      <c r="G766" s="5"/>
      <c r="H766" s="5"/>
      <c r="I766" s="5"/>
      <c r="J766" s="5"/>
      <c r="K766" s="5"/>
      <c r="L766" s="5"/>
      <c r="M766" s="5"/>
      <c r="N766" s="5"/>
      <c r="O766" s="5"/>
      <c r="P766" s="5"/>
      <c r="Q766" s="5"/>
      <c r="R766" s="5"/>
      <c r="S766" s="5"/>
      <c r="T766" s="5"/>
    </row>
    <row r="767" spans="1:20">
      <c r="A767" s="45"/>
      <c r="B767" s="46"/>
      <c r="C767" s="5"/>
      <c r="D767" s="5"/>
      <c r="E767" s="5"/>
      <c r="F767" s="5"/>
      <c r="G767" s="5"/>
      <c r="H767" s="5"/>
      <c r="I767" s="5"/>
      <c r="J767" s="5"/>
      <c r="K767" s="5"/>
      <c r="L767" s="5"/>
      <c r="M767" s="5"/>
      <c r="N767" s="5"/>
      <c r="O767" s="5"/>
      <c r="P767" s="5"/>
      <c r="Q767" s="5"/>
      <c r="R767" s="5"/>
      <c r="S767" s="5"/>
      <c r="T767" s="5"/>
    </row>
    <row r="768" spans="1:20">
      <c r="A768" s="45"/>
      <c r="B768" s="46"/>
      <c r="C768" s="5"/>
      <c r="D768" s="5"/>
      <c r="E768" s="5"/>
      <c r="F768" s="5"/>
      <c r="G768" s="5"/>
      <c r="H768" s="5"/>
      <c r="I768" s="5"/>
      <c r="J768" s="5"/>
      <c r="K768" s="5"/>
      <c r="L768" s="5"/>
      <c r="M768" s="5"/>
      <c r="N768" s="5"/>
      <c r="O768" s="5"/>
      <c r="P768" s="5"/>
      <c r="Q768" s="5"/>
      <c r="R768" s="5"/>
      <c r="S768" s="5"/>
      <c r="T768" s="5"/>
    </row>
    <row r="769" spans="1:20">
      <c r="A769" s="45"/>
      <c r="B769" s="46"/>
      <c r="C769" s="5"/>
      <c r="D769" s="5"/>
      <c r="E769" s="5"/>
      <c r="F769" s="5"/>
      <c r="G769" s="5"/>
      <c r="H769" s="5"/>
      <c r="I769" s="5"/>
      <c r="J769" s="5"/>
      <c r="K769" s="5"/>
      <c r="L769" s="5"/>
      <c r="M769" s="5"/>
      <c r="N769" s="5"/>
      <c r="O769" s="5"/>
      <c r="P769" s="5"/>
      <c r="Q769" s="5"/>
      <c r="R769" s="5"/>
      <c r="S769" s="5"/>
      <c r="T769" s="5"/>
    </row>
    <row r="770" spans="1:20">
      <c r="A770" s="45"/>
      <c r="B770" s="46"/>
      <c r="C770" s="5"/>
      <c r="D770" s="5"/>
      <c r="E770" s="5"/>
      <c r="F770" s="5"/>
      <c r="G770" s="5"/>
      <c r="H770" s="5"/>
      <c r="I770" s="5"/>
      <c r="J770" s="5"/>
      <c r="K770" s="5"/>
      <c r="L770" s="5"/>
      <c r="M770" s="5"/>
      <c r="N770" s="5"/>
      <c r="O770" s="5"/>
      <c r="P770" s="5"/>
      <c r="Q770" s="5"/>
      <c r="R770" s="5"/>
      <c r="S770" s="5"/>
      <c r="T770" s="5"/>
    </row>
    <row r="771" spans="1:20">
      <c r="A771" s="45"/>
      <c r="B771" s="46"/>
      <c r="C771" s="5"/>
      <c r="D771" s="5"/>
      <c r="E771" s="5"/>
      <c r="F771" s="5"/>
      <c r="G771" s="5"/>
      <c r="H771" s="5"/>
      <c r="I771" s="5"/>
      <c r="J771" s="5"/>
      <c r="K771" s="5"/>
      <c r="L771" s="5"/>
      <c r="M771" s="5"/>
      <c r="N771" s="5"/>
      <c r="O771" s="5"/>
      <c r="P771" s="5"/>
      <c r="Q771" s="5"/>
      <c r="R771" s="5"/>
      <c r="S771" s="5"/>
      <c r="T771" s="5"/>
    </row>
    <row r="772" spans="1:20">
      <c r="A772" s="45"/>
      <c r="B772" s="46"/>
      <c r="C772" s="5"/>
      <c r="D772" s="5"/>
      <c r="E772" s="5"/>
      <c r="F772" s="5"/>
      <c r="G772" s="5"/>
      <c r="H772" s="5"/>
      <c r="I772" s="5"/>
      <c r="J772" s="5"/>
      <c r="K772" s="5"/>
      <c r="L772" s="5"/>
      <c r="M772" s="5"/>
      <c r="N772" s="5"/>
      <c r="O772" s="5"/>
      <c r="P772" s="5"/>
      <c r="Q772" s="5"/>
      <c r="R772" s="5"/>
      <c r="S772" s="5"/>
      <c r="T772" s="5"/>
    </row>
    <row r="773" spans="1:20">
      <c r="A773" s="45"/>
      <c r="B773" s="46"/>
      <c r="C773" s="5"/>
      <c r="D773" s="5"/>
      <c r="E773" s="5"/>
      <c r="F773" s="5"/>
      <c r="G773" s="5"/>
      <c r="H773" s="5"/>
      <c r="I773" s="5"/>
      <c r="J773" s="5"/>
      <c r="K773" s="5"/>
      <c r="L773" s="5"/>
      <c r="M773" s="5"/>
      <c r="N773" s="5"/>
      <c r="O773" s="5"/>
      <c r="P773" s="5"/>
      <c r="Q773" s="5"/>
      <c r="R773" s="5"/>
      <c r="S773" s="5"/>
      <c r="T773" s="5"/>
    </row>
    <row r="774" spans="1:20">
      <c r="A774" s="45"/>
      <c r="B774" s="46"/>
      <c r="C774" s="5"/>
      <c r="D774" s="5"/>
      <c r="E774" s="5"/>
      <c r="F774" s="5"/>
      <c r="G774" s="5"/>
      <c r="H774" s="5"/>
      <c r="I774" s="5"/>
      <c r="J774" s="5"/>
      <c r="K774" s="5"/>
      <c r="L774" s="5"/>
      <c r="M774" s="5"/>
      <c r="N774" s="5"/>
      <c r="O774" s="5"/>
      <c r="P774" s="5"/>
      <c r="Q774" s="5"/>
      <c r="R774" s="5"/>
      <c r="S774" s="5"/>
      <c r="T774" s="5"/>
    </row>
    <row r="775" spans="1:20">
      <c r="A775" s="45"/>
      <c r="B775" s="46"/>
      <c r="C775" s="5"/>
      <c r="D775" s="5"/>
      <c r="E775" s="5"/>
      <c r="F775" s="5"/>
      <c r="G775" s="5"/>
      <c r="H775" s="5"/>
      <c r="I775" s="5"/>
      <c r="J775" s="5"/>
      <c r="K775" s="5"/>
      <c r="L775" s="5"/>
      <c r="M775" s="5"/>
      <c r="N775" s="5"/>
      <c r="O775" s="5"/>
      <c r="P775" s="5"/>
      <c r="Q775" s="5"/>
      <c r="R775" s="5"/>
      <c r="S775" s="5"/>
      <c r="T775" s="5"/>
    </row>
    <row r="776" spans="1:20">
      <c r="A776" s="45"/>
      <c r="B776" s="46"/>
      <c r="C776" s="5"/>
      <c r="D776" s="5"/>
      <c r="E776" s="5"/>
      <c r="F776" s="5"/>
      <c r="G776" s="5"/>
      <c r="H776" s="5"/>
      <c r="I776" s="5"/>
      <c r="J776" s="5"/>
      <c r="K776" s="5"/>
      <c r="L776" s="5"/>
      <c r="M776" s="5"/>
      <c r="N776" s="5"/>
      <c r="O776" s="5"/>
      <c r="P776" s="5"/>
      <c r="Q776" s="5"/>
      <c r="R776" s="5"/>
      <c r="S776" s="5"/>
      <c r="T776" s="5"/>
    </row>
    <row r="777" spans="1:20">
      <c r="A777" s="45"/>
      <c r="B777" s="46"/>
      <c r="C777" s="5"/>
      <c r="D777" s="5"/>
      <c r="E777" s="5"/>
      <c r="F777" s="5"/>
      <c r="G777" s="5"/>
      <c r="H777" s="5"/>
      <c r="I777" s="5"/>
      <c r="J777" s="5"/>
      <c r="K777" s="5"/>
      <c r="L777" s="5"/>
      <c r="M777" s="5"/>
      <c r="N777" s="5"/>
      <c r="O777" s="5"/>
      <c r="P777" s="5"/>
      <c r="Q777" s="5"/>
      <c r="R777" s="5"/>
      <c r="S777" s="5"/>
      <c r="T777" s="5"/>
    </row>
    <row r="778" spans="1:20">
      <c r="A778" s="45"/>
      <c r="B778" s="46"/>
      <c r="C778" s="5"/>
      <c r="D778" s="5"/>
      <c r="E778" s="5"/>
      <c r="F778" s="5"/>
      <c r="G778" s="5"/>
      <c r="H778" s="5"/>
      <c r="I778" s="5"/>
      <c r="J778" s="5"/>
      <c r="K778" s="5"/>
      <c r="L778" s="5"/>
      <c r="M778" s="5"/>
      <c r="N778" s="5"/>
      <c r="O778" s="5"/>
      <c r="P778" s="5"/>
      <c r="Q778" s="5"/>
      <c r="R778" s="5"/>
      <c r="S778" s="5"/>
      <c r="T778" s="5"/>
    </row>
    <row r="779" spans="1:20">
      <c r="A779" s="45"/>
      <c r="B779" s="46"/>
      <c r="C779" s="5"/>
      <c r="D779" s="5"/>
      <c r="E779" s="5"/>
      <c r="F779" s="5"/>
      <c r="G779" s="5"/>
      <c r="H779" s="5"/>
      <c r="I779" s="5"/>
      <c r="J779" s="5"/>
      <c r="K779" s="5"/>
      <c r="L779" s="5"/>
      <c r="M779" s="5"/>
      <c r="N779" s="5"/>
      <c r="O779" s="5"/>
      <c r="P779" s="5"/>
      <c r="Q779" s="5"/>
      <c r="R779" s="5"/>
      <c r="S779" s="5"/>
      <c r="T779" s="5"/>
    </row>
    <row r="780" spans="1:20">
      <c r="A780" s="45"/>
      <c r="B780" s="46"/>
      <c r="C780" s="5"/>
      <c r="D780" s="5"/>
      <c r="E780" s="5"/>
      <c r="F780" s="5"/>
      <c r="G780" s="5"/>
      <c r="H780" s="5"/>
      <c r="I780" s="5"/>
      <c r="J780" s="5"/>
      <c r="K780" s="5"/>
      <c r="L780" s="5"/>
      <c r="M780" s="5"/>
      <c r="N780" s="5"/>
      <c r="O780" s="5"/>
      <c r="P780" s="5"/>
      <c r="Q780" s="5"/>
      <c r="R780" s="5"/>
      <c r="S780" s="5"/>
      <c r="T780" s="5"/>
    </row>
    <row r="781" spans="1:20">
      <c r="A781" s="45"/>
      <c r="B781" s="46"/>
      <c r="C781" s="5"/>
      <c r="D781" s="5"/>
      <c r="E781" s="5"/>
      <c r="F781" s="5"/>
      <c r="G781" s="5"/>
      <c r="H781" s="5"/>
      <c r="I781" s="5"/>
      <c r="J781" s="5"/>
      <c r="K781" s="5"/>
      <c r="L781" s="5"/>
      <c r="M781" s="5"/>
      <c r="N781" s="5"/>
      <c r="O781" s="5"/>
      <c r="P781" s="5"/>
      <c r="Q781" s="5"/>
      <c r="R781" s="5"/>
      <c r="S781" s="5"/>
      <c r="T781" s="5"/>
    </row>
    <row r="782" spans="1:20">
      <c r="A782" s="45"/>
      <c r="B782" s="46"/>
      <c r="C782" s="5"/>
      <c r="D782" s="5"/>
      <c r="E782" s="5"/>
      <c r="F782" s="5"/>
      <c r="G782" s="5"/>
      <c r="H782" s="5"/>
      <c r="I782" s="5"/>
      <c r="J782" s="5"/>
      <c r="K782" s="5"/>
      <c r="L782" s="5"/>
      <c r="M782" s="5"/>
      <c r="N782" s="5"/>
      <c r="O782" s="5"/>
      <c r="P782" s="5"/>
      <c r="Q782" s="5"/>
      <c r="R782" s="5"/>
      <c r="S782" s="5"/>
      <c r="T782" s="5"/>
    </row>
    <row r="783" spans="1:20">
      <c r="A783" s="45"/>
      <c r="B783" s="46"/>
      <c r="C783" s="5"/>
      <c r="D783" s="5"/>
      <c r="E783" s="5"/>
      <c r="F783" s="5"/>
      <c r="G783" s="5"/>
      <c r="H783" s="5"/>
      <c r="I783" s="5"/>
      <c r="J783" s="5"/>
      <c r="K783" s="5"/>
      <c r="L783" s="5"/>
      <c r="M783" s="5"/>
      <c r="N783" s="5"/>
      <c r="O783" s="5"/>
      <c r="P783" s="5"/>
      <c r="Q783" s="5"/>
      <c r="R783" s="5"/>
      <c r="S783" s="5"/>
      <c r="T783" s="5"/>
    </row>
    <row r="784" spans="1:20">
      <c r="A784" s="45"/>
      <c r="B784" s="46"/>
      <c r="C784" s="5"/>
      <c r="D784" s="5"/>
      <c r="E784" s="5"/>
      <c r="F784" s="5"/>
      <c r="G784" s="5"/>
      <c r="H784" s="5"/>
      <c r="I784" s="5"/>
      <c r="J784" s="5"/>
      <c r="K784" s="5"/>
      <c r="L784" s="5"/>
      <c r="M784" s="5"/>
      <c r="N784" s="5"/>
      <c r="O784" s="5"/>
      <c r="P784" s="5"/>
      <c r="Q784" s="5"/>
      <c r="R784" s="5"/>
      <c r="S784" s="5"/>
      <c r="T784" s="5"/>
    </row>
    <row r="785" spans="1:20">
      <c r="A785" s="45"/>
      <c r="B785" s="46"/>
      <c r="C785" s="5"/>
      <c r="D785" s="5"/>
      <c r="E785" s="5"/>
      <c r="F785" s="5"/>
      <c r="G785" s="5"/>
      <c r="H785" s="5"/>
      <c r="I785" s="5"/>
      <c r="J785" s="5"/>
      <c r="K785" s="5"/>
      <c r="L785" s="5"/>
      <c r="M785" s="5"/>
      <c r="N785" s="5"/>
      <c r="O785" s="5"/>
      <c r="P785" s="5"/>
      <c r="Q785" s="5"/>
      <c r="R785" s="5"/>
      <c r="S785" s="5"/>
      <c r="T785" s="5"/>
    </row>
    <row r="786" spans="1:20">
      <c r="A786" s="45"/>
      <c r="B786" s="46"/>
      <c r="C786" s="5"/>
      <c r="D786" s="5"/>
      <c r="E786" s="5"/>
      <c r="F786" s="5"/>
      <c r="G786" s="5"/>
      <c r="H786" s="5"/>
      <c r="I786" s="5"/>
      <c r="J786" s="5"/>
      <c r="K786" s="5"/>
      <c r="L786" s="5"/>
      <c r="M786" s="5"/>
      <c r="N786" s="5"/>
      <c r="O786" s="5"/>
      <c r="P786" s="5"/>
      <c r="Q786" s="5"/>
      <c r="R786" s="5"/>
      <c r="S786" s="5"/>
      <c r="T786" s="5"/>
    </row>
    <row r="787" spans="1:20">
      <c r="A787" s="45"/>
      <c r="B787" s="46"/>
      <c r="C787" s="5"/>
      <c r="D787" s="5"/>
      <c r="E787" s="5"/>
      <c r="F787" s="5"/>
      <c r="G787" s="5"/>
      <c r="H787" s="5"/>
      <c r="I787" s="5"/>
      <c r="J787" s="5"/>
      <c r="K787" s="5"/>
      <c r="L787" s="5"/>
      <c r="M787" s="5"/>
      <c r="N787" s="5"/>
      <c r="O787" s="5"/>
      <c r="P787" s="5"/>
      <c r="Q787" s="5"/>
      <c r="R787" s="5"/>
      <c r="S787" s="5"/>
      <c r="T787" s="5"/>
    </row>
    <row r="788" spans="1:20">
      <c r="A788" s="45"/>
      <c r="B788" s="46"/>
      <c r="C788" s="5"/>
      <c r="D788" s="5"/>
      <c r="E788" s="5"/>
      <c r="F788" s="5"/>
      <c r="G788" s="5"/>
      <c r="H788" s="5"/>
      <c r="I788" s="5"/>
      <c r="J788" s="5"/>
      <c r="K788" s="5"/>
      <c r="L788" s="5"/>
      <c r="M788" s="5"/>
      <c r="N788" s="5"/>
      <c r="O788" s="5"/>
      <c r="P788" s="5"/>
      <c r="Q788" s="5"/>
      <c r="R788" s="5"/>
      <c r="S788" s="5"/>
      <c r="T788" s="5"/>
    </row>
    <row r="789" spans="1:20">
      <c r="A789" s="45"/>
      <c r="B789" s="46"/>
      <c r="C789" s="5"/>
      <c r="D789" s="5"/>
      <c r="E789" s="5"/>
      <c r="F789" s="5"/>
      <c r="G789" s="5"/>
      <c r="H789" s="5"/>
      <c r="I789" s="5"/>
      <c r="J789" s="5"/>
      <c r="K789" s="5"/>
      <c r="L789" s="5"/>
      <c r="M789" s="5"/>
      <c r="N789" s="5"/>
      <c r="O789" s="5"/>
      <c r="P789" s="5"/>
      <c r="Q789" s="5"/>
      <c r="R789" s="5"/>
      <c r="S789" s="5"/>
      <c r="T789" s="5"/>
    </row>
    <row r="790" spans="1:20">
      <c r="A790" s="45"/>
      <c r="B790" s="46"/>
      <c r="C790" s="5"/>
      <c r="D790" s="5"/>
      <c r="E790" s="5"/>
      <c r="F790" s="5"/>
      <c r="G790" s="5"/>
      <c r="H790" s="5"/>
      <c r="I790" s="5"/>
      <c r="J790" s="5"/>
      <c r="K790" s="5"/>
      <c r="L790" s="5"/>
      <c r="M790" s="5"/>
      <c r="N790" s="5"/>
      <c r="O790" s="5"/>
      <c r="P790" s="5"/>
      <c r="Q790" s="5"/>
      <c r="R790" s="5"/>
      <c r="S790" s="5"/>
      <c r="T790" s="5"/>
    </row>
    <row r="791" spans="1:20">
      <c r="A791" s="45"/>
      <c r="B791" s="46"/>
      <c r="C791" s="5"/>
      <c r="D791" s="5"/>
      <c r="E791" s="5"/>
      <c r="F791" s="5"/>
      <c r="G791" s="5"/>
      <c r="H791" s="5"/>
      <c r="I791" s="5"/>
      <c r="J791" s="5"/>
      <c r="K791" s="5"/>
      <c r="L791" s="5"/>
      <c r="M791" s="5"/>
      <c r="N791" s="5"/>
      <c r="O791" s="5"/>
      <c r="P791" s="5"/>
      <c r="Q791" s="5"/>
      <c r="R791" s="5"/>
      <c r="S791" s="5"/>
      <c r="T791" s="5"/>
    </row>
    <row r="792" spans="1:20">
      <c r="A792" s="45"/>
      <c r="B792" s="46"/>
      <c r="C792" s="5"/>
      <c r="D792" s="5"/>
      <c r="E792" s="5"/>
      <c r="F792" s="5"/>
      <c r="G792" s="5"/>
      <c r="H792" s="5"/>
      <c r="I792" s="5"/>
      <c r="J792" s="5"/>
      <c r="K792" s="5"/>
      <c r="L792" s="5"/>
      <c r="M792" s="5"/>
      <c r="N792" s="5"/>
      <c r="O792" s="5"/>
      <c r="P792" s="5"/>
      <c r="Q792" s="5"/>
      <c r="R792" s="5"/>
      <c r="S792" s="5"/>
      <c r="T792" s="5"/>
    </row>
    <row r="793" spans="1:20">
      <c r="A793" s="45"/>
      <c r="B793" s="46"/>
      <c r="C793" s="5"/>
      <c r="D793" s="5"/>
      <c r="E793" s="5"/>
      <c r="F793" s="5"/>
      <c r="G793" s="5"/>
      <c r="H793" s="5"/>
      <c r="I793" s="5"/>
      <c r="J793" s="5"/>
      <c r="K793" s="5"/>
      <c r="L793" s="5"/>
      <c r="M793" s="5"/>
      <c r="N793" s="5"/>
      <c r="O793" s="5"/>
      <c r="P793" s="5"/>
      <c r="Q793" s="5"/>
      <c r="R793" s="5"/>
      <c r="S793" s="5"/>
      <c r="T793" s="5"/>
    </row>
    <row r="794" spans="1:20">
      <c r="A794" s="45"/>
      <c r="B794" s="46"/>
      <c r="C794" s="5"/>
      <c r="D794" s="5"/>
      <c r="E794" s="5"/>
      <c r="F794" s="5"/>
      <c r="G794" s="5"/>
      <c r="H794" s="5"/>
      <c r="I794" s="5"/>
      <c r="J794" s="5"/>
      <c r="K794" s="5"/>
      <c r="L794" s="5"/>
      <c r="M794" s="5"/>
      <c r="N794" s="5"/>
      <c r="O794" s="5"/>
      <c r="P794" s="5"/>
      <c r="Q794" s="5"/>
      <c r="R794" s="5"/>
      <c r="S794" s="5"/>
      <c r="T794" s="5"/>
    </row>
    <row r="795" spans="1:20">
      <c r="A795" s="45"/>
      <c r="B795" s="46"/>
      <c r="C795" s="5"/>
      <c r="D795" s="5"/>
      <c r="E795" s="5"/>
      <c r="F795" s="5"/>
      <c r="G795" s="5"/>
      <c r="H795" s="5"/>
      <c r="I795" s="5"/>
      <c r="J795" s="5"/>
      <c r="K795" s="5"/>
      <c r="L795" s="5"/>
      <c r="M795" s="5"/>
      <c r="N795" s="5"/>
      <c r="O795" s="5"/>
      <c r="P795" s="5"/>
      <c r="Q795" s="5"/>
      <c r="R795" s="5"/>
      <c r="S795" s="5"/>
      <c r="T795" s="5"/>
    </row>
    <row r="796" spans="1:20">
      <c r="A796" s="45"/>
      <c r="B796" s="46"/>
      <c r="C796" s="5"/>
      <c r="D796" s="5"/>
      <c r="E796" s="5"/>
      <c r="F796" s="5"/>
      <c r="G796" s="5"/>
      <c r="H796" s="5"/>
      <c r="I796" s="5"/>
      <c r="J796" s="5"/>
      <c r="K796" s="5"/>
      <c r="L796" s="5"/>
      <c r="M796" s="5"/>
      <c r="N796" s="5"/>
      <c r="O796" s="5"/>
      <c r="P796" s="5"/>
      <c r="Q796" s="5"/>
      <c r="R796" s="5"/>
      <c r="S796" s="5"/>
      <c r="T796" s="5"/>
    </row>
    <row r="797" spans="1:20">
      <c r="A797" s="45"/>
      <c r="B797" s="46"/>
      <c r="C797" s="5"/>
      <c r="D797" s="5"/>
      <c r="E797" s="5"/>
      <c r="F797" s="5"/>
      <c r="G797" s="5"/>
      <c r="H797" s="5"/>
      <c r="I797" s="5"/>
      <c r="J797" s="5"/>
      <c r="K797" s="5"/>
      <c r="L797" s="5"/>
      <c r="M797" s="5"/>
      <c r="N797" s="5"/>
      <c r="O797" s="5"/>
      <c r="P797" s="5"/>
      <c r="Q797" s="5"/>
      <c r="R797" s="5"/>
      <c r="S797" s="5"/>
      <c r="T797" s="5"/>
    </row>
    <row r="798" spans="1:20">
      <c r="A798" s="45"/>
      <c r="B798" s="46"/>
      <c r="C798" s="5"/>
      <c r="D798" s="5"/>
      <c r="E798" s="5"/>
      <c r="F798" s="5"/>
      <c r="G798" s="5"/>
      <c r="H798" s="5"/>
      <c r="I798" s="5"/>
      <c r="J798" s="5"/>
      <c r="K798" s="5"/>
      <c r="L798" s="5"/>
      <c r="M798" s="5"/>
      <c r="N798" s="5"/>
      <c r="O798" s="5"/>
      <c r="P798" s="5"/>
      <c r="Q798" s="5"/>
      <c r="R798" s="5"/>
      <c r="S798" s="5"/>
      <c r="T798" s="5"/>
    </row>
    <row r="799" spans="1:20">
      <c r="A799" s="45"/>
      <c r="B799" s="46"/>
      <c r="C799" s="5"/>
      <c r="D799" s="5"/>
      <c r="E799" s="5"/>
      <c r="F799" s="5"/>
      <c r="G799" s="5"/>
      <c r="H799" s="5"/>
      <c r="I799" s="5"/>
      <c r="J799" s="5"/>
      <c r="K799" s="5"/>
      <c r="L799" s="5"/>
      <c r="M799" s="5"/>
      <c r="N799" s="5"/>
      <c r="O799" s="5"/>
      <c r="P799" s="5"/>
      <c r="Q799" s="5"/>
      <c r="R799" s="5"/>
      <c r="S799" s="5"/>
      <c r="T799" s="5"/>
    </row>
    <row r="800" spans="1:20">
      <c r="A800" s="45"/>
      <c r="B800" s="46"/>
      <c r="C800" s="5"/>
      <c r="D800" s="5"/>
      <c r="E800" s="5"/>
      <c r="F800" s="5"/>
      <c r="G800" s="5"/>
      <c r="H800" s="5"/>
      <c r="I800" s="5"/>
      <c r="J800" s="5"/>
      <c r="K800" s="5"/>
      <c r="L800" s="5"/>
      <c r="M800" s="5"/>
      <c r="N800" s="5"/>
      <c r="O800" s="5"/>
      <c r="P800" s="5"/>
      <c r="Q800" s="5"/>
      <c r="R800" s="5"/>
      <c r="S800" s="5"/>
      <c r="T800" s="5"/>
    </row>
    <row r="801" spans="1:20">
      <c r="A801" s="45"/>
      <c r="B801" s="46"/>
      <c r="C801" s="5"/>
      <c r="D801" s="5"/>
      <c r="E801" s="5"/>
      <c r="F801" s="5"/>
      <c r="G801" s="5"/>
      <c r="H801" s="5"/>
      <c r="I801" s="5"/>
      <c r="J801" s="5"/>
      <c r="K801" s="5"/>
      <c r="L801" s="5"/>
      <c r="M801" s="5"/>
      <c r="N801" s="5"/>
      <c r="O801" s="5"/>
      <c r="P801" s="5"/>
      <c r="Q801" s="5"/>
      <c r="R801" s="5"/>
      <c r="S801" s="5"/>
      <c r="T801" s="5"/>
    </row>
    <row r="802" spans="1:20">
      <c r="A802" s="45"/>
      <c r="B802" s="46"/>
      <c r="C802" s="5"/>
      <c r="D802" s="5"/>
      <c r="E802" s="5"/>
      <c r="F802" s="5"/>
      <c r="G802" s="5"/>
      <c r="H802" s="5"/>
      <c r="I802" s="5"/>
      <c r="J802" s="5"/>
      <c r="K802" s="5"/>
      <c r="L802" s="5"/>
      <c r="M802" s="5"/>
      <c r="N802" s="5"/>
      <c r="O802" s="5"/>
      <c r="P802" s="5"/>
      <c r="Q802" s="5"/>
      <c r="R802" s="5"/>
      <c r="S802" s="5"/>
      <c r="T802" s="5"/>
    </row>
    <row r="803" spans="1:20">
      <c r="A803" s="45"/>
      <c r="B803" s="46"/>
      <c r="C803" s="5"/>
      <c r="D803" s="5"/>
      <c r="E803" s="5"/>
      <c r="F803" s="5"/>
      <c r="G803" s="5"/>
      <c r="H803" s="5"/>
      <c r="I803" s="5"/>
      <c r="J803" s="5"/>
      <c r="K803" s="5"/>
      <c r="L803" s="5"/>
      <c r="M803" s="5"/>
      <c r="N803" s="5"/>
      <c r="O803" s="5"/>
      <c r="P803" s="5"/>
      <c r="Q803" s="5"/>
      <c r="R803" s="5"/>
      <c r="S803" s="5"/>
      <c r="T803" s="5"/>
    </row>
    <row r="804" spans="1:20">
      <c r="A804" s="45"/>
      <c r="B804" s="46"/>
      <c r="C804" s="5"/>
      <c r="D804" s="5"/>
      <c r="E804" s="5"/>
      <c r="F804" s="5"/>
      <c r="G804" s="5"/>
      <c r="H804" s="5"/>
      <c r="I804" s="5"/>
      <c r="J804" s="5"/>
      <c r="K804" s="5"/>
      <c r="L804" s="5"/>
      <c r="M804" s="5"/>
      <c r="N804" s="5"/>
      <c r="O804" s="5"/>
      <c r="P804" s="5"/>
      <c r="Q804" s="5"/>
      <c r="R804" s="5"/>
      <c r="S804" s="5"/>
      <c r="T804" s="5"/>
    </row>
    <row r="805" spans="1:20">
      <c r="A805" s="45"/>
      <c r="B805" s="46"/>
      <c r="C805" s="5"/>
      <c r="D805" s="5"/>
      <c r="E805" s="5"/>
      <c r="F805" s="5"/>
      <c r="G805" s="5"/>
      <c r="H805" s="5"/>
      <c r="I805" s="5"/>
      <c r="J805" s="5"/>
      <c r="K805" s="5"/>
      <c r="L805" s="5"/>
      <c r="M805" s="5"/>
      <c r="N805" s="5"/>
      <c r="O805" s="5"/>
      <c r="P805" s="5"/>
      <c r="Q805" s="5"/>
      <c r="R805" s="5"/>
      <c r="S805" s="5"/>
      <c r="T805" s="5"/>
    </row>
    <row r="806" spans="1:20">
      <c r="A806" s="45"/>
      <c r="B806" s="46"/>
      <c r="C806" s="5"/>
      <c r="D806" s="5"/>
      <c r="E806" s="5"/>
      <c r="F806" s="5"/>
      <c r="G806" s="5"/>
      <c r="H806" s="5"/>
      <c r="I806" s="5"/>
      <c r="J806" s="5"/>
      <c r="K806" s="5"/>
      <c r="L806" s="5"/>
      <c r="M806" s="5"/>
      <c r="N806" s="5"/>
      <c r="O806" s="5"/>
      <c r="P806" s="5"/>
      <c r="Q806" s="5"/>
      <c r="R806" s="5"/>
      <c r="S806" s="5"/>
      <c r="T806" s="5"/>
    </row>
    <row r="807" spans="1:20">
      <c r="A807" s="45"/>
      <c r="B807" s="46"/>
      <c r="C807" s="5"/>
      <c r="D807" s="5"/>
      <c r="E807" s="5"/>
      <c r="F807" s="5"/>
      <c r="G807" s="5"/>
      <c r="H807" s="5"/>
      <c r="I807" s="5"/>
      <c r="J807" s="5"/>
      <c r="K807" s="5"/>
      <c r="L807" s="5"/>
      <c r="M807" s="5"/>
      <c r="N807" s="5"/>
      <c r="O807" s="5"/>
      <c r="P807" s="5"/>
      <c r="Q807" s="5"/>
      <c r="R807" s="5"/>
      <c r="S807" s="5"/>
      <c r="T807" s="5"/>
    </row>
    <row r="808" spans="1:20">
      <c r="A808" s="45"/>
      <c r="B808" s="46"/>
      <c r="C808" s="5"/>
      <c r="D808" s="5"/>
      <c r="E808" s="5"/>
      <c r="F808" s="5"/>
      <c r="G808" s="5"/>
      <c r="H808" s="5"/>
      <c r="I808" s="5"/>
      <c r="J808" s="5"/>
      <c r="K808" s="5"/>
      <c r="L808" s="5"/>
      <c r="M808" s="5"/>
      <c r="N808" s="5"/>
      <c r="O808" s="5"/>
      <c r="P808" s="5"/>
      <c r="Q808" s="5"/>
      <c r="R808" s="5"/>
      <c r="S808" s="5"/>
      <c r="T808" s="5"/>
    </row>
    <row r="809" spans="1:20">
      <c r="A809" s="45"/>
      <c r="B809" s="46"/>
      <c r="C809" s="5"/>
      <c r="D809" s="5"/>
      <c r="E809" s="5"/>
      <c r="F809" s="5"/>
      <c r="G809" s="5"/>
      <c r="H809" s="5"/>
      <c r="I809" s="5"/>
      <c r="J809" s="5"/>
      <c r="K809" s="5"/>
      <c r="L809" s="5"/>
      <c r="M809" s="5"/>
      <c r="N809" s="5"/>
      <c r="O809" s="5"/>
      <c r="P809" s="5"/>
      <c r="Q809" s="5"/>
      <c r="R809" s="5"/>
      <c r="S809" s="5"/>
      <c r="T809" s="5"/>
    </row>
    <row r="810" spans="1:20">
      <c r="A810" s="45"/>
      <c r="B810" s="46"/>
      <c r="C810" s="5"/>
      <c r="D810" s="5"/>
      <c r="E810" s="5"/>
      <c r="F810" s="5"/>
      <c r="G810" s="5"/>
      <c r="H810" s="5"/>
      <c r="I810" s="5"/>
      <c r="J810" s="5"/>
      <c r="K810" s="5"/>
      <c r="L810" s="5"/>
      <c r="M810" s="5"/>
      <c r="N810" s="5"/>
      <c r="O810" s="5"/>
      <c r="P810" s="5"/>
      <c r="Q810" s="5"/>
      <c r="R810" s="5"/>
      <c r="S810" s="5"/>
      <c r="T810" s="5"/>
    </row>
    <row r="811" spans="1:20">
      <c r="A811" s="45"/>
      <c r="B811" s="46"/>
      <c r="C811" s="5"/>
      <c r="D811" s="5"/>
      <c r="E811" s="5"/>
      <c r="F811" s="5"/>
      <c r="G811" s="5"/>
      <c r="H811" s="5"/>
      <c r="I811" s="5"/>
      <c r="J811" s="5"/>
      <c r="K811" s="5"/>
      <c r="L811" s="5"/>
      <c r="M811" s="5"/>
      <c r="N811" s="5"/>
      <c r="O811" s="5"/>
      <c r="P811" s="5"/>
      <c r="Q811" s="5"/>
      <c r="R811" s="5"/>
      <c r="S811" s="5"/>
      <c r="T811" s="5"/>
    </row>
    <row r="812" spans="1:20">
      <c r="A812" s="45"/>
      <c r="B812" s="46"/>
      <c r="C812" s="5"/>
      <c r="D812" s="5"/>
      <c r="E812" s="5"/>
      <c r="F812" s="5"/>
      <c r="G812" s="5"/>
      <c r="H812" s="5"/>
      <c r="I812" s="5"/>
      <c r="J812" s="5"/>
      <c r="K812" s="5"/>
      <c r="L812" s="5"/>
      <c r="M812" s="5"/>
      <c r="N812" s="5"/>
      <c r="O812" s="5"/>
      <c r="P812" s="5"/>
      <c r="Q812" s="5"/>
      <c r="R812" s="5"/>
      <c r="S812" s="5"/>
      <c r="T812" s="5"/>
    </row>
    <row r="813" spans="1:20">
      <c r="A813" s="45"/>
      <c r="B813" s="46"/>
      <c r="C813" s="5"/>
      <c r="D813" s="5"/>
      <c r="E813" s="5"/>
      <c r="F813" s="5"/>
      <c r="G813" s="5"/>
      <c r="H813" s="5"/>
      <c r="I813" s="5"/>
      <c r="J813" s="5"/>
      <c r="K813" s="5"/>
      <c r="L813" s="5"/>
      <c r="M813" s="5"/>
      <c r="N813" s="5"/>
      <c r="O813" s="5"/>
      <c r="P813" s="5"/>
      <c r="Q813" s="5"/>
      <c r="R813" s="5"/>
      <c r="S813" s="5"/>
      <c r="T813" s="5"/>
    </row>
    <row r="814" spans="1:20">
      <c r="A814" s="45"/>
      <c r="B814" s="46"/>
      <c r="C814" s="5"/>
      <c r="D814" s="5"/>
      <c r="E814" s="5"/>
      <c r="F814" s="5"/>
      <c r="G814" s="5"/>
      <c r="H814" s="5"/>
      <c r="I814" s="5"/>
      <c r="J814" s="5"/>
      <c r="K814" s="5"/>
      <c r="L814" s="5"/>
      <c r="M814" s="5"/>
      <c r="N814" s="5"/>
      <c r="O814" s="5"/>
      <c r="P814" s="5"/>
      <c r="Q814" s="5"/>
      <c r="R814" s="5"/>
      <c r="S814" s="5"/>
      <c r="T814" s="5"/>
    </row>
    <row r="815" spans="1:20">
      <c r="A815" s="45"/>
      <c r="B815" s="46"/>
      <c r="C815" s="5"/>
      <c r="D815" s="5"/>
      <c r="E815" s="5"/>
      <c r="F815" s="5"/>
      <c r="G815" s="5"/>
      <c r="H815" s="5"/>
      <c r="I815" s="5"/>
      <c r="J815" s="5"/>
      <c r="K815" s="5"/>
      <c r="L815" s="5"/>
      <c r="M815" s="5"/>
      <c r="N815" s="5"/>
      <c r="O815" s="5"/>
      <c r="P815" s="5"/>
      <c r="Q815" s="5"/>
      <c r="R815" s="5"/>
      <c r="S815" s="5"/>
      <c r="T815" s="5"/>
    </row>
    <row r="816" spans="1:20">
      <c r="A816" s="45"/>
      <c r="B816" s="46"/>
      <c r="C816" s="5"/>
      <c r="D816" s="5"/>
      <c r="E816" s="5"/>
      <c r="F816" s="5"/>
      <c r="G816" s="5"/>
      <c r="H816" s="5"/>
      <c r="I816" s="5"/>
      <c r="J816" s="5"/>
      <c r="K816" s="5"/>
      <c r="L816" s="5"/>
      <c r="M816" s="5"/>
      <c r="N816" s="5"/>
      <c r="O816" s="5"/>
      <c r="P816" s="5"/>
      <c r="Q816" s="5"/>
      <c r="R816" s="5"/>
      <c r="S816" s="5"/>
      <c r="T816" s="5"/>
    </row>
    <row r="817" spans="1:20">
      <c r="A817" s="45"/>
      <c r="B817" s="46"/>
      <c r="C817" s="5"/>
      <c r="D817" s="5"/>
      <c r="E817" s="5"/>
      <c r="F817" s="5"/>
      <c r="G817" s="5"/>
      <c r="H817" s="5"/>
      <c r="I817" s="5"/>
      <c r="J817" s="5"/>
      <c r="K817" s="5"/>
      <c r="L817" s="5"/>
      <c r="M817" s="5"/>
      <c r="N817" s="5"/>
      <c r="O817" s="5"/>
      <c r="P817" s="5"/>
      <c r="Q817" s="5"/>
      <c r="R817" s="5"/>
      <c r="S817" s="5"/>
      <c r="T817" s="5"/>
    </row>
    <row r="818" spans="1:20">
      <c r="A818" s="45"/>
      <c r="B818" s="46"/>
      <c r="C818" s="5"/>
      <c r="D818" s="5"/>
      <c r="E818" s="5"/>
      <c r="F818" s="5"/>
      <c r="G818" s="5"/>
      <c r="H818" s="5"/>
      <c r="I818" s="5"/>
      <c r="J818" s="5"/>
      <c r="K818" s="5"/>
      <c r="L818" s="5"/>
      <c r="M818" s="5"/>
      <c r="N818" s="5"/>
      <c r="O818" s="5"/>
      <c r="P818" s="5"/>
      <c r="Q818" s="5"/>
      <c r="R818" s="5"/>
      <c r="S818" s="5"/>
      <c r="T818" s="5"/>
    </row>
    <row r="819" spans="1:20">
      <c r="A819" s="45"/>
      <c r="B819" s="46"/>
      <c r="C819" s="5"/>
      <c r="D819" s="5"/>
      <c r="E819" s="5"/>
      <c r="F819" s="5"/>
      <c r="G819" s="5"/>
      <c r="H819" s="5"/>
      <c r="I819" s="5"/>
      <c r="J819" s="5"/>
      <c r="K819" s="5"/>
      <c r="L819" s="5"/>
      <c r="M819" s="5"/>
      <c r="N819" s="5"/>
      <c r="O819" s="5"/>
      <c r="P819" s="5"/>
      <c r="Q819" s="5"/>
      <c r="R819" s="5"/>
      <c r="S819" s="5"/>
      <c r="T819" s="5"/>
    </row>
    <row r="820" spans="1:20">
      <c r="A820" s="45"/>
      <c r="B820" s="46"/>
      <c r="C820" s="5"/>
      <c r="D820" s="5"/>
      <c r="E820" s="5"/>
      <c r="F820" s="5"/>
      <c r="G820" s="5"/>
      <c r="H820" s="5"/>
      <c r="I820" s="5"/>
      <c r="J820" s="5"/>
      <c r="K820" s="5"/>
      <c r="L820" s="5"/>
      <c r="M820" s="5"/>
      <c r="N820" s="5"/>
      <c r="O820" s="5"/>
      <c r="P820" s="5"/>
      <c r="Q820" s="5"/>
      <c r="R820" s="5"/>
      <c r="S820" s="5"/>
      <c r="T820" s="5"/>
    </row>
    <row r="821" spans="1:20">
      <c r="A821" s="45"/>
      <c r="B821" s="46"/>
      <c r="C821" s="5"/>
      <c r="D821" s="5"/>
      <c r="E821" s="5"/>
      <c r="F821" s="5"/>
      <c r="G821" s="5"/>
      <c r="H821" s="5"/>
      <c r="I821" s="5"/>
      <c r="J821" s="5"/>
      <c r="K821" s="5"/>
      <c r="L821" s="5"/>
      <c r="M821" s="5"/>
      <c r="N821" s="5"/>
      <c r="O821" s="5"/>
      <c r="P821" s="5"/>
      <c r="Q821" s="5"/>
      <c r="R821" s="5"/>
      <c r="S821" s="5"/>
      <c r="T821" s="5"/>
    </row>
    <row r="822" spans="1:20">
      <c r="A822" s="45"/>
      <c r="B822" s="46"/>
      <c r="C822" s="5"/>
      <c r="D822" s="5"/>
      <c r="E822" s="5"/>
      <c r="F822" s="5"/>
      <c r="G822" s="5"/>
      <c r="H822" s="5"/>
      <c r="I822" s="5"/>
      <c r="J822" s="5"/>
      <c r="K822" s="5"/>
      <c r="L822" s="5"/>
      <c r="M822" s="5"/>
      <c r="N822" s="5"/>
      <c r="O822" s="5"/>
      <c r="P822" s="5"/>
      <c r="Q822" s="5"/>
      <c r="R822" s="5"/>
      <c r="S822" s="5"/>
      <c r="T822" s="5"/>
    </row>
    <row r="823" spans="1:20">
      <c r="A823" s="45"/>
      <c r="B823" s="46"/>
      <c r="C823" s="5"/>
      <c r="D823" s="5"/>
      <c r="E823" s="5"/>
      <c r="F823" s="5"/>
      <c r="G823" s="5"/>
      <c r="H823" s="5"/>
      <c r="I823" s="5"/>
      <c r="J823" s="5"/>
      <c r="K823" s="5"/>
      <c r="L823" s="5"/>
      <c r="M823" s="5"/>
      <c r="N823" s="5"/>
      <c r="O823" s="5"/>
      <c r="P823" s="5"/>
      <c r="Q823" s="5"/>
      <c r="R823" s="5"/>
      <c r="S823" s="5"/>
      <c r="T823" s="5"/>
    </row>
    <row r="824" spans="1:20">
      <c r="A824" s="45"/>
      <c r="B824" s="46"/>
      <c r="C824" s="5"/>
      <c r="D824" s="5"/>
      <c r="E824" s="5"/>
      <c r="F824" s="5"/>
      <c r="G824" s="5"/>
      <c r="H824" s="5"/>
      <c r="I824" s="5"/>
      <c r="J824" s="5"/>
      <c r="K824" s="5"/>
      <c r="L824" s="5"/>
      <c r="M824" s="5"/>
      <c r="N824" s="5"/>
      <c r="O824" s="5"/>
      <c r="P824" s="5"/>
      <c r="Q824" s="5"/>
      <c r="R824" s="5"/>
      <c r="S824" s="5"/>
      <c r="T824" s="5"/>
    </row>
    <row r="825" spans="1:20">
      <c r="A825" s="45"/>
      <c r="B825" s="46"/>
      <c r="C825" s="5"/>
      <c r="D825" s="5"/>
      <c r="E825" s="5"/>
      <c r="F825" s="5"/>
      <c r="G825" s="5"/>
      <c r="H825" s="5"/>
      <c r="I825" s="5"/>
      <c r="J825" s="5"/>
      <c r="K825" s="5"/>
      <c r="L825" s="5"/>
      <c r="M825" s="5"/>
      <c r="N825" s="5"/>
      <c r="O825" s="5"/>
      <c r="P825" s="5"/>
      <c r="Q825" s="5"/>
      <c r="R825" s="5"/>
      <c r="S825" s="5"/>
      <c r="T825" s="5"/>
    </row>
    <row r="826" spans="1:20">
      <c r="A826" s="45"/>
      <c r="B826" s="46"/>
      <c r="C826" s="5"/>
      <c r="D826" s="5"/>
      <c r="E826" s="5"/>
      <c r="F826" s="5"/>
      <c r="G826" s="5"/>
      <c r="H826" s="5"/>
      <c r="I826" s="5"/>
      <c r="J826" s="5"/>
      <c r="K826" s="5"/>
      <c r="L826" s="5"/>
      <c r="M826" s="5"/>
      <c r="N826" s="5"/>
      <c r="O826" s="5"/>
      <c r="P826" s="5"/>
      <c r="Q826" s="5"/>
      <c r="R826" s="5"/>
      <c r="S826" s="5"/>
      <c r="T826" s="5"/>
    </row>
    <row r="827" spans="1:20">
      <c r="A827" s="45"/>
      <c r="B827" s="46"/>
      <c r="C827" s="5"/>
      <c r="D827" s="5"/>
      <c r="E827" s="5"/>
      <c r="F827" s="5"/>
      <c r="G827" s="5"/>
      <c r="H827" s="5"/>
      <c r="I827" s="5"/>
      <c r="J827" s="5"/>
      <c r="K827" s="5"/>
      <c r="L827" s="5"/>
      <c r="M827" s="5"/>
      <c r="N827" s="5"/>
      <c r="O827" s="5"/>
      <c r="P827" s="5"/>
      <c r="Q827" s="5"/>
      <c r="R827" s="5"/>
      <c r="S827" s="5"/>
      <c r="T827" s="5"/>
    </row>
    <row r="828" spans="1:20">
      <c r="A828" s="45"/>
      <c r="B828" s="46"/>
      <c r="C828" s="5"/>
      <c r="D828" s="5"/>
      <c r="E828" s="5"/>
      <c r="F828" s="5"/>
      <c r="G828" s="5"/>
      <c r="H828" s="5"/>
      <c r="I828" s="5"/>
      <c r="J828" s="5"/>
      <c r="K828" s="5"/>
      <c r="L828" s="5"/>
      <c r="M828" s="5"/>
      <c r="N828" s="5"/>
      <c r="O828" s="5"/>
      <c r="P828" s="5"/>
      <c r="Q828" s="5"/>
      <c r="R828" s="5"/>
      <c r="S828" s="5"/>
      <c r="T828" s="5"/>
    </row>
    <row r="829" spans="1:20">
      <c r="A829" s="45"/>
      <c r="B829" s="46"/>
      <c r="C829" s="5"/>
      <c r="D829" s="5"/>
      <c r="E829" s="5"/>
      <c r="F829" s="5"/>
      <c r="G829" s="5"/>
      <c r="H829" s="5"/>
      <c r="I829" s="5"/>
      <c r="J829" s="5"/>
      <c r="K829" s="5"/>
      <c r="L829" s="5"/>
      <c r="M829" s="5"/>
      <c r="N829" s="5"/>
      <c r="O829" s="5"/>
      <c r="P829" s="5"/>
      <c r="Q829" s="5"/>
      <c r="R829" s="5"/>
      <c r="S829" s="5"/>
      <c r="T829" s="5"/>
    </row>
    <row r="830" spans="1:20">
      <c r="A830" s="45"/>
      <c r="B830" s="46"/>
      <c r="C830" s="5"/>
      <c r="D830" s="5"/>
      <c r="E830" s="5"/>
      <c r="F830" s="5"/>
      <c r="G830" s="5"/>
      <c r="H830" s="5"/>
      <c r="I830" s="5"/>
      <c r="J830" s="5"/>
      <c r="K830" s="5"/>
      <c r="L830" s="5"/>
      <c r="M830" s="5"/>
      <c r="N830" s="5"/>
      <c r="O830" s="5"/>
      <c r="P830" s="5"/>
      <c r="Q830" s="5"/>
      <c r="R830" s="5"/>
      <c r="S830" s="5"/>
      <c r="T830" s="5"/>
    </row>
    <row r="831" spans="1:20">
      <c r="A831" s="45"/>
      <c r="B831" s="46"/>
      <c r="C831" s="5"/>
      <c r="D831" s="5"/>
      <c r="E831" s="5"/>
      <c r="F831" s="5"/>
      <c r="G831" s="5"/>
      <c r="H831" s="5"/>
      <c r="I831" s="5"/>
      <c r="J831" s="5"/>
      <c r="K831" s="5"/>
      <c r="L831" s="5"/>
      <c r="M831" s="5"/>
      <c r="N831" s="5"/>
      <c r="O831" s="5"/>
      <c r="P831" s="5"/>
      <c r="Q831" s="5"/>
      <c r="R831" s="5"/>
      <c r="S831" s="5"/>
      <c r="T831" s="5"/>
    </row>
    <row r="832" spans="1:20">
      <c r="A832" s="45"/>
      <c r="B832" s="46"/>
      <c r="C832" s="5"/>
      <c r="D832" s="5"/>
      <c r="E832" s="5"/>
      <c r="F832" s="5"/>
      <c r="G832" s="5"/>
      <c r="H832" s="5"/>
      <c r="I832" s="5"/>
      <c r="J832" s="5"/>
      <c r="K832" s="5"/>
      <c r="L832" s="5"/>
      <c r="M832" s="5"/>
      <c r="N832" s="5"/>
      <c r="O832" s="5"/>
      <c r="P832" s="5"/>
      <c r="Q832" s="5"/>
      <c r="R832" s="5"/>
      <c r="S832" s="5"/>
      <c r="T832" s="5"/>
    </row>
    <row r="833" spans="1:20">
      <c r="A833" s="45"/>
      <c r="B833" s="46"/>
      <c r="C833" s="5"/>
      <c r="D833" s="5"/>
      <c r="E833" s="5"/>
      <c r="F833" s="5"/>
      <c r="G833" s="5"/>
      <c r="H833" s="5"/>
      <c r="I833" s="5"/>
      <c r="J833" s="5"/>
      <c r="K833" s="5"/>
      <c r="L833" s="5"/>
      <c r="M833" s="5"/>
      <c r="N833" s="5"/>
      <c r="O833" s="5"/>
      <c r="P833" s="5"/>
      <c r="Q833" s="5"/>
      <c r="R833" s="5"/>
      <c r="S833" s="5"/>
      <c r="T833" s="5"/>
    </row>
    <row r="834" spans="1:20">
      <c r="A834" s="45"/>
      <c r="B834" s="46"/>
      <c r="C834" s="5"/>
      <c r="D834" s="5"/>
      <c r="E834" s="5"/>
      <c r="F834" s="5"/>
      <c r="G834" s="5"/>
      <c r="H834" s="5"/>
      <c r="I834" s="5"/>
      <c r="J834" s="5"/>
      <c r="K834" s="5"/>
      <c r="L834" s="5"/>
      <c r="M834" s="5"/>
      <c r="N834" s="5"/>
      <c r="O834" s="5"/>
      <c r="P834" s="5"/>
      <c r="Q834" s="5"/>
      <c r="R834" s="5"/>
      <c r="S834" s="5"/>
      <c r="T834" s="5"/>
    </row>
    <row r="835" spans="1:20">
      <c r="A835" s="45"/>
      <c r="B835" s="46"/>
      <c r="C835" s="5"/>
      <c r="D835" s="5"/>
      <c r="E835" s="5"/>
      <c r="F835" s="5"/>
      <c r="G835" s="5"/>
      <c r="H835" s="5"/>
      <c r="I835" s="5"/>
      <c r="J835" s="5"/>
      <c r="K835" s="5"/>
      <c r="L835" s="5"/>
      <c r="M835" s="5"/>
      <c r="N835" s="5"/>
      <c r="O835" s="5"/>
      <c r="P835" s="5"/>
      <c r="Q835" s="5"/>
      <c r="R835" s="5"/>
      <c r="S835" s="5"/>
      <c r="T835" s="5"/>
    </row>
    <row r="836" spans="1:20">
      <c r="A836" s="45"/>
      <c r="B836" s="46"/>
      <c r="C836" s="5"/>
      <c r="D836" s="5"/>
      <c r="E836" s="5"/>
      <c r="F836" s="5"/>
      <c r="G836" s="5"/>
      <c r="H836" s="5"/>
      <c r="I836" s="5"/>
      <c r="J836" s="5"/>
      <c r="K836" s="5"/>
      <c r="L836" s="5"/>
      <c r="M836" s="5"/>
      <c r="N836" s="5"/>
      <c r="O836" s="5"/>
      <c r="P836" s="5"/>
      <c r="Q836" s="5"/>
      <c r="R836" s="5"/>
      <c r="S836" s="5"/>
      <c r="T836" s="5"/>
    </row>
    <row r="837" spans="1:20">
      <c r="A837" s="45"/>
      <c r="B837" s="46"/>
      <c r="C837" s="5"/>
      <c r="D837" s="5"/>
      <c r="E837" s="5"/>
      <c r="F837" s="5"/>
      <c r="G837" s="5"/>
      <c r="H837" s="5"/>
      <c r="I837" s="5"/>
      <c r="J837" s="5"/>
      <c r="K837" s="5"/>
      <c r="L837" s="5"/>
      <c r="M837" s="5"/>
      <c r="N837" s="5"/>
      <c r="O837" s="5"/>
      <c r="P837" s="5"/>
      <c r="Q837" s="5"/>
      <c r="R837" s="5"/>
      <c r="S837" s="5"/>
      <c r="T837" s="5"/>
    </row>
    <row r="838" spans="1:20">
      <c r="A838" s="45"/>
      <c r="B838" s="46"/>
      <c r="C838" s="5"/>
      <c r="D838" s="5"/>
      <c r="E838" s="5"/>
      <c r="F838" s="5"/>
      <c r="G838" s="5"/>
      <c r="H838" s="5"/>
      <c r="I838" s="5"/>
      <c r="J838" s="5"/>
      <c r="K838" s="5"/>
      <c r="L838" s="5"/>
      <c r="M838" s="5"/>
      <c r="N838" s="5"/>
      <c r="O838" s="5"/>
      <c r="P838" s="5"/>
      <c r="Q838" s="5"/>
      <c r="R838" s="5"/>
      <c r="S838" s="5"/>
      <c r="T838" s="5"/>
    </row>
    <row r="839" spans="1:20">
      <c r="A839" s="45"/>
      <c r="B839" s="46"/>
      <c r="C839" s="5"/>
      <c r="D839" s="5"/>
      <c r="E839" s="5"/>
      <c r="F839" s="5"/>
      <c r="G839" s="5"/>
      <c r="H839" s="5"/>
      <c r="I839" s="5"/>
      <c r="J839" s="5"/>
      <c r="K839" s="5"/>
      <c r="L839" s="5"/>
      <c r="M839" s="5"/>
      <c r="N839" s="5"/>
      <c r="O839" s="5"/>
      <c r="P839" s="5"/>
      <c r="Q839" s="5"/>
      <c r="R839" s="5"/>
      <c r="S839" s="5"/>
      <c r="T839" s="5"/>
    </row>
    <row r="840" spans="1:20">
      <c r="A840" s="45"/>
      <c r="B840" s="46"/>
      <c r="C840" s="5"/>
      <c r="D840" s="5"/>
      <c r="E840" s="5"/>
      <c r="F840" s="5"/>
      <c r="G840" s="5"/>
      <c r="H840" s="5"/>
      <c r="I840" s="5"/>
      <c r="J840" s="5"/>
      <c r="K840" s="5"/>
      <c r="L840" s="5"/>
      <c r="M840" s="5"/>
      <c r="N840" s="5"/>
      <c r="O840" s="5"/>
      <c r="P840" s="5"/>
      <c r="Q840" s="5"/>
      <c r="R840" s="5"/>
      <c r="S840" s="5"/>
      <c r="T840" s="5"/>
    </row>
    <row r="841" spans="1:20">
      <c r="A841" s="45"/>
      <c r="B841" s="46"/>
      <c r="C841" s="5"/>
      <c r="D841" s="5"/>
      <c r="E841" s="5"/>
      <c r="F841" s="5"/>
      <c r="G841" s="5"/>
      <c r="H841" s="5"/>
      <c r="I841" s="5"/>
      <c r="J841" s="5"/>
      <c r="K841" s="5"/>
      <c r="L841" s="5"/>
      <c r="M841" s="5"/>
      <c r="N841" s="5"/>
      <c r="O841" s="5"/>
      <c r="P841" s="5"/>
      <c r="Q841" s="5"/>
      <c r="R841" s="5"/>
      <c r="S841" s="5"/>
      <c r="T841" s="5"/>
    </row>
    <row r="842" spans="1:20">
      <c r="A842" s="45"/>
      <c r="B842" s="46"/>
      <c r="C842" s="5"/>
      <c r="D842" s="5"/>
      <c r="E842" s="5"/>
      <c r="F842" s="5"/>
      <c r="G842" s="5"/>
      <c r="H842" s="5"/>
      <c r="I842" s="5"/>
      <c r="J842" s="5"/>
      <c r="K842" s="5"/>
      <c r="L842" s="5"/>
      <c r="M842" s="5"/>
      <c r="N842" s="5"/>
      <c r="O842" s="5"/>
      <c r="P842" s="5"/>
      <c r="Q842" s="5"/>
      <c r="R842" s="5"/>
      <c r="S842" s="5"/>
      <c r="T842" s="5"/>
    </row>
    <row r="843" spans="1:20">
      <c r="A843" s="45"/>
      <c r="B843" s="46"/>
      <c r="C843" s="5"/>
      <c r="D843" s="5"/>
      <c r="E843" s="5"/>
      <c r="F843" s="5"/>
      <c r="G843" s="5"/>
      <c r="H843" s="5"/>
      <c r="I843" s="5"/>
      <c r="J843" s="5"/>
      <c r="K843" s="5"/>
      <c r="L843" s="5"/>
      <c r="M843" s="5"/>
      <c r="N843" s="5"/>
      <c r="O843" s="5"/>
      <c r="P843" s="5"/>
      <c r="Q843" s="5"/>
      <c r="R843" s="5"/>
      <c r="S843" s="5"/>
      <c r="T843" s="5"/>
    </row>
    <row r="844" spans="1:20">
      <c r="A844" s="45"/>
      <c r="B844" s="46"/>
      <c r="C844" s="5"/>
      <c r="D844" s="5"/>
      <c r="E844" s="5"/>
      <c r="F844" s="5"/>
      <c r="G844" s="5"/>
      <c r="H844" s="5"/>
      <c r="I844" s="5"/>
      <c r="J844" s="5"/>
      <c r="K844" s="5"/>
      <c r="L844" s="5"/>
      <c r="M844" s="5"/>
      <c r="N844" s="5"/>
      <c r="O844" s="5"/>
      <c r="P844" s="5"/>
      <c r="Q844" s="5"/>
      <c r="R844" s="5"/>
      <c r="S844" s="5"/>
      <c r="T844" s="5"/>
    </row>
    <row r="845" spans="1:20">
      <c r="A845" s="45"/>
      <c r="B845" s="46"/>
      <c r="C845" s="5"/>
      <c r="D845" s="5"/>
      <c r="E845" s="5"/>
      <c r="F845" s="5"/>
      <c r="G845" s="5"/>
      <c r="H845" s="5"/>
      <c r="I845" s="5"/>
      <c r="J845" s="5"/>
      <c r="K845" s="5"/>
      <c r="L845" s="5"/>
      <c r="M845" s="5"/>
      <c r="N845" s="5"/>
      <c r="O845" s="5"/>
      <c r="P845" s="5"/>
      <c r="Q845" s="5"/>
      <c r="R845" s="5"/>
      <c r="S845" s="5"/>
      <c r="T845" s="5"/>
    </row>
    <row r="846" spans="1:20">
      <c r="A846" s="45"/>
      <c r="B846" s="46"/>
      <c r="C846" s="5"/>
      <c r="D846" s="5"/>
      <c r="E846" s="5"/>
      <c r="F846" s="5"/>
      <c r="G846" s="5"/>
      <c r="H846" s="5"/>
      <c r="I846" s="5"/>
      <c r="J846" s="5"/>
      <c r="K846" s="5"/>
      <c r="L846" s="5"/>
      <c r="M846" s="5"/>
      <c r="N846" s="5"/>
      <c r="O846" s="5"/>
      <c r="P846" s="5"/>
      <c r="Q846" s="5"/>
      <c r="R846" s="5"/>
      <c r="S846" s="5"/>
      <c r="T846" s="5"/>
    </row>
    <row r="847" spans="1:20">
      <c r="A847" s="45"/>
      <c r="B847" s="46"/>
      <c r="C847" s="5"/>
      <c r="D847" s="5"/>
      <c r="E847" s="5"/>
      <c r="F847" s="5"/>
      <c r="G847" s="5"/>
      <c r="H847" s="5"/>
      <c r="I847" s="5"/>
      <c r="J847" s="5"/>
      <c r="K847" s="5"/>
      <c r="L847" s="5"/>
      <c r="M847" s="5"/>
      <c r="N847" s="5"/>
      <c r="O847" s="5"/>
      <c r="P847" s="5"/>
      <c r="Q847" s="5"/>
      <c r="R847" s="5"/>
      <c r="S847" s="5"/>
      <c r="T847" s="5"/>
    </row>
    <row r="848" spans="1:20">
      <c r="A848" s="45"/>
      <c r="B848" s="46"/>
      <c r="C848" s="5"/>
      <c r="D848" s="5"/>
      <c r="E848" s="5"/>
      <c r="F848" s="5"/>
      <c r="G848" s="5"/>
      <c r="H848" s="5"/>
      <c r="I848" s="5"/>
      <c r="J848" s="5"/>
      <c r="K848" s="5"/>
      <c r="L848" s="5"/>
      <c r="M848" s="5"/>
      <c r="N848" s="5"/>
      <c r="O848" s="5"/>
      <c r="P848" s="5"/>
      <c r="Q848" s="5"/>
      <c r="R848" s="5"/>
      <c r="S848" s="5"/>
      <c r="T848" s="5"/>
    </row>
    <row r="849" spans="1:20">
      <c r="A849" s="45"/>
      <c r="B849" s="46"/>
      <c r="C849" s="5"/>
      <c r="D849" s="5"/>
      <c r="E849" s="5"/>
      <c r="F849" s="5"/>
      <c r="G849" s="5"/>
      <c r="H849" s="5"/>
      <c r="I849" s="5"/>
      <c r="J849" s="5"/>
      <c r="K849" s="5"/>
      <c r="L849" s="5"/>
      <c r="M849" s="5"/>
      <c r="N849" s="5"/>
      <c r="O849" s="5"/>
      <c r="P849" s="5"/>
      <c r="Q849" s="5"/>
      <c r="R849" s="5"/>
      <c r="S849" s="5"/>
      <c r="T849" s="5"/>
    </row>
    <row r="850" spans="1:20">
      <c r="A850" s="45"/>
      <c r="B850" s="46"/>
      <c r="C850" s="5"/>
      <c r="D850" s="5"/>
      <c r="E850" s="5"/>
      <c r="F850" s="5"/>
      <c r="G850" s="5"/>
      <c r="H850" s="5"/>
      <c r="I850" s="5"/>
      <c r="J850" s="5"/>
      <c r="K850" s="5"/>
      <c r="L850" s="5"/>
      <c r="M850" s="5"/>
      <c r="N850" s="5"/>
      <c r="O850" s="5"/>
      <c r="P850" s="5"/>
      <c r="Q850" s="5"/>
      <c r="R850" s="5"/>
      <c r="S850" s="5"/>
      <c r="T850" s="5"/>
    </row>
    <row r="851" spans="1:20">
      <c r="A851" s="45"/>
      <c r="B851" s="46"/>
      <c r="C851" s="5"/>
      <c r="D851" s="5"/>
      <c r="E851" s="5"/>
      <c r="F851" s="5"/>
      <c r="G851" s="5"/>
      <c r="H851" s="5"/>
      <c r="I851" s="5"/>
      <c r="J851" s="5"/>
      <c r="K851" s="5"/>
      <c r="L851" s="5"/>
      <c r="M851" s="5"/>
      <c r="N851" s="5"/>
      <c r="O851" s="5"/>
      <c r="P851" s="5"/>
      <c r="Q851" s="5"/>
      <c r="R851" s="5"/>
      <c r="S851" s="5"/>
      <c r="T851" s="5"/>
    </row>
    <row r="852" spans="1:20">
      <c r="A852" s="45"/>
      <c r="B852" s="46"/>
      <c r="C852" s="5"/>
      <c r="D852" s="5"/>
      <c r="E852" s="5"/>
      <c r="F852" s="5"/>
      <c r="G852" s="5"/>
      <c r="H852" s="5"/>
      <c r="I852" s="5"/>
      <c r="J852" s="5"/>
      <c r="K852" s="5"/>
      <c r="L852" s="5"/>
      <c r="M852" s="5"/>
      <c r="N852" s="5"/>
      <c r="O852" s="5"/>
      <c r="P852" s="5"/>
      <c r="Q852" s="5"/>
      <c r="R852" s="5"/>
      <c r="S852" s="5"/>
      <c r="T852" s="5"/>
    </row>
    <row r="853" spans="1:20">
      <c r="A853" s="45"/>
      <c r="B853" s="46"/>
      <c r="C853" s="5"/>
      <c r="D853" s="5"/>
      <c r="E853" s="5"/>
      <c r="F853" s="5"/>
      <c r="G853" s="5"/>
      <c r="H853" s="5"/>
      <c r="I853" s="5"/>
      <c r="J853" s="5"/>
      <c r="K853" s="5"/>
      <c r="L853" s="5"/>
      <c r="M853" s="5"/>
      <c r="N853" s="5"/>
      <c r="O853" s="5"/>
      <c r="P853" s="5"/>
      <c r="Q853" s="5"/>
      <c r="R853" s="5"/>
      <c r="S853" s="5"/>
      <c r="T853" s="5"/>
    </row>
    <row r="854" spans="1:20">
      <c r="A854" s="45"/>
      <c r="B854" s="46"/>
      <c r="C854" s="5"/>
      <c r="D854" s="5"/>
      <c r="E854" s="5"/>
      <c r="F854" s="5"/>
      <c r="G854" s="5"/>
      <c r="H854" s="5"/>
      <c r="I854" s="5"/>
      <c r="J854" s="5"/>
      <c r="K854" s="5"/>
      <c r="L854" s="5"/>
      <c r="M854" s="5"/>
      <c r="N854" s="5"/>
      <c r="O854" s="5"/>
      <c r="P854" s="5"/>
      <c r="Q854" s="5"/>
      <c r="R854" s="5"/>
      <c r="S854" s="5"/>
      <c r="T854" s="5"/>
    </row>
    <row r="855" spans="1:20">
      <c r="A855" s="45"/>
      <c r="B855" s="46"/>
      <c r="C855" s="5"/>
      <c r="D855" s="5"/>
      <c r="E855" s="5"/>
      <c r="F855" s="5"/>
      <c r="G855" s="5"/>
      <c r="H855" s="5"/>
      <c r="I855" s="5"/>
      <c r="J855" s="5"/>
      <c r="K855" s="5"/>
      <c r="L855" s="5"/>
      <c r="M855" s="5"/>
      <c r="N855" s="5"/>
      <c r="O855" s="5"/>
      <c r="P855" s="5"/>
      <c r="Q855" s="5"/>
      <c r="R855" s="5"/>
      <c r="S855" s="5"/>
      <c r="T855" s="5"/>
    </row>
    <row r="856" spans="1:20">
      <c r="A856" s="45"/>
      <c r="B856" s="46"/>
      <c r="C856" s="5"/>
      <c r="D856" s="5"/>
      <c r="E856" s="5"/>
      <c r="F856" s="5"/>
      <c r="G856" s="5"/>
      <c r="H856" s="5"/>
      <c r="I856" s="5"/>
      <c r="J856" s="5"/>
      <c r="K856" s="5"/>
      <c r="L856" s="5"/>
      <c r="M856" s="5"/>
      <c r="N856" s="5"/>
      <c r="O856" s="5"/>
      <c r="P856" s="5"/>
      <c r="Q856" s="5"/>
      <c r="R856" s="5"/>
      <c r="S856" s="5"/>
      <c r="T856" s="5"/>
    </row>
    <row r="857" spans="1:20">
      <c r="A857" s="45"/>
      <c r="B857" s="46"/>
      <c r="C857" s="5"/>
      <c r="D857" s="5"/>
      <c r="E857" s="5"/>
      <c r="F857" s="5"/>
      <c r="G857" s="5"/>
      <c r="H857" s="5"/>
      <c r="I857" s="5"/>
      <c r="J857" s="5"/>
      <c r="K857" s="5"/>
      <c r="L857" s="5"/>
      <c r="M857" s="5"/>
      <c r="N857" s="5"/>
      <c r="O857" s="5"/>
      <c r="P857" s="5"/>
      <c r="Q857" s="5"/>
      <c r="R857" s="5"/>
      <c r="S857" s="5"/>
      <c r="T857" s="5"/>
    </row>
    <row r="858" spans="1:20">
      <c r="A858" s="45"/>
      <c r="B858" s="46"/>
      <c r="C858" s="5"/>
      <c r="D858" s="5"/>
      <c r="E858" s="5"/>
      <c r="F858" s="5"/>
      <c r="G858" s="5"/>
      <c r="H858" s="5"/>
      <c r="I858" s="5"/>
      <c r="J858" s="5"/>
      <c r="K858" s="5"/>
      <c r="L858" s="5"/>
      <c r="M858" s="5"/>
      <c r="N858" s="5"/>
      <c r="O858" s="5"/>
      <c r="P858" s="5"/>
      <c r="Q858" s="5"/>
      <c r="R858" s="5"/>
      <c r="S858" s="5"/>
      <c r="T858" s="5"/>
    </row>
    <row r="859" spans="1:20">
      <c r="A859" s="45"/>
      <c r="B859" s="46"/>
      <c r="C859" s="5"/>
      <c r="D859" s="5"/>
      <c r="E859" s="5"/>
      <c r="F859" s="5"/>
      <c r="G859" s="5"/>
      <c r="H859" s="5"/>
      <c r="I859" s="5"/>
      <c r="J859" s="5"/>
      <c r="K859" s="5"/>
      <c r="L859" s="5"/>
      <c r="M859" s="5"/>
      <c r="N859" s="5"/>
      <c r="O859" s="5"/>
      <c r="P859" s="5"/>
      <c r="Q859" s="5"/>
      <c r="R859" s="5"/>
      <c r="S859" s="5"/>
      <c r="T859" s="5"/>
    </row>
    <row r="860" spans="1:20">
      <c r="A860" s="45"/>
      <c r="B860" s="46"/>
      <c r="C860" s="5"/>
      <c r="D860" s="5"/>
      <c r="E860" s="5"/>
      <c r="F860" s="5"/>
      <c r="G860" s="5"/>
      <c r="H860" s="5"/>
      <c r="I860" s="5"/>
      <c r="J860" s="5"/>
      <c r="K860" s="5"/>
      <c r="L860" s="5"/>
      <c r="M860" s="5"/>
      <c r="N860" s="5"/>
      <c r="O860" s="5"/>
      <c r="P860" s="5"/>
      <c r="Q860" s="5"/>
      <c r="R860" s="5"/>
      <c r="S860" s="5"/>
      <c r="T860" s="5"/>
    </row>
    <row r="861" spans="1:20">
      <c r="A861" s="45"/>
      <c r="B861" s="46"/>
      <c r="C861" s="5"/>
      <c r="D861" s="5"/>
      <c r="E861" s="5"/>
      <c r="F861" s="5"/>
      <c r="G861" s="5"/>
      <c r="H861" s="5"/>
      <c r="I861" s="5"/>
      <c r="J861" s="5"/>
      <c r="K861" s="5"/>
      <c r="L861" s="5"/>
      <c r="M861" s="5"/>
      <c r="N861" s="5"/>
      <c r="O861" s="5"/>
      <c r="P861" s="5"/>
      <c r="Q861" s="5"/>
      <c r="R861" s="5"/>
      <c r="S861" s="5"/>
      <c r="T861" s="5"/>
    </row>
    <row r="862" spans="1:20">
      <c r="A862" s="45"/>
      <c r="B862" s="46"/>
      <c r="C862" s="5"/>
      <c r="D862" s="5"/>
      <c r="E862" s="5"/>
      <c r="F862" s="5"/>
      <c r="G862" s="5"/>
      <c r="H862" s="5"/>
      <c r="I862" s="5"/>
      <c r="J862" s="5"/>
      <c r="K862" s="5"/>
      <c r="L862" s="5"/>
      <c r="M862" s="5"/>
      <c r="N862" s="5"/>
      <c r="O862" s="5"/>
      <c r="P862" s="5"/>
      <c r="Q862" s="5"/>
      <c r="R862" s="5"/>
      <c r="S862" s="5"/>
      <c r="T862" s="5"/>
    </row>
    <row r="863" spans="1:20">
      <c r="A863" s="45"/>
      <c r="B863" s="46"/>
      <c r="C863" s="5"/>
      <c r="D863" s="5"/>
      <c r="E863" s="5"/>
      <c r="F863" s="5"/>
      <c r="G863" s="5"/>
      <c r="H863" s="5"/>
      <c r="I863" s="5"/>
      <c r="J863" s="5"/>
      <c r="K863" s="5"/>
      <c r="L863" s="5"/>
      <c r="M863" s="5"/>
      <c r="N863" s="5"/>
      <c r="O863" s="5"/>
      <c r="P863" s="5"/>
      <c r="Q863" s="5"/>
      <c r="R863" s="5"/>
      <c r="S863" s="5"/>
      <c r="T863" s="5"/>
    </row>
    <row r="864" spans="1:20">
      <c r="A864" s="45"/>
      <c r="B864" s="46"/>
      <c r="C864" s="5"/>
      <c r="D864" s="5"/>
      <c r="E864" s="5"/>
      <c r="F864" s="5"/>
      <c r="G864" s="5"/>
      <c r="H864" s="5"/>
      <c r="I864" s="5"/>
      <c r="J864" s="5"/>
      <c r="K864" s="5"/>
      <c r="L864" s="5"/>
      <c r="M864" s="5"/>
      <c r="N864" s="5"/>
      <c r="O864" s="5"/>
      <c r="P864" s="5"/>
      <c r="Q864" s="5"/>
      <c r="R864" s="5"/>
      <c r="S864" s="5"/>
      <c r="T864" s="5"/>
    </row>
    <row r="865" spans="1:20">
      <c r="A865" s="45"/>
      <c r="B865" s="46"/>
      <c r="C865" s="5"/>
      <c r="D865" s="5"/>
      <c r="E865" s="5"/>
      <c r="F865" s="5"/>
      <c r="G865" s="5"/>
      <c r="H865" s="5"/>
      <c r="I865" s="5"/>
      <c r="J865" s="5"/>
      <c r="K865" s="5"/>
      <c r="L865" s="5"/>
      <c r="M865" s="5"/>
      <c r="N865" s="5"/>
      <c r="O865" s="5"/>
      <c r="P865" s="5"/>
      <c r="Q865" s="5"/>
      <c r="R865" s="5"/>
      <c r="S865" s="5"/>
      <c r="T865" s="5"/>
    </row>
    <row r="866" spans="1:20">
      <c r="A866" s="45"/>
      <c r="B866" s="46"/>
      <c r="C866" s="5"/>
      <c r="D866" s="5"/>
      <c r="E866" s="5"/>
      <c r="F866" s="5"/>
      <c r="G866" s="5"/>
      <c r="H866" s="5"/>
      <c r="I866" s="5"/>
      <c r="J866" s="5"/>
      <c r="K866" s="5"/>
      <c r="L866" s="5"/>
      <c r="M866" s="5"/>
      <c r="N866" s="5"/>
      <c r="O866" s="5"/>
      <c r="P866" s="5"/>
      <c r="Q866" s="5"/>
      <c r="R866" s="5"/>
      <c r="S866" s="5"/>
      <c r="T866" s="5"/>
    </row>
    <row r="867" spans="1:20">
      <c r="A867" s="45"/>
      <c r="B867" s="46"/>
      <c r="C867" s="5"/>
      <c r="D867" s="5"/>
      <c r="E867" s="5"/>
      <c r="F867" s="5"/>
      <c r="G867" s="5"/>
      <c r="H867" s="5"/>
      <c r="I867" s="5"/>
      <c r="J867" s="5"/>
      <c r="K867" s="5"/>
      <c r="L867" s="5"/>
      <c r="M867" s="5"/>
      <c r="N867" s="5"/>
      <c r="O867" s="5"/>
      <c r="P867" s="5"/>
      <c r="Q867" s="5"/>
      <c r="R867" s="5"/>
      <c r="S867" s="5"/>
      <c r="T867" s="5"/>
    </row>
    <row r="868" spans="1:20">
      <c r="A868" s="45"/>
      <c r="B868" s="46"/>
      <c r="C868" s="5"/>
      <c r="D868" s="5"/>
      <c r="E868" s="5"/>
      <c r="F868" s="5"/>
      <c r="G868" s="5"/>
      <c r="H868" s="5"/>
      <c r="I868" s="5"/>
      <c r="J868" s="5"/>
      <c r="K868" s="5"/>
      <c r="L868" s="5"/>
      <c r="M868" s="5"/>
      <c r="N868" s="5"/>
      <c r="O868" s="5"/>
      <c r="P868" s="5"/>
      <c r="Q868" s="5"/>
      <c r="R868" s="5"/>
      <c r="S868" s="5"/>
      <c r="T868" s="5"/>
    </row>
    <row r="869" spans="1:20">
      <c r="A869" s="45"/>
      <c r="B869" s="46"/>
      <c r="C869" s="5"/>
      <c r="D869" s="5"/>
      <c r="E869" s="5"/>
      <c r="F869" s="5"/>
      <c r="G869" s="5"/>
      <c r="H869" s="5"/>
      <c r="I869" s="5"/>
      <c r="J869" s="5"/>
      <c r="K869" s="5"/>
      <c r="L869" s="5"/>
      <c r="M869" s="5"/>
      <c r="N869" s="5"/>
      <c r="O869" s="5"/>
      <c r="P869" s="5"/>
      <c r="Q869" s="5"/>
      <c r="R869" s="5"/>
      <c r="S869" s="5"/>
      <c r="T869" s="5"/>
    </row>
    <row r="870" spans="1:20">
      <c r="A870" s="45"/>
      <c r="B870" s="46"/>
      <c r="C870" s="5"/>
      <c r="D870" s="5"/>
      <c r="E870" s="5"/>
      <c r="F870" s="5"/>
      <c r="G870" s="5"/>
      <c r="H870" s="5"/>
      <c r="I870" s="5"/>
      <c r="J870" s="5"/>
      <c r="K870" s="5"/>
      <c r="L870" s="5"/>
      <c r="M870" s="5"/>
      <c r="N870" s="5"/>
      <c r="O870" s="5"/>
      <c r="P870" s="5"/>
      <c r="Q870" s="5"/>
      <c r="R870" s="5"/>
      <c r="S870" s="5"/>
      <c r="T870" s="5"/>
    </row>
    <row r="871" spans="1:20">
      <c r="A871" s="45"/>
      <c r="B871" s="46"/>
      <c r="C871" s="5"/>
      <c r="D871" s="5"/>
      <c r="E871" s="5"/>
      <c r="F871" s="5"/>
      <c r="G871" s="5"/>
      <c r="H871" s="5"/>
      <c r="I871" s="5"/>
      <c r="J871" s="5"/>
      <c r="K871" s="5"/>
      <c r="L871" s="5"/>
      <c r="M871" s="5"/>
      <c r="N871" s="5"/>
      <c r="O871" s="5"/>
      <c r="P871" s="5"/>
      <c r="Q871" s="5"/>
      <c r="R871" s="5"/>
      <c r="S871" s="5"/>
      <c r="T871" s="5"/>
    </row>
    <row r="872" spans="1:20">
      <c r="A872" s="45"/>
      <c r="B872" s="46"/>
      <c r="C872" s="5"/>
      <c r="D872" s="5"/>
      <c r="E872" s="5"/>
      <c r="F872" s="5"/>
      <c r="G872" s="5"/>
      <c r="H872" s="5"/>
      <c r="I872" s="5"/>
      <c r="J872" s="5"/>
      <c r="K872" s="5"/>
      <c r="L872" s="5"/>
      <c r="M872" s="5"/>
      <c r="N872" s="5"/>
      <c r="O872" s="5"/>
      <c r="P872" s="5"/>
      <c r="Q872" s="5"/>
      <c r="R872" s="5"/>
      <c r="S872" s="5"/>
      <c r="T872" s="5"/>
    </row>
    <row r="873" spans="1:20">
      <c r="A873" s="45"/>
      <c r="B873" s="46"/>
      <c r="C873" s="5"/>
      <c r="D873" s="5"/>
      <c r="E873" s="5"/>
      <c r="F873" s="5"/>
      <c r="G873" s="5"/>
      <c r="H873" s="5"/>
      <c r="I873" s="5"/>
      <c r="J873" s="5"/>
      <c r="K873" s="5"/>
      <c r="L873" s="5"/>
      <c r="M873" s="5"/>
      <c r="N873" s="5"/>
      <c r="O873" s="5"/>
      <c r="P873" s="5"/>
      <c r="Q873" s="5"/>
      <c r="R873" s="5"/>
      <c r="S873" s="5"/>
      <c r="T873" s="5"/>
    </row>
    <row r="874" spans="1:20">
      <c r="A874" s="45"/>
      <c r="B874" s="46"/>
      <c r="C874" s="5"/>
      <c r="D874" s="5"/>
      <c r="E874" s="5"/>
      <c r="F874" s="5"/>
      <c r="G874" s="5"/>
      <c r="H874" s="5"/>
      <c r="I874" s="5"/>
      <c r="J874" s="5"/>
      <c r="K874" s="5"/>
      <c r="L874" s="5"/>
      <c r="M874" s="5"/>
      <c r="N874" s="5"/>
      <c r="O874" s="5"/>
      <c r="P874" s="5"/>
      <c r="Q874" s="5"/>
      <c r="R874" s="5"/>
      <c r="S874" s="5"/>
      <c r="T874" s="5"/>
    </row>
    <row r="875" spans="1:20">
      <c r="A875" s="45"/>
      <c r="B875" s="46"/>
      <c r="C875" s="5"/>
      <c r="D875" s="5"/>
      <c r="E875" s="5"/>
      <c r="F875" s="5"/>
      <c r="G875" s="5"/>
      <c r="H875" s="5"/>
      <c r="I875" s="5"/>
      <c r="J875" s="5"/>
      <c r="K875" s="5"/>
      <c r="L875" s="5"/>
      <c r="M875" s="5"/>
      <c r="N875" s="5"/>
      <c r="O875" s="5"/>
      <c r="P875" s="5"/>
      <c r="Q875" s="5"/>
      <c r="R875" s="5"/>
      <c r="S875" s="5"/>
      <c r="T875" s="5"/>
    </row>
    <row r="876" spans="1:20">
      <c r="A876" s="45"/>
      <c r="B876" s="46"/>
      <c r="C876" s="5"/>
      <c r="D876" s="5"/>
      <c r="E876" s="5"/>
      <c r="F876" s="5"/>
      <c r="G876" s="5"/>
      <c r="H876" s="5"/>
      <c r="I876" s="5"/>
      <c r="J876" s="5"/>
      <c r="K876" s="5"/>
      <c r="L876" s="5"/>
      <c r="M876" s="5"/>
      <c r="N876" s="5"/>
      <c r="O876" s="5"/>
      <c r="P876" s="5"/>
      <c r="Q876" s="5"/>
      <c r="R876" s="5"/>
      <c r="S876" s="5"/>
      <c r="T876" s="5"/>
    </row>
    <row r="877" spans="1:20">
      <c r="A877" s="45"/>
      <c r="B877" s="46"/>
      <c r="C877" s="5"/>
      <c r="D877" s="5"/>
      <c r="E877" s="5"/>
      <c r="F877" s="5"/>
      <c r="G877" s="5"/>
      <c r="H877" s="5"/>
      <c r="I877" s="5"/>
      <c r="J877" s="5"/>
      <c r="K877" s="5"/>
      <c r="L877" s="5"/>
      <c r="M877" s="5"/>
      <c r="N877" s="5"/>
      <c r="O877" s="5"/>
      <c r="P877" s="5"/>
      <c r="Q877" s="5"/>
      <c r="R877" s="5"/>
      <c r="S877" s="5"/>
      <c r="T877" s="5"/>
    </row>
    <row r="878" spans="1:20">
      <c r="A878" s="45"/>
      <c r="B878" s="46"/>
      <c r="C878" s="5"/>
      <c r="D878" s="5"/>
      <c r="E878" s="5"/>
      <c r="F878" s="5"/>
      <c r="G878" s="5"/>
      <c r="H878" s="5"/>
      <c r="I878" s="5"/>
      <c r="J878" s="5"/>
      <c r="K878" s="5"/>
      <c r="L878" s="5"/>
      <c r="M878" s="5"/>
      <c r="N878" s="5"/>
      <c r="O878" s="5"/>
      <c r="P878" s="5"/>
      <c r="Q878" s="5"/>
      <c r="R878" s="5"/>
      <c r="S878" s="5"/>
      <c r="T878" s="5"/>
    </row>
    <row r="879" spans="1:20">
      <c r="A879" s="45"/>
      <c r="B879" s="46"/>
      <c r="C879" s="5"/>
      <c r="D879" s="5"/>
      <c r="E879" s="5"/>
      <c r="F879" s="5"/>
      <c r="G879" s="5"/>
      <c r="H879" s="5"/>
      <c r="I879" s="5"/>
      <c r="J879" s="5"/>
      <c r="K879" s="5"/>
      <c r="L879" s="5"/>
      <c r="M879" s="5"/>
      <c r="N879" s="5"/>
      <c r="O879" s="5"/>
      <c r="P879" s="5"/>
      <c r="Q879" s="5"/>
      <c r="R879" s="5"/>
      <c r="S879" s="5"/>
      <c r="T879" s="5"/>
    </row>
    <row r="880" spans="1:20">
      <c r="A880" s="45"/>
      <c r="B880" s="46"/>
      <c r="C880" s="5"/>
      <c r="D880" s="5"/>
      <c r="E880" s="5"/>
      <c r="F880" s="5"/>
      <c r="G880" s="5"/>
      <c r="H880" s="5"/>
      <c r="I880" s="5"/>
      <c r="J880" s="5"/>
      <c r="K880" s="5"/>
      <c r="L880" s="5"/>
      <c r="M880" s="5"/>
      <c r="N880" s="5"/>
      <c r="O880" s="5"/>
      <c r="P880" s="5"/>
      <c r="Q880" s="5"/>
      <c r="R880" s="5"/>
      <c r="S880" s="5"/>
      <c r="T880" s="5"/>
    </row>
    <row r="881" spans="1:20">
      <c r="A881" s="45"/>
      <c r="B881" s="46"/>
      <c r="C881" s="5"/>
      <c r="D881" s="5"/>
      <c r="E881" s="5"/>
      <c r="F881" s="5"/>
      <c r="G881" s="5"/>
      <c r="H881" s="5"/>
      <c r="I881" s="5"/>
      <c r="J881" s="5"/>
      <c r="K881" s="5"/>
      <c r="L881" s="5"/>
      <c r="M881" s="5"/>
      <c r="N881" s="5"/>
      <c r="O881" s="5"/>
      <c r="P881" s="5"/>
      <c r="Q881" s="5"/>
      <c r="R881" s="5"/>
      <c r="S881" s="5"/>
      <c r="T881" s="5"/>
    </row>
    <row r="882" spans="1:20">
      <c r="A882" s="45"/>
      <c r="B882" s="46"/>
      <c r="C882" s="5"/>
      <c r="D882" s="5"/>
      <c r="E882" s="5"/>
      <c r="F882" s="5"/>
      <c r="G882" s="5"/>
      <c r="H882" s="5"/>
      <c r="I882" s="5"/>
      <c r="J882" s="5"/>
      <c r="K882" s="5"/>
      <c r="L882" s="5"/>
      <c r="M882" s="5"/>
      <c r="N882" s="5"/>
      <c r="O882" s="5"/>
      <c r="P882" s="5"/>
      <c r="Q882" s="5"/>
      <c r="R882" s="5"/>
      <c r="S882" s="5"/>
      <c r="T882" s="5"/>
    </row>
    <row r="883" spans="1:20">
      <c r="A883" s="45"/>
      <c r="B883" s="46"/>
      <c r="C883" s="5"/>
      <c r="D883" s="5"/>
      <c r="E883" s="5"/>
      <c r="F883" s="5"/>
      <c r="G883" s="5"/>
      <c r="H883" s="5"/>
      <c r="I883" s="5"/>
      <c r="J883" s="5"/>
      <c r="K883" s="5"/>
      <c r="L883" s="5"/>
      <c r="M883" s="5"/>
      <c r="N883" s="5"/>
      <c r="O883" s="5"/>
      <c r="P883" s="5"/>
      <c r="Q883" s="5"/>
      <c r="R883" s="5"/>
      <c r="S883" s="5"/>
      <c r="T883" s="5"/>
    </row>
    <row r="884" spans="1:20">
      <c r="A884" s="45"/>
      <c r="B884" s="46"/>
      <c r="C884" s="5"/>
      <c r="D884" s="5"/>
      <c r="E884" s="5"/>
      <c r="F884" s="5"/>
      <c r="G884" s="5"/>
      <c r="H884" s="5"/>
      <c r="I884" s="5"/>
      <c r="J884" s="5"/>
      <c r="K884" s="5"/>
      <c r="L884" s="5"/>
      <c r="M884" s="5"/>
      <c r="N884" s="5"/>
      <c r="O884" s="5"/>
      <c r="P884" s="5"/>
      <c r="Q884" s="5"/>
      <c r="R884" s="5"/>
      <c r="S884" s="5"/>
      <c r="T884" s="5"/>
    </row>
    <row r="885" spans="1:20">
      <c r="A885" s="45"/>
      <c r="B885" s="46"/>
      <c r="C885" s="5"/>
      <c r="D885" s="5"/>
      <c r="E885" s="5"/>
      <c r="F885" s="5"/>
      <c r="G885" s="5"/>
      <c r="H885" s="5"/>
      <c r="I885" s="5"/>
      <c r="J885" s="5"/>
      <c r="K885" s="5"/>
      <c r="L885" s="5"/>
      <c r="M885" s="5"/>
      <c r="N885" s="5"/>
      <c r="O885" s="5"/>
      <c r="P885" s="5"/>
      <c r="Q885" s="5"/>
      <c r="R885" s="5"/>
      <c r="S885" s="5"/>
      <c r="T885" s="5"/>
    </row>
    <row r="886" spans="1:20">
      <c r="A886" s="45"/>
      <c r="B886" s="46"/>
      <c r="C886" s="5"/>
      <c r="D886" s="5"/>
      <c r="E886" s="5"/>
      <c r="F886" s="5"/>
      <c r="G886" s="5"/>
      <c r="H886" s="5"/>
      <c r="I886" s="5"/>
      <c r="J886" s="5"/>
      <c r="K886" s="5"/>
      <c r="L886" s="5"/>
      <c r="M886" s="5"/>
      <c r="N886" s="5"/>
      <c r="O886" s="5"/>
      <c r="P886" s="5"/>
      <c r="Q886" s="5"/>
      <c r="R886" s="5"/>
      <c r="S886" s="5"/>
      <c r="T886" s="5"/>
    </row>
    <row r="887" spans="1:20">
      <c r="A887" s="45"/>
      <c r="B887" s="46"/>
      <c r="C887" s="5"/>
      <c r="D887" s="5"/>
      <c r="E887" s="5"/>
      <c r="F887" s="5"/>
      <c r="G887" s="5"/>
      <c r="H887" s="5"/>
      <c r="I887" s="5"/>
      <c r="J887" s="5"/>
      <c r="K887" s="5"/>
      <c r="L887" s="5"/>
      <c r="M887" s="5"/>
      <c r="N887" s="5"/>
      <c r="O887" s="5"/>
      <c r="P887" s="5"/>
      <c r="Q887" s="5"/>
      <c r="R887" s="5"/>
      <c r="S887" s="5"/>
      <c r="T887" s="5"/>
    </row>
    <row r="888" spans="1:20">
      <c r="A888" s="45"/>
      <c r="B888" s="46"/>
      <c r="C888" s="5"/>
      <c r="D888" s="5"/>
      <c r="E888" s="5"/>
      <c r="F888" s="5"/>
      <c r="G888" s="5"/>
      <c r="H888" s="5"/>
      <c r="I888" s="5"/>
      <c r="J888" s="5"/>
      <c r="K888" s="5"/>
      <c r="L888" s="5"/>
      <c r="M888" s="5"/>
      <c r="N888" s="5"/>
      <c r="O888" s="5"/>
      <c r="P888" s="5"/>
      <c r="Q888" s="5"/>
      <c r="R888" s="5"/>
      <c r="S888" s="5"/>
      <c r="T888" s="5"/>
    </row>
    <row r="889" spans="1:20">
      <c r="A889" s="45"/>
      <c r="B889" s="46"/>
      <c r="C889" s="5"/>
      <c r="D889" s="5"/>
      <c r="E889" s="5"/>
      <c r="F889" s="5"/>
      <c r="G889" s="5"/>
      <c r="H889" s="5"/>
      <c r="I889" s="5"/>
      <c r="J889" s="5"/>
      <c r="K889" s="5"/>
      <c r="L889" s="5"/>
      <c r="M889" s="5"/>
      <c r="N889" s="5"/>
      <c r="O889" s="5"/>
      <c r="P889" s="5"/>
      <c r="Q889" s="5"/>
      <c r="R889" s="5"/>
      <c r="S889" s="5"/>
      <c r="T889" s="5"/>
    </row>
    <row r="890" spans="1:20">
      <c r="A890" s="45"/>
      <c r="B890" s="46"/>
      <c r="C890" s="5"/>
      <c r="D890" s="5"/>
      <c r="E890" s="5"/>
      <c r="F890" s="5"/>
      <c r="G890" s="5"/>
      <c r="H890" s="5"/>
      <c r="I890" s="5"/>
      <c r="J890" s="5"/>
      <c r="K890" s="5"/>
      <c r="L890" s="5"/>
      <c r="M890" s="5"/>
      <c r="N890" s="5"/>
      <c r="O890" s="5"/>
      <c r="P890" s="5"/>
      <c r="Q890" s="5"/>
      <c r="R890" s="5"/>
      <c r="S890" s="5"/>
      <c r="T890" s="5"/>
    </row>
    <row r="891" spans="1:20">
      <c r="A891" s="45"/>
      <c r="B891" s="46"/>
      <c r="C891" s="5"/>
      <c r="D891" s="5"/>
      <c r="E891" s="5"/>
      <c r="F891" s="5"/>
      <c r="G891" s="5"/>
      <c r="H891" s="5"/>
      <c r="I891" s="5"/>
      <c r="J891" s="5"/>
      <c r="K891" s="5"/>
      <c r="L891" s="5"/>
      <c r="M891" s="5"/>
      <c r="N891" s="5"/>
      <c r="O891" s="5"/>
      <c r="P891" s="5"/>
      <c r="Q891" s="5"/>
      <c r="R891" s="5"/>
      <c r="S891" s="5"/>
      <c r="T891" s="5"/>
    </row>
    <row r="892" spans="1:20">
      <c r="A892" s="45"/>
      <c r="B892" s="46"/>
      <c r="C892" s="5"/>
      <c r="D892" s="5"/>
      <c r="E892" s="5"/>
      <c r="F892" s="5"/>
      <c r="G892" s="5"/>
      <c r="H892" s="5"/>
      <c r="I892" s="5"/>
      <c r="J892" s="5"/>
      <c r="K892" s="5"/>
      <c r="L892" s="5"/>
      <c r="M892" s="5"/>
      <c r="N892" s="5"/>
      <c r="O892" s="5"/>
      <c r="P892" s="5"/>
      <c r="Q892" s="5"/>
      <c r="R892" s="5"/>
      <c r="S892" s="5"/>
      <c r="T892" s="5"/>
    </row>
    <row r="893" spans="1:20">
      <c r="A893" s="45"/>
      <c r="B893" s="46"/>
      <c r="C893" s="5"/>
      <c r="D893" s="5"/>
      <c r="E893" s="5"/>
      <c r="F893" s="5"/>
      <c r="G893" s="5"/>
      <c r="H893" s="5"/>
      <c r="I893" s="5"/>
      <c r="J893" s="5"/>
      <c r="K893" s="5"/>
      <c r="L893" s="5"/>
      <c r="M893" s="5"/>
      <c r="N893" s="5"/>
      <c r="O893" s="5"/>
      <c r="P893" s="5"/>
      <c r="Q893" s="5"/>
      <c r="R893" s="5"/>
      <c r="S893" s="5"/>
      <c r="T893" s="5"/>
    </row>
    <row r="894" spans="1:20">
      <c r="A894" s="45"/>
      <c r="B894" s="46"/>
      <c r="C894" s="5"/>
      <c r="D894" s="5"/>
      <c r="E894" s="5"/>
      <c r="F894" s="5"/>
      <c r="G894" s="5"/>
      <c r="H894" s="5"/>
      <c r="I894" s="5"/>
      <c r="J894" s="5"/>
      <c r="K894" s="5"/>
      <c r="L894" s="5"/>
      <c r="M894" s="5"/>
      <c r="N894" s="5"/>
      <c r="O894" s="5"/>
      <c r="P894" s="5"/>
      <c r="Q894" s="5"/>
      <c r="R894" s="5"/>
      <c r="S894" s="5"/>
      <c r="T894" s="5"/>
    </row>
    <row r="895" spans="1:20">
      <c r="A895" s="45"/>
      <c r="B895" s="46"/>
      <c r="C895" s="5"/>
      <c r="D895" s="5"/>
      <c r="E895" s="5"/>
      <c r="F895" s="5"/>
      <c r="G895" s="5"/>
      <c r="H895" s="5"/>
      <c r="I895" s="5"/>
      <c r="J895" s="5"/>
      <c r="K895" s="5"/>
      <c r="L895" s="5"/>
      <c r="M895" s="5"/>
      <c r="N895" s="5"/>
      <c r="O895" s="5"/>
      <c r="P895" s="5"/>
      <c r="Q895" s="5"/>
      <c r="R895" s="5"/>
      <c r="S895" s="5"/>
      <c r="T895" s="5"/>
    </row>
    <row r="896" spans="1:20">
      <c r="A896" s="45"/>
      <c r="B896" s="46"/>
      <c r="C896" s="5"/>
      <c r="D896" s="5"/>
      <c r="E896" s="5"/>
      <c r="F896" s="5"/>
      <c r="G896" s="5"/>
      <c r="H896" s="5"/>
      <c r="I896" s="5"/>
      <c r="J896" s="5"/>
      <c r="K896" s="5"/>
      <c r="L896" s="5"/>
      <c r="M896" s="5"/>
      <c r="N896" s="5"/>
      <c r="O896" s="5"/>
      <c r="P896" s="5"/>
      <c r="Q896" s="5"/>
      <c r="R896" s="5"/>
      <c r="S896" s="5"/>
      <c r="T896" s="5"/>
    </row>
    <row r="897" spans="1:20">
      <c r="A897" s="45"/>
      <c r="B897" s="46"/>
      <c r="C897" s="5"/>
      <c r="D897" s="5"/>
      <c r="E897" s="5"/>
      <c r="F897" s="5"/>
      <c r="G897" s="5"/>
      <c r="H897" s="5"/>
      <c r="I897" s="5"/>
      <c r="J897" s="5"/>
      <c r="K897" s="5"/>
      <c r="L897" s="5"/>
      <c r="M897" s="5"/>
      <c r="N897" s="5"/>
      <c r="O897" s="5"/>
      <c r="P897" s="5"/>
      <c r="Q897" s="5"/>
      <c r="R897" s="5"/>
      <c r="S897" s="5"/>
      <c r="T897" s="5"/>
    </row>
    <row r="898" spans="1:20">
      <c r="A898" s="45"/>
      <c r="B898" s="46"/>
      <c r="C898" s="5"/>
      <c r="D898" s="5"/>
      <c r="E898" s="5"/>
      <c r="F898" s="5"/>
      <c r="G898" s="5"/>
      <c r="H898" s="5"/>
      <c r="I898" s="5"/>
      <c r="J898" s="5"/>
      <c r="K898" s="5"/>
      <c r="L898" s="5"/>
      <c r="M898" s="5"/>
      <c r="N898" s="5"/>
      <c r="O898" s="5"/>
      <c r="P898" s="5"/>
      <c r="Q898" s="5"/>
      <c r="R898" s="5"/>
      <c r="S898" s="5"/>
      <c r="T898" s="5"/>
    </row>
    <row r="899" spans="1:20">
      <c r="A899" s="45"/>
      <c r="B899" s="46"/>
      <c r="C899" s="5"/>
      <c r="D899" s="5"/>
      <c r="E899" s="5"/>
      <c r="F899" s="5"/>
      <c r="G899" s="5"/>
      <c r="H899" s="5"/>
      <c r="I899" s="5"/>
      <c r="J899" s="5"/>
      <c r="K899" s="5"/>
      <c r="L899" s="5"/>
      <c r="M899" s="5"/>
      <c r="N899" s="5"/>
      <c r="O899" s="5"/>
      <c r="P899" s="5"/>
      <c r="Q899" s="5"/>
      <c r="R899" s="5"/>
      <c r="S899" s="5"/>
      <c r="T899" s="5"/>
    </row>
    <row r="900" spans="1:20">
      <c r="A900" s="45"/>
      <c r="B900" s="46"/>
      <c r="C900" s="5"/>
      <c r="D900" s="5"/>
      <c r="E900" s="5"/>
      <c r="F900" s="5"/>
      <c r="G900" s="5"/>
      <c r="H900" s="5"/>
      <c r="I900" s="5"/>
      <c r="J900" s="5"/>
      <c r="K900" s="5"/>
      <c r="L900" s="5"/>
      <c r="M900" s="5"/>
      <c r="N900" s="5"/>
      <c r="O900" s="5"/>
      <c r="P900" s="5"/>
      <c r="Q900" s="5"/>
      <c r="R900" s="5"/>
      <c r="S900" s="5"/>
      <c r="T900" s="5"/>
    </row>
    <row r="901" spans="1:20">
      <c r="A901" s="45"/>
      <c r="B901" s="46"/>
      <c r="C901" s="5"/>
      <c r="D901" s="5"/>
      <c r="E901" s="5"/>
      <c r="F901" s="5"/>
      <c r="G901" s="5"/>
      <c r="H901" s="5"/>
      <c r="I901" s="5"/>
      <c r="J901" s="5"/>
      <c r="K901" s="5"/>
      <c r="L901" s="5"/>
      <c r="M901" s="5"/>
      <c r="N901" s="5"/>
      <c r="O901" s="5"/>
      <c r="P901" s="5"/>
      <c r="Q901" s="5"/>
      <c r="R901" s="5"/>
      <c r="S901" s="5"/>
      <c r="T901" s="5"/>
    </row>
    <row r="902" spans="1:20">
      <c r="A902" s="45"/>
      <c r="B902" s="46"/>
      <c r="C902" s="5"/>
      <c r="D902" s="5"/>
      <c r="E902" s="5"/>
      <c r="F902" s="5"/>
      <c r="G902" s="5"/>
      <c r="H902" s="5"/>
      <c r="I902" s="5"/>
      <c r="J902" s="5"/>
      <c r="K902" s="5"/>
      <c r="L902" s="5"/>
      <c r="M902" s="5"/>
      <c r="N902" s="5"/>
      <c r="O902" s="5"/>
      <c r="P902" s="5"/>
      <c r="Q902" s="5"/>
      <c r="R902" s="5"/>
      <c r="S902" s="5"/>
      <c r="T902" s="5"/>
    </row>
    <row r="903" spans="1:20">
      <c r="A903" s="45"/>
      <c r="B903" s="46"/>
      <c r="C903" s="5"/>
      <c r="D903" s="5"/>
      <c r="E903" s="5"/>
      <c r="F903" s="5"/>
      <c r="G903" s="5"/>
      <c r="H903" s="5"/>
      <c r="I903" s="5"/>
      <c r="J903" s="5"/>
      <c r="K903" s="5"/>
      <c r="L903" s="5"/>
      <c r="M903" s="5"/>
      <c r="N903" s="5"/>
      <c r="O903" s="5"/>
      <c r="P903" s="5"/>
      <c r="Q903" s="5"/>
      <c r="R903" s="5"/>
      <c r="S903" s="5"/>
      <c r="T903" s="5"/>
    </row>
    <row r="904" spans="1:20">
      <c r="A904" s="45"/>
      <c r="B904" s="46"/>
      <c r="C904" s="5"/>
      <c r="D904" s="5"/>
      <c r="E904" s="5"/>
      <c r="F904" s="5"/>
      <c r="G904" s="5"/>
      <c r="H904" s="5"/>
      <c r="I904" s="5"/>
      <c r="J904" s="5"/>
      <c r="K904" s="5"/>
      <c r="L904" s="5"/>
      <c r="M904" s="5"/>
      <c r="N904" s="5"/>
      <c r="O904" s="5"/>
      <c r="P904" s="5"/>
      <c r="Q904" s="5"/>
      <c r="R904" s="5"/>
      <c r="S904" s="5"/>
      <c r="T904" s="5"/>
    </row>
    <row r="905" spans="1:20">
      <c r="A905" s="45"/>
      <c r="B905" s="46"/>
      <c r="C905" s="5"/>
      <c r="D905" s="5"/>
      <c r="E905" s="5"/>
      <c r="F905" s="5"/>
      <c r="G905" s="5"/>
      <c r="H905" s="5"/>
      <c r="I905" s="5"/>
      <c r="J905" s="5"/>
      <c r="K905" s="5"/>
      <c r="L905" s="5"/>
      <c r="M905" s="5"/>
      <c r="N905" s="5"/>
      <c r="O905" s="5"/>
      <c r="P905" s="5"/>
      <c r="Q905" s="5"/>
      <c r="R905" s="5"/>
      <c r="S905" s="5"/>
      <c r="T905" s="5"/>
    </row>
    <row r="906" spans="1:20">
      <c r="A906" s="45"/>
      <c r="B906" s="46"/>
      <c r="C906" s="5"/>
      <c r="D906" s="5"/>
      <c r="E906" s="5"/>
      <c r="F906" s="5"/>
      <c r="G906" s="5"/>
      <c r="H906" s="5"/>
      <c r="I906" s="5"/>
      <c r="J906" s="5"/>
      <c r="K906" s="5"/>
      <c r="L906" s="5"/>
      <c r="M906" s="5"/>
      <c r="N906" s="5"/>
      <c r="O906" s="5"/>
      <c r="P906" s="5"/>
      <c r="Q906" s="5"/>
      <c r="R906" s="5"/>
      <c r="S906" s="5"/>
      <c r="T906" s="5"/>
    </row>
    <row r="907" spans="1:20">
      <c r="A907" s="45"/>
      <c r="B907" s="46"/>
      <c r="C907" s="5"/>
      <c r="D907" s="5"/>
      <c r="E907" s="5"/>
      <c r="F907" s="5"/>
      <c r="G907" s="5"/>
      <c r="H907" s="5"/>
      <c r="I907" s="5"/>
      <c r="J907" s="5"/>
      <c r="K907" s="5"/>
      <c r="L907" s="5"/>
      <c r="M907" s="5"/>
      <c r="N907" s="5"/>
      <c r="O907" s="5"/>
      <c r="P907" s="5"/>
      <c r="Q907" s="5"/>
      <c r="R907" s="5"/>
      <c r="S907" s="5"/>
      <c r="T907" s="5"/>
    </row>
    <row r="908" spans="1:20">
      <c r="A908" s="45"/>
      <c r="B908" s="46"/>
      <c r="C908" s="5"/>
      <c r="D908" s="5"/>
      <c r="E908" s="5"/>
      <c r="F908" s="5"/>
      <c r="G908" s="5"/>
      <c r="H908" s="5"/>
      <c r="I908" s="5"/>
      <c r="J908" s="5"/>
      <c r="K908" s="5"/>
      <c r="L908" s="5"/>
      <c r="M908" s="5"/>
      <c r="N908" s="5"/>
      <c r="O908" s="5"/>
      <c r="P908" s="5"/>
      <c r="Q908" s="5"/>
      <c r="R908" s="5"/>
      <c r="S908" s="5"/>
      <c r="T908" s="5"/>
    </row>
    <row r="909" spans="1:20">
      <c r="A909" s="45"/>
      <c r="B909" s="46"/>
      <c r="C909" s="5"/>
      <c r="D909" s="5"/>
      <c r="E909" s="5"/>
      <c r="F909" s="5"/>
      <c r="G909" s="5"/>
      <c r="H909" s="5"/>
      <c r="I909" s="5"/>
      <c r="J909" s="5"/>
      <c r="K909" s="5"/>
      <c r="L909" s="5"/>
      <c r="M909" s="5"/>
      <c r="N909" s="5"/>
      <c r="O909" s="5"/>
      <c r="P909" s="5"/>
      <c r="Q909" s="5"/>
      <c r="R909" s="5"/>
      <c r="S909" s="5"/>
      <c r="T909" s="5"/>
    </row>
    <row r="910" spans="1:20">
      <c r="A910" s="45"/>
      <c r="B910" s="46"/>
      <c r="C910" s="5"/>
      <c r="D910" s="5"/>
      <c r="E910" s="5"/>
      <c r="F910" s="5"/>
      <c r="G910" s="5"/>
      <c r="H910" s="5"/>
      <c r="I910" s="5"/>
      <c r="J910" s="5"/>
      <c r="K910" s="5"/>
      <c r="L910" s="5"/>
      <c r="M910" s="5"/>
      <c r="N910" s="5"/>
      <c r="O910" s="5"/>
      <c r="P910" s="5"/>
      <c r="Q910" s="5"/>
      <c r="R910" s="5"/>
      <c r="S910" s="5"/>
      <c r="T910" s="5"/>
    </row>
    <row r="911" spans="1:20">
      <c r="A911" s="45"/>
      <c r="B911" s="46"/>
      <c r="C911" s="5"/>
      <c r="D911" s="5"/>
      <c r="E911" s="5"/>
      <c r="F911" s="5"/>
      <c r="G911" s="5"/>
      <c r="H911" s="5"/>
      <c r="I911" s="5"/>
      <c r="J911" s="5"/>
      <c r="K911" s="5"/>
      <c r="L911" s="5"/>
      <c r="M911" s="5"/>
      <c r="N911" s="5"/>
      <c r="O911" s="5"/>
      <c r="P911" s="5"/>
      <c r="Q911" s="5"/>
      <c r="R911" s="5"/>
      <c r="S911" s="5"/>
      <c r="T911" s="5"/>
    </row>
    <row r="912" spans="1:20">
      <c r="A912" s="45"/>
      <c r="B912" s="46"/>
      <c r="C912" s="5"/>
      <c r="D912" s="5"/>
      <c r="E912" s="5"/>
      <c r="F912" s="5"/>
      <c r="G912" s="5"/>
      <c r="H912" s="5"/>
      <c r="I912" s="5"/>
      <c r="J912" s="5"/>
      <c r="K912" s="5"/>
      <c r="L912" s="5"/>
      <c r="M912" s="5"/>
      <c r="N912" s="5"/>
      <c r="O912" s="5"/>
      <c r="P912" s="5"/>
      <c r="Q912" s="5"/>
      <c r="R912" s="5"/>
      <c r="S912" s="5"/>
      <c r="T912" s="5"/>
    </row>
    <row r="913" spans="1:20">
      <c r="A913" s="45"/>
      <c r="B913" s="46"/>
      <c r="C913" s="5"/>
      <c r="D913" s="5"/>
      <c r="E913" s="5"/>
      <c r="F913" s="5"/>
      <c r="G913" s="5"/>
      <c r="H913" s="5"/>
      <c r="I913" s="5"/>
      <c r="J913" s="5"/>
      <c r="K913" s="5"/>
      <c r="L913" s="5"/>
      <c r="M913" s="5"/>
      <c r="N913" s="5"/>
      <c r="O913" s="5"/>
      <c r="P913" s="5"/>
      <c r="Q913" s="5"/>
      <c r="R913" s="5"/>
      <c r="S913" s="5"/>
      <c r="T913" s="5"/>
    </row>
    <row r="914" spans="1:20">
      <c r="A914" s="45"/>
      <c r="B914" s="46"/>
      <c r="C914" s="5"/>
      <c r="D914" s="5"/>
      <c r="E914" s="5"/>
      <c r="F914" s="5"/>
      <c r="G914" s="5"/>
      <c r="H914" s="5"/>
      <c r="I914" s="5"/>
      <c r="J914" s="5"/>
      <c r="K914" s="5"/>
      <c r="L914" s="5"/>
      <c r="M914" s="5"/>
      <c r="N914" s="5"/>
      <c r="O914" s="5"/>
      <c r="P914" s="5"/>
      <c r="Q914" s="5"/>
      <c r="R914" s="5"/>
      <c r="S914" s="5"/>
      <c r="T914" s="5"/>
    </row>
    <row r="915" spans="1:20">
      <c r="A915" s="45"/>
      <c r="B915" s="46"/>
      <c r="C915" s="5"/>
      <c r="D915" s="5"/>
      <c r="E915" s="5"/>
      <c r="F915" s="5"/>
      <c r="G915" s="5"/>
      <c r="H915" s="5"/>
      <c r="I915" s="5"/>
      <c r="J915" s="5"/>
      <c r="K915" s="5"/>
      <c r="L915" s="5"/>
      <c r="M915" s="5"/>
      <c r="N915" s="5"/>
      <c r="O915" s="5"/>
      <c r="P915" s="5"/>
      <c r="Q915" s="5"/>
      <c r="R915" s="5"/>
      <c r="S915" s="5"/>
      <c r="T915" s="5"/>
    </row>
    <row r="916" spans="1:20">
      <c r="A916" s="45"/>
      <c r="B916" s="46"/>
      <c r="C916" s="5"/>
      <c r="D916" s="5"/>
      <c r="E916" s="5"/>
      <c r="F916" s="5"/>
      <c r="G916" s="5"/>
      <c r="H916" s="5"/>
      <c r="I916" s="5"/>
      <c r="J916" s="5"/>
      <c r="K916" s="5"/>
      <c r="L916" s="5"/>
      <c r="M916" s="5"/>
      <c r="N916" s="5"/>
      <c r="O916" s="5"/>
      <c r="P916" s="5"/>
      <c r="Q916" s="5"/>
      <c r="R916" s="5"/>
      <c r="S916" s="5"/>
      <c r="T916" s="5"/>
    </row>
    <row r="917" spans="1:20">
      <c r="A917" s="45"/>
      <c r="B917" s="46"/>
      <c r="C917" s="5"/>
      <c r="D917" s="5"/>
      <c r="E917" s="5"/>
      <c r="F917" s="5"/>
      <c r="G917" s="5"/>
      <c r="H917" s="5"/>
      <c r="I917" s="5"/>
      <c r="J917" s="5"/>
      <c r="K917" s="5"/>
      <c r="L917" s="5"/>
      <c r="M917" s="5"/>
      <c r="N917" s="5"/>
      <c r="O917" s="5"/>
      <c r="P917" s="5"/>
      <c r="Q917" s="5"/>
      <c r="R917" s="5"/>
      <c r="S917" s="5"/>
      <c r="T917" s="5"/>
    </row>
    <row r="918" spans="1:20">
      <c r="A918" s="45"/>
      <c r="B918" s="46"/>
      <c r="C918" s="5"/>
      <c r="D918" s="5"/>
      <c r="E918" s="5"/>
      <c r="F918" s="5"/>
      <c r="G918" s="5"/>
      <c r="H918" s="5"/>
      <c r="I918" s="5"/>
      <c r="J918" s="5"/>
      <c r="K918" s="5"/>
      <c r="L918" s="5"/>
      <c r="M918" s="5"/>
      <c r="N918" s="5"/>
      <c r="O918" s="5"/>
      <c r="P918" s="5"/>
      <c r="Q918" s="5"/>
      <c r="R918" s="5"/>
      <c r="S918" s="5"/>
      <c r="T918" s="5"/>
    </row>
    <row r="919" spans="1:20">
      <c r="A919" s="45"/>
      <c r="B919" s="46"/>
      <c r="C919" s="5"/>
      <c r="D919" s="5"/>
      <c r="E919" s="5"/>
      <c r="F919" s="5"/>
      <c r="G919" s="5"/>
      <c r="H919" s="5"/>
      <c r="I919" s="5"/>
      <c r="J919" s="5"/>
      <c r="K919" s="5"/>
      <c r="L919" s="5"/>
      <c r="M919" s="5"/>
      <c r="N919" s="5"/>
      <c r="O919" s="5"/>
      <c r="P919" s="5"/>
      <c r="Q919" s="5"/>
      <c r="R919" s="5"/>
      <c r="S919" s="5"/>
      <c r="T919" s="5"/>
    </row>
    <row r="920" spans="1:20">
      <c r="A920" s="45"/>
      <c r="B920" s="46"/>
      <c r="C920" s="5"/>
      <c r="D920" s="5"/>
      <c r="E920" s="5"/>
      <c r="F920" s="5"/>
      <c r="G920" s="5"/>
      <c r="H920" s="5"/>
      <c r="I920" s="5"/>
      <c r="J920" s="5"/>
      <c r="K920" s="5"/>
      <c r="L920" s="5"/>
      <c r="M920" s="5"/>
      <c r="N920" s="5"/>
      <c r="O920" s="5"/>
      <c r="P920" s="5"/>
      <c r="Q920" s="5"/>
      <c r="R920" s="5"/>
      <c r="S920" s="5"/>
      <c r="T920" s="5"/>
    </row>
    <row r="921" spans="1:20">
      <c r="A921" s="45"/>
      <c r="B921" s="46"/>
      <c r="C921" s="5"/>
      <c r="D921" s="5"/>
      <c r="E921" s="5"/>
      <c r="F921" s="5"/>
      <c r="G921" s="5"/>
      <c r="H921" s="5"/>
      <c r="I921" s="5"/>
      <c r="J921" s="5"/>
      <c r="K921" s="5"/>
      <c r="L921" s="5"/>
      <c r="M921" s="5"/>
      <c r="N921" s="5"/>
      <c r="O921" s="5"/>
      <c r="P921" s="5"/>
      <c r="Q921" s="5"/>
      <c r="R921" s="5"/>
      <c r="S921" s="5"/>
      <c r="T921" s="5"/>
    </row>
    <row r="922" spans="1:20">
      <c r="A922" s="45"/>
      <c r="B922" s="46"/>
      <c r="C922" s="5"/>
      <c r="D922" s="5"/>
      <c r="E922" s="5"/>
      <c r="F922" s="5"/>
      <c r="G922" s="5"/>
      <c r="H922" s="5"/>
      <c r="I922" s="5"/>
      <c r="J922" s="5"/>
      <c r="K922" s="5"/>
      <c r="L922" s="5"/>
      <c r="M922" s="5"/>
      <c r="N922" s="5"/>
      <c r="O922" s="5"/>
      <c r="P922" s="5"/>
      <c r="Q922" s="5"/>
      <c r="R922" s="5"/>
      <c r="S922" s="5"/>
      <c r="T922" s="5"/>
    </row>
    <row r="923" spans="1:20">
      <c r="A923" s="45"/>
      <c r="B923" s="46"/>
      <c r="C923" s="5"/>
      <c r="D923" s="5"/>
      <c r="E923" s="5"/>
      <c r="F923" s="5"/>
      <c r="G923" s="5"/>
      <c r="H923" s="5"/>
      <c r="I923" s="5"/>
      <c r="J923" s="5"/>
      <c r="K923" s="5"/>
      <c r="L923" s="5"/>
      <c r="M923" s="5"/>
      <c r="N923" s="5"/>
      <c r="O923" s="5"/>
      <c r="P923" s="5"/>
      <c r="Q923" s="5"/>
      <c r="R923" s="5"/>
      <c r="S923" s="5"/>
      <c r="T923" s="5"/>
    </row>
    <row r="924" spans="1:20">
      <c r="A924" s="45"/>
      <c r="B924" s="46"/>
      <c r="C924" s="5"/>
      <c r="D924" s="5"/>
      <c r="E924" s="5"/>
      <c r="F924" s="5"/>
      <c r="G924" s="5"/>
      <c r="H924" s="5"/>
      <c r="I924" s="5"/>
      <c r="J924" s="5"/>
      <c r="K924" s="5"/>
      <c r="L924" s="5"/>
      <c r="M924" s="5"/>
      <c r="N924" s="5"/>
      <c r="O924" s="5"/>
      <c r="P924" s="5"/>
      <c r="Q924" s="5"/>
      <c r="R924" s="5"/>
      <c r="S924" s="5"/>
      <c r="T924" s="5"/>
    </row>
    <row r="925" spans="1:20">
      <c r="A925" s="45"/>
      <c r="B925" s="46"/>
      <c r="C925" s="5"/>
      <c r="D925" s="5"/>
      <c r="E925" s="5"/>
      <c r="F925" s="5"/>
      <c r="G925" s="5"/>
      <c r="H925" s="5"/>
      <c r="I925" s="5"/>
      <c r="J925" s="5"/>
      <c r="K925" s="5"/>
      <c r="L925" s="5"/>
      <c r="M925" s="5"/>
      <c r="N925" s="5"/>
      <c r="O925" s="5"/>
      <c r="P925" s="5"/>
      <c r="Q925" s="5"/>
      <c r="R925" s="5"/>
      <c r="S925" s="5"/>
      <c r="T925" s="5"/>
    </row>
    <row r="926" spans="1:20">
      <c r="A926" s="45"/>
      <c r="B926" s="46"/>
      <c r="C926" s="5"/>
      <c r="D926" s="5"/>
      <c r="E926" s="5"/>
      <c r="F926" s="5"/>
      <c r="G926" s="5"/>
      <c r="H926" s="5"/>
      <c r="I926" s="5"/>
      <c r="J926" s="5"/>
      <c r="K926" s="5"/>
      <c r="L926" s="5"/>
      <c r="M926" s="5"/>
      <c r="N926" s="5"/>
      <c r="O926" s="5"/>
      <c r="P926" s="5"/>
      <c r="Q926" s="5"/>
      <c r="R926" s="5"/>
      <c r="S926" s="5"/>
      <c r="T926" s="5"/>
    </row>
    <row r="927" spans="1:20">
      <c r="A927" s="45"/>
      <c r="B927" s="46"/>
      <c r="C927" s="5"/>
      <c r="D927" s="5"/>
      <c r="E927" s="5"/>
      <c r="F927" s="5"/>
      <c r="G927" s="5"/>
      <c r="H927" s="5"/>
      <c r="I927" s="5"/>
      <c r="J927" s="5"/>
      <c r="K927" s="5"/>
      <c r="L927" s="5"/>
      <c r="M927" s="5"/>
      <c r="N927" s="5"/>
      <c r="O927" s="5"/>
      <c r="P927" s="5"/>
      <c r="Q927" s="5"/>
      <c r="R927" s="5"/>
      <c r="S927" s="5"/>
      <c r="T927" s="5"/>
    </row>
    <row r="928" spans="1:20">
      <c r="A928" s="45"/>
      <c r="B928" s="46"/>
      <c r="C928" s="5"/>
      <c r="D928" s="5"/>
      <c r="E928" s="5"/>
      <c r="F928" s="5"/>
      <c r="G928" s="5"/>
      <c r="H928" s="5"/>
      <c r="I928" s="5"/>
      <c r="J928" s="5"/>
      <c r="K928" s="5"/>
      <c r="L928" s="5"/>
      <c r="M928" s="5"/>
      <c r="N928" s="5"/>
      <c r="O928" s="5"/>
      <c r="P928" s="5"/>
      <c r="Q928" s="5"/>
      <c r="R928" s="5"/>
      <c r="S928" s="5"/>
      <c r="T928" s="5"/>
    </row>
    <row r="929" spans="1:20">
      <c r="A929" s="45"/>
      <c r="B929" s="46"/>
      <c r="C929" s="5"/>
      <c r="D929" s="5"/>
      <c r="E929" s="5"/>
      <c r="F929" s="5"/>
      <c r="G929" s="5"/>
      <c r="H929" s="5"/>
      <c r="I929" s="5"/>
      <c r="J929" s="5"/>
      <c r="K929" s="5"/>
      <c r="L929" s="5"/>
      <c r="M929" s="5"/>
      <c r="N929" s="5"/>
      <c r="O929" s="5"/>
      <c r="P929" s="5"/>
      <c r="Q929" s="5"/>
      <c r="R929" s="5"/>
      <c r="S929" s="5"/>
      <c r="T929" s="5"/>
    </row>
    <row r="930" spans="1:20">
      <c r="A930" s="45"/>
      <c r="B930" s="46"/>
      <c r="C930" s="5"/>
      <c r="D930" s="5"/>
      <c r="E930" s="5"/>
      <c r="F930" s="5"/>
      <c r="G930" s="5"/>
      <c r="H930" s="5"/>
      <c r="I930" s="5"/>
      <c r="J930" s="5"/>
      <c r="K930" s="5"/>
      <c r="L930" s="5"/>
      <c r="M930" s="5"/>
      <c r="N930" s="5"/>
      <c r="O930" s="5"/>
      <c r="P930" s="5"/>
      <c r="Q930" s="5"/>
      <c r="R930" s="5"/>
      <c r="S930" s="5"/>
      <c r="T930" s="5"/>
    </row>
    <row r="931" spans="1:20">
      <c r="A931" s="45"/>
      <c r="B931" s="46"/>
      <c r="C931" s="5"/>
      <c r="D931" s="5"/>
      <c r="E931" s="5"/>
      <c r="F931" s="5"/>
      <c r="G931" s="5"/>
      <c r="H931" s="5"/>
      <c r="I931" s="5"/>
      <c r="J931" s="5"/>
      <c r="K931" s="5"/>
      <c r="L931" s="5"/>
      <c r="M931" s="5"/>
      <c r="N931" s="5"/>
      <c r="O931" s="5"/>
      <c r="P931" s="5"/>
      <c r="Q931" s="5"/>
      <c r="R931" s="5"/>
      <c r="S931" s="5"/>
      <c r="T931" s="5"/>
    </row>
    <row r="932" spans="1:20">
      <c r="A932" s="45"/>
      <c r="B932" s="46"/>
      <c r="C932" s="5"/>
      <c r="D932" s="5"/>
      <c r="E932" s="5"/>
      <c r="F932" s="5"/>
      <c r="G932" s="5"/>
      <c r="H932" s="5"/>
      <c r="I932" s="5"/>
      <c r="J932" s="5"/>
      <c r="K932" s="5"/>
      <c r="L932" s="5"/>
      <c r="M932" s="5"/>
      <c r="N932" s="5"/>
      <c r="O932" s="5"/>
      <c r="P932" s="5"/>
      <c r="Q932" s="5"/>
      <c r="R932" s="5"/>
      <c r="S932" s="5"/>
      <c r="T932" s="5"/>
    </row>
    <row r="933" spans="1:20">
      <c r="A933" s="45"/>
      <c r="B933" s="46"/>
      <c r="C933" s="5"/>
      <c r="D933" s="5"/>
      <c r="E933" s="5"/>
      <c r="F933" s="5"/>
      <c r="G933" s="5"/>
      <c r="H933" s="5"/>
      <c r="I933" s="5"/>
      <c r="J933" s="5"/>
      <c r="K933" s="5"/>
      <c r="L933" s="5"/>
      <c r="M933" s="5"/>
      <c r="N933" s="5"/>
      <c r="O933" s="5"/>
      <c r="P933" s="5"/>
      <c r="Q933" s="5"/>
      <c r="R933" s="5"/>
      <c r="S933" s="5"/>
      <c r="T933" s="5"/>
    </row>
    <row r="934" spans="1:20">
      <c r="A934" s="45"/>
      <c r="B934" s="46"/>
      <c r="C934" s="5"/>
      <c r="D934" s="5"/>
      <c r="E934" s="5"/>
      <c r="F934" s="5"/>
      <c r="G934" s="5"/>
      <c r="H934" s="5"/>
      <c r="I934" s="5"/>
      <c r="J934" s="5"/>
      <c r="K934" s="5"/>
      <c r="L934" s="5"/>
      <c r="M934" s="5"/>
      <c r="N934" s="5"/>
      <c r="O934" s="5"/>
      <c r="P934" s="5"/>
      <c r="Q934" s="5"/>
      <c r="R934" s="5"/>
      <c r="S934" s="5"/>
      <c r="T934" s="5"/>
    </row>
    <row r="935" spans="1:20">
      <c r="A935" s="45"/>
      <c r="B935" s="46"/>
      <c r="C935" s="5"/>
      <c r="D935" s="5"/>
      <c r="E935" s="5"/>
      <c r="F935" s="5"/>
      <c r="G935" s="5"/>
      <c r="H935" s="5"/>
      <c r="I935" s="5"/>
      <c r="J935" s="5"/>
      <c r="K935" s="5"/>
      <c r="L935" s="5"/>
      <c r="M935" s="5"/>
      <c r="N935" s="5"/>
      <c r="O935" s="5"/>
      <c r="P935" s="5"/>
      <c r="Q935" s="5"/>
      <c r="R935" s="5"/>
      <c r="S935" s="5"/>
      <c r="T935" s="5"/>
    </row>
    <row r="936" spans="1:20">
      <c r="A936" s="45"/>
      <c r="B936" s="46"/>
      <c r="C936" s="5"/>
      <c r="D936" s="5"/>
      <c r="E936" s="5"/>
      <c r="F936" s="5"/>
      <c r="G936" s="5"/>
      <c r="H936" s="5"/>
      <c r="I936" s="5"/>
      <c r="J936" s="5"/>
      <c r="K936" s="5"/>
      <c r="L936" s="5"/>
      <c r="M936" s="5"/>
      <c r="N936" s="5"/>
      <c r="O936" s="5"/>
      <c r="P936" s="5"/>
      <c r="Q936" s="5"/>
      <c r="R936" s="5"/>
      <c r="S936" s="5"/>
      <c r="T936" s="5"/>
    </row>
    <row r="937" spans="1:20">
      <c r="A937" s="45"/>
      <c r="B937" s="46"/>
      <c r="C937" s="5"/>
      <c r="D937" s="5"/>
      <c r="E937" s="5"/>
      <c r="F937" s="5"/>
      <c r="G937" s="5"/>
      <c r="H937" s="5"/>
      <c r="I937" s="5"/>
      <c r="J937" s="5"/>
      <c r="K937" s="5"/>
      <c r="L937" s="5"/>
      <c r="M937" s="5"/>
      <c r="N937" s="5"/>
      <c r="O937" s="5"/>
      <c r="P937" s="5"/>
      <c r="Q937" s="5"/>
      <c r="R937" s="5"/>
      <c r="S937" s="5"/>
      <c r="T937" s="5"/>
    </row>
    <row r="938" spans="1:20">
      <c r="A938" s="45"/>
      <c r="B938" s="46"/>
      <c r="C938" s="5"/>
      <c r="D938" s="5"/>
      <c r="E938" s="5"/>
      <c r="F938" s="5"/>
      <c r="G938" s="5"/>
      <c r="H938" s="5"/>
      <c r="I938" s="5"/>
      <c r="J938" s="5"/>
      <c r="K938" s="5"/>
      <c r="L938" s="5"/>
      <c r="M938" s="5"/>
      <c r="N938" s="5"/>
      <c r="O938" s="5"/>
      <c r="P938" s="5"/>
      <c r="Q938" s="5"/>
      <c r="R938" s="5"/>
      <c r="S938" s="5"/>
      <c r="T938" s="5"/>
    </row>
    <row r="939" spans="1:20">
      <c r="A939" s="45"/>
      <c r="B939" s="46"/>
      <c r="C939" s="5"/>
      <c r="D939" s="5"/>
      <c r="E939" s="5"/>
      <c r="F939" s="5"/>
      <c r="G939" s="5"/>
      <c r="H939" s="5"/>
      <c r="I939" s="5"/>
      <c r="J939" s="5"/>
      <c r="K939" s="5"/>
      <c r="L939" s="5"/>
      <c r="M939" s="5"/>
      <c r="N939" s="5"/>
      <c r="O939" s="5"/>
      <c r="P939" s="5"/>
      <c r="Q939" s="5"/>
      <c r="R939" s="5"/>
      <c r="S939" s="5"/>
      <c r="T939" s="5"/>
    </row>
    <row r="940" spans="1:20">
      <c r="A940" s="45"/>
      <c r="B940" s="46"/>
      <c r="C940" s="5"/>
      <c r="D940" s="5"/>
      <c r="E940" s="5"/>
      <c r="F940" s="5"/>
      <c r="G940" s="5"/>
      <c r="H940" s="5"/>
      <c r="I940" s="5"/>
      <c r="J940" s="5"/>
      <c r="K940" s="5"/>
      <c r="L940" s="5"/>
      <c r="M940" s="5"/>
      <c r="N940" s="5"/>
      <c r="O940" s="5"/>
      <c r="P940" s="5"/>
      <c r="Q940" s="5"/>
      <c r="R940" s="5"/>
      <c r="S940" s="5"/>
      <c r="T940" s="5"/>
    </row>
    <row r="941" spans="1:20">
      <c r="A941" s="45"/>
      <c r="B941" s="46"/>
      <c r="C941" s="5"/>
      <c r="D941" s="5"/>
      <c r="E941" s="5"/>
      <c r="F941" s="5"/>
      <c r="G941" s="5"/>
      <c r="H941" s="5"/>
      <c r="I941" s="5"/>
      <c r="J941" s="5"/>
      <c r="K941" s="5"/>
      <c r="L941" s="5"/>
      <c r="M941" s="5"/>
      <c r="N941" s="5"/>
      <c r="O941" s="5"/>
      <c r="P941" s="5"/>
      <c r="Q941" s="5"/>
      <c r="R941" s="5"/>
      <c r="S941" s="5"/>
      <c r="T941" s="5"/>
    </row>
    <row r="942" spans="1:20">
      <c r="A942" s="45"/>
      <c r="B942" s="46"/>
      <c r="C942" s="5"/>
      <c r="D942" s="5"/>
      <c r="E942" s="5"/>
      <c r="F942" s="5"/>
      <c r="G942" s="5"/>
      <c r="H942" s="5"/>
      <c r="I942" s="5"/>
      <c r="J942" s="5"/>
      <c r="K942" s="5"/>
      <c r="L942" s="5"/>
      <c r="M942" s="5"/>
      <c r="N942" s="5"/>
      <c r="O942" s="5"/>
      <c r="P942" s="5"/>
      <c r="Q942" s="5"/>
      <c r="R942" s="5"/>
      <c r="S942" s="5"/>
      <c r="T942" s="5"/>
    </row>
    <row r="943" spans="1:20">
      <c r="A943" s="45"/>
      <c r="B943" s="46"/>
      <c r="C943" s="5"/>
      <c r="D943" s="5"/>
      <c r="E943" s="5"/>
      <c r="F943" s="5"/>
      <c r="G943" s="5"/>
      <c r="H943" s="5"/>
      <c r="I943" s="5"/>
      <c r="J943" s="5"/>
      <c r="K943" s="5"/>
      <c r="L943" s="5"/>
      <c r="M943" s="5"/>
      <c r="N943" s="5"/>
      <c r="O943" s="5"/>
      <c r="P943" s="5"/>
      <c r="Q943" s="5"/>
      <c r="R943" s="5"/>
      <c r="S943" s="5"/>
      <c r="T943" s="5"/>
    </row>
    <row r="944" spans="1:20">
      <c r="A944" s="45"/>
      <c r="B944" s="46"/>
      <c r="C944" s="5"/>
      <c r="D944" s="5"/>
      <c r="E944" s="5"/>
      <c r="F944" s="5"/>
      <c r="G944" s="5"/>
      <c r="H944" s="5"/>
      <c r="I944" s="5"/>
      <c r="J944" s="5"/>
      <c r="K944" s="5"/>
      <c r="L944" s="5"/>
      <c r="M944" s="5"/>
      <c r="N944" s="5"/>
      <c r="O944" s="5"/>
      <c r="P944" s="5"/>
      <c r="Q944" s="5"/>
      <c r="R944" s="5"/>
      <c r="S944" s="5"/>
      <c r="T944" s="5"/>
    </row>
    <row r="945" spans="1:20">
      <c r="A945" s="45"/>
      <c r="B945" s="46"/>
      <c r="C945" s="5"/>
      <c r="D945" s="5"/>
      <c r="E945" s="5"/>
      <c r="F945" s="5"/>
      <c r="G945" s="5"/>
      <c r="H945" s="5"/>
      <c r="I945" s="5"/>
      <c r="J945" s="5"/>
      <c r="K945" s="5"/>
      <c r="L945" s="5"/>
      <c r="M945" s="5"/>
      <c r="N945" s="5"/>
      <c r="O945" s="5"/>
      <c r="P945" s="5"/>
      <c r="Q945" s="5"/>
      <c r="R945" s="5"/>
      <c r="S945" s="5"/>
      <c r="T945" s="5"/>
    </row>
    <row r="946" spans="1:20">
      <c r="A946" s="45"/>
      <c r="B946" s="46"/>
      <c r="C946" s="5"/>
      <c r="D946" s="5"/>
      <c r="E946" s="5"/>
      <c r="F946" s="5"/>
      <c r="G946" s="5"/>
      <c r="H946" s="5"/>
      <c r="I946" s="5"/>
      <c r="J946" s="5"/>
      <c r="K946" s="5"/>
      <c r="L946" s="5"/>
      <c r="M946" s="5"/>
      <c r="N946" s="5"/>
      <c r="O946" s="5"/>
      <c r="P946" s="5"/>
      <c r="Q946" s="5"/>
      <c r="R946" s="5"/>
      <c r="S946" s="5"/>
      <c r="T946" s="5"/>
    </row>
    <row r="947" spans="1:20">
      <c r="A947" s="45"/>
      <c r="B947" s="46"/>
      <c r="C947" s="5"/>
      <c r="D947" s="5"/>
      <c r="E947" s="5"/>
      <c r="F947" s="5"/>
      <c r="G947" s="5"/>
      <c r="H947" s="5"/>
      <c r="I947" s="5"/>
      <c r="J947" s="5"/>
      <c r="K947" s="5"/>
      <c r="L947" s="5"/>
      <c r="M947" s="5"/>
      <c r="N947" s="5"/>
      <c r="O947" s="5"/>
      <c r="P947" s="5"/>
      <c r="Q947" s="5"/>
      <c r="R947" s="5"/>
      <c r="S947" s="5"/>
      <c r="T947" s="5"/>
    </row>
    <row r="948" spans="1:20">
      <c r="A948" s="45"/>
      <c r="B948" s="46"/>
      <c r="C948" s="5"/>
      <c r="D948" s="5"/>
      <c r="E948" s="5"/>
      <c r="F948" s="5"/>
      <c r="G948" s="5"/>
      <c r="H948" s="5"/>
      <c r="I948" s="5"/>
      <c r="J948" s="5"/>
      <c r="K948" s="5"/>
      <c r="L948" s="5"/>
      <c r="M948" s="5"/>
      <c r="N948" s="5"/>
      <c r="O948" s="5"/>
      <c r="P948" s="5"/>
      <c r="Q948" s="5"/>
      <c r="R948" s="5"/>
      <c r="S948" s="5"/>
      <c r="T948" s="5"/>
    </row>
    <row r="949" spans="1:20">
      <c r="A949" s="45"/>
      <c r="B949" s="46"/>
      <c r="C949" s="5"/>
      <c r="D949" s="5"/>
      <c r="E949" s="5"/>
      <c r="F949" s="5"/>
      <c r="G949" s="5"/>
      <c r="H949" s="5"/>
      <c r="I949" s="5"/>
      <c r="J949" s="5"/>
      <c r="K949" s="5"/>
      <c r="L949" s="5"/>
      <c r="M949" s="5"/>
      <c r="N949" s="5"/>
      <c r="O949" s="5"/>
      <c r="P949" s="5"/>
      <c r="Q949" s="5"/>
      <c r="R949" s="5"/>
      <c r="S949" s="5"/>
      <c r="T949" s="5"/>
    </row>
    <row r="950" spans="1:20">
      <c r="A950" s="45"/>
      <c r="B950" s="46"/>
      <c r="C950" s="5"/>
      <c r="D950" s="5"/>
      <c r="E950" s="5"/>
      <c r="F950" s="5"/>
      <c r="G950" s="5"/>
      <c r="H950" s="5"/>
      <c r="I950" s="5"/>
      <c r="J950" s="5"/>
      <c r="K950" s="5"/>
      <c r="L950" s="5"/>
      <c r="M950" s="5"/>
      <c r="N950" s="5"/>
      <c r="O950" s="5"/>
      <c r="P950" s="5"/>
      <c r="Q950" s="5"/>
      <c r="R950" s="5"/>
      <c r="S950" s="5"/>
      <c r="T950" s="5"/>
    </row>
    <row r="951" spans="1:20">
      <c r="A951" s="45"/>
      <c r="B951" s="46"/>
      <c r="C951" s="5"/>
      <c r="D951" s="5"/>
      <c r="E951" s="5"/>
      <c r="F951" s="5"/>
      <c r="G951" s="5"/>
      <c r="H951" s="5"/>
      <c r="I951" s="5"/>
      <c r="J951" s="5"/>
      <c r="K951" s="5"/>
      <c r="L951" s="5"/>
      <c r="M951" s="5"/>
      <c r="N951" s="5"/>
      <c r="O951" s="5"/>
      <c r="P951" s="5"/>
      <c r="Q951" s="5"/>
      <c r="R951" s="5"/>
      <c r="S951" s="5"/>
      <c r="T951" s="5"/>
    </row>
    <row r="952" spans="1:20">
      <c r="A952" s="45"/>
      <c r="B952" s="46"/>
      <c r="C952" s="5"/>
      <c r="D952" s="5"/>
      <c r="E952" s="5"/>
      <c r="F952" s="5"/>
      <c r="G952" s="5"/>
      <c r="H952" s="5"/>
      <c r="I952" s="5"/>
      <c r="J952" s="5"/>
      <c r="K952" s="5"/>
      <c r="L952" s="5"/>
      <c r="M952" s="5"/>
      <c r="N952" s="5"/>
      <c r="O952" s="5"/>
      <c r="P952" s="5"/>
      <c r="Q952" s="5"/>
      <c r="R952" s="5"/>
      <c r="S952" s="5"/>
      <c r="T952" s="5"/>
    </row>
    <row r="953" spans="1:20">
      <c r="A953" s="45"/>
      <c r="B953" s="46"/>
      <c r="C953" s="5"/>
      <c r="D953" s="5"/>
      <c r="E953" s="5"/>
      <c r="F953" s="5"/>
      <c r="G953" s="5"/>
      <c r="H953" s="5"/>
      <c r="I953" s="5"/>
      <c r="J953" s="5"/>
      <c r="K953" s="5"/>
      <c r="L953" s="5"/>
      <c r="M953" s="5"/>
      <c r="N953" s="5"/>
      <c r="O953" s="5"/>
      <c r="P953" s="5"/>
      <c r="Q953" s="5"/>
      <c r="R953" s="5"/>
      <c r="S953" s="5"/>
      <c r="T953" s="5"/>
    </row>
    <row r="954" spans="1:20">
      <c r="A954" s="45"/>
      <c r="B954" s="46"/>
      <c r="C954" s="5"/>
      <c r="D954" s="5"/>
      <c r="E954" s="5"/>
      <c r="F954" s="5"/>
      <c r="G954" s="5"/>
      <c r="H954" s="5"/>
      <c r="I954" s="5"/>
      <c r="J954" s="5"/>
      <c r="K954" s="5"/>
      <c r="L954" s="5"/>
      <c r="M954" s="5"/>
      <c r="N954" s="5"/>
      <c r="O954" s="5"/>
      <c r="P954" s="5"/>
      <c r="Q954" s="5"/>
      <c r="R954" s="5"/>
      <c r="S954" s="5"/>
      <c r="T954" s="5"/>
    </row>
    <row r="955" spans="1:20">
      <c r="A955" s="45"/>
      <c r="B955" s="46"/>
      <c r="C955" s="5"/>
      <c r="D955" s="5"/>
      <c r="E955" s="5"/>
      <c r="F955" s="5"/>
      <c r="G955" s="5"/>
      <c r="H955" s="5"/>
      <c r="I955" s="5"/>
      <c r="J955" s="5"/>
      <c r="K955" s="5"/>
      <c r="L955" s="5"/>
      <c r="M955" s="5"/>
      <c r="N955" s="5"/>
      <c r="O955" s="5"/>
      <c r="P955" s="5"/>
      <c r="Q955" s="5"/>
      <c r="R955" s="5"/>
      <c r="S955" s="5"/>
      <c r="T955" s="5"/>
    </row>
    <row r="956" spans="1:20">
      <c r="A956" s="45"/>
      <c r="B956" s="46"/>
      <c r="C956" s="5"/>
      <c r="D956" s="5"/>
      <c r="E956" s="5"/>
      <c r="F956" s="5"/>
      <c r="G956" s="5"/>
      <c r="H956" s="5"/>
      <c r="I956" s="5"/>
      <c r="J956" s="5"/>
      <c r="K956" s="5"/>
      <c r="L956" s="5"/>
      <c r="M956" s="5"/>
      <c r="N956" s="5"/>
      <c r="O956" s="5"/>
      <c r="P956" s="5"/>
      <c r="Q956" s="5"/>
      <c r="R956" s="5"/>
      <c r="S956" s="5"/>
      <c r="T956" s="5"/>
    </row>
    <row r="957" spans="1:20">
      <c r="A957" s="45"/>
      <c r="B957" s="46"/>
      <c r="C957" s="5"/>
      <c r="D957" s="5"/>
      <c r="E957" s="5"/>
      <c r="F957" s="5"/>
      <c r="G957" s="5"/>
      <c r="H957" s="5"/>
      <c r="I957" s="5"/>
      <c r="J957" s="5"/>
      <c r="K957" s="5"/>
      <c r="L957" s="5"/>
      <c r="M957" s="5"/>
      <c r="N957" s="5"/>
      <c r="O957" s="5"/>
      <c r="P957" s="5"/>
      <c r="Q957" s="5"/>
      <c r="R957" s="5"/>
      <c r="S957" s="5"/>
      <c r="T957" s="5"/>
    </row>
    <row r="958" spans="1:20">
      <c r="A958" s="45"/>
      <c r="B958" s="46"/>
      <c r="C958" s="5"/>
      <c r="D958" s="5"/>
      <c r="E958" s="5"/>
      <c r="F958" s="5"/>
      <c r="G958" s="5"/>
      <c r="H958" s="5"/>
      <c r="I958" s="5"/>
      <c r="J958" s="5"/>
      <c r="K958" s="5"/>
      <c r="L958" s="5"/>
      <c r="M958" s="5"/>
      <c r="N958" s="5"/>
      <c r="O958" s="5"/>
      <c r="P958" s="5"/>
      <c r="Q958" s="5"/>
      <c r="R958" s="5"/>
      <c r="S958" s="5"/>
      <c r="T958" s="5"/>
    </row>
    <row r="959" spans="1:20">
      <c r="A959" s="45"/>
      <c r="B959" s="46"/>
      <c r="C959" s="5"/>
      <c r="D959" s="5"/>
      <c r="E959" s="5"/>
      <c r="F959" s="5"/>
      <c r="G959" s="5"/>
      <c r="H959" s="5"/>
      <c r="I959" s="5"/>
      <c r="J959" s="5"/>
      <c r="K959" s="5"/>
      <c r="L959" s="5"/>
      <c r="M959" s="5"/>
      <c r="N959" s="5"/>
      <c r="O959" s="5"/>
      <c r="P959" s="5"/>
      <c r="Q959" s="5"/>
      <c r="R959" s="5"/>
      <c r="S959" s="5"/>
      <c r="T959" s="5"/>
    </row>
    <row r="960" spans="1:20">
      <c r="A960" s="45"/>
      <c r="B960" s="46"/>
      <c r="C960" s="5"/>
      <c r="D960" s="5"/>
      <c r="E960" s="5"/>
      <c r="F960" s="5"/>
      <c r="G960" s="5"/>
      <c r="H960" s="5"/>
      <c r="I960" s="5"/>
      <c r="J960" s="5"/>
      <c r="K960" s="5"/>
      <c r="L960" s="5"/>
      <c r="M960" s="5"/>
      <c r="N960" s="5"/>
      <c r="O960" s="5"/>
      <c r="P960" s="5"/>
      <c r="Q960" s="5"/>
      <c r="R960" s="5"/>
      <c r="S960" s="5"/>
      <c r="T960" s="5"/>
    </row>
    <row r="961" spans="1:20">
      <c r="A961" s="45"/>
      <c r="B961" s="46"/>
      <c r="C961" s="5"/>
      <c r="D961" s="5"/>
      <c r="E961" s="5"/>
      <c r="F961" s="5"/>
      <c r="G961" s="5"/>
      <c r="H961" s="5"/>
      <c r="I961" s="5"/>
      <c r="J961" s="5"/>
      <c r="K961" s="5"/>
      <c r="L961" s="5"/>
      <c r="M961" s="5"/>
      <c r="N961" s="5"/>
      <c r="O961" s="5"/>
      <c r="P961" s="5"/>
      <c r="Q961" s="5"/>
      <c r="R961" s="5"/>
      <c r="S961" s="5"/>
      <c r="T961" s="5"/>
    </row>
    <row r="962" spans="1:20">
      <c r="A962" s="45"/>
      <c r="B962" s="46"/>
      <c r="C962" s="5"/>
      <c r="D962" s="5"/>
      <c r="E962" s="5"/>
      <c r="F962" s="5"/>
      <c r="G962" s="5"/>
      <c r="H962" s="5"/>
      <c r="I962" s="5"/>
      <c r="J962" s="5"/>
      <c r="K962" s="5"/>
      <c r="L962" s="5"/>
      <c r="M962" s="5"/>
      <c r="N962" s="5"/>
      <c r="O962" s="5"/>
      <c r="P962" s="5"/>
      <c r="Q962" s="5"/>
      <c r="R962" s="5"/>
      <c r="S962" s="5"/>
      <c r="T962" s="5"/>
    </row>
    <row r="963" spans="1:20">
      <c r="A963" s="45"/>
      <c r="B963" s="46"/>
      <c r="C963" s="5"/>
      <c r="D963" s="5"/>
      <c r="E963" s="5"/>
      <c r="F963" s="5"/>
      <c r="G963" s="5"/>
      <c r="H963" s="5"/>
      <c r="I963" s="5"/>
      <c r="J963" s="5"/>
      <c r="K963" s="5"/>
      <c r="L963" s="5"/>
      <c r="M963" s="5"/>
      <c r="N963" s="5"/>
      <c r="O963" s="5"/>
      <c r="P963" s="5"/>
      <c r="Q963" s="5"/>
      <c r="R963" s="5"/>
      <c r="S963" s="5"/>
      <c r="T963" s="5"/>
    </row>
    <row r="964" spans="1:20">
      <c r="A964" s="45"/>
      <c r="B964" s="46"/>
      <c r="C964" s="5"/>
      <c r="D964" s="5"/>
      <c r="E964" s="5"/>
      <c r="F964" s="5"/>
      <c r="G964" s="5"/>
      <c r="H964" s="5"/>
      <c r="I964" s="5"/>
      <c r="J964" s="5"/>
      <c r="K964" s="5"/>
      <c r="L964" s="5"/>
      <c r="M964" s="5"/>
      <c r="N964" s="5"/>
      <c r="O964" s="5"/>
      <c r="P964" s="5"/>
      <c r="Q964" s="5"/>
      <c r="R964" s="5"/>
      <c r="S964" s="5"/>
      <c r="T964" s="5"/>
    </row>
    <row r="965" spans="1:20">
      <c r="A965" s="45"/>
      <c r="B965" s="46"/>
      <c r="C965" s="5"/>
      <c r="D965" s="5"/>
      <c r="E965" s="5"/>
      <c r="F965" s="5"/>
      <c r="G965" s="5"/>
      <c r="H965" s="5"/>
      <c r="I965" s="5"/>
      <c r="J965" s="5"/>
      <c r="K965" s="5"/>
      <c r="L965" s="5"/>
      <c r="M965" s="5"/>
      <c r="N965" s="5"/>
      <c r="O965" s="5"/>
      <c r="P965" s="5"/>
      <c r="Q965" s="5"/>
      <c r="R965" s="5"/>
      <c r="S965" s="5"/>
      <c r="T965" s="5"/>
    </row>
    <row r="966" spans="1:20">
      <c r="A966" s="45"/>
      <c r="B966" s="46"/>
      <c r="C966" s="5"/>
      <c r="D966" s="5"/>
      <c r="E966" s="5"/>
      <c r="F966" s="5"/>
      <c r="G966" s="5"/>
      <c r="H966" s="5"/>
      <c r="I966" s="5"/>
      <c r="J966" s="5"/>
      <c r="K966" s="5"/>
      <c r="L966" s="5"/>
      <c r="M966" s="5"/>
      <c r="N966" s="5"/>
      <c r="O966" s="5"/>
      <c r="P966" s="5"/>
      <c r="Q966" s="5"/>
      <c r="R966" s="5"/>
      <c r="S966" s="5"/>
      <c r="T966" s="5"/>
    </row>
    <row r="967" spans="1:20">
      <c r="A967" s="45"/>
      <c r="B967" s="46"/>
      <c r="C967" s="5"/>
      <c r="D967" s="5"/>
      <c r="E967" s="5"/>
      <c r="F967" s="5"/>
      <c r="G967" s="5"/>
      <c r="H967" s="5"/>
      <c r="I967" s="5"/>
      <c r="J967" s="5"/>
      <c r="K967" s="5"/>
      <c r="L967" s="5"/>
      <c r="M967" s="5"/>
      <c r="N967" s="5"/>
      <c r="O967" s="5"/>
      <c r="P967" s="5"/>
      <c r="Q967" s="5"/>
      <c r="R967" s="5"/>
      <c r="S967" s="5"/>
      <c r="T967" s="5"/>
    </row>
    <row r="968" spans="1:20">
      <c r="A968" s="45"/>
      <c r="B968" s="46"/>
      <c r="C968" s="5"/>
      <c r="D968" s="5"/>
      <c r="E968" s="5"/>
      <c r="F968" s="5"/>
      <c r="G968" s="5"/>
      <c r="H968" s="5"/>
      <c r="I968" s="5"/>
      <c r="J968" s="5"/>
      <c r="K968" s="5"/>
      <c r="L968" s="5"/>
      <c r="M968" s="5"/>
      <c r="N968" s="5"/>
      <c r="O968" s="5"/>
      <c r="P968" s="5"/>
      <c r="Q968" s="5"/>
      <c r="R968" s="5"/>
      <c r="S968" s="5"/>
      <c r="T968" s="5"/>
    </row>
    <row r="969" spans="1:20">
      <c r="A969" s="45"/>
      <c r="B969" s="46"/>
      <c r="C969" s="5"/>
      <c r="D969" s="5"/>
      <c r="E969" s="5"/>
      <c r="F969" s="5"/>
      <c r="G969" s="5"/>
      <c r="H969" s="5"/>
      <c r="I969" s="5"/>
      <c r="J969" s="5"/>
      <c r="K969" s="5"/>
      <c r="L969" s="5"/>
      <c r="M969" s="5"/>
      <c r="N969" s="5"/>
      <c r="O969" s="5"/>
      <c r="P969" s="5"/>
      <c r="Q969" s="5"/>
      <c r="R969" s="5"/>
      <c r="S969" s="5"/>
      <c r="T969" s="5"/>
    </row>
    <row r="970" spans="1:20">
      <c r="A970" s="45"/>
      <c r="B970" s="46"/>
      <c r="C970" s="5"/>
      <c r="D970" s="5"/>
      <c r="E970" s="5"/>
      <c r="F970" s="5"/>
      <c r="G970" s="5"/>
      <c r="H970" s="5"/>
      <c r="I970" s="5"/>
      <c r="J970" s="5"/>
      <c r="K970" s="5"/>
      <c r="L970" s="5"/>
      <c r="M970" s="5"/>
      <c r="N970" s="5"/>
      <c r="O970" s="5"/>
      <c r="P970" s="5"/>
      <c r="Q970" s="5"/>
      <c r="R970" s="5"/>
      <c r="S970" s="5"/>
      <c r="T970" s="5"/>
    </row>
    <row r="971" spans="1:20">
      <c r="A971" s="45"/>
      <c r="B971" s="46"/>
      <c r="C971" s="5"/>
      <c r="D971" s="5"/>
      <c r="E971" s="5"/>
      <c r="F971" s="5"/>
      <c r="G971" s="5"/>
      <c r="H971" s="5"/>
      <c r="I971" s="5"/>
      <c r="J971" s="5"/>
      <c r="K971" s="5"/>
      <c r="L971" s="5"/>
      <c r="M971" s="5"/>
      <c r="N971" s="5"/>
      <c r="O971" s="5"/>
      <c r="P971" s="5"/>
      <c r="Q971" s="5"/>
      <c r="R971" s="5"/>
      <c r="S971" s="5"/>
      <c r="T971" s="5"/>
    </row>
    <row r="972" spans="1:20">
      <c r="A972" s="45"/>
      <c r="B972" s="46"/>
      <c r="C972" s="5"/>
      <c r="D972" s="5"/>
      <c r="E972" s="5"/>
      <c r="F972" s="5"/>
      <c r="G972" s="5"/>
      <c r="H972" s="5"/>
      <c r="I972" s="5"/>
      <c r="J972" s="5"/>
      <c r="K972" s="5"/>
      <c r="L972" s="5"/>
      <c r="M972" s="5"/>
      <c r="N972" s="5"/>
      <c r="O972" s="5"/>
      <c r="P972" s="5"/>
      <c r="Q972" s="5"/>
      <c r="R972" s="5"/>
      <c r="S972" s="5"/>
      <c r="T972" s="5"/>
    </row>
    <row r="973" spans="1:20">
      <c r="A973" s="45"/>
      <c r="B973" s="46"/>
      <c r="C973" s="5"/>
      <c r="D973" s="5"/>
      <c r="E973" s="5"/>
      <c r="F973" s="5"/>
      <c r="G973" s="5"/>
      <c r="H973" s="5"/>
      <c r="I973" s="5"/>
      <c r="J973" s="5"/>
      <c r="K973" s="5"/>
      <c r="L973" s="5"/>
      <c r="M973" s="5"/>
      <c r="N973" s="5"/>
      <c r="O973" s="5"/>
      <c r="P973" s="5"/>
      <c r="Q973" s="5"/>
      <c r="R973" s="5"/>
      <c r="S973" s="5"/>
      <c r="T973" s="5"/>
    </row>
    <row r="974" spans="1:20">
      <c r="A974" s="45"/>
      <c r="B974" s="46"/>
      <c r="C974" s="5"/>
      <c r="D974" s="5"/>
      <c r="E974" s="5"/>
      <c r="F974" s="5"/>
      <c r="G974" s="5"/>
      <c r="H974" s="5"/>
      <c r="I974" s="5"/>
      <c r="J974" s="5"/>
      <c r="K974" s="5"/>
      <c r="L974" s="5"/>
      <c r="M974" s="5"/>
      <c r="N974" s="5"/>
      <c r="O974" s="5"/>
      <c r="P974" s="5"/>
      <c r="Q974" s="5"/>
      <c r="R974" s="5"/>
      <c r="S974" s="5"/>
      <c r="T974" s="5"/>
    </row>
    <row r="975" spans="1:20">
      <c r="A975" s="45"/>
      <c r="B975" s="46"/>
      <c r="C975" s="5"/>
      <c r="D975" s="5"/>
      <c r="E975" s="5"/>
      <c r="F975" s="5"/>
      <c r="G975" s="5"/>
      <c r="H975" s="5"/>
      <c r="I975" s="5"/>
      <c r="J975" s="5"/>
      <c r="K975" s="5"/>
      <c r="L975" s="5"/>
      <c r="M975" s="5"/>
      <c r="N975" s="5"/>
      <c r="O975" s="5"/>
      <c r="P975" s="5"/>
      <c r="Q975" s="5"/>
      <c r="R975" s="5"/>
      <c r="S975" s="5"/>
      <c r="T975" s="5"/>
    </row>
    <row r="976" spans="1:20">
      <c r="A976" s="45"/>
      <c r="B976" s="46"/>
      <c r="C976" s="5"/>
      <c r="D976" s="5"/>
      <c r="E976" s="5"/>
      <c r="F976" s="5"/>
      <c r="G976" s="5"/>
      <c r="H976" s="5"/>
      <c r="I976" s="5"/>
      <c r="J976" s="5"/>
      <c r="K976" s="5"/>
      <c r="L976" s="5"/>
      <c r="M976" s="5"/>
      <c r="N976" s="5"/>
      <c r="O976" s="5"/>
      <c r="P976" s="5"/>
      <c r="Q976" s="5"/>
      <c r="R976" s="5"/>
      <c r="S976" s="5"/>
      <c r="T976" s="5"/>
    </row>
    <row r="977" spans="1:20">
      <c r="A977" s="45"/>
      <c r="B977" s="46"/>
      <c r="C977" s="5"/>
      <c r="D977" s="5"/>
      <c r="E977" s="5"/>
      <c r="F977" s="5"/>
      <c r="G977" s="5"/>
      <c r="H977" s="5"/>
      <c r="I977" s="5"/>
      <c r="J977" s="5"/>
      <c r="K977" s="5"/>
      <c r="L977" s="5"/>
      <c r="M977" s="5"/>
      <c r="N977" s="5"/>
      <c r="O977" s="5"/>
      <c r="P977" s="5"/>
      <c r="Q977" s="5"/>
      <c r="R977" s="5"/>
      <c r="S977" s="5"/>
      <c r="T977" s="5"/>
    </row>
    <row r="978" spans="1:20">
      <c r="A978" s="45"/>
      <c r="B978" s="46"/>
      <c r="C978" s="5"/>
      <c r="D978" s="5"/>
      <c r="E978" s="5"/>
      <c r="F978" s="5"/>
      <c r="G978" s="5"/>
      <c r="H978" s="5"/>
      <c r="I978" s="5"/>
      <c r="J978" s="5"/>
      <c r="K978" s="5"/>
      <c r="L978" s="5"/>
      <c r="M978" s="5"/>
      <c r="N978" s="5"/>
      <c r="O978" s="5"/>
      <c r="P978" s="5"/>
      <c r="Q978" s="5"/>
      <c r="R978" s="5"/>
      <c r="S978" s="5"/>
      <c r="T978" s="5"/>
    </row>
    <row r="979" spans="1:20">
      <c r="A979" s="45"/>
      <c r="B979" s="46"/>
      <c r="C979" s="5"/>
      <c r="D979" s="5"/>
      <c r="E979" s="5"/>
      <c r="F979" s="5"/>
      <c r="G979" s="5"/>
      <c r="H979" s="5"/>
      <c r="I979" s="5"/>
      <c r="J979" s="5"/>
      <c r="K979" s="5"/>
      <c r="L979" s="5"/>
      <c r="M979" s="5"/>
      <c r="N979" s="5"/>
      <c r="O979" s="5"/>
      <c r="P979" s="5"/>
      <c r="Q979" s="5"/>
      <c r="R979" s="5"/>
      <c r="S979" s="5"/>
      <c r="T979" s="5"/>
    </row>
    <row r="980" spans="1:20">
      <c r="A980" s="45"/>
      <c r="B980" s="46"/>
      <c r="C980" s="5"/>
      <c r="D980" s="5"/>
      <c r="E980" s="5"/>
      <c r="F980" s="5"/>
      <c r="G980" s="5"/>
      <c r="H980" s="5"/>
      <c r="I980" s="5"/>
      <c r="J980" s="5"/>
      <c r="K980" s="5"/>
      <c r="L980" s="5"/>
      <c r="M980" s="5"/>
      <c r="N980" s="5"/>
      <c r="O980" s="5"/>
      <c r="P980" s="5"/>
      <c r="Q980" s="5"/>
      <c r="R980" s="5"/>
      <c r="S980" s="5"/>
      <c r="T980" s="5"/>
    </row>
    <row r="981" spans="1:20">
      <c r="A981" s="45"/>
      <c r="B981" s="46"/>
      <c r="C981" s="5"/>
      <c r="D981" s="5"/>
      <c r="E981" s="5"/>
      <c r="F981" s="5"/>
      <c r="G981" s="5"/>
      <c r="H981" s="5"/>
      <c r="I981" s="5"/>
      <c r="J981" s="5"/>
      <c r="K981" s="5"/>
      <c r="L981" s="5"/>
      <c r="M981" s="5"/>
      <c r="N981" s="5"/>
      <c r="O981" s="5"/>
      <c r="P981" s="5"/>
      <c r="Q981" s="5"/>
      <c r="R981" s="5"/>
      <c r="S981" s="5"/>
      <c r="T981" s="5"/>
    </row>
    <row r="982" spans="1:20">
      <c r="A982" s="45"/>
      <c r="B982" s="46"/>
      <c r="C982" s="5"/>
      <c r="D982" s="5"/>
      <c r="E982" s="5"/>
      <c r="F982" s="5"/>
      <c r="G982" s="5"/>
      <c r="H982" s="5"/>
      <c r="I982" s="5"/>
      <c r="J982" s="5"/>
      <c r="K982" s="5"/>
      <c r="L982" s="5"/>
      <c r="M982" s="5"/>
      <c r="N982" s="5"/>
      <c r="O982" s="5"/>
      <c r="P982" s="5"/>
      <c r="Q982" s="5"/>
      <c r="R982" s="5"/>
      <c r="S982" s="5"/>
      <c r="T982" s="5"/>
    </row>
    <row r="983" spans="1:20">
      <c r="A983" s="45"/>
      <c r="B983" s="46"/>
      <c r="C983" s="5"/>
      <c r="D983" s="5"/>
      <c r="E983" s="5"/>
      <c r="F983" s="5"/>
      <c r="G983" s="5"/>
      <c r="H983" s="5"/>
      <c r="I983" s="5"/>
      <c r="J983" s="5"/>
      <c r="K983" s="5"/>
      <c r="L983" s="5"/>
      <c r="M983" s="5"/>
      <c r="N983" s="5"/>
      <c r="O983" s="5"/>
      <c r="P983" s="5"/>
      <c r="Q983" s="5"/>
      <c r="R983" s="5"/>
      <c r="S983" s="5"/>
      <c r="T983" s="5"/>
    </row>
    <row r="984" spans="1:20">
      <c r="A984" s="45"/>
      <c r="B984" s="46"/>
      <c r="C984" s="5"/>
      <c r="D984" s="5"/>
      <c r="E984" s="5"/>
      <c r="F984" s="5"/>
      <c r="G984" s="5"/>
      <c r="H984" s="5"/>
      <c r="I984" s="5"/>
      <c r="J984" s="5"/>
      <c r="K984" s="5"/>
      <c r="L984" s="5"/>
      <c r="M984" s="5"/>
      <c r="N984" s="5"/>
      <c r="O984" s="5"/>
      <c r="P984" s="5"/>
      <c r="Q984" s="5"/>
      <c r="R984" s="5"/>
      <c r="S984" s="5"/>
      <c r="T984" s="5"/>
    </row>
    <row r="985" spans="1:20">
      <c r="A985" s="45"/>
      <c r="B985" s="46"/>
      <c r="C985" s="5"/>
      <c r="D985" s="5"/>
      <c r="E985" s="5"/>
      <c r="F985" s="5"/>
      <c r="G985" s="5"/>
      <c r="H985" s="5"/>
      <c r="I985" s="5"/>
      <c r="J985" s="5"/>
      <c r="K985" s="5"/>
      <c r="L985" s="5"/>
      <c r="M985" s="5"/>
      <c r="N985" s="5"/>
      <c r="O985" s="5"/>
      <c r="P985" s="5"/>
      <c r="Q985" s="5"/>
      <c r="R985" s="5"/>
      <c r="S985" s="5"/>
      <c r="T985" s="5"/>
    </row>
    <row r="986" spans="1:20">
      <c r="A986" s="45"/>
      <c r="B986" s="46"/>
      <c r="C986" s="5"/>
      <c r="D986" s="5"/>
      <c r="E986" s="5"/>
      <c r="F986" s="5"/>
      <c r="G986" s="5"/>
      <c r="H986" s="5"/>
      <c r="I986" s="5"/>
      <c r="J986" s="5"/>
      <c r="K986" s="5"/>
      <c r="L986" s="5"/>
      <c r="M986" s="5"/>
      <c r="N986" s="5"/>
      <c r="O986" s="5"/>
      <c r="P986" s="5"/>
      <c r="Q986" s="5"/>
      <c r="R986" s="5"/>
      <c r="S986" s="5"/>
      <c r="T986" s="5"/>
    </row>
    <row r="987" spans="1:20">
      <c r="A987" s="45"/>
      <c r="B987" s="46"/>
      <c r="C987" s="5"/>
      <c r="D987" s="5"/>
      <c r="E987" s="5"/>
      <c r="F987" s="5"/>
      <c r="G987" s="5"/>
      <c r="H987" s="5"/>
      <c r="I987" s="5"/>
      <c r="J987" s="5"/>
      <c r="K987" s="5"/>
      <c r="L987" s="5"/>
      <c r="M987" s="5"/>
      <c r="N987" s="5"/>
      <c r="O987" s="5"/>
      <c r="P987" s="5"/>
      <c r="Q987" s="5"/>
      <c r="R987" s="5"/>
      <c r="S987" s="5"/>
      <c r="T987" s="5"/>
    </row>
    <row r="988" spans="1:20">
      <c r="A988" s="45"/>
      <c r="B988" s="46"/>
      <c r="C988" s="5"/>
      <c r="D988" s="5"/>
      <c r="E988" s="5"/>
      <c r="F988" s="5"/>
      <c r="G988" s="5"/>
      <c r="H988" s="5"/>
      <c r="I988" s="5"/>
      <c r="J988" s="5"/>
      <c r="K988" s="5"/>
      <c r="L988" s="5"/>
      <c r="M988" s="5"/>
      <c r="N988" s="5"/>
      <c r="O988" s="5"/>
      <c r="P988" s="5"/>
      <c r="Q988" s="5"/>
      <c r="R988" s="5"/>
      <c r="S988" s="5"/>
      <c r="T988" s="5"/>
    </row>
    <row r="989" spans="1:20">
      <c r="A989" s="45"/>
      <c r="B989" s="46"/>
      <c r="C989" s="5"/>
      <c r="D989" s="5"/>
      <c r="E989" s="5"/>
      <c r="F989" s="5"/>
      <c r="G989" s="5"/>
      <c r="H989" s="5"/>
      <c r="I989" s="5"/>
      <c r="J989" s="5"/>
      <c r="K989" s="5"/>
      <c r="L989" s="5"/>
      <c r="M989" s="5"/>
      <c r="N989" s="5"/>
      <c r="O989" s="5"/>
      <c r="P989" s="5"/>
      <c r="Q989" s="5"/>
      <c r="R989" s="5"/>
      <c r="S989" s="5"/>
      <c r="T989" s="5"/>
    </row>
    <row r="990" spans="1:20">
      <c r="A990" s="45"/>
      <c r="B990" s="46"/>
      <c r="C990" s="5"/>
      <c r="D990" s="5"/>
      <c r="E990" s="5"/>
      <c r="F990" s="5"/>
      <c r="G990" s="5"/>
      <c r="H990" s="5"/>
      <c r="I990" s="5"/>
      <c r="J990" s="5"/>
      <c r="K990" s="5"/>
      <c r="L990" s="5"/>
      <c r="M990" s="5"/>
      <c r="N990" s="5"/>
      <c r="O990" s="5"/>
      <c r="P990" s="5"/>
      <c r="Q990" s="5"/>
      <c r="R990" s="5"/>
      <c r="S990" s="5"/>
      <c r="T990" s="5"/>
    </row>
    <row r="991" spans="1:20">
      <c r="A991" s="45"/>
      <c r="B991" s="46"/>
      <c r="C991" s="5"/>
      <c r="D991" s="5"/>
      <c r="E991" s="5"/>
      <c r="F991" s="5"/>
      <c r="G991" s="5"/>
      <c r="H991" s="5"/>
      <c r="I991" s="5"/>
      <c r="J991" s="5"/>
      <c r="K991" s="5"/>
      <c r="L991" s="5"/>
      <c r="M991" s="5"/>
      <c r="N991" s="5"/>
      <c r="O991" s="5"/>
      <c r="P991" s="5"/>
      <c r="Q991" s="5"/>
      <c r="R991" s="5"/>
      <c r="S991" s="5"/>
      <c r="T991" s="5"/>
    </row>
    <row r="992" spans="1:20">
      <c r="A992" s="45"/>
      <c r="B992" s="46"/>
      <c r="C992" s="5"/>
      <c r="D992" s="5"/>
      <c r="E992" s="5"/>
      <c r="F992" s="5"/>
      <c r="G992" s="5"/>
      <c r="H992" s="5"/>
      <c r="I992" s="5"/>
      <c r="J992" s="5"/>
      <c r="K992" s="5"/>
      <c r="L992" s="5"/>
      <c r="M992" s="5"/>
      <c r="N992" s="5"/>
      <c r="O992" s="5"/>
      <c r="P992" s="5"/>
      <c r="Q992" s="5"/>
      <c r="R992" s="5"/>
      <c r="S992" s="5"/>
      <c r="T992" s="5"/>
    </row>
    <row r="993" spans="1:20">
      <c r="A993" s="45"/>
      <c r="B993" s="46"/>
      <c r="C993" s="5"/>
      <c r="D993" s="5"/>
      <c r="E993" s="5"/>
      <c r="F993" s="5"/>
      <c r="G993" s="5"/>
      <c r="H993" s="5"/>
      <c r="I993" s="5"/>
      <c r="J993" s="5"/>
      <c r="K993" s="5"/>
      <c r="L993" s="5"/>
      <c r="M993" s="5"/>
      <c r="N993" s="5"/>
      <c r="O993" s="5"/>
      <c r="P993" s="5"/>
      <c r="Q993" s="5"/>
      <c r="R993" s="5"/>
      <c r="S993" s="5"/>
      <c r="T993" s="5"/>
    </row>
    <row r="994" spans="1:20">
      <c r="A994" s="45"/>
      <c r="B994" s="46"/>
      <c r="C994" s="5"/>
      <c r="D994" s="5"/>
      <c r="E994" s="5"/>
      <c r="F994" s="5"/>
      <c r="G994" s="5"/>
      <c r="H994" s="5"/>
      <c r="I994" s="5"/>
      <c r="J994" s="5"/>
      <c r="K994" s="5"/>
      <c r="L994" s="5"/>
      <c r="M994" s="5"/>
      <c r="N994" s="5"/>
      <c r="O994" s="5"/>
      <c r="P994" s="5"/>
      <c r="Q994" s="5"/>
      <c r="R994" s="5"/>
      <c r="S994" s="5"/>
      <c r="T994" s="5"/>
    </row>
    <row r="995" spans="1:20">
      <c r="A995" s="45"/>
      <c r="B995" s="46"/>
      <c r="C995" s="5"/>
      <c r="D995" s="5"/>
      <c r="E995" s="5"/>
      <c r="F995" s="5"/>
      <c r="G995" s="5"/>
      <c r="H995" s="5"/>
      <c r="I995" s="5"/>
      <c r="J995" s="5"/>
      <c r="K995" s="5"/>
      <c r="L995" s="5"/>
      <c r="M995" s="5"/>
      <c r="N995" s="5"/>
      <c r="O995" s="5"/>
      <c r="P995" s="5"/>
      <c r="Q995" s="5"/>
      <c r="R995" s="5"/>
      <c r="S995" s="5"/>
      <c r="T995" s="5"/>
    </row>
    <row r="996" spans="1:20">
      <c r="A996" s="45"/>
      <c r="B996" s="46"/>
      <c r="C996" s="5"/>
      <c r="D996" s="5"/>
      <c r="E996" s="5"/>
      <c r="F996" s="5"/>
      <c r="G996" s="5"/>
      <c r="H996" s="5"/>
      <c r="I996" s="5"/>
      <c r="J996" s="5"/>
      <c r="K996" s="5"/>
      <c r="L996" s="5"/>
      <c r="M996" s="5"/>
      <c r="N996" s="5"/>
      <c r="O996" s="5"/>
      <c r="P996" s="5"/>
      <c r="Q996" s="5"/>
      <c r="R996" s="5"/>
      <c r="S996" s="5"/>
      <c r="T996" s="5"/>
    </row>
    <row r="997" spans="1:20">
      <c r="A997" s="45"/>
      <c r="B997" s="46"/>
      <c r="C997" s="5"/>
      <c r="D997" s="5"/>
      <c r="E997" s="5"/>
      <c r="F997" s="5"/>
      <c r="G997" s="5"/>
      <c r="H997" s="5"/>
      <c r="I997" s="5"/>
      <c r="J997" s="5"/>
      <c r="K997" s="5"/>
      <c r="L997" s="5"/>
      <c r="M997" s="5"/>
      <c r="N997" s="5"/>
      <c r="O997" s="5"/>
      <c r="P997" s="5"/>
      <c r="Q997" s="5"/>
      <c r="R997" s="5"/>
      <c r="S997" s="5"/>
      <c r="T997" s="5"/>
    </row>
    <row r="998" spans="1:20">
      <c r="A998" s="45"/>
      <c r="B998" s="46"/>
      <c r="C998" s="5"/>
      <c r="D998" s="5"/>
      <c r="E998" s="5"/>
      <c r="F998" s="5"/>
      <c r="G998" s="5"/>
      <c r="H998" s="5"/>
      <c r="I998" s="5"/>
      <c r="J998" s="5"/>
      <c r="K998" s="5"/>
      <c r="L998" s="5"/>
      <c r="M998" s="5"/>
      <c r="N998" s="5"/>
      <c r="O998" s="5"/>
      <c r="P998" s="5"/>
      <c r="Q998" s="5"/>
      <c r="R998" s="5"/>
      <c r="S998" s="5"/>
      <c r="T998" s="5"/>
    </row>
    <row r="999" spans="1:20">
      <c r="A999" s="45"/>
      <c r="B999" s="46"/>
      <c r="C999" s="5"/>
      <c r="D999" s="5"/>
      <c r="E999" s="5"/>
      <c r="F999" s="5"/>
      <c r="G999" s="5"/>
      <c r="H999" s="28"/>
      <c r="I999" s="28"/>
      <c r="J999" s="28"/>
      <c r="K999" s="28"/>
      <c r="L999" s="28"/>
      <c r="M999" s="5"/>
      <c r="N999" s="5"/>
      <c r="O999" s="5"/>
      <c r="P999" s="5"/>
      <c r="Q999" s="5"/>
      <c r="R999" s="5"/>
      <c r="S999" s="5"/>
      <c r="T999" s="5"/>
    </row>
    <row r="1000" spans="1:20">
      <c r="A1000" s="45"/>
      <c r="B1000" s="46"/>
      <c r="C1000" s="5"/>
      <c r="D1000" s="5"/>
      <c r="E1000" s="5"/>
      <c r="F1000" s="5"/>
      <c r="G1000" s="5"/>
      <c r="M1000" s="5"/>
      <c r="N1000" s="5"/>
      <c r="O1000" s="5"/>
      <c r="P1000" s="5"/>
      <c r="Q1000" s="5"/>
      <c r="R1000" s="5"/>
      <c r="S1000" s="5"/>
      <c r="T1000" s="5"/>
    </row>
    <row r="1001" spans="1:20">
      <c r="A1001" s="45"/>
      <c r="B1001" s="46"/>
      <c r="C1001" s="5"/>
      <c r="D1001" s="5"/>
      <c r="E1001" s="5"/>
      <c r="F1001" s="5"/>
      <c r="G1001" s="5"/>
      <c r="M1001" s="5"/>
      <c r="N1001" s="5"/>
      <c r="O1001" s="5"/>
      <c r="P1001" s="5"/>
      <c r="Q1001" s="5"/>
      <c r="R1001" s="5"/>
      <c r="S1001" s="5"/>
      <c r="T1001" s="5"/>
    </row>
    <row r="1002" spans="1:20">
      <c r="A1002" s="55"/>
      <c r="B1002" s="55"/>
      <c r="C1002" s="27"/>
      <c r="D1002" s="27"/>
      <c r="E1002" s="27"/>
      <c r="F1002" s="27"/>
      <c r="G1002" s="28"/>
      <c r="M1002" s="28"/>
      <c r="N1002" s="28"/>
      <c r="O1002" s="28"/>
      <c r="P1002" s="28"/>
      <c r="Q1002" s="28"/>
      <c r="R1002" s="28"/>
      <c r="S1002" s="28"/>
      <c r="T1002" s="28"/>
    </row>
  </sheetData>
  <mergeCells count="12">
    <mergeCell ref="H5:H6"/>
    <mergeCell ref="I5:I6"/>
    <mergeCell ref="J5:J6"/>
    <mergeCell ref="K5:K6"/>
    <mergeCell ref="O4:P4"/>
    <mergeCell ref="Q7:Q9"/>
    <mergeCell ref="R7:R9"/>
    <mergeCell ref="O13:O14"/>
    <mergeCell ref="P13:P14"/>
    <mergeCell ref="Q13:R13"/>
    <mergeCell ref="O7:O9"/>
    <mergeCell ref="P7:P9"/>
  </mergeCells>
  <conditionalFormatting sqref="M3 G3 F3:F16 G7:G16">
    <cfRule type="containsText" dxfId="2" priority="2" operator="containsText" text="X">
      <formula>NOT(ISERROR(SEARCH("X",F3)))</formula>
    </cfRule>
  </conditionalFormatting>
  <conditionalFormatting sqref="G4:G6">
    <cfRule type="containsText" dxfId="1" priority="1" operator="containsText" text="X">
      <formula>NOT(ISERROR(SEARCH("X",G4)))</formula>
    </cfRule>
  </conditionalFormatting>
  <dataValidations count="2">
    <dataValidation type="list" allowBlank="1" showInputMessage="1" showErrorMessage="1" sqref="Q6" xr:uid="{00000000-0002-0000-0200-000000000000}">
      <formula1>$Y$2:$Y$4</formula1>
    </dataValidation>
    <dataValidation type="whole" allowBlank="1" showInputMessage="1" showErrorMessage="1" sqref="J34" xr:uid="{E4BF9513-1082-F94C-AD3A-5B397FBAF19B}">
      <formula1>1</formula1>
      <formula2>15</formula2>
    </dataValidation>
  </dataValidations>
  <pageMargins left="0.7" right="0.7" top="0.75" bottom="0.75" header="0.3" footer="0.3"/>
  <pageSetup orientation="portrait" horizontalDpi="0" verticalDpi="0"/>
  <ignoredErrors>
    <ignoredError sqref="W9:W53" unlockedFormula="1"/>
  </ignoredError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8"/>
  </sheetPr>
  <dimension ref="A1:AE1002"/>
  <sheetViews>
    <sheetView workbookViewId="0">
      <selection activeCell="A2" sqref="A2"/>
    </sheetView>
  </sheetViews>
  <sheetFormatPr baseColWidth="10" defaultColWidth="11" defaultRowHeight="16"/>
  <cols>
    <col min="1" max="7" width="11.1640625" style="29" customWidth="1"/>
    <col min="8" max="8" width="6" customWidth="1"/>
    <col min="9" max="9" width="8.33203125" customWidth="1"/>
    <col min="10" max="14" width="16" customWidth="1"/>
    <col min="15" max="15" width="12" customWidth="1"/>
    <col min="16" max="22" width="16" customWidth="1"/>
    <col min="23" max="23" width="66.6640625" customWidth="1"/>
    <col min="24" max="24" width="35.6640625" customWidth="1"/>
    <col min="26" max="26" width="25.6640625" customWidth="1"/>
  </cols>
  <sheetData>
    <row r="1" spans="1:31" ht="35">
      <c r="A1" s="1" t="s">
        <v>185</v>
      </c>
      <c r="B1" s="1" t="s">
        <v>174</v>
      </c>
      <c r="C1" s="1" t="s">
        <v>175</v>
      </c>
      <c r="D1" s="1" t="s">
        <v>176</v>
      </c>
      <c r="E1" s="1" t="s">
        <v>177</v>
      </c>
      <c r="F1" s="1" t="s">
        <v>178</v>
      </c>
      <c r="G1" s="1" t="s">
        <v>179</v>
      </c>
      <c r="H1" s="2"/>
      <c r="I1" s="3" t="s">
        <v>50</v>
      </c>
      <c r="J1" s="2"/>
      <c r="K1" s="2"/>
      <c r="L1" s="2"/>
      <c r="M1" s="2"/>
      <c r="N1" s="2"/>
      <c r="O1" s="2"/>
      <c r="P1" s="2"/>
      <c r="Q1" s="2"/>
      <c r="R1" s="2"/>
      <c r="S1" s="2"/>
      <c r="T1" s="2"/>
      <c r="U1" s="2"/>
      <c r="V1" s="2"/>
      <c r="W1" s="2"/>
      <c r="X1" s="136" t="s">
        <v>141</v>
      </c>
      <c r="Y1" s="130"/>
      <c r="Z1" s="130"/>
      <c r="AA1" s="130"/>
      <c r="AB1" s="130" t="s">
        <v>31</v>
      </c>
      <c r="AD1" s="138" t="s">
        <v>163</v>
      </c>
      <c r="AE1" s="138" t="s">
        <v>164</v>
      </c>
    </row>
    <row r="2" spans="1:31">
      <c r="A2" s="4">
        <v>4</v>
      </c>
      <c r="B2" s="31">
        <v>5</v>
      </c>
      <c r="C2" s="31">
        <v>6</v>
      </c>
      <c r="D2" s="31">
        <v>4</v>
      </c>
      <c r="E2" s="31"/>
      <c r="F2" s="31"/>
      <c r="G2" s="31"/>
      <c r="H2" s="5"/>
      <c r="I2" s="5"/>
      <c r="J2" s="5"/>
      <c r="K2" s="5"/>
      <c r="L2" s="5"/>
      <c r="M2" s="5"/>
      <c r="N2" s="5"/>
      <c r="O2" s="5"/>
      <c r="P2" s="5"/>
      <c r="Q2" s="5"/>
      <c r="R2" s="5"/>
      <c r="S2" s="5"/>
      <c r="T2" s="5"/>
      <c r="U2" s="5"/>
      <c r="V2" s="5"/>
      <c r="W2" s="5"/>
      <c r="Z2" s="130"/>
      <c r="AA2" s="130"/>
      <c r="AB2" s="130" t="s">
        <v>28</v>
      </c>
      <c r="AD2" s="138" t="str">
        <f>I7</f>
        <v>Data 1</v>
      </c>
      <c r="AE2" s="138" t="s">
        <v>156</v>
      </c>
    </row>
    <row r="3" spans="1:31">
      <c r="A3" s="4">
        <v>6</v>
      </c>
      <c r="B3" s="31">
        <v>4</v>
      </c>
      <c r="C3" s="31">
        <v>5</v>
      </c>
      <c r="D3" s="31">
        <v>6</v>
      </c>
      <c r="E3" s="31"/>
      <c r="F3" s="31"/>
      <c r="G3" s="31"/>
      <c r="H3" s="5"/>
      <c r="I3" s="6"/>
      <c r="J3" s="7"/>
      <c r="K3" s="7"/>
      <c r="L3" s="7"/>
      <c r="M3" s="7"/>
      <c r="N3" s="7"/>
      <c r="O3" s="7"/>
      <c r="P3" s="7"/>
      <c r="Q3" s="7"/>
      <c r="R3" s="7"/>
      <c r="S3" s="7"/>
      <c r="T3" s="7"/>
      <c r="U3" s="7"/>
      <c r="V3" s="5"/>
      <c r="W3" s="5"/>
      <c r="X3" s="131" t="s">
        <v>155</v>
      </c>
      <c r="Y3" s="130" t="str">
        <f>VLOOKUP(N30,AD1:AE8,2,0)</f>
        <v>A</v>
      </c>
      <c r="Z3" s="130"/>
      <c r="AA3" s="130"/>
      <c r="AB3" s="130" t="s">
        <v>10</v>
      </c>
      <c r="AD3" s="138" t="str">
        <f t="shared" ref="AD3:AD8" si="0">I8</f>
        <v>Data 2</v>
      </c>
      <c r="AE3" s="138" t="s">
        <v>157</v>
      </c>
    </row>
    <row r="4" spans="1:31" ht="17" thickBot="1">
      <c r="A4" s="4">
        <v>4</v>
      </c>
      <c r="B4" s="31">
        <v>5</v>
      </c>
      <c r="C4" s="31">
        <v>3</v>
      </c>
      <c r="D4" s="31">
        <v>4</v>
      </c>
      <c r="E4" s="31"/>
      <c r="F4" s="31"/>
      <c r="G4" s="31"/>
      <c r="H4" s="5"/>
      <c r="I4" s="6"/>
      <c r="J4" s="8" t="s">
        <v>51</v>
      </c>
      <c r="K4" s="9"/>
      <c r="L4" s="9"/>
      <c r="M4" s="9"/>
      <c r="N4" s="9"/>
      <c r="O4" s="59"/>
      <c r="P4" s="168" t="s">
        <v>3</v>
      </c>
      <c r="Q4" s="169"/>
      <c r="R4" s="9"/>
      <c r="S4" s="9"/>
      <c r="T4" s="9"/>
      <c r="U4" s="10"/>
      <c r="V4" s="5"/>
      <c r="W4" s="5"/>
      <c r="X4" s="131" t="s">
        <v>149</v>
      </c>
      <c r="Y4" s="130">
        <f ca="1">MIN(INDIRECT(CONCATENATE(Y3,":",Y3)))</f>
        <v>4</v>
      </c>
      <c r="Z4" s="130"/>
      <c r="AA4" s="130"/>
      <c r="AB4" s="130" t="s">
        <v>32</v>
      </c>
      <c r="AD4" s="138" t="str">
        <f t="shared" si="0"/>
        <v xml:space="preserve"> Data 3</v>
      </c>
      <c r="AE4" s="138" t="s">
        <v>158</v>
      </c>
    </row>
    <row r="5" spans="1:31">
      <c r="A5" s="4">
        <v>6</v>
      </c>
      <c r="B5" s="31">
        <v>6</v>
      </c>
      <c r="C5" s="31">
        <v>7</v>
      </c>
      <c r="D5" s="31">
        <v>6</v>
      </c>
      <c r="E5" s="31"/>
      <c r="F5" s="31"/>
      <c r="G5" s="31"/>
      <c r="H5" s="5"/>
      <c r="I5" s="6"/>
      <c r="J5" s="170" t="s">
        <v>4</v>
      </c>
      <c r="K5" s="172" t="s">
        <v>39</v>
      </c>
      <c r="L5" s="172" t="s">
        <v>40</v>
      </c>
      <c r="M5" s="172" t="s">
        <v>52</v>
      </c>
      <c r="N5" s="176" t="s">
        <v>53</v>
      </c>
      <c r="O5" s="7"/>
      <c r="P5" s="48" t="s">
        <v>45</v>
      </c>
      <c r="Q5" s="198" t="s">
        <v>55</v>
      </c>
      <c r="R5" s="199"/>
      <c r="S5" s="199"/>
      <c r="T5" s="199"/>
      <c r="U5" s="200"/>
      <c r="V5" s="5"/>
      <c r="W5" s="5"/>
      <c r="X5" s="131" t="s">
        <v>150</v>
      </c>
      <c r="Y5" s="130">
        <f ca="1">MAX(INDIRECT(CONCATENATE(Y3,":",Y3)))</f>
        <v>7</v>
      </c>
      <c r="Z5" s="130"/>
      <c r="AA5" s="130"/>
      <c r="AB5" s="130"/>
      <c r="AD5" s="138" t="str">
        <f t="shared" si="0"/>
        <v xml:space="preserve"> Data 4</v>
      </c>
      <c r="AE5" s="138" t="s">
        <v>159</v>
      </c>
    </row>
    <row r="6" spans="1:31" ht="17" thickBot="1">
      <c r="A6" s="4">
        <v>5</v>
      </c>
      <c r="B6" s="31"/>
      <c r="C6" s="31">
        <v>4</v>
      </c>
      <c r="D6" s="31">
        <v>5</v>
      </c>
      <c r="E6" s="31"/>
      <c r="F6" s="31"/>
      <c r="G6" s="31"/>
      <c r="H6" s="5"/>
      <c r="I6" s="6"/>
      <c r="J6" s="171"/>
      <c r="K6" s="171"/>
      <c r="L6" s="171"/>
      <c r="M6" s="171"/>
      <c r="N6" s="205"/>
      <c r="O6" s="7"/>
      <c r="P6" s="50" t="s">
        <v>46</v>
      </c>
      <c r="Q6" s="201" t="s">
        <v>57</v>
      </c>
      <c r="R6" s="202"/>
      <c r="S6" s="202"/>
      <c r="T6" s="202"/>
      <c r="U6" s="203"/>
      <c r="V6" s="5"/>
      <c r="W6" s="5"/>
      <c r="X6" s="131" t="s">
        <v>151</v>
      </c>
      <c r="Y6" s="132">
        <f ca="1">(Y5-Y4)/Y7</f>
        <v>0.6</v>
      </c>
      <c r="Z6" s="130"/>
      <c r="AA6" s="130"/>
      <c r="AB6" s="130"/>
      <c r="AD6" s="138" t="str">
        <f t="shared" si="0"/>
        <v xml:space="preserve"> Data 5</v>
      </c>
      <c r="AE6" s="138" t="s">
        <v>160</v>
      </c>
    </row>
    <row r="7" spans="1:31" ht="15.75" customHeight="1">
      <c r="A7" s="4">
        <v>7</v>
      </c>
      <c r="B7" s="31"/>
      <c r="C7" s="31">
        <v>1</v>
      </c>
      <c r="D7" s="31">
        <v>7</v>
      </c>
      <c r="E7" s="31"/>
      <c r="F7" s="31"/>
      <c r="G7" s="31"/>
      <c r="H7" s="5"/>
      <c r="I7" s="153" t="s">
        <v>186</v>
      </c>
      <c r="J7" s="16">
        <f>IF(COUNT(A:A)&gt;0,COUNT(A:A),"")</f>
        <v>7</v>
      </c>
      <c r="K7" s="11">
        <f>IF(ISNUMBER(J7),AVERAGE(A:A),"")</f>
        <v>5.2857142857142856</v>
      </c>
      <c r="L7" s="11">
        <f>IF(AND(ISNUMBER(J7),J7&gt;=2),STDEV(A:A),"")</f>
        <v>1.1126972805283728</v>
      </c>
      <c r="M7" s="11">
        <f>IF(ISNUMBER(L7),L7^2,"")</f>
        <v>1.2380952380952364</v>
      </c>
      <c r="N7" s="206">
        <f>SUM(P61:P67)/SUM(J7:J13)</f>
        <v>5.064516129032258</v>
      </c>
      <c r="O7" s="7"/>
      <c r="P7" s="197" t="s">
        <v>58</v>
      </c>
      <c r="Q7" s="197" t="s">
        <v>59</v>
      </c>
      <c r="R7" s="197" t="s">
        <v>60</v>
      </c>
      <c r="S7" s="197" t="s">
        <v>61</v>
      </c>
      <c r="T7" s="197" t="s">
        <v>62</v>
      </c>
      <c r="U7" s="197" t="s">
        <v>14</v>
      </c>
      <c r="V7" s="5"/>
      <c r="W7" s="5"/>
      <c r="X7" s="131" t="s">
        <v>154</v>
      </c>
      <c r="Y7" s="132">
        <f>L43</f>
        <v>5</v>
      </c>
      <c r="Z7" s="130"/>
      <c r="AA7" s="130"/>
      <c r="AB7" s="130"/>
      <c r="AD7" s="138" t="str">
        <f t="shared" si="0"/>
        <v xml:space="preserve"> Data 6</v>
      </c>
      <c r="AE7" s="138" t="s">
        <v>161</v>
      </c>
    </row>
    <row r="8" spans="1:31" ht="15.75" customHeight="1">
      <c r="A8" s="4">
        <v>5</v>
      </c>
      <c r="B8" s="31"/>
      <c r="C8" s="31">
        <v>4</v>
      </c>
      <c r="D8" s="31">
        <v>5</v>
      </c>
      <c r="E8" s="31"/>
      <c r="F8" s="31"/>
      <c r="G8" s="31"/>
      <c r="H8" s="5"/>
      <c r="I8" s="153" t="s">
        <v>187</v>
      </c>
      <c r="J8" s="16">
        <f>IF(COUNT(B:B)&gt;0,COUNT(B:B),"")</f>
        <v>4</v>
      </c>
      <c r="K8" s="11">
        <f>IF(ISNUMBER(J8),AVERAGE(B:B),"")</f>
        <v>5</v>
      </c>
      <c r="L8" s="11">
        <f>IF(AND(ISNUMBER(J8),J8&gt;=2),STDEV(B:B),"")</f>
        <v>0.81649658092772603</v>
      </c>
      <c r="M8" s="11">
        <f t="shared" ref="M8:M13" si="1">IF(ISNUMBER(L8),L8^2,"")</f>
        <v>0.66666666666666663</v>
      </c>
      <c r="N8" s="206"/>
      <c r="O8" s="7"/>
      <c r="P8" s="187"/>
      <c r="Q8" s="187"/>
      <c r="R8" s="187"/>
      <c r="S8" s="187"/>
      <c r="T8" s="187"/>
      <c r="U8" s="187"/>
      <c r="V8" s="5"/>
      <c r="W8" s="5"/>
      <c r="X8" s="130"/>
      <c r="Y8" s="133"/>
      <c r="Z8" s="133"/>
      <c r="AA8" s="133" t="s">
        <v>147</v>
      </c>
      <c r="AB8" s="130" t="s">
        <v>148</v>
      </c>
      <c r="AD8" s="138" t="str">
        <f t="shared" si="0"/>
        <v xml:space="preserve"> Data 7</v>
      </c>
      <c r="AE8" s="138" t="s">
        <v>162</v>
      </c>
    </row>
    <row r="9" spans="1:31" ht="15.75" customHeight="1">
      <c r="A9" s="4"/>
      <c r="B9" s="31"/>
      <c r="C9" s="31">
        <v>6</v>
      </c>
      <c r="D9" s="31"/>
      <c r="E9" s="31"/>
      <c r="F9" s="31"/>
      <c r="G9" s="31"/>
      <c r="H9" s="5"/>
      <c r="I9" s="153" t="s">
        <v>63</v>
      </c>
      <c r="J9" s="16">
        <f>IF(COUNT(C:C)&gt;0,COUNT(C:C),"")</f>
        <v>13</v>
      </c>
      <c r="K9" s="11">
        <f>IF(ISNUMBER(J9),AVERAGE(C:C),"")</f>
        <v>4.8461538461538458</v>
      </c>
      <c r="L9" s="11">
        <f>IF(AND(ISNUMBER(J9),J9&gt;=2),STDEV(C:C),"")</f>
        <v>1.6756169931378431</v>
      </c>
      <c r="M9" s="11">
        <f t="shared" si="1"/>
        <v>2.8076923076923066</v>
      </c>
      <c r="N9" s="60"/>
      <c r="O9" s="7"/>
      <c r="P9" s="11" t="s">
        <v>64</v>
      </c>
      <c r="Q9" s="11">
        <f>SUM(R61:R67)</f>
        <v>1.3215171924849354</v>
      </c>
      <c r="R9" s="16">
        <f>COUNT(J7:J13)-1</f>
        <v>3</v>
      </c>
      <c r="S9" s="11">
        <f>Q9/R9</f>
        <v>0.44050573082831179</v>
      </c>
      <c r="T9" s="11">
        <f>S9/S10</f>
        <v>0.23528751753155716</v>
      </c>
      <c r="U9" s="11">
        <f>_xlfn.F.DIST.RT(T9,R9,R10)</f>
        <v>0.87097335184097591</v>
      </c>
      <c r="V9" s="5"/>
      <c r="W9" s="5"/>
      <c r="X9" s="130"/>
      <c r="Y9" s="134" t="s">
        <v>146</v>
      </c>
      <c r="Z9" s="134" t="s">
        <v>145</v>
      </c>
      <c r="AA9" s="133">
        <f ca="1">AA10</f>
        <v>4</v>
      </c>
      <c r="AB9" s="130">
        <v>0</v>
      </c>
    </row>
    <row r="10" spans="1:31" ht="16.5" customHeight="1" thickBot="1">
      <c r="A10" s="4"/>
      <c r="B10" s="31"/>
      <c r="C10" s="31">
        <v>4</v>
      </c>
      <c r="D10" s="31"/>
      <c r="E10" s="31"/>
      <c r="F10" s="31"/>
      <c r="G10" s="31"/>
      <c r="H10" s="5"/>
      <c r="I10" s="153" t="s">
        <v>65</v>
      </c>
      <c r="J10" s="16">
        <f>IF(COUNT(D:D)&gt;0,COUNT(D:D),"")</f>
        <v>7</v>
      </c>
      <c r="K10" s="11">
        <f>IF(ISNUMBER(J10),AVERAGE(D:D),"")</f>
        <v>5.2857142857142856</v>
      </c>
      <c r="L10" s="11">
        <f>IF(AND(ISNUMBER(J10),J10&gt;=2),STDEV(D:D),"")</f>
        <v>1.1126972805283728</v>
      </c>
      <c r="M10" s="11">
        <f t="shared" si="1"/>
        <v>1.2380952380952364</v>
      </c>
      <c r="N10" s="60"/>
      <c r="O10" s="7"/>
      <c r="P10" s="11" t="s">
        <v>66</v>
      </c>
      <c r="Q10" s="11">
        <f>SUM(T61:T67)</f>
        <v>50.549450549450512</v>
      </c>
      <c r="R10" s="16">
        <f>R11-R9</f>
        <v>27</v>
      </c>
      <c r="S10" s="11">
        <f>Q10/R10</f>
        <v>1.8722018722018707</v>
      </c>
      <c r="T10" s="7"/>
      <c r="U10" s="7"/>
      <c r="V10" s="5"/>
      <c r="W10" s="5"/>
      <c r="X10" s="130" t="s">
        <v>142</v>
      </c>
      <c r="Y10" s="134">
        <v>1</v>
      </c>
      <c r="Z10" s="134">
        <f ca="1">COUNTIF(INDIRECT(CONCATENATE($Y$3,":",$Y$3)),"&lt;="&amp;AA11)</f>
        <v>2</v>
      </c>
      <c r="AA10" s="133">
        <f ca="1">Y4</f>
        <v>4</v>
      </c>
      <c r="AB10" s="130">
        <f ca="1">Z10</f>
        <v>2</v>
      </c>
    </row>
    <row r="11" spans="1:31" ht="15.75" customHeight="1">
      <c r="A11" s="4"/>
      <c r="B11" s="31"/>
      <c r="C11" s="31">
        <v>6</v>
      </c>
      <c r="D11" s="31"/>
      <c r="E11" s="31"/>
      <c r="F11" s="31"/>
      <c r="G11" s="31"/>
      <c r="H11" s="5"/>
      <c r="I11" s="153" t="s">
        <v>67</v>
      </c>
      <c r="J11" s="16" t="str">
        <f>IF(COUNT(E:E)&gt;0,COUNT(E:E),"")</f>
        <v/>
      </c>
      <c r="K11" s="11" t="str">
        <f>IF(ISNUMBER(J11),AVERAGE(E:E),"")</f>
        <v/>
      </c>
      <c r="L11" s="11" t="str">
        <f>IF(AND(ISNUMBER(J11),J11&gt;=2),STDEV(E:E),"")</f>
        <v/>
      </c>
      <c r="M11" s="11" t="str">
        <f t="shared" si="1"/>
        <v/>
      </c>
      <c r="N11" s="60"/>
      <c r="O11" s="7"/>
      <c r="P11" s="61" t="s">
        <v>68</v>
      </c>
      <c r="Q11" s="62">
        <f>Q10+Q9</f>
        <v>51.870967741935445</v>
      </c>
      <c r="R11" s="63">
        <f>SUM(J7:J13)-1</f>
        <v>30</v>
      </c>
      <c r="S11" s="7"/>
      <c r="T11" s="7"/>
      <c r="U11" s="7"/>
      <c r="V11" s="5"/>
      <c r="W11" s="5"/>
      <c r="X11" s="130"/>
      <c r="Y11" s="134"/>
      <c r="Z11" s="134"/>
      <c r="AA11" s="135">
        <f ca="1">AA10+$Y$6</f>
        <v>4.5999999999999996</v>
      </c>
      <c r="AB11" s="130">
        <f ca="1">AB10</f>
        <v>2</v>
      </c>
    </row>
    <row r="12" spans="1:31" ht="15.75" customHeight="1">
      <c r="A12" s="4"/>
      <c r="B12" s="31"/>
      <c r="C12" s="31">
        <v>5</v>
      </c>
      <c r="D12" s="31"/>
      <c r="E12" s="31"/>
      <c r="F12" s="31"/>
      <c r="G12" s="31"/>
      <c r="H12" s="5"/>
      <c r="I12" s="153" t="s">
        <v>69</v>
      </c>
      <c r="J12" s="16" t="str">
        <f>IF(COUNT(F:F)&gt;0,COUNT(F:F),"")</f>
        <v/>
      </c>
      <c r="K12" s="11" t="str">
        <f>IF(ISNUMBER(J12),AVERAGE(F:F),"")</f>
        <v/>
      </c>
      <c r="L12" s="11" t="str">
        <f>IF(AND(ISNUMBER(J12),J12&gt;=2),STDEV(F:F),"")</f>
        <v/>
      </c>
      <c r="M12" s="11" t="str">
        <f t="shared" si="1"/>
        <v/>
      </c>
      <c r="N12" s="60"/>
      <c r="O12" s="7"/>
      <c r="P12" s="5"/>
      <c r="Q12" s="5"/>
      <c r="R12" s="5"/>
      <c r="S12" s="5"/>
      <c r="T12" s="5"/>
      <c r="U12" s="5"/>
      <c r="V12" s="5"/>
      <c r="W12" s="5"/>
      <c r="X12" s="130"/>
      <c r="Y12" s="134"/>
      <c r="Z12" s="134"/>
      <c r="AA12" s="133">
        <f ca="1">IF(Y10&gt;$Y$7,"",AA11)</f>
        <v>4.5999999999999996</v>
      </c>
      <c r="AB12" s="130">
        <f>IF(Y10&gt;$Y$7,"",0)</f>
        <v>0</v>
      </c>
    </row>
    <row r="13" spans="1:31">
      <c r="A13" s="4"/>
      <c r="B13" s="31"/>
      <c r="C13" s="31">
        <v>7</v>
      </c>
      <c r="D13" s="31"/>
      <c r="E13" s="31"/>
      <c r="F13" s="31"/>
      <c r="G13" s="31"/>
      <c r="H13" s="5"/>
      <c r="I13" s="153" t="s">
        <v>70</v>
      </c>
      <c r="J13" s="16" t="str">
        <f>IF(COUNT(G:G)&gt;0,COUNT(G:G),"")</f>
        <v/>
      </c>
      <c r="K13" s="11" t="str">
        <f>IF(ISNUMBER(J13),AVERAGE(G:G),"")</f>
        <v/>
      </c>
      <c r="L13" s="11" t="str">
        <f>IF(AND(ISNUMBER(J13),J13&gt;=2),STDEV(G:G),"")</f>
        <v/>
      </c>
      <c r="M13" s="11" t="str">
        <f t="shared" si="1"/>
        <v/>
      </c>
      <c r="N13" s="60"/>
      <c r="O13" s="7"/>
      <c r="P13" s="7"/>
      <c r="Q13" s="7"/>
      <c r="R13" s="7"/>
      <c r="S13" s="7"/>
      <c r="T13" s="7"/>
      <c r="U13" s="7"/>
      <c r="V13" s="5"/>
      <c r="W13" s="5"/>
      <c r="X13" s="130" t="s">
        <v>144</v>
      </c>
      <c r="Y13" s="134">
        <v>2</v>
      </c>
      <c r="Z13" s="134">
        <f ca="1">COUNTIF(INDIRECT(CONCATENATE($Y$3,":",$Y$3)),"&lt;="&amp;AA14)</f>
        <v>4</v>
      </c>
      <c r="AA13" s="133">
        <f ca="1">IF(Y13&gt;$Y$7,AA12,AA11)</f>
        <v>4.5999999999999996</v>
      </c>
      <c r="AB13" s="130">
        <f ca="1">IF(Y13&gt;$Y$7,AB12,AB14)</f>
        <v>2</v>
      </c>
    </row>
    <row r="14" spans="1:31">
      <c r="A14" s="4"/>
      <c r="B14" s="31"/>
      <c r="C14" s="31">
        <v>5</v>
      </c>
      <c r="D14" s="31"/>
      <c r="E14" s="31"/>
      <c r="F14" s="31"/>
      <c r="G14" s="31"/>
      <c r="H14" s="5"/>
      <c r="I14" s="6"/>
      <c r="J14" s="7"/>
      <c r="K14" s="17"/>
      <c r="L14" s="17"/>
      <c r="M14" s="17"/>
      <c r="N14" s="7"/>
      <c r="O14" s="7"/>
      <c r="P14" s="5"/>
      <c r="Q14" s="5"/>
      <c r="R14" s="5"/>
      <c r="S14" s="5"/>
      <c r="T14" s="5"/>
      <c r="U14" s="5"/>
      <c r="V14" s="5"/>
      <c r="W14" s="5"/>
      <c r="X14" s="130"/>
      <c r="Y14" s="134"/>
      <c r="Z14" s="134"/>
      <c r="AA14" s="133">
        <f ca="1">IF(Y13&gt;$Y$7,AA13,AA13+$Y$6)</f>
        <v>5.1999999999999993</v>
      </c>
      <c r="AB14" s="130">
        <f ca="1">IF(Y13&gt;$Y$7,AB13,Z13-Z10)</f>
        <v>2</v>
      </c>
    </row>
    <row r="15" spans="1:31">
      <c r="A15" s="4"/>
      <c r="B15" s="31"/>
      <c r="C15" s="31"/>
      <c r="D15" s="31"/>
      <c r="E15" s="31"/>
      <c r="F15" s="31"/>
      <c r="G15" s="31"/>
      <c r="H15" s="5"/>
      <c r="I15" s="5"/>
      <c r="J15" s="18" t="s">
        <v>71</v>
      </c>
      <c r="K15" s="54"/>
      <c r="L15" s="19"/>
      <c r="M15" s="19"/>
      <c r="N15" s="20"/>
      <c r="O15" s="5"/>
      <c r="P15" s="5"/>
      <c r="Q15" s="5"/>
      <c r="R15" s="5"/>
      <c r="S15" s="5"/>
      <c r="T15" s="5"/>
      <c r="U15" s="5"/>
      <c r="V15" s="5"/>
      <c r="W15" s="5"/>
      <c r="X15" s="130"/>
      <c r="Y15" s="134"/>
      <c r="Z15" s="134"/>
      <c r="AA15" s="133">
        <f ca="1">IF(Y13&gt;$Y$7,AA14,AA14)</f>
        <v>5.1999999999999993</v>
      </c>
      <c r="AB15" s="130">
        <f>IF(Y13&gt;$Y$7,AB14,0)</f>
        <v>0</v>
      </c>
    </row>
    <row r="16" spans="1:31">
      <c r="A16" s="4"/>
      <c r="B16" s="31"/>
      <c r="C16" s="31"/>
      <c r="D16" s="31"/>
      <c r="E16" s="31"/>
      <c r="F16" s="31"/>
      <c r="G16" s="31"/>
      <c r="H16" s="5"/>
      <c r="I16" s="5"/>
      <c r="J16" s="5"/>
      <c r="K16" s="5"/>
      <c r="L16" s="5"/>
      <c r="M16" s="5"/>
      <c r="N16" s="5"/>
      <c r="O16" s="5"/>
      <c r="P16" s="5"/>
      <c r="Q16" s="5"/>
      <c r="R16" s="5"/>
      <c r="S16" s="5"/>
      <c r="T16" s="5"/>
      <c r="U16" s="5"/>
      <c r="V16" s="5"/>
      <c r="W16" s="5"/>
      <c r="X16" s="130" t="s">
        <v>143</v>
      </c>
      <c r="Y16" s="134">
        <v>3</v>
      </c>
      <c r="Z16" s="134">
        <f ca="1">COUNTIF(INDIRECT(CONCATENATE($Y$3,":",$Y$3)),"&lt;="&amp;AA17)</f>
        <v>4</v>
      </c>
      <c r="AA16" s="133">
        <f t="shared" ref="AA16" ca="1" si="2">IF(Y16&gt;$Y$7,AA15,AA14)</f>
        <v>5.1999999999999993</v>
      </c>
      <c r="AB16" s="130">
        <f t="shared" ref="AB16" ca="1" si="3">IF(Y16&gt;$Y$7,AB15,AB17)</f>
        <v>0</v>
      </c>
    </row>
    <row r="17" spans="1:28">
      <c r="A17" s="4"/>
      <c r="B17" s="31"/>
      <c r="C17" s="31"/>
      <c r="D17" s="31"/>
      <c r="E17" s="31"/>
      <c r="F17" s="31"/>
      <c r="G17" s="31"/>
      <c r="H17" s="5"/>
      <c r="I17" s="5"/>
      <c r="J17" s="5"/>
      <c r="K17" s="5"/>
      <c r="L17" s="5"/>
      <c r="M17" s="5"/>
      <c r="N17" s="5"/>
      <c r="O17" s="5"/>
      <c r="P17" s="5"/>
      <c r="Q17" s="5"/>
      <c r="R17" s="5"/>
      <c r="S17" s="5"/>
      <c r="T17" s="5"/>
      <c r="U17" s="5"/>
      <c r="V17" s="5"/>
      <c r="W17" s="5"/>
      <c r="X17" s="130"/>
      <c r="Y17" s="134"/>
      <c r="Z17" s="134"/>
      <c r="AA17" s="133">
        <f t="shared" ref="AA17" ca="1" si="4">IF(Y16&gt;$Y$7,AA16,AA16+$Y$6)</f>
        <v>5.7999999999999989</v>
      </c>
      <c r="AB17" s="130">
        <f t="shared" ref="AB17" ca="1" si="5">IF(Y16&gt;$Y$7,AB16,Z16-Z13)</f>
        <v>0</v>
      </c>
    </row>
    <row r="18" spans="1:28">
      <c r="A18" s="4"/>
      <c r="B18" s="31"/>
      <c r="C18" s="31"/>
      <c r="D18" s="31"/>
      <c r="E18" s="31"/>
      <c r="F18" s="31"/>
      <c r="G18" s="31"/>
      <c r="H18" s="5"/>
      <c r="I18" s="5"/>
      <c r="J18" s="5"/>
      <c r="K18" s="5"/>
      <c r="L18" s="5"/>
      <c r="M18" s="5"/>
      <c r="N18" s="5"/>
      <c r="O18" s="5"/>
      <c r="P18" s="5"/>
      <c r="Q18" s="5"/>
      <c r="R18" s="5"/>
      <c r="S18" s="5"/>
      <c r="T18" s="5"/>
      <c r="U18" s="5"/>
      <c r="V18" s="5"/>
      <c r="W18" s="5"/>
      <c r="X18" s="130"/>
      <c r="Y18" s="134"/>
      <c r="Z18" s="134"/>
      <c r="AA18" s="133">
        <f t="shared" ref="AA18" ca="1" si="6">IF(Y16&gt;$Y$7,AA17,AA17)</f>
        <v>5.7999999999999989</v>
      </c>
      <c r="AB18" s="130">
        <f t="shared" ref="AB18" si="7">IF(Y16&gt;$Y$7,AB17,0)</f>
        <v>0</v>
      </c>
    </row>
    <row r="19" spans="1:28">
      <c r="A19" s="4"/>
      <c r="B19" s="31"/>
      <c r="C19" s="31"/>
      <c r="D19" s="31"/>
      <c r="E19" s="31"/>
      <c r="F19" s="31"/>
      <c r="G19" s="31"/>
      <c r="H19" s="5"/>
      <c r="I19" s="5"/>
      <c r="J19" s="5"/>
      <c r="K19" s="5"/>
      <c r="L19" s="5"/>
      <c r="M19" s="5"/>
      <c r="N19" s="5"/>
      <c r="O19" s="5"/>
      <c r="P19" s="5"/>
      <c r="Q19" s="5"/>
      <c r="R19" s="5"/>
      <c r="S19" s="5"/>
      <c r="T19" s="5"/>
      <c r="U19" s="5"/>
      <c r="V19" s="5"/>
      <c r="W19" s="5"/>
      <c r="X19" s="130"/>
      <c r="Y19" s="134">
        <v>4</v>
      </c>
      <c r="Z19" s="134">
        <f ca="1">COUNTIF(INDIRECT(CONCATENATE($Y$3,":",$Y$3)),"&lt;="&amp;AA20)</f>
        <v>6</v>
      </c>
      <c r="AA19" s="133">
        <f t="shared" ref="AA19" ca="1" si="8">IF(Y19&gt;$Y$7,AA18,AA17)</f>
        <v>5.7999999999999989</v>
      </c>
      <c r="AB19" s="130">
        <f t="shared" ref="AB19" ca="1" si="9">IF(Y19&gt;$Y$7,AB18,AB20)</f>
        <v>2</v>
      </c>
    </row>
    <row r="20" spans="1:28">
      <c r="A20" s="4"/>
      <c r="B20" s="31"/>
      <c r="C20" s="31"/>
      <c r="D20" s="31"/>
      <c r="E20" s="31"/>
      <c r="F20" s="31"/>
      <c r="G20" s="31"/>
      <c r="H20" s="5"/>
      <c r="I20" s="5"/>
      <c r="J20" s="5"/>
      <c r="K20" s="5"/>
      <c r="L20" s="5"/>
      <c r="M20" s="5"/>
      <c r="N20" s="5"/>
      <c r="O20" s="5"/>
      <c r="P20" s="5"/>
      <c r="Q20" s="5"/>
      <c r="R20" s="5"/>
      <c r="S20" s="5"/>
      <c r="T20" s="5"/>
      <c r="U20" s="5"/>
      <c r="V20" s="5"/>
      <c r="W20" s="5"/>
      <c r="X20" s="130"/>
      <c r="Y20" s="134"/>
      <c r="Z20" s="134"/>
      <c r="AA20" s="133">
        <f t="shared" ref="AA20" ca="1" si="10">IF(Y19&gt;$Y$7,AA19,AA19+$Y$6)</f>
        <v>6.3999999999999986</v>
      </c>
      <c r="AB20" s="130">
        <f t="shared" ref="AB20" ca="1" si="11">IF(Y19&gt;$Y$7,AB19,Z19-Z16)</f>
        <v>2</v>
      </c>
    </row>
    <row r="21" spans="1:28">
      <c r="A21" s="4"/>
      <c r="B21" s="31"/>
      <c r="C21" s="31"/>
      <c r="D21" s="31"/>
      <c r="E21" s="31"/>
      <c r="F21" s="31"/>
      <c r="G21" s="31"/>
      <c r="H21" s="5"/>
      <c r="I21" s="5"/>
      <c r="J21" s="5"/>
      <c r="K21" s="5"/>
      <c r="L21" s="5"/>
      <c r="M21" s="5"/>
      <c r="N21" s="5"/>
      <c r="O21" s="5"/>
      <c r="P21" s="5"/>
      <c r="Q21" s="5"/>
      <c r="R21" s="5"/>
      <c r="S21" s="5"/>
      <c r="T21" s="5"/>
      <c r="U21" s="5"/>
      <c r="V21" s="5"/>
      <c r="W21" s="5"/>
      <c r="X21" s="130"/>
      <c r="Y21" s="134"/>
      <c r="Z21" s="134"/>
      <c r="AA21" s="133">
        <f t="shared" ref="AA21" ca="1" si="12">IF(Y19&gt;$Y$7,AA20,AA20)</f>
        <v>6.3999999999999986</v>
      </c>
      <c r="AB21" s="130">
        <f t="shared" ref="AB21" si="13">IF(Y19&gt;$Y$7,AB20,0)</f>
        <v>0</v>
      </c>
    </row>
    <row r="22" spans="1:28">
      <c r="A22" s="4"/>
      <c r="B22" s="31"/>
      <c r="C22" s="31"/>
      <c r="D22" s="31"/>
      <c r="E22" s="31"/>
      <c r="F22" s="31"/>
      <c r="G22" s="31"/>
      <c r="H22" s="5"/>
      <c r="I22" s="5"/>
      <c r="J22" s="5"/>
      <c r="K22" s="5"/>
      <c r="L22" s="5"/>
      <c r="M22" s="5"/>
      <c r="N22" s="5"/>
      <c r="O22" s="5"/>
      <c r="P22" s="5"/>
      <c r="Q22" s="5"/>
      <c r="R22" s="5"/>
      <c r="S22" s="5"/>
      <c r="T22" s="5"/>
      <c r="U22" s="5"/>
      <c r="V22" s="5"/>
      <c r="W22" s="5"/>
      <c r="X22" s="130"/>
      <c r="Y22" s="134">
        <v>5</v>
      </c>
      <c r="Z22" s="134">
        <f ca="1">COUNTIF(INDIRECT(CONCATENATE($Y$3,":",$Y$3)),"&lt;="&amp;AA23)</f>
        <v>7</v>
      </c>
      <c r="AA22" s="133">
        <f t="shared" ref="AA22" ca="1" si="14">IF(Y22&gt;$Y$7,AA21,AA20)</f>
        <v>6.3999999999999986</v>
      </c>
      <c r="AB22" s="130">
        <f t="shared" ref="AB22" ca="1" si="15">IF(Y22&gt;$Y$7,AB21,AB23)</f>
        <v>1</v>
      </c>
    </row>
    <row r="23" spans="1:28">
      <c r="A23" s="4"/>
      <c r="B23" s="31"/>
      <c r="C23" s="31"/>
      <c r="D23" s="31"/>
      <c r="E23" s="31"/>
      <c r="F23" s="31"/>
      <c r="G23" s="31"/>
      <c r="H23" s="5"/>
      <c r="I23" s="5"/>
      <c r="J23" s="5"/>
      <c r="K23" s="5"/>
      <c r="L23" s="5"/>
      <c r="M23" s="5"/>
      <c r="N23" s="5"/>
      <c r="O23" s="5"/>
      <c r="P23" s="5"/>
      <c r="Q23" s="5"/>
      <c r="R23" s="5"/>
      <c r="S23" s="5"/>
      <c r="T23" s="5"/>
      <c r="U23" s="5"/>
      <c r="V23" s="5"/>
      <c r="W23" s="5"/>
      <c r="X23" s="130"/>
      <c r="Y23" s="134"/>
      <c r="Z23" s="134"/>
      <c r="AA23" s="133">
        <f t="shared" ref="AA23" ca="1" si="16">IF(Y22&gt;$Y$7,AA22,AA22+$Y$6)</f>
        <v>6.9999999999999982</v>
      </c>
      <c r="AB23" s="130">
        <f t="shared" ref="AB23" ca="1" si="17">IF(Y22&gt;$Y$7,AB22,Z22-Z19)</f>
        <v>1</v>
      </c>
    </row>
    <row r="24" spans="1:28">
      <c r="A24" s="4"/>
      <c r="B24" s="31"/>
      <c r="C24" s="31"/>
      <c r="D24" s="31"/>
      <c r="E24" s="31"/>
      <c r="F24" s="31"/>
      <c r="G24" s="31"/>
      <c r="H24" s="5"/>
      <c r="I24" s="5"/>
      <c r="J24" s="5"/>
      <c r="K24" s="5"/>
      <c r="L24" s="5"/>
      <c r="M24" s="5"/>
      <c r="N24" s="5"/>
      <c r="O24" s="5"/>
      <c r="P24" s="5"/>
      <c r="Q24" s="5"/>
      <c r="R24" s="5"/>
      <c r="S24" s="5"/>
      <c r="T24" s="5"/>
      <c r="U24" s="5"/>
      <c r="V24" s="5"/>
      <c r="W24" s="5"/>
      <c r="X24" s="130"/>
      <c r="Y24" s="134"/>
      <c r="Z24" s="134"/>
      <c r="AA24" s="133">
        <f t="shared" ref="AA24" ca="1" si="18">IF(Y22&gt;$Y$7,AA23,AA23)</f>
        <v>6.9999999999999982</v>
      </c>
      <c r="AB24" s="130">
        <f t="shared" ref="AB24" si="19">IF(Y22&gt;$Y$7,AB23,0)</f>
        <v>0</v>
      </c>
    </row>
    <row r="25" spans="1:28">
      <c r="A25" s="4"/>
      <c r="B25" s="31"/>
      <c r="C25" s="31"/>
      <c r="D25" s="31"/>
      <c r="E25" s="31"/>
      <c r="F25" s="31"/>
      <c r="G25" s="31"/>
      <c r="H25" s="5"/>
      <c r="I25" s="5"/>
      <c r="J25" s="5"/>
      <c r="K25" s="5"/>
      <c r="L25" s="5"/>
      <c r="M25" s="5"/>
      <c r="N25" s="5"/>
      <c r="O25" s="5"/>
      <c r="P25" s="5"/>
      <c r="Q25" s="5"/>
      <c r="R25" s="5"/>
      <c r="S25" s="5"/>
      <c r="T25" s="5"/>
      <c r="U25" s="5"/>
      <c r="V25" s="5"/>
      <c r="W25" s="5"/>
      <c r="X25" s="130"/>
      <c r="Y25" s="134">
        <v>6</v>
      </c>
      <c r="Z25" s="134">
        <f ca="1">COUNTIF(INDIRECT(CONCATENATE($Y$3,":",$Y$3)),"&lt;="&amp;AA26)</f>
        <v>7</v>
      </c>
      <c r="AA25" s="133">
        <f t="shared" ref="AA25" ca="1" si="20">IF(Y25&gt;$Y$7,AA24,AA23)</f>
        <v>6.9999999999999982</v>
      </c>
      <c r="AB25" s="130">
        <f t="shared" ref="AB25" si="21">IF(Y25&gt;$Y$7,AB24,AB26)</f>
        <v>0</v>
      </c>
    </row>
    <row r="26" spans="1:28">
      <c r="A26" s="4"/>
      <c r="B26" s="31"/>
      <c r="C26" s="31"/>
      <c r="D26" s="31"/>
      <c r="E26" s="31"/>
      <c r="F26" s="31"/>
      <c r="G26" s="31"/>
      <c r="H26" s="5"/>
      <c r="I26" s="5"/>
      <c r="J26" s="5"/>
      <c r="K26" s="5"/>
      <c r="L26" s="5"/>
      <c r="M26" s="5"/>
      <c r="N26" s="5"/>
      <c r="O26" s="5"/>
      <c r="P26" s="5"/>
      <c r="Q26" s="5"/>
      <c r="R26" s="5"/>
      <c r="S26" s="5"/>
      <c r="T26" s="5"/>
      <c r="U26" s="5"/>
      <c r="V26" s="5"/>
      <c r="W26" s="5"/>
      <c r="X26" s="130"/>
      <c r="Y26" s="134"/>
      <c r="Z26" s="134"/>
      <c r="AA26" s="133">
        <f t="shared" ref="AA26" ca="1" si="22">IF(Y25&gt;$Y$7,AA25,AA25+$Y$6)</f>
        <v>6.9999999999999982</v>
      </c>
      <c r="AB26" s="130">
        <f t="shared" ref="AB26" si="23">IF(Y25&gt;$Y$7,AB25,Z25-Z22)</f>
        <v>0</v>
      </c>
    </row>
    <row r="27" spans="1:28">
      <c r="A27" s="4"/>
      <c r="B27" s="31"/>
      <c r="C27" s="31"/>
      <c r="D27" s="31"/>
      <c r="E27" s="31"/>
      <c r="F27" s="31"/>
      <c r="G27" s="31"/>
      <c r="H27" s="5"/>
      <c r="I27" s="5"/>
      <c r="J27" s="5"/>
      <c r="K27" s="5"/>
      <c r="L27" s="5"/>
      <c r="M27" s="5"/>
      <c r="N27" s="5"/>
      <c r="O27" s="5"/>
      <c r="P27" s="5"/>
      <c r="Q27" s="5"/>
      <c r="R27" s="5"/>
      <c r="S27" s="5"/>
      <c r="T27" s="5"/>
      <c r="U27" s="5"/>
      <c r="V27" s="5"/>
      <c r="W27" s="5"/>
      <c r="X27" s="130"/>
      <c r="Y27" s="134"/>
      <c r="Z27" s="134"/>
      <c r="AA27" s="133">
        <f t="shared" ref="AA27" ca="1" si="24">IF(Y25&gt;$Y$7,AA26,AA26)</f>
        <v>6.9999999999999982</v>
      </c>
      <c r="AB27" s="130">
        <f t="shared" ref="AB27" si="25">IF(Y25&gt;$Y$7,AB26,0)</f>
        <v>0</v>
      </c>
    </row>
    <row r="28" spans="1:28">
      <c r="A28" s="4"/>
      <c r="B28" s="31"/>
      <c r="C28" s="31"/>
      <c r="D28" s="31"/>
      <c r="E28" s="31"/>
      <c r="F28" s="31"/>
      <c r="G28" s="31"/>
      <c r="H28" s="5"/>
      <c r="I28" s="5"/>
      <c r="J28" s="74"/>
      <c r="K28" s="74"/>
      <c r="L28" s="74"/>
      <c r="M28" s="74"/>
      <c r="N28" s="74"/>
      <c r="O28" s="5"/>
      <c r="P28" s="5"/>
      <c r="Q28" s="5"/>
      <c r="R28" s="5"/>
      <c r="S28" s="5"/>
      <c r="T28" s="5"/>
      <c r="U28" s="5"/>
      <c r="V28" s="5"/>
      <c r="W28" s="5"/>
      <c r="X28" s="130"/>
      <c r="Y28" s="134">
        <v>7</v>
      </c>
      <c r="Z28" s="134">
        <f ca="1">COUNTIF(INDIRECT(CONCATENATE($Y$3,":",$Y$3)),"&lt;="&amp;AA29)</f>
        <v>7</v>
      </c>
      <c r="AA28" s="133">
        <f t="shared" ref="AA28" ca="1" si="26">IF(Y28&gt;$Y$7,AA27,AA26)</f>
        <v>6.9999999999999982</v>
      </c>
      <c r="AB28" s="130">
        <f t="shared" ref="AB28" si="27">IF(Y28&gt;$Y$7,AB27,AB29)</f>
        <v>0</v>
      </c>
    </row>
    <row r="29" spans="1:28">
      <c r="A29" s="4"/>
      <c r="B29" s="31"/>
      <c r="C29" s="31"/>
      <c r="D29" s="31"/>
      <c r="E29" s="31"/>
      <c r="F29" s="31"/>
      <c r="G29" s="31"/>
      <c r="H29" s="5"/>
      <c r="I29" s="5"/>
      <c r="J29" s="5"/>
      <c r="K29" s="5"/>
      <c r="L29" s="5"/>
      <c r="M29" s="5"/>
      <c r="N29" s="5"/>
      <c r="O29" s="5"/>
      <c r="P29" s="5"/>
      <c r="Q29" s="5"/>
      <c r="R29" s="5"/>
      <c r="S29" s="5"/>
      <c r="T29" s="5"/>
      <c r="U29" s="5"/>
      <c r="V29" s="5"/>
      <c r="W29" s="5"/>
      <c r="X29" s="130"/>
      <c r="Y29" s="134"/>
      <c r="Z29" s="134"/>
      <c r="AA29" s="133">
        <f t="shared" ref="AA29" ca="1" si="28">IF(Y28&gt;$Y$7,AA28,AA28+$Y$6)</f>
        <v>6.9999999999999982</v>
      </c>
      <c r="AB29" s="130">
        <f t="shared" ref="AB29" si="29">IF(Y28&gt;$Y$7,AB28,Z28-Z25)</f>
        <v>0</v>
      </c>
    </row>
    <row r="30" spans="1:28">
      <c r="A30" s="4"/>
      <c r="B30" s="31"/>
      <c r="C30" s="31"/>
      <c r="D30" s="31"/>
      <c r="E30" s="31"/>
      <c r="F30" s="31"/>
      <c r="G30" s="31"/>
      <c r="H30" s="5"/>
      <c r="I30" s="5"/>
      <c r="J30" s="5"/>
      <c r="K30" s="5"/>
      <c r="L30" s="5"/>
      <c r="M30" s="5"/>
      <c r="N30" s="204" t="s">
        <v>186</v>
      </c>
      <c r="O30" s="5"/>
      <c r="P30" s="5"/>
      <c r="Q30" s="5"/>
      <c r="R30" s="5"/>
      <c r="S30" s="5"/>
      <c r="T30" s="5"/>
      <c r="U30" s="5"/>
      <c r="V30" s="5"/>
      <c r="W30" s="5"/>
      <c r="X30" s="130"/>
      <c r="Y30" s="134"/>
      <c r="Z30" s="134"/>
      <c r="AA30" s="133">
        <f t="shared" ref="AA30" ca="1" si="30">IF(Y28&gt;$Y$7,AA29,AA29)</f>
        <v>6.9999999999999982</v>
      </c>
      <c r="AB30" s="130">
        <f t="shared" ref="AB30" si="31">IF(Y28&gt;$Y$7,AB29,0)</f>
        <v>0</v>
      </c>
    </row>
    <row r="31" spans="1:28">
      <c r="A31" s="4"/>
      <c r="B31" s="31"/>
      <c r="C31" s="31"/>
      <c r="D31" s="31"/>
      <c r="E31" s="31"/>
      <c r="F31" s="31"/>
      <c r="G31" s="31"/>
      <c r="H31" s="5"/>
      <c r="I31" s="5"/>
      <c r="J31" s="5"/>
      <c r="K31" s="18" t="s">
        <v>181</v>
      </c>
      <c r="L31" s="146"/>
      <c r="M31" s="147" t="s">
        <v>182</v>
      </c>
      <c r="N31" s="204"/>
      <c r="O31" s="5"/>
      <c r="P31" s="5"/>
      <c r="Q31" s="5"/>
      <c r="R31" s="5"/>
      <c r="S31" s="5"/>
      <c r="T31" s="5"/>
      <c r="U31" s="5"/>
      <c r="V31" s="5"/>
      <c r="W31" s="5"/>
      <c r="X31" s="130"/>
      <c r="Y31" s="134">
        <v>8</v>
      </c>
      <c r="Z31" s="134">
        <f ca="1">COUNTIF(INDIRECT(CONCATENATE($Y$3,":",$Y$3)),"&lt;="&amp;AA32)</f>
        <v>7</v>
      </c>
      <c r="AA31" s="133">
        <f t="shared" ref="AA31" ca="1" si="32">IF(Y31&gt;$Y$7,AA30,AA29)</f>
        <v>6.9999999999999982</v>
      </c>
      <c r="AB31" s="130">
        <f t="shared" ref="AB31" si="33">IF(Y31&gt;$Y$7,AB30,AB32)</f>
        <v>0</v>
      </c>
    </row>
    <row r="32" spans="1:28">
      <c r="A32" s="4"/>
      <c r="B32" s="31"/>
      <c r="C32" s="31"/>
      <c r="D32" s="31"/>
      <c r="E32" s="31"/>
      <c r="F32" s="31"/>
      <c r="G32" s="31"/>
      <c r="H32" s="5"/>
      <c r="I32" s="5"/>
      <c r="J32" s="5"/>
      <c r="K32" s="5"/>
      <c r="L32" s="5"/>
      <c r="M32" s="5"/>
      <c r="N32" s="5"/>
      <c r="O32" s="5"/>
      <c r="P32" s="5"/>
      <c r="Q32" s="5"/>
      <c r="R32" s="5"/>
      <c r="S32" s="5"/>
      <c r="T32" s="5"/>
      <c r="U32" s="5"/>
      <c r="V32" s="5"/>
      <c r="W32" s="5"/>
      <c r="X32" s="130"/>
      <c r="Y32" s="134"/>
      <c r="Z32" s="134"/>
      <c r="AA32" s="133">
        <f t="shared" ref="AA32" ca="1" si="34">IF(Y31&gt;$Y$7,AA31,AA31+$Y$6)</f>
        <v>6.9999999999999982</v>
      </c>
      <c r="AB32" s="130">
        <f t="shared" ref="AB32" si="35">IF(Y31&gt;$Y$7,AB31,Z31-Z28)</f>
        <v>0</v>
      </c>
    </row>
    <row r="33" spans="1:28">
      <c r="A33" s="4"/>
      <c r="B33" s="31"/>
      <c r="C33" s="31"/>
      <c r="D33" s="31"/>
      <c r="E33" s="31"/>
      <c r="F33" s="31"/>
      <c r="G33" s="31"/>
      <c r="H33" s="5"/>
      <c r="I33" s="5"/>
      <c r="J33" s="5"/>
      <c r="K33" s="5"/>
      <c r="L33" s="5"/>
      <c r="M33" s="5"/>
      <c r="N33" s="5"/>
      <c r="O33" s="5"/>
      <c r="P33" s="5"/>
      <c r="Q33" s="5"/>
      <c r="R33" s="5"/>
      <c r="S33" s="5"/>
      <c r="T33" s="5"/>
      <c r="U33" s="5"/>
      <c r="V33" s="5"/>
      <c r="W33" s="5"/>
      <c r="X33" s="130"/>
      <c r="Y33" s="134"/>
      <c r="Z33" s="134"/>
      <c r="AA33" s="133">
        <f t="shared" ref="AA33" ca="1" si="36">IF(Y31&gt;$Y$7,AA32,AA32)</f>
        <v>6.9999999999999982</v>
      </c>
      <c r="AB33" s="130">
        <f t="shared" ref="AB33" si="37">IF(Y31&gt;$Y$7,AB32,0)</f>
        <v>0</v>
      </c>
    </row>
    <row r="34" spans="1:28">
      <c r="A34" s="4"/>
      <c r="B34" s="31"/>
      <c r="C34" s="31"/>
      <c r="D34" s="31"/>
      <c r="E34" s="31"/>
      <c r="F34" s="31"/>
      <c r="G34" s="31"/>
      <c r="H34" s="5"/>
      <c r="I34" s="5"/>
      <c r="J34" s="5"/>
      <c r="K34" s="5"/>
      <c r="L34" s="5"/>
      <c r="M34" s="5"/>
      <c r="N34" s="5"/>
      <c r="O34" s="5"/>
      <c r="P34" s="5"/>
      <c r="Q34" s="5"/>
      <c r="R34" s="5"/>
      <c r="S34" s="5"/>
      <c r="T34" s="5"/>
      <c r="U34" s="5"/>
      <c r="V34" s="5"/>
      <c r="W34" s="5"/>
      <c r="X34" s="130"/>
      <c r="Y34" s="134">
        <v>9</v>
      </c>
      <c r="Z34" s="134">
        <f ca="1">COUNTIF(INDIRECT(CONCATENATE($Y$3,":",$Y$3)),"&lt;="&amp;AA35)</f>
        <v>7</v>
      </c>
      <c r="AA34" s="133">
        <f t="shared" ref="AA34" ca="1" si="38">IF(Y34&gt;$Y$7,AA33,AA32)</f>
        <v>6.9999999999999982</v>
      </c>
      <c r="AB34" s="130">
        <f t="shared" ref="AB34" si="39">IF(Y34&gt;$Y$7,AB33,AB35)</f>
        <v>0</v>
      </c>
    </row>
    <row r="35" spans="1:28">
      <c r="A35" s="4"/>
      <c r="B35" s="31"/>
      <c r="C35" s="31"/>
      <c r="D35" s="31"/>
      <c r="E35" s="31"/>
      <c r="F35" s="31"/>
      <c r="G35" s="31"/>
      <c r="H35" s="5"/>
      <c r="I35" s="5"/>
      <c r="J35" s="5"/>
      <c r="K35" s="5"/>
      <c r="L35" s="5"/>
      <c r="M35" s="5"/>
      <c r="N35" s="5"/>
      <c r="O35" s="5"/>
      <c r="P35" s="5"/>
      <c r="Q35" s="5"/>
      <c r="R35" s="5"/>
      <c r="S35" s="5"/>
      <c r="T35" s="5"/>
      <c r="U35" s="5"/>
      <c r="V35" s="5"/>
      <c r="W35" s="5"/>
      <c r="X35" s="130"/>
      <c r="Y35" s="134"/>
      <c r="Z35" s="134"/>
      <c r="AA35" s="133">
        <f t="shared" ref="AA35" ca="1" si="40">IF(Y34&gt;$Y$7,AA34,AA34+$Y$6)</f>
        <v>6.9999999999999982</v>
      </c>
      <c r="AB35" s="130">
        <f t="shared" ref="AB35" si="41">IF(Y34&gt;$Y$7,AB34,Z34-Z31)</f>
        <v>0</v>
      </c>
    </row>
    <row r="36" spans="1:28">
      <c r="A36" s="4"/>
      <c r="B36" s="31"/>
      <c r="C36" s="31"/>
      <c r="D36" s="31"/>
      <c r="E36" s="31"/>
      <c r="F36" s="31"/>
      <c r="G36" s="31"/>
      <c r="H36" s="5"/>
      <c r="I36" s="5"/>
      <c r="J36" s="5"/>
      <c r="K36" s="5"/>
      <c r="L36" s="5"/>
      <c r="M36" s="5"/>
      <c r="N36" s="5"/>
      <c r="O36" s="5"/>
      <c r="P36" s="5"/>
      <c r="Q36" s="5"/>
      <c r="R36" s="5"/>
      <c r="S36" s="5"/>
      <c r="T36" s="5"/>
      <c r="U36" s="5"/>
      <c r="V36" s="5"/>
      <c r="W36" s="5"/>
      <c r="X36" s="130"/>
      <c r="Y36" s="134"/>
      <c r="Z36" s="134"/>
      <c r="AA36" s="133">
        <f t="shared" ref="AA36" ca="1" si="42">IF(Y34&gt;$Y$7,AA35,AA35)</f>
        <v>6.9999999999999982</v>
      </c>
      <c r="AB36" s="130">
        <f t="shared" ref="AB36" si="43">IF(Y34&gt;$Y$7,AB35,0)</f>
        <v>0</v>
      </c>
    </row>
    <row r="37" spans="1:28">
      <c r="A37" s="4"/>
      <c r="B37" s="31"/>
      <c r="C37" s="31"/>
      <c r="D37" s="31"/>
      <c r="E37" s="31"/>
      <c r="F37" s="31"/>
      <c r="G37" s="31"/>
      <c r="H37" s="5"/>
      <c r="I37" s="5"/>
      <c r="J37" s="5"/>
      <c r="K37" s="5"/>
      <c r="L37" s="5"/>
      <c r="M37" s="5"/>
      <c r="N37" s="5"/>
      <c r="O37" s="5"/>
      <c r="P37" s="5"/>
      <c r="Q37" s="5"/>
      <c r="R37" s="5"/>
      <c r="S37" s="5"/>
      <c r="T37" s="5"/>
      <c r="U37" s="5"/>
      <c r="V37" s="5"/>
      <c r="W37" s="5"/>
      <c r="X37" s="130"/>
      <c r="Y37" s="134">
        <v>10</v>
      </c>
      <c r="Z37" s="134">
        <f ca="1">COUNTIF(INDIRECT(CONCATENATE($Y$3,":",$Y$3)),"&lt;="&amp;AA38)</f>
        <v>7</v>
      </c>
      <c r="AA37" s="133">
        <f t="shared" ref="AA37" ca="1" si="44">IF(Y37&gt;$Y$7,AA36,AA35)</f>
        <v>6.9999999999999982</v>
      </c>
      <c r="AB37" s="130">
        <f t="shared" ref="AB37" si="45">IF(Y37&gt;$Y$7,AB36,AB38)</f>
        <v>0</v>
      </c>
    </row>
    <row r="38" spans="1:28">
      <c r="A38" s="4"/>
      <c r="B38" s="31"/>
      <c r="C38" s="31"/>
      <c r="D38" s="31"/>
      <c r="E38" s="31"/>
      <c r="F38" s="31"/>
      <c r="G38" s="31"/>
      <c r="H38" s="5"/>
      <c r="I38" s="5"/>
      <c r="J38" s="5"/>
      <c r="K38" s="5"/>
      <c r="L38" s="5"/>
      <c r="M38" s="5"/>
      <c r="N38" s="5"/>
      <c r="O38" s="5"/>
      <c r="P38" s="5"/>
      <c r="Q38" s="5"/>
      <c r="R38" s="5"/>
      <c r="S38" s="5"/>
      <c r="T38" s="5"/>
      <c r="U38" s="5"/>
      <c r="V38" s="5"/>
      <c r="W38" s="5"/>
      <c r="X38" s="130"/>
      <c r="Y38" s="134"/>
      <c r="Z38" s="134"/>
      <c r="AA38" s="133">
        <f t="shared" ref="AA38" ca="1" si="46">IF(Y37&gt;$Y$7,AA37,AA37+$Y$6)</f>
        <v>6.9999999999999982</v>
      </c>
      <c r="AB38" s="130">
        <f t="shared" ref="AB38" si="47">IF(Y37&gt;$Y$7,AB37,Z37-Z34)</f>
        <v>0</v>
      </c>
    </row>
    <row r="39" spans="1:28">
      <c r="A39" s="4"/>
      <c r="B39" s="31"/>
      <c r="C39" s="31"/>
      <c r="D39" s="31"/>
      <c r="E39" s="31"/>
      <c r="F39" s="31"/>
      <c r="G39" s="31"/>
      <c r="H39" s="5"/>
      <c r="I39" s="5"/>
      <c r="J39" s="5"/>
      <c r="K39" s="5"/>
      <c r="L39" s="5"/>
      <c r="M39" s="5"/>
      <c r="N39" s="5"/>
      <c r="O39" s="5"/>
      <c r="P39" s="5"/>
      <c r="Q39" s="5"/>
      <c r="R39" s="5"/>
      <c r="S39" s="5"/>
      <c r="T39" s="5"/>
      <c r="U39" s="5"/>
      <c r="V39" s="5"/>
      <c r="W39" s="5"/>
      <c r="X39" s="130"/>
      <c r="Y39" s="134"/>
      <c r="Z39" s="134"/>
      <c r="AA39" s="133">
        <f t="shared" ref="AA39" ca="1" si="48">IF(Y37&gt;$Y$7,AA38,AA38)</f>
        <v>6.9999999999999982</v>
      </c>
      <c r="AB39" s="130">
        <f t="shared" ref="AB39" si="49">IF(Y37&gt;$Y$7,AB38,0)</f>
        <v>0</v>
      </c>
    </row>
    <row r="40" spans="1:28">
      <c r="A40" s="4"/>
      <c r="B40" s="31"/>
      <c r="C40" s="31"/>
      <c r="D40" s="31"/>
      <c r="E40" s="31"/>
      <c r="F40" s="31"/>
      <c r="G40" s="31"/>
      <c r="H40" s="5"/>
      <c r="I40" s="5"/>
      <c r="J40" s="5"/>
      <c r="K40" s="5"/>
      <c r="L40" s="5"/>
      <c r="M40" s="5"/>
      <c r="N40" s="5"/>
      <c r="O40" s="5"/>
      <c r="P40" s="5"/>
      <c r="Q40" s="5"/>
      <c r="R40" s="5"/>
      <c r="S40" s="5"/>
      <c r="T40" s="5"/>
      <c r="U40" s="5"/>
      <c r="V40" s="5"/>
      <c r="W40" s="5"/>
      <c r="X40" s="130"/>
      <c r="Y40" s="134">
        <v>11</v>
      </c>
      <c r="Z40" s="134">
        <f ca="1">COUNTIF(INDIRECT(CONCATENATE($Y$3,":",$Y$3)),"&lt;="&amp;AA41)</f>
        <v>7</v>
      </c>
      <c r="AA40" s="133">
        <f t="shared" ref="AA40" ca="1" si="50">IF(Y40&gt;$Y$7,AA39,AA38)</f>
        <v>6.9999999999999982</v>
      </c>
      <c r="AB40" s="130">
        <f t="shared" ref="AB40" si="51">IF(Y40&gt;$Y$7,AB39,AB41)</f>
        <v>0</v>
      </c>
    </row>
    <row r="41" spans="1:28">
      <c r="A41" s="4"/>
      <c r="B41" s="31"/>
      <c r="C41" s="31"/>
      <c r="D41" s="31"/>
      <c r="E41" s="31"/>
      <c r="F41" s="31"/>
      <c r="G41" s="31"/>
      <c r="H41" s="5"/>
      <c r="I41" s="5"/>
      <c r="J41" s="5"/>
      <c r="K41" s="5"/>
      <c r="L41" s="5"/>
      <c r="M41" s="5"/>
      <c r="N41" s="5"/>
      <c r="O41" s="5"/>
      <c r="P41" s="5"/>
      <c r="Q41" s="5"/>
      <c r="R41" s="5"/>
      <c r="S41" s="5"/>
      <c r="T41" s="5"/>
      <c r="U41" s="5"/>
      <c r="V41" s="5"/>
      <c r="W41" s="5"/>
      <c r="X41" s="130"/>
      <c r="Y41" s="134"/>
      <c r="Z41" s="134"/>
      <c r="AA41" s="133">
        <f t="shared" ref="AA41" ca="1" si="52">IF(Y40&gt;$Y$7,AA40,AA40+$Y$6)</f>
        <v>6.9999999999999982</v>
      </c>
      <c r="AB41" s="130">
        <f t="shared" ref="AB41" si="53">IF(Y40&gt;$Y$7,AB40,Z40-Z37)</f>
        <v>0</v>
      </c>
    </row>
    <row r="42" spans="1:28">
      <c r="A42" s="4"/>
      <c r="B42" s="31"/>
      <c r="C42" s="31"/>
      <c r="D42" s="31"/>
      <c r="E42" s="31"/>
      <c r="F42" s="31"/>
      <c r="G42" s="31"/>
      <c r="H42" s="5"/>
      <c r="I42" s="5"/>
      <c r="J42" s="5"/>
      <c r="K42" s="5"/>
      <c r="L42" s="5"/>
      <c r="M42" s="5"/>
      <c r="N42" s="5"/>
      <c r="O42" s="5"/>
      <c r="P42" s="5"/>
      <c r="Q42" s="5"/>
      <c r="R42" s="5"/>
      <c r="S42" s="5"/>
      <c r="T42" s="5"/>
      <c r="U42" s="5"/>
      <c r="V42" s="5"/>
      <c r="W42" s="5"/>
      <c r="X42" s="130"/>
      <c r="Y42" s="134"/>
      <c r="Z42" s="134"/>
      <c r="AA42" s="133">
        <f t="shared" ref="AA42" ca="1" si="54">IF(Y40&gt;$Y$7,AA41,AA41)</f>
        <v>6.9999999999999982</v>
      </c>
      <c r="AB42" s="130">
        <f t="shared" ref="AB42" si="55">IF(Y40&gt;$Y$7,AB41,0)</f>
        <v>0</v>
      </c>
    </row>
    <row r="43" spans="1:28">
      <c r="A43" s="4"/>
      <c r="B43" s="31"/>
      <c r="C43" s="31"/>
      <c r="D43" s="31"/>
      <c r="E43" s="31"/>
      <c r="F43" s="31"/>
      <c r="G43" s="31"/>
      <c r="H43" s="5"/>
      <c r="I43" s="5"/>
      <c r="J43" s="5"/>
      <c r="K43" s="127" t="s">
        <v>180</v>
      </c>
      <c r="L43" s="129">
        <v>5</v>
      </c>
      <c r="M43" s="137" t="s">
        <v>153</v>
      </c>
      <c r="N43" s="128"/>
      <c r="O43" s="5"/>
      <c r="P43" s="5"/>
      <c r="Q43" s="5"/>
      <c r="R43" s="5"/>
      <c r="S43" s="5"/>
      <c r="T43" s="5"/>
      <c r="U43" s="5"/>
      <c r="V43" s="5"/>
      <c r="W43" s="5"/>
      <c r="X43" s="130"/>
      <c r="Y43" s="134">
        <v>12</v>
      </c>
      <c r="Z43" s="134">
        <f ca="1">COUNTIF(INDIRECT(CONCATENATE($Y$3,":",$Y$3)),"&lt;="&amp;AA44)</f>
        <v>7</v>
      </c>
      <c r="AA43" s="133">
        <f t="shared" ref="AA43" ca="1" si="56">IF(Y43&gt;$Y$7,AA42,AA41)</f>
        <v>6.9999999999999982</v>
      </c>
      <c r="AB43" s="130">
        <f t="shared" ref="AB43" si="57">IF(Y43&gt;$Y$7,AB42,AB44)</f>
        <v>0</v>
      </c>
    </row>
    <row r="44" spans="1:28">
      <c r="A44" s="4"/>
      <c r="B44" s="31"/>
      <c r="C44" s="31"/>
      <c r="D44" s="31"/>
      <c r="E44" s="31"/>
      <c r="F44" s="31"/>
      <c r="G44" s="31"/>
      <c r="H44" s="5"/>
      <c r="I44" s="5"/>
      <c r="J44" s="5"/>
      <c r="K44" s="5"/>
      <c r="L44" s="5"/>
      <c r="M44" s="5"/>
      <c r="N44" s="5"/>
      <c r="O44" s="5"/>
      <c r="P44" s="5"/>
      <c r="Q44" s="5"/>
      <c r="R44" s="5"/>
      <c r="S44" s="5"/>
      <c r="T44" s="5"/>
      <c r="U44" s="5"/>
      <c r="V44" s="5"/>
      <c r="W44" s="5"/>
      <c r="X44" s="130"/>
      <c r="Y44" s="134"/>
      <c r="Z44" s="134"/>
      <c r="AA44" s="133">
        <f t="shared" ref="AA44" ca="1" si="58">IF(Y43&gt;$Y$7,AA43,AA43+$Y$6)</f>
        <v>6.9999999999999982</v>
      </c>
      <c r="AB44" s="130">
        <f t="shared" ref="AB44" si="59">IF(Y43&gt;$Y$7,AB43,Z43-Z40)</f>
        <v>0</v>
      </c>
    </row>
    <row r="45" spans="1:28">
      <c r="A45" s="4"/>
      <c r="B45" s="31"/>
      <c r="C45" s="31"/>
      <c r="D45" s="31"/>
      <c r="E45" s="31"/>
      <c r="F45" s="31"/>
      <c r="G45" s="31"/>
      <c r="H45" s="5"/>
      <c r="I45" s="5"/>
      <c r="J45" s="5"/>
      <c r="K45" s="5"/>
      <c r="L45" s="5"/>
      <c r="M45" s="5"/>
      <c r="N45" s="5"/>
      <c r="O45" s="5"/>
      <c r="P45" s="5"/>
      <c r="Q45" s="5"/>
      <c r="R45" s="5"/>
      <c r="S45" s="5"/>
      <c r="T45" s="5"/>
      <c r="U45" s="5"/>
      <c r="V45" s="5"/>
      <c r="W45" s="5"/>
      <c r="X45" s="130"/>
      <c r="Y45" s="134"/>
      <c r="Z45" s="134"/>
      <c r="AA45" s="133">
        <f t="shared" ref="AA45" ca="1" si="60">IF(Y43&gt;$Y$7,AA44,AA44)</f>
        <v>6.9999999999999982</v>
      </c>
      <c r="AB45" s="130">
        <f t="shared" ref="AB45" si="61">IF(Y43&gt;$Y$7,AB44,0)</f>
        <v>0</v>
      </c>
    </row>
    <row r="46" spans="1:28">
      <c r="A46" s="4"/>
      <c r="B46" s="31"/>
      <c r="C46" s="31"/>
      <c r="D46" s="31"/>
      <c r="E46" s="31"/>
      <c r="F46" s="31"/>
      <c r="G46" s="31"/>
      <c r="H46" s="5"/>
      <c r="I46" s="5"/>
      <c r="J46" s="5"/>
      <c r="K46" s="5"/>
      <c r="L46" s="5"/>
      <c r="M46" s="5"/>
      <c r="N46" s="5"/>
      <c r="O46" s="5"/>
      <c r="P46" s="5"/>
      <c r="Q46" s="5"/>
      <c r="R46" s="5"/>
      <c r="S46" s="5"/>
      <c r="T46" s="5"/>
      <c r="U46" s="5"/>
      <c r="V46" s="5"/>
      <c r="W46" s="5"/>
      <c r="X46" s="130"/>
      <c r="Y46" s="134">
        <v>13</v>
      </c>
      <c r="Z46" s="134">
        <f ca="1">COUNTIF(INDIRECT(CONCATENATE($Y$3,":",$Y$3)),"&lt;="&amp;AA47)</f>
        <v>7</v>
      </c>
      <c r="AA46" s="133">
        <f t="shared" ref="AA46" ca="1" si="62">IF(Y46&gt;$Y$7,AA45,AA44)</f>
        <v>6.9999999999999982</v>
      </c>
      <c r="AB46" s="130">
        <f t="shared" ref="AB46" si="63">IF(Y46&gt;$Y$7,AB45,AB47)</f>
        <v>0</v>
      </c>
    </row>
    <row r="47" spans="1:28">
      <c r="A47" s="4"/>
      <c r="B47" s="31"/>
      <c r="C47" s="31"/>
      <c r="D47" s="31"/>
      <c r="E47" s="31"/>
      <c r="F47" s="31"/>
      <c r="G47" s="31"/>
      <c r="H47" s="5"/>
      <c r="I47" s="5"/>
      <c r="J47" s="5"/>
      <c r="K47" s="5"/>
      <c r="L47" s="5"/>
      <c r="M47" s="5"/>
      <c r="N47" s="5"/>
      <c r="O47" s="5"/>
      <c r="P47" s="5"/>
      <c r="Q47" s="5"/>
      <c r="R47" s="5"/>
      <c r="S47" s="5"/>
      <c r="T47" s="5"/>
      <c r="U47" s="5"/>
      <c r="V47" s="5"/>
      <c r="W47" s="5"/>
      <c r="X47" s="130"/>
      <c r="Y47" s="134"/>
      <c r="Z47" s="134"/>
      <c r="AA47" s="133">
        <f t="shared" ref="AA47" ca="1" si="64">IF(Y46&gt;$Y$7,AA46,AA46+$Y$6)</f>
        <v>6.9999999999999982</v>
      </c>
      <c r="AB47" s="130">
        <f t="shared" ref="AB47" si="65">IF(Y46&gt;$Y$7,AB46,Z46-Z43)</f>
        <v>0</v>
      </c>
    </row>
    <row r="48" spans="1:28">
      <c r="A48" s="4"/>
      <c r="B48" s="31"/>
      <c r="C48" s="31"/>
      <c r="D48" s="31"/>
      <c r="E48" s="31"/>
      <c r="F48" s="31"/>
      <c r="G48" s="31"/>
      <c r="H48" s="5"/>
      <c r="I48" s="5"/>
      <c r="J48" s="5"/>
      <c r="K48" s="5"/>
      <c r="L48" s="5"/>
      <c r="M48" s="5"/>
      <c r="N48" s="5"/>
      <c r="O48" s="5"/>
      <c r="P48" s="5"/>
      <c r="Q48" s="5"/>
      <c r="R48" s="5"/>
      <c r="S48" s="5"/>
      <c r="T48" s="5"/>
      <c r="U48" s="5"/>
      <c r="V48" s="5"/>
      <c r="W48" s="5"/>
      <c r="X48" s="130"/>
      <c r="Y48" s="134"/>
      <c r="Z48" s="134"/>
      <c r="AA48" s="133">
        <f t="shared" ref="AA48" ca="1" si="66">IF(Y46&gt;$Y$7,AA47,AA47)</f>
        <v>6.9999999999999982</v>
      </c>
      <c r="AB48" s="130">
        <f t="shared" ref="AB48" si="67">IF(Y46&gt;$Y$7,AB47,0)</f>
        <v>0</v>
      </c>
    </row>
    <row r="49" spans="1:28">
      <c r="A49" s="4"/>
      <c r="B49" s="31"/>
      <c r="C49" s="31"/>
      <c r="D49" s="31"/>
      <c r="E49" s="31"/>
      <c r="F49" s="31"/>
      <c r="G49" s="31"/>
      <c r="H49" s="5"/>
      <c r="I49" s="5"/>
      <c r="J49" s="5"/>
      <c r="K49" s="5"/>
      <c r="L49" s="5"/>
      <c r="M49" s="5"/>
      <c r="N49" s="5"/>
      <c r="O49" s="5"/>
      <c r="P49" s="5"/>
      <c r="Q49" s="5"/>
      <c r="R49" s="5"/>
      <c r="S49" s="5"/>
      <c r="T49" s="5"/>
      <c r="U49" s="5"/>
      <c r="V49" s="5"/>
      <c r="W49" s="5"/>
      <c r="X49" s="130"/>
      <c r="Y49" s="134">
        <v>14</v>
      </c>
      <c r="Z49" s="134">
        <f ca="1">COUNTIF(INDIRECT(CONCATENATE($Y$3,":",$Y$3)),"&lt;="&amp;AA50)</f>
        <v>7</v>
      </c>
      <c r="AA49" s="133">
        <f t="shared" ref="AA49" ca="1" si="68">IF(Y49&gt;$Y$7,AA48,AA47)</f>
        <v>6.9999999999999982</v>
      </c>
      <c r="AB49" s="130">
        <f t="shared" ref="AB49" si="69">IF(Y49&gt;$Y$7,AB48,AB50)</f>
        <v>0</v>
      </c>
    </row>
    <row r="50" spans="1:28">
      <c r="A50" s="4"/>
      <c r="B50" s="31"/>
      <c r="C50" s="31"/>
      <c r="D50" s="31"/>
      <c r="E50" s="31"/>
      <c r="F50" s="31"/>
      <c r="G50" s="31"/>
      <c r="H50" s="5"/>
      <c r="I50" s="5"/>
      <c r="J50" s="5"/>
      <c r="K50" s="5"/>
      <c r="L50" s="5"/>
      <c r="M50" s="5"/>
      <c r="N50" s="5"/>
      <c r="O50" s="5"/>
      <c r="P50" s="5"/>
      <c r="Q50" s="5"/>
      <c r="R50" s="5"/>
      <c r="S50" s="5"/>
      <c r="T50" s="5"/>
      <c r="U50" s="5"/>
      <c r="V50" s="5"/>
      <c r="W50" s="5"/>
      <c r="X50" s="130"/>
      <c r="Y50" s="134"/>
      <c r="Z50" s="134"/>
      <c r="AA50" s="133">
        <f t="shared" ref="AA50" ca="1" si="70">IF(Y49&gt;$Y$7,AA49,AA49+$Y$6)</f>
        <v>6.9999999999999982</v>
      </c>
      <c r="AB50" s="130">
        <f t="shared" ref="AB50" si="71">IF(Y49&gt;$Y$7,AB49,Z49-Z46)</f>
        <v>0</v>
      </c>
    </row>
    <row r="51" spans="1:28">
      <c r="A51" s="4"/>
      <c r="B51" s="31"/>
      <c r="C51" s="31"/>
      <c r="D51" s="31"/>
      <c r="E51" s="31"/>
      <c r="F51" s="31"/>
      <c r="G51" s="31"/>
      <c r="H51" s="5"/>
      <c r="I51" s="5"/>
      <c r="J51" s="5"/>
      <c r="K51" s="5"/>
      <c r="L51" s="5"/>
      <c r="M51" s="5"/>
      <c r="N51" s="5"/>
      <c r="O51" s="5"/>
      <c r="P51" s="5"/>
      <c r="Q51" s="5"/>
      <c r="R51" s="5"/>
      <c r="S51" s="5"/>
      <c r="T51" s="5"/>
      <c r="U51" s="5"/>
      <c r="V51" s="5"/>
      <c r="W51" s="5"/>
      <c r="X51" s="130"/>
      <c r="Y51" s="134"/>
      <c r="Z51" s="134"/>
      <c r="AA51" s="133">
        <f t="shared" ref="AA51" ca="1" si="72">IF(Y49&gt;$Y$7,AA50,AA50)</f>
        <v>6.9999999999999982</v>
      </c>
      <c r="AB51" s="130">
        <f t="shared" ref="AB51" si="73">IF(Y49&gt;$Y$7,AB50,0)</f>
        <v>0</v>
      </c>
    </row>
    <row r="52" spans="1:28">
      <c r="A52" s="4"/>
      <c r="B52" s="31"/>
      <c r="C52" s="31"/>
      <c r="D52" s="31"/>
      <c r="E52" s="31"/>
      <c r="F52" s="31"/>
      <c r="G52" s="31"/>
      <c r="H52" s="5"/>
      <c r="I52" s="5"/>
      <c r="J52" s="5"/>
      <c r="K52" s="5"/>
      <c r="L52" s="5"/>
      <c r="M52" s="5"/>
      <c r="N52" s="5"/>
      <c r="O52" s="5"/>
      <c r="P52" s="5"/>
      <c r="Q52" s="5"/>
      <c r="R52" s="5"/>
      <c r="S52" s="5"/>
      <c r="T52" s="5"/>
      <c r="U52" s="5"/>
      <c r="V52" s="5"/>
      <c r="W52" s="5"/>
      <c r="X52" s="130"/>
      <c r="Y52" s="134">
        <v>15</v>
      </c>
      <c r="Z52" s="134">
        <f ca="1">COUNTIF(INDIRECT(CONCATENATE($Y$3,":",$Y$3)),"&lt;="&amp;AA53)</f>
        <v>7</v>
      </c>
      <c r="AA52" s="133">
        <f t="shared" ref="AA52" ca="1" si="74">IF(Y52&gt;$Y$7,AA51,AA50)</f>
        <v>6.9999999999999982</v>
      </c>
      <c r="AB52" s="130">
        <f t="shared" ref="AB52" si="75">IF(Y52&gt;$Y$7,AB51,AB53)</f>
        <v>0</v>
      </c>
    </row>
    <row r="53" spans="1:28">
      <c r="A53" s="4"/>
      <c r="B53" s="31"/>
      <c r="C53" s="31"/>
      <c r="D53" s="31"/>
      <c r="E53" s="31"/>
      <c r="F53" s="31"/>
      <c r="G53" s="31"/>
      <c r="H53" s="5"/>
      <c r="I53" s="5"/>
      <c r="J53" s="5"/>
      <c r="K53" s="5"/>
      <c r="L53" s="5"/>
      <c r="M53" s="5"/>
      <c r="N53" s="5"/>
      <c r="O53" s="5"/>
      <c r="P53" s="5"/>
      <c r="Q53" s="5"/>
      <c r="R53" s="5"/>
      <c r="S53" s="5"/>
      <c r="T53" s="5"/>
      <c r="U53" s="5"/>
      <c r="V53" s="5"/>
      <c r="W53" s="5"/>
      <c r="X53" s="130"/>
      <c r="Y53" s="134"/>
      <c r="Z53" s="134"/>
      <c r="AA53" s="133">
        <f t="shared" ref="AA53" ca="1" si="76">IF(Y52&gt;$Y$7,AA52,AA52+$Y$6)</f>
        <v>6.9999999999999982</v>
      </c>
      <c r="AB53" s="130">
        <f t="shared" ref="AB53" si="77">IF(Y52&gt;$Y$7,AB52,Z52-Z49)</f>
        <v>0</v>
      </c>
    </row>
    <row r="54" spans="1:28">
      <c r="A54" s="4"/>
      <c r="B54" s="31"/>
      <c r="C54" s="31"/>
      <c r="D54" s="31"/>
      <c r="E54" s="31"/>
      <c r="F54" s="31"/>
      <c r="G54" s="31"/>
      <c r="H54" s="5"/>
      <c r="I54" s="5"/>
      <c r="J54" s="5"/>
      <c r="K54" s="5"/>
      <c r="L54" s="5"/>
      <c r="M54" s="5"/>
      <c r="N54" s="5"/>
      <c r="O54" s="5"/>
      <c r="P54" s="5"/>
      <c r="Q54" s="5"/>
      <c r="R54" s="5"/>
      <c r="S54" s="5"/>
      <c r="T54" s="5"/>
      <c r="U54" s="5"/>
      <c r="V54" s="5"/>
      <c r="W54" s="5"/>
      <c r="X54" s="130"/>
      <c r="Y54" s="134"/>
      <c r="Z54" s="134"/>
      <c r="AA54" s="133">
        <f t="shared" ref="AA54" ca="1" si="78">IF(Y52&gt;$Y$7,AA53,AA53)</f>
        <v>6.9999999999999982</v>
      </c>
      <c r="AB54" s="130">
        <f t="shared" ref="AB54" si="79">IF(Y52&gt;$Y$7,AB53,0)</f>
        <v>0</v>
      </c>
    </row>
    <row r="55" spans="1:28">
      <c r="A55" s="4"/>
      <c r="B55" s="31"/>
      <c r="C55" s="31"/>
      <c r="D55" s="31"/>
      <c r="E55" s="31"/>
      <c r="F55" s="31"/>
      <c r="G55" s="31"/>
      <c r="H55" s="5"/>
      <c r="I55" s="5"/>
      <c r="J55" s="5"/>
      <c r="K55" s="5"/>
      <c r="L55" s="5"/>
      <c r="M55" s="5"/>
      <c r="N55" s="5"/>
      <c r="O55" s="5"/>
      <c r="P55" s="5"/>
      <c r="Q55" s="5"/>
      <c r="R55" s="5"/>
      <c r="S55" s="5"/>
      <c r="T55" s="5"/>
      <c r="U55" s="5"/>
      <c r="V55" s="5"/>
      <c r="W55" s="5"/>
      <c r="X55" s="130"/>
      <c r="Y55" s="134"/>
      <c r="Z55" s="134"/>
      <c r="AA55" s="133"/>
      <c r="AB55" s="130"/>
    </row>
    <row r="56" spans="1:28">
      <c r="A56" s="4"/>
      <c r="B56" s="31"/>
      <c r="C56" s="31"/>
      <c r="D56" s="31"/>
      <c r="E56" s="31"/>
      <c r="F56" s="31"/>
      <c r="G56" s="31"/>
      <c r="H56" s="5"/>
      <c r="I56" s="5"/>
      <c r="J56" s="5"/>
      <c r="K56" s="5"/>
      <c r="L56" s="5"/>
      <c r="M56" s="5"/>
      <c r="N56" s="5"/>
      <c r="O56" s="5"/>
      <c r="P56" s="5"/>
      <c r="Q56" s="5"/>
      <c r="R56" s="5"/>
      <c r="S56" s="5"/>
      <c r="T56" s="5"/>
      <c r="U56" s="5"/>
      <c r="V56" s="5"/>
      <c r="W56" s="5"/>
    </row>
    <row r="57" spans="1:28">
      <c r="A57" s="4"/>
      <c r="B57" s="31"/>
      <c r="C57" s="31"/>
      <c r="D57" s="31"/>
      <c r="E57" s="31"/>
      <c r="F57" s="31"/>
      <c r="G57" s="31"/>
      <c r="H57" s="5"/>
      <c r="I57" s="5"/>
      <c r="J57" s="5"/>
      <c r="K57" s="5"/>
      <c r="L57" s="5"/>
      <c r="M57" s="5"/>
      <c r="N57" s="5"/>
      <c r="O57" s="5"/>
      <c r="P57" s="5"/>
      <c r="Q57" s="5"/>
      <c r="R57" s="5"/>
      <c r="S57" s="5"/>
      <c r="T57" s="5"/>
      <c r="U57" s="5"/>
      <c r="V57" s="5"/>
      <c r="W57" s="5"/>
    </row>
    <row r="58" spans="1:28" ht="17" thickBot="1">
      <c r="A58" s="4"/>
      <c r="B58" s="31"/>
      <c r="C58" s="31"/>
      <c r="D58" s="31"/>
      <c r="E58" s="31"/>
      <c r="F58" s="31"/>
      <c r="G58" s="31"/>
      <c r="H58" s="5"/>
      <c r="I58" s="5"/>
      <c r="J58" s="5"/>
      <c r="K58" s="5"/>
      <c r="L58" s="5"/>
      <c r="M58" s="5"/>
      <c r="N58" s="5"/>
      <c r="O58" s="5"/>
      <c r="P58" s="124" t="s">
        <v>72</v>
      </c>
      <c r="Q58" s="125"/>
      <c r="R58" s="125"/>
      <c r="S58" s="125"/>
      <c r="T58" s="126"/>
      <c r="U58" s="5"/>
      <c r="V58" s="5"/>
      <c r="W58" s="5"/>
    </row>
    <row r="59" spans="1:28">
      <c r="A59" s="4"/>
      <c r="B59" s="31"/>
      <c r="C59" s="31"/>
      <c r="D59" s="31"/>
      <c r="E59" s="31"/>
      <c r="F59" s="31"/>
      <c r="G59" s="31"/>
      <c r="H59" s="5"/>
      <c r="I59" s="5"/>
      <c r="J59" s="5"/>
      <c r="K59" s="5"/>
      <c r="L59" s="5"/>
      <c r="M59" s="5"/>
      <c r="N59" s="5"/>
      <c r="O59" s="5"/>
      <c r="P59" s="195" t="s">
        <v>73</v>
      </c>
      <c r="Q59" s="5"/>
      <c r="R59" s="195" t="s">
        <v>74</v>
      </c>
      <c r="S59" s="5"/>
      <c r="T59" s="195" t="s">
        <v>75</v>
      </c>
      <c r="U59" s="5"/>
      <c r="V59" s="5"/>
      <c r="W59" s="5"/>
    </row>
    <row r="60" spans="1:28">
      <c r="A60" s="4"/>
      <c r="B60" s="31"/>
      <c r="C60" s="31"/>
      <c r="D60" s="31"/>
      <c r="E60" s="31"/>
      <c r="F60" s="31"/>
      <c r="G60" s="31"/>
      <c r="H60" s="5"/>
      <c r="I60" s="5"/>
      <c r="J60" s="5"/>
      <c r="K60" s="5"/>
      <c r="L60" s="5"/>
      <c r="M60" s="5"/>
      <c r="N60" s="5"/>
      <c r="O60" s="5"/>
      <c r="P60" s="196"/>
      <c r="Q60" s="5"/>
      <c r="R60" s="196"/>
      <c r="S60" s="5"/>
      <c r="T60" s="196"/>
      <c r="U60" s="5"/>
      <c r="V60" s="5"/>
      <c r="W60" s="5"/>
    </row>
    <row r="61" spans="1:28">
      <c r="A61" s="4"/>
      <c r="B61" s="31"/>
      <c r="C61" s="31"/>
      <c r="D61" s="31"/>
      <c r="E61" s="31"/>
      <c r="F61" s="31"/>
      <c r="G61" s="31"/>
      <c r="H61" s="5"/>
      <c r="I61" s="5"/>
      <c r="J61" s="5"/>
      <c r="K61" s="5"/>
      <c r="L61" s="5"/>
      <c r="M61" s="5"/>
      <c r="N61" s="5"/>
      <c r="O61" s="5"/>
      <c r="P61" s="64">
        <f t="shared" ref="P61:P67" si="80">IF(ISNUMBER(J7),K7*J7,"")</f>
        <v>37</v>
      </c>
      <c r="Q61" s="5"/>
      <c r="R61" s="64">
        <f t="shared" ref="R61:R67" si="81">IF(ISNUMBER(J7),J7*(K7-$N$7)^2,"")</f>
        <v>0.34250037163668773</v>
      </c>
      <c r="S61" s="5"/>
      <c r="T61" s="64">
        <f t="shared" ref="T61:T67" si="82">IF(ISNUMBER(J7),(J7-1)*M7,"")</f>
        <v>7.4285714285714182</v>
      </c>
      <c r="U61" s="5"/>
      <c r="V61" s="5"/>
      <c r="W61" s="5"/>
    </row>
    <row r="62" spans="1:28">
      <c r="A62" s="4"/>
      <c r="B62" s="31"/>
      <c r="C62" s="31"/>
      <c r="D62" s="31"/>
      <c r="E62" s="31"/>
      <c r="F62" s="31"/>
      <c r="G62" s="31"/>
      <c r="H62" s="5"/>
      <c r="I62" s="5"/>
      <c r="J62" s="5"/>
      <c r="K62" s="5"/>
      <c r="L62" s="5"/>
      <c r="M62" s="5"/>
      <c r="N62" s="5"/>
      <c r="O62" s="5"/>
      <c r="P62" s="64">
        <f t="shared" si="80"/>
        <v>20</v>
      </c>
      <c r="Q62" s="5"/>
      <c r="R62" s="64">
        <f t="shared" si="81"/>
        <v>1.6649323621227858E-2</v>
      </c>
      <c r="S62" s="5"/>
      <c r="T62" s="64">
        <f t="shared" si="82"/>
        <v>2</v>
      </c>
      <c r="U62" s="5"/>
      <c r="V62" s="5"/>
      <c r="W62" s="5"/>
    </row>
    <row r="63" spans="1:28">
      <c r="A63" s="4"/>
      <c r="B63" s="31"/>
      <c r="C63" s="31"/>
      <c r="D63" s="31"/>
      <c r="E63" s="31"/>
      <c r="F63" s="31"/>
      <c r="G63" s="31"/>
      <c r="H63" s="5"/>
      <c r="I63" s="5"/>
      <c r="J63" s="5"/>
      <c r="K63" s="5"/>
      <c r="L63" s="5"/>
      <c r="M63" s="5"/>
      <c r="N63" s="5"/>
      <c r="O63" s="5"/>
      <c r="P63" s="64">
        <f t="shared" si="80"/>
        <v>62.999999999999993</v>
      </c>
      <c r="Q63" s="5"/>
      <c r="R63" s="64">
        <f t="shared" si="81"/>
        <v>0.61986712559033219</v>
      </c>
      <c r="S63" s="5"/>
      <c r="T63" s="64">
        <f t="shared" si="82"/>
        <v>33.692307692307679</v>
      </c>
      <c r="U63" s="5"/>
      <c r="V63" s="5"/>
      <c r="W63" s="5"/>
    </row>
    <row r="64" spans="1:28">
      <c r="A64" s="4"/>
      <c r="B64" s="31"/>
      <c r="C64" s="31"/>
      <c r="D64" s="31"/>
      <c r="E64" s="31"/>
      <c r="F64" s="31"/>
      <c r="G64" s="31"/>
      <c r="H64" s="5"/>
      <c r="I64" s="5"/>
      <c r="J64" s="5"/>
      <c r="K64" s="5"/>
      <c r="L64" s="5"/>
      <c r="M64" s="5"/>
      <c r="N64" s="5"/>
      <c r="O64" s="5"/>
      <c r="P64" s="64">
        <f t="shared" si="80"/>
        <v>37</v>
      </c>
      <c r="Q64" s="5"/>
      <c r="R64" s="64">
        <f t="shared" si="81"/>
        <v>0.34250037163668773</v>
      </c>
      <c r="S64" s="5"/>
      <c r="T64" s="64">
        <f t="shared" si="82"/>
        <v>7.4285714285714182</v>
      </c>
      <c r="U64" s="5"/>
      <c r="V64" s="5"/>
      <c r="W64" s="5"/>
    </row>
    <row r="65" spans="1:23">
      <c r="A65" s="4"/>
      <c r="B65" s="31"/>
      <c r="C65" s="31"/>
      <c r="D65" s="31"/>
      <c r="E65" s="31"/>
      <c r="F65" s="31"/>
      <c r="G65" s="31"/>
      <c r="H65" s="5"/>
      <c r="I65" s="5"/>
      <c r="J65" s="5"/>
      <c r="K65" s="5"/>
      <c r="L65" s="5"/>
      <c r="M65" s="5"/>
      <c r="N65" s="5"/>
      <c r="O65" s="5"/>
      <c r="P65" s="64" t="str">
        <f t="shared" si="80"/>
        <v/>
      </c>
      <c r="Q65" s="5"/>
      <c r="R65" s="64" t="str">
        <f t="shared" si="81"/>
        <v/>
      </c>
      <c r="S65" s="5"/>
      <c r="T65" s="64" t="str">
        <f t="shared" si="82"/>
        <v/>
      </c>
      <c r="U65" s="5"/>
      <c r="V65" s="5"/>
      <c r="W65" s="5"/>
    </row>
    <row r="66" spans="1:23">
      <c r="A66" s="4"/>
      <c r="B66" s="31"/>
      <c r="C66" s="31"/>
      <c r="D66" s="31"/>
      <c r="E66" s="31"/>
      <c r="F66" s="31"/>
      <c r="G66" s="31"/>
      <c r="H66" s="5"/>
      <c r="I66" s="5"/>
      <c r="J66" s="5"/>
      <c r="K66" s="5"/>
      <c r="L66" s="5"/>
      <c r="M66" s="5"/>
      <c r="N66" s="5"/>
      <c r="O66" s="5"/>
      <c r="P66" s="64" t="str">
        <f t="shared" si="80"/>
        <v/>
      </c>
      <c r="Q66" s="5"/>
      <c r="R66" s="64" t="str">
        <f t="shared" si="81"/>
        <v/>
      </c>
      <c r="S66" s="5"/>
      <c r="T66" s="64" t="str">
        <f t="shared" si="82"/>
        <v/>
      </c>
      <c r="U66" s="5"/>
      <c r="V66" s="5"/>
      <c r="W66" s="5"/>
    </row>
    <row r="67" spans="1:23">
      <c r="A67" s="4"/>
      <c r="B67" s="31"/>
      <c r="C67" s="31"/>
      <c r="D67" s="31"/>
      <c r="E67" s="31"/>
      <c r="F67" s="31"/>
      <c r="G67" s="31"/>
      <c r="H67" s="5"/>
      <c r="I67" s="5"/>
      <c r="J67" s="5"/>
      <c r="K67" s="5"/>
      <c r="L67" s="5"/>
      <c r="M67" s="5"/>
      <c r="N67" s="5"/>
      <c r="O67" s="5"/>
      <c r="P67" s="64" t="str">
        <f t="shared" si="80"/>
        <v/>
      </c>
      <c r="Q67" s="5"/>
      <c r="R67" s="64" t="str">
        <f t="shared" si="81"/>
        <v/>
      </c>
      <c r="S67" s="5"/>
      <c r="T67" s="64" t="str">
        <f t="shared" si="82"/>
        <v/>
      </c>
      <c r="U67" s="5"/>
      <c r="V67" s="5"/>
      <c r="W67" s="5"/>
    </row>
    <row r="68" spans="1:23">
      <c r="A68" s="4"/>
      <c r="B68" s="31"/>
      <c r="C68" s="31"/>
      <c r="D68" s="31"/>
      <c r="E68" s="31"/>
      <c r="F68" s="31"/>
      <c r="G68" s="31"/>
      <c r="H68" s="5"/>
      <c r="I68" s="5"/>
      <c r="J68" s="5"/>
      <c r="K68" s="5"/>
      <c r="L68" s="5"/>
      <c r="M68" s="5"/>
      <c r="N68" s="5"/>
      <c r="O68" s="5"/>
      <c r="P68" s="5"/>
      <c r="Q68" s="5"/>
      <c r="R68" s="5"/>
      <c r="S68" s="5"/>
      <c r="T68" s="5"/>
      <c r="U68" s="5"/>
      <c r="V68" s="5"/>
      <c r="W68" s="5"/>
    </row>
    <row r="69" spans="1:23">
      <c r="A69" s="4"/>
      <c r="B69" s="31"/>
      <c r="C69" s="31"/>
      <c r="D69" s="31"/>
      <c r="E69" s="31"/>
      <c r="F69" s="31"/>
      <c r="G69" s="31"/>
      <c r="H69" s="5"/>
      <c r="I69" s="5"/>
      <c r="J69" s="5"/>
      <c r="K69" s="5"/>
      <c r="L69" s="5"/>
      <c r="M69" s="5"/>
      <c r="N69" s="5"/>
      <c r="O69" s="5"/>
      <c r="P69" s="5"/>
      <c r="Q69" s="5"/>
      <c r="R69" s="5"/>
      <c r="S69" s="5"/>
      <c r="T69" s="5"/>
      <c r="U69" s="5"/>
      <c r="V69" s="5"/>
      <c r="W69" s="5"/>
    </row>
    <row r="70" spans="1:23">
      <c r="A70" s="4"/>
      <c r="B70" s="31"/>
      <c r="C70" s="31"/>
      <c r="D70" s="31"/>
      <c r="E70" s="31"/>
      <c r="F70" s="31"/>
      <c r="G70" s="31"/>
      <c r="H70" s="5"/>
      <c r="I70" s="5"/>
      <c r="J70" s="5"/>
      <c r="K70" s="5"/>
      <c r="L70" s="5"/>
      <c r="M70" s="5"/>
      <c r="N70" s="5"/>
      <c r="O70" s="5"/>
      <c r="P70" s="5"/>
      <c r="Q70" s="5"/>
      <c r="R70" s="5"/>
      <c r="S70" s="5"/>
      <c r="T70" s="5"/>
      <c r="U70" s="5"/>
      <c r="V70" s="5"/>
      <c r="W70" s="5"/>
    </row>
    <row r="71" spans="1:23">
      <c r="A71" s="4"/>
      <c r="B71" s="31"/>
      <c r="C71" s="31"/>
      <c r="D71" s="31"/>
      <c r="E71" s="31"/>
      <c r="F71" s="31"/>
      <c r="G71" s="31"/>
      <c r="H71" s="5"/>
      <c r="I71" s="5"/>
      <c r="J71" s="5"/>
      <c r="K71" s="5"/>
      <c r="L71" s="5"/>
      <c r="M71" s="5"/>
      <c r="N71" s="5"/>
      <c r="O71" s="5"/>
      <c r="P71" s="5"/>
      <c r="Q71" s="5"/>
      <c r="R71" s="5"/>
      <c r="S71" s="5"/>
      <c r="T71" s="5"/>
      <c r="U71" s="5"/>
      <c r="V71" s="5"/>
      <c r="W71" s="5"/>
    </row>
    <row r="72" spans="1:23">
      <c r="A72" s="4"/>
      <c r="B72" s="31"/>
      <c r="C72" s="31"/>
      <c r="D72" s="31"/>
      <c r="E72" s="31"/>
      <c r="F72" s="31"/>
      <c r="G72" s="31"/>
      <c r="H72" s="5"/>
      <c r="I72" s="5"/>
      <c r="J72" s="5"/>
      <c r="K72" s="5"/>
      <c r="L72" s="5"/>
      <c r="M72" s="5"/>
      <c r="N72" s="5"/>
      <c r="O72" s="5"/>
      <c r="P72" s="5"/>
      <c r="Q72" s="5"/>
      <c r="R72" s="5"/>
      <c r="S72" s="5"/>
      <c r="T72" s="5"/>
      <c r="U72" s="5"/>
      <c r="V72" s="5"/>
      <c r="W72" s="5"/>
    </row>
    <row r="73" spans="1:23">
      <c r="A73" s="4"/>
      <c r="B73" s="31"/>
      <c r="C73" s="31"/>
      <c r="D73" s="31"/>
      <c r="E73" s="31"/>
      <c r="F73" s="31"/>
      <c r="G73" s="31"/>
      <c r="H73" s="5"/>
      <c r="I73" s="5"/>
      <c r="J73" s="5"/>
      <c r="K73" s="5"/>
      <c r="L73" s="5"/>
      <c r="M73" s="5"/>
      <c r="N73" s="5"/>
      <c r="O73" s="5"/>
      <c r="P73" s="5"/>
      <c r="Q73" s="5"/>
      <c r="R73" s="5"/>
      <c r="S73" s="5"/>
      <c r="T73" s="5"/>
      <c r="U73" s="5"/>
      <c r="V73" s="5"/>
      <c r="W73" s="5"/>
    </row>
    <row r="74" spans="1:23">
      <c r="A74" s="4"/>
      <c r="B74" s="31"/>
      <c r="C74" s="31"/>
      <c r="D74" s="31"/>
      <c r="E74" s="31"/>
      <c r="F74" s="31"/>
      <c r="G74" s="31"/>
      <c r="H74" s="5"/>
      <c r="I74" s="5"/>
      <c r="J74" s="5"/>
      <c r="K74" s="5"/>
      <c r="L74" s="5"/>
      <c r="M74" s="5"/>
      <c r="N74" s="5"/>
      <c r="O74" s="5"/>
      <c r="P74" s="5"/>
      <c r="Q74" s="5"/>
      <c r="R74" s="5"/>
      <c r="S74" s="5"/>
      <c r="T74" s="5"/>
      <c r="U74" s="5"/>
      <c r="V74" s="5"/>
      <c r="W74" s="5"/>
    </row>
    <row r="75" spans="1:23">
      <c r="A75" s="4"/>
      <c r="B75" s="31"/>
      <c r="C75" s="31"/>
      <c r="D75" s="31"/>
      <c r="E75" s="31"/>
      <c r="F75" s="31"/>
      <c r="G75" s="31"/>
      <c r="H75" s="5"/>
      <c r="I75" s="5"/>
      <c r="J75" s="5"/>
      <c r="K75" s="5"/>
      <c r="L75" s="5"/>
      <c r="M75" s="5"/>
      <c r="N75" s="5"/>
      <c r="O75" s="5"/>
      <c r="P75" s="5"/>
      <c r="Q75" s="5"/>
      <c r="R75" s="5"/>
      <c r="S75" s="5"/>
      <c r="T75" s="5"/>
      <c r="U75" s="5"/>
      <c r="V75" s="5"/>
      <c r="W75" s="5"/>
    </row>
    <row r="76" spans="1:23">
      <c r="A76" s="4"/>
      <c r="B76" s="31"/>
      <c r="C76" s="31"/>
      <c r="D76" s="31"/>
      <c r="E76" s="31"/>
      <c r="F76" s="31"/>
      <c r="G76" s="31"/>
      <c r="H76" s="5"/>
      <c r="I76" s="5"/>
      <c r="J76" s="5"/>
      <c r="K76" s="5"/>
      <c r="L76" s="5"/>
      <c r="M76" s="5"/>
      <c r="N76" s="5"/>
      <c r="O76" s="5"/>
      <c r="P76" s="5"/>
      <c r="Q76" s="5"/>
      <c r="R76" s="5"/>
      <c r="S76" s="5"/>
      <c r="T76" s="5"/>
      <c r="U76" s="5"/>
      <c r="V76" s="5"/>
      <c r="W76" s="5"/>
    </row>
    <row r="77" spans="1:23">
      <c r="A77" s="4"/>
      <c r="B77" s="31"/>
      <c r="C77" s="31"/>
      <c r="D77" s="31"/>
      <c r="E77" s="31"/>
      <c r="F77" s="31"/>
      <c r="G77" s="31"/>
      <c r="H77" s="5"/>
      <c r="I77" s="5"/>
      <c r="J77" s="5"/>
      <c r="K77" s="5"/>
      <c r="L77" s="5"/>
      <c r="M77" s="5"/>
      <c r="N77" s="5"/>
      <c r="O77" s="5"/>
      <c r="P77" s="5"/>
      <c r="Q77" s="5"/>
      <c r="R77" s="5"/>
      <c r="S77" s="5"/>
      <c r="T77" s="5"/>
      <c r="U77" s="5"/>
      <c r="V77" s="5"/>
      <c r="W77" s="5"/>
    </row>
    <row r="78" spans="1:23">
      <c r="A78" s="4"/>
      <c r="B78" s="31"/>
      <c r="C78" s="31"/>
      <c r="D78" s="31"/>
      <c r="E78" s="31"/>
      <c r="F78" s="31"/>
      <c r="G78" s="31"/>
      <c r="H78" s="5"/>
      <c r="I78" s="5"/>
      <c r="J78" s="5"/>
      <c r="K78" s="5"/>
      <c r="L78" s="5"/>
      <c r="M78" s="5"/>
      <c r="N78" s="5"/>
      <c r="O78" s="5"/>
      <c r="P78" s="5"/>
      <c r="Q78" s="5"/>
      <c r="R78" s="5"/>
      <c r="S78" s="5"/>
      <c r="T78" s="5"/>
      <c r="U78" s="5"/>
      <c r="V78" s="5"/>
      <c r="W78" s="5"/>
    </row>
    <row r="79" spans="1:23">
      <c r="A79" s="4"/>
      <c r="B79" s="31"/>
      <c r="C79" s="31"/>
      <c r="D79" s="31"/>
      <c r="E79" s="31"/>
      <c r="F79" s="31"/>
      <c r="G79" s="31"/>
      <c r="H79" s="5"/>
      <c r="I79" s="5"/>
      <c r="J79" s="5"/>
      <c r="K79" s="5"/>
      <c r="L79" s="5"/>
      <c r="M79" s="5"/>
      <c r="N79" s="5"/>
      <c r="O79" s="5"/>
      <c r="P79" s="5"/>
      <c r="Q79" s="5"/>
      <c r="R79" s="5"/>
      <c r="S79" s="5"/>
      <c r="T79" s="5"/>
      <c r="U79" s="5"/>
      <c r="V79" s="5"/>
      <c r="W79" s="5"/>
    </row>
    <row r="80" spans="1:23">
      <c r="A80" s="4"/>
      <c r="B80" s="31"/>
      <c r="C80" s="31"/>
      <c r="D80" s="31"/>
      <c r="E80" s="31"/>
      <c r="F80" s="31"/>
      <c r="G80" s="31"/>
      <c r="H80" s="5"/>
      <c r="I80" s="5"/>
      <c r="J80" s="5"/>
      <c r="K80" s="5"/>
      <c r="L80" s="5"/>
      <c r="M80" s="5"/>
      <c r="N80" s="5"/>
      <c r="O80" s="5"/>
      <c r="P80" s="5"/>
      <c r="Q80" s="5"/>
      <c r="R80" s="5"/>
      <c r="S80" s="5"/>
      <c r="T80" s="5"/>
      <c r="U80" s="5"/>
      <c r="V80" s="5"/>
      <c r="W80" s="5"/>
    </row>
    <row r="81" spans="1:23">
      <c r="A81" s="4"/>
      <c r="B81" s="31"/>
      <c r="C81" s="31"/>
      <c r="D81" s="31"/>
      <c r="E81" s="31"/>
      <c r="F81" s="31"/>
      <c r="G81" s="31"/>
      <c r="H81" s="5"/>
      <c r="I81" s="5"/>
      <c r="J81" s="5"/>
      <c r="K81" s="5"/>
      <c r="L81" s="5"/>
      <c r="M81" s="5"/>
      <c r="N81" s="5"/>
      <c r="O81" s="5"/>
      <c r="P81" s="5"/>
      <c r="Q81" s="5"/>
      <c r="R81" s="5"/>
      <c r="S81" s="5"/>
      <c r="T81" s="5"/>
      <c r="U81" s="5"/>
      <c r="V81" s="5"/>
      <c r="W81" s="5"/>
    </row>
    <row r="82" spans="1:23">
      <c r="A82" s="4"/>
      <c r="B82" s="31"/>
      <c r="C82" s="31"/>
      <c r="D82" s="31"/>
      <c r="E82" s="31"/>
      <c r="F82" s="31"/>
      <c r="G82" s="31"/>
      <c r="H82" s="5"/>
      <c r="I82" s="5"/>
      <c r="J82" s="5"/>
      <c r="K82" s="5"/>
      <c r="L82" s="5"/>
      <c r="M82" s="5"/>
      <c r="N82" s="5"/>
      <c r="O82" s="5"/>
      <c r="P82" s="5"/>
      <c r="Q82" s="5"/>
      <c r="R82" s="5"/>
      <c r="S82" s="5"/>
      <c r="T82" s="5"/>
      <c r="U82" s="5"/>
      <c r="V82" s="5"/>
      <c r="W82" s="5"/>
    </row>
    <row r="83" spans="1:23">
      <c r="A83" s="4"/>
      <c r="B83" s="31"/>
      <c r="C83" s="31"/>
      <c r="D83" s="31"/>
      <c r="E83" s="31"/>
      <c r="F83" s="31"/>
      <c r="G83" s="31"/>
      <c r="H83" s="5"/>
      <c r="I83" s="5"/>
      <c r="J83" s="5"/>
      <c r="K83" s="5"/>
      <c r="L83" s="5"/>
      <c r="M83" s="5"/>
      <c r="N83" s="5"/>
      <c r="O83" s="5"/>
      <c r="P83" s="5"/>
      <c r="Q83" s="5"/>
      <c r="R83" s="5"/>
      <c r="S83" s="5"/>
      <c r="T83" s="5"/>
      <c r="U83" s="5"/>
      <c r="V83" s="5"/>
      <c r="W83" s="5"/>
    </row>
    <row r="84" spans="1:23">
      <c r="A84" s="4"/>
      <c r="B84" s="31"/>
      <c r="C84" s="31"/>
      <c r="D84" s="31"/>
      <c r="E84" s="31"/>
      <c r="F84" s="31"/>
      <c r="G84" s="31"/>
      <c r="H84" s="5"/>
      <c r="I84" s="5"/>
      <c r="J84" s="5"/>
      <c r="K84" s="5"/>
      <c r="L84" s="5"/>
      <c r="M84" s="5"/>
      <c r="N84" s="5"/>
      <c r="O84" s="5"/>
      <c r="P84" s="5"/>
      <c r="Q84" s="5"/>
      <c r="R84" s="5"/>
      <c r="S84" s="5"/>
      <c r="T84" s="5"/>
      <c r="U84" s="5"/>
      <c r="V84" s="5"/>
      <c r="W84" s="5"/>
    </row>
    <row r="85" spans="1:23">
      <c r="A85" s="4"/>
      <c r="B85" s="31"/>
      <c r="C85" s="31"/>
      <c r="D85" s="31"/>
      <c r="E85" s="31"/>
      <c r="F85" s="31"/>
      <c r="G85" s="31"/>
      <c r="H85" s="5"/>
      <c r="I85" s="5"/>
      <c r="J85" s="5"/>
      <c r="K85" s="5"/>
      <c r="L85" s="5"/>
      <c r="M85" s="5"/>
      <c r="N85" s="5"/>
      <c r="O85" s="5"/>
      <c r="P85" s="5"/>
      <c r="Q85" s="5"/>
      <c r="R85" s="5"/>
      <c r="S85" s="5"/>
      <c r="T85" s="5"/>
      <c r="U85" s="5"/>
      <c r="V85" s="5"/>
      <c r="W85" s="5"/>
    </row>
    <row r="86" spans="1:23">
      <c r="A86" s="4"/>
      <c r="B86" s="31"/>
      <c r="C86" s="31"/>
      <c r="D86" s="31"/>
      <c r="E86" s="31"/>
      <c r="F86" s="31"/>
      <c r="G86" s="31"/>
      <c r="H86" s="5"/>
      <c r="I86" s="5"/>
      <c r="J86" s="5"/>
      <c r="K86" s="5"/>
      <c r="L86" s="5"/>
      <c r="M86" s="5"/>
      <c r="N86" s="5"/>
      <c r="O86" s="5"/>
      <c r="P86" s="5"/>
      <c r="Q86" s="5"/>
      <c r="R86" s="5"/>
      <c r="S86" s="5"/>
      <c r="T86" s="5"/>
      <c r="U86" s="5"/>
      <c r="V86" s="5"/>
      <c r="W86" s="5"/>
    </row>
    <row r="87" spans="1:23">
      <c r="A87" s="4"/>
      <c r="B87" s="31"/>
      <c r="C87" s="31"/>
      <c r="D87" s="31"/>
      <c r="E87" s="31"/>
      <c r="F87" s="31"/>
      <c r="G87" s="31"/>
      <c r="H87" s="5"/>
      <c r="I87" s="5"/>
      <c r="J87" s="5"/>
      <c r="K87" s="5"/>
      <c r="L87" s="5"/>
      <c r="M87" s="5"/>
      <c r="N87" s="5"/>
      <c r="O87" s="5"/>
      <c r="P87" s="5"/>
      <c r="Q87" s="5"/>
      <c r="R87" s="5"/>
      <c r="S87" s="5"/>
      <c r="T87" s="5"/>
      <c r="U87" s="5"/>
      <c r="V87" s="5"/>
      <c r="W87" s="5"/>
    </row>
    <row r="88" spans="1:23">
      <c r="A88" s="4"/>
      <c r="B88" s="31"/>
      <c r="C88" s="31"/>
      <c r="D88" s="31"/>
      <c r="E88" s="31"/>
      <c r="F88" s="31"/>
      <c r="G88" s="31"/>
      <c r="H88" s="5"/>
      <c r="I88" s="5"/>
      <c r="J88" s="5"/>
      <c r="K88" s="5"/>
      <c r="L88" s="5"/>
      <c r="M88" s="5"/>
      <c r="N88" s="5"/>
      <c r="O88" s="5"/>
      <c r="P88" s="5"/>
      <c r="Q88" s="5"/>
      <c r="R88" s="5"/>
      <c r="S88" s="5"/>
      <c r="T88" s="5"/>
      <c r="U88" s="5"/>
      <c r="V88" s="5"/>
      <c r="W88" s="5"/>
    </row>
    <row r="89" spans="1:23">
      <c r="A89" s="4"/>
      <c r="B89" s="31"/>
      <c r="C89" s="31"/>
      <c r="D89" s="31"/>
      <c r="E89" s="31"/>
      <c r="F89" s="31"/>
      <c r="G89" s="31"/>
      <c r="H89" s="5"/>
      <c r="I89" s="5"/>
      <c r="J89" s="5"/>
      <c r="K89" s="5"/>
      <c r="L89" s="5"/>
      <c r="M89" s="5"/>
      <c r="N89" s="5"/>
      <c r="O89" s="5"/>
      <c r="P89" s="5"/>
      <c r="Q89" s="5"/>
      <c r="R89" s="5"/>
      <c r="S89" s="5"/>
      <c r="T89" s="5"/>
      <c r="U89" s="5"/>
      <c r="V89" s="5"/>
      <c r="W89" s="5"/>
    </row>
    <row r="90" spans="1:23">
      <c r="A90" s="4"/>
      <c r="B90" s="31"/>
      <c r="C90" s="31"/>
      <c r="D90" s="31"/>
      <c r="E90" s="31"/>
      <c r="F90" s="31"/>
      <c r="G90" s="31"/>
      <c r="H90" s="5"/>
      <c r="I90" s="5"/>
      <c r="J90" s="5"/>
      <c r="K90" s="5"/>
      <c r="L90" s="5"/>
      <c r="M90" s="5"/>
      <c r="N90" s="5"/>
      <c r="O90" s="5"/>
      <c r="P90" s="5"/>
      <c r="Q90" s="5"/>
      <c r="R90" s="5"/>
      <c r="S90" s="5"/>
      <c r="T90" s="5"/>
      <c r="U90" s="5"/>
      <c r="V90" s="5"/>
      <c r="W90" s="5"/>
    </row>
    <row r="91" spans="1:23">
      <c r="A91" s="4"/>
      <c r="B91" s="31"/>
      <c r="C91" s="31"/>
      <c r="D91" s="31"/>
      <c r="E91" s="31"/>
      <c r="F91" s="31"/>
      <c r="G91" s="31"/>
      <c r="H91" s="5"/>
      <c r="I91" s="5"/>
      <c r="J91" s="5"/>
      <c r="K91" s="5"/>
      <c r="L91" s="5"/>
      <c r="M91" s="5"/>
      <c r="N91" s="5"/>
      <c r="O91" s="5"/>
      <c r="P91" s="5"/>
      <c r="Q91" s="5"/>
      <c r="R91" s="5"/>
      <c r="S91" s="5"/>
      <c r="T91" s="5"/>
      <c r="U91" s="5"/>
      <c r="V91" s="5"/>
      <c r="W91" s="5"/>
    </row>
    <row r="92" spans="1:23">
      <c r="A92" s="4"/>
      <c r="B92" s="31"/>
      <c r="C92" s="31"/>
      <c r="D92" s="31"/>
      <c r="E92" s="31"/>
      <c r="F92" s="31"/>
      <c r="G92" s="31"/>
      <c r="H92" s="5"/>
      <c r="I92" s="5"/>
      <c r="J92" s="5"/>
      <c r="K92" s="5"/>
      <c r="L92" s="5"/>
      <c r="M92" s="5"/>
      <c r="N92" s="5"/>
      <c r="O92" s="5"/>
      <c r="P92" s="5"/>
      <c r="Q92" s="5"/>
      <c r="R92" s="5"/>
      <c r="S92" s="5"/>
      <c r="T92" s="5"/>
      <c r="U92" s="5"/>
      <c r="V92" s="5"/>
      <c r="W92" s="5"/>
    </row>
    <row r="93" spans="1:23">
      <c r="A93" s="4"/>
      <c r="B93" s="31"/>
      <c r="C93" s="31"/>
      <c r="D93" s="31"/>
      <c r="E93" s="31"/>
      <c r="F93" s="31"/>
      <c r="G93" s="31"/>
      <c r="H93" s="5"/>
      <c r="I93" s="5"/>
      <c r="J93" s="5"/>
      <c r="K93" s="5"/>
      <c r="L93" s="5"/>
      <c r="M93" s="5"/>
      <c r="N93" s="5"/>
      <c r="O93" s="5"/>
      <c r="P93" s="5"/>
      <c r="Q93" s="5"/>
      <c r="R93" s="5"/>
      <c r="S93" s="5"/>
      <c r="T93" s="5"/>
      <c r="U93" s="5"/>
      <c r="V93" s="5"/>
      <c r="W93" s="5"/>
    </row>
    <row r="94" spans="1:23">
      <c r="A94" s="4"/>
      <c r="B94" s="31"/>
      <c r="C94" s="31"/>
      <c r="D94" s="31"/>
      <c r="E94" s="31"/>
      <c r="F94" s="31"/>
      <c r="G94" s="31"/>
      <c r="H94" s="5"/>
      <c r="I94" s="5"/>
      <c r="J94" s="5"/>
      <c r="K94" s="5"/>
      <c r="L94" s="5"/>
      <c r="M94" s="5"/>
      <c r="N94" s="5"/>
      <c r="O94" s="5"/>
      <c r="P94" s="5"/>
      <c r="Q94" s="5"/>
      <c r="R94" s="5"/>
      <c r="S94" s="5"/>
      <c r="T94" s="5"/>
      <c r="U94" s="5"/>
      <c r="V94" s="5"/>
      <c r="W94" s="5"/>
    </row>
    <row r="95" spans="1:23">
      <c r="A95" s="4"/>
      <c r="B95" s="31"/>
      <c r="C95" s="31"/>
      <c r="D95" s="31"/>
      <c r="E95" s="31"/>
      <c r="F95" s="31"/>
      <c r="G95" s="31"/>
      <c r="H95" s="5"/>
      <c r="I95" s="5"/>
      <c r="J95" s="5"/>
      <c r="K95" s="5"/>
      <c r="L95" s="5"/>
      <c r="M95" s="5"/>
      <c r="N95" s="5"/>
      <c r="O95" s="5"/>
      <c r="P95" s="5"/>
      <c r="Q95" s="5"/>
      <c r="R95" s="5"/>
      <c r="S95" s="5"/>
      <c r="T95" s="5"/>
      <c r="U95" s="5"/>
      <c r="V95" s="5"/>
      <c r="W95" s="5"/>
    </row>
    <row r="96" spans="1:23">
      <c r="A96" s="4"/>
      <c r="B96" s="31"/>
      <c r="C96" s="31"/>
      <c r="D96" s="31"/>
      <c r="E96" s="31"/>
      <c r="F96" s="31"/>
      <c r="G96" s="31"/>
      <c r="H96" s="5"/>
      <c r="I96" s="5"/>
      <c r="J96" s="5"/>
      <c r="K96" s="5"/>
      <c r="L96" s="5"/>
      <c r="M96" s="5"/>
      <c r="N96" s="5"/>
      <c r="O96" s="5"/>
      <c r="P96" s="5"/>
      <c r="Q96" s="5"/>
      <c r="R96" s="5"/>
      <c r="S96" s="5"/>
      <c r="T96" s="5"/>
      <c r="U96" s="5"/>
      <c r="V96" s="5"/>
      <c r="W96" s="5"/>
    </row>
    <row r="97" spans="1:23">
      <c r="A97" s="4"/>
      <c r="B97" s="31"/>
      <c r="C97" s="31"/>
      <c r="D97" s="31"/>
      <c r="E97" s="31"/>
      <c r="F97" s="31"/>
      <c r="G97" s="31"/>
      <c r="H97" s="5"/>
      <c r="I97" s="5"/>
      <c r="J97" s="5"/>
      <c r="K97" s="5"/>
      <c r="L97" s="5"/>
      <c r="M97" s="5"/>
      <c r="N97" s="5"/>
      <c r="O97" s="5"/>
      <c r="P97" s="5"/>
      <c r="Q97" s="5"/>
      <c r="R97" s="5"/>
      <c r="S97" s="5"/>
      <c r="T97" s="5"/>
      <c r="U97" s="5"/>
      <c r="V97" s="5"/>
      <c r="W97" s="5"/>
    </row>
    <row r="98" spans="1:23">
      <c r="A98" s="4"/>
      <c r="B98" s="31"/>
      <c r="C98" s="31"/>
      <c r="D98" s="31"/>
      <c r="E98" s="31"/>
      <c r="F98" s="31"/>
      <c r="G98" s="31"/>
      <c r="H98" s="5"/>
      <c r="I98" s="5"/>
      <c r="J98" s="5"/>
      <c r="K98" s="5"/>
      <c r="L98" s="5"/>
      <c r="M98" s="5"/>
      <c r="N98" s="5"/>
      <c r="O98" s="5"/>
      <c r="P98" s="5"/>
      <c r="Q98" s="5"/>
      <c r="R98" s="5"/>
      <c r="S98" s="5"/>
      <c r="T98" s="5"/>
      <c r="U98" s="5"/>
      <c r="V98" s="5"/>
      <c r="W98" s="5"/>
    </row>
    <row r="99" spans="1:23">
      <c r="A99" s="4"/>
      <c r="B99" s="31"/>
      <c r="C99" s="31"/>
      <c r="D99" s="31"/>
      <c r="E99" s="31"/>
      <c r="F99" s="31"/>
      <c r="G99" s="31"/>
      <c r="H99" s="5"/>
      <c r="I99" s="5"/>
      <c r="J99" s="5"/>
      <c r="K99" s="5"/>
      <c r="L99" s="5"/>
      <c r="M99" s="5"/>
      <c r="N99" s="5"/>
      <c r="O99" s="5"/>
      <c r="P99" s="5"/>
      <c r="Q99" s="5"/>
      <c r="R99" s="5"/>
      <c r="S99" s="5"/>
      <c r="T99" s="5"/>
      <c r="U99" s="5"/>
      <c r="V99" s="5"/>
      <c r="W99" s="5"/>
    </row>
    <row r="100" spans="1:23">
      <c r="A100" s="4"/>
      <c r="B100" s="31"/>
      <c r="C100" s="31"/>
      <c r="D100" s="31"/>
      <c r="E100" s="31"/>
      <c r="F100" s="31"/>
      <c r="G100" s="31"/>
      <c r="H100" s="5"/>
      <c r="I100" s="5"/>
      <c r="J100" s="5"/>
      <c r="K100" s="5"/>
      <c r="L100" s="5"/>
      <c r="M100" s="5"/>
      <c r="N100" s="5"/>
      <c r="O100" s="5"/>
      <c r="P100" s="5"/>
      <c r="Q100" s="5"/>
      <c r="R100" s="5"/>
      <c r="S100" s="5"/>
      <c r="T100" s="5"/>
      <c r="U100" s="5"/>
      <c r="V100" s="5"/>
      <c r="W100" s="5"/>
    </row>
    <row r="101" spans="1:23">
      <c r="A101" s="4"/>
      <c r="B101" s="31"/>
      <c r="C101" s="31"/>
      <c r="D101" s="31"/>
      <c r="E101" s="31"/>
      <c r="F101" s="31"/>
      <c r="G101" s="31"/>
      <c r="H101" s="5"/>
      <c r="I101" s="5"/>
      <c r="J101" s="5"/>
      <c r="K101" s="5"/>
      <c r="L101" s="5"/>
      <c r="M101" s="5"/>
      <c r="N101" s="5"/>
      <c r="O101" s="5"/>
      <c r="P101" s="5"/>
      <c r="Q101" s="5"/>
      <c r="R101" s="5"/>
      <c r="S101" s="5"/>
      <c r="T101" s="5"/>
      <c r="U101" s="5"/>
      <c r="V101" s="5"/>
      <c r="W101" s="5"/>
    </row>
    <row r="102" spans="1:23">
      <c r="A102" s="4"/>
      <c r="B102" s="31"/>
      <c r="C102" s="31"/>
      <c r="D102" s="31"/>
      <c r="E102" s="31"/>
      <c r="F102" s="31"/>
      <c r="G102" s="31"/>
      <c r="H102" s="5"/>
      <c r="I102" s="5"/>
      <c r="J102" s="5"/>
      <c r="K102" s="5"/>
      <c r="L102" s="5"/>
      <c r="M102" s="5"/>
      <c r="N102" s="5"/>
      <c r="O102" s="5"/>
      <c r="P102" s="5"/>
      <c r="Q102" s="5"/>
      <c r="R102" s="5"/>
      <c r="S102" s="5"/>
      <c r="T102" s="5"/>
      <c r="U102" s="5"/>
      <c r="V102" s="5"/>
      <c r="W102" s="5"/>
    </row>
    <row r="103" spans="1:23">
      <c r="A103" s="4"/>
      <c r="B103" s="31"/>
      <c r="C103" s="31"/>
      <c r="D103" s="31"/>
      <c r="E103" s="31"/>
      <c r="F103" s="31"/>
      <c r="G103" s="31"/>
      <c r="H103" s="5"/>
      <c r="I103" s="5"/>
      <c r="J103" s="5"/>
      <c r="K103" s="5"/>
      <c r="L103" s="5"/>
      <c r="M103" s="5"/>
      <c r="N103" s="5"/>
      <c r="O103" s="5"/>
      <c r="P103" s="5"/>
      <c r="Q103" s="5"/>
      <c r="R103" s="5"/>
      <c r="S103" s="5"/>
      <c r="T103" s="5"/>
      <c r="U103" s="5"/>
      <c r="V103" s="5"/>
      <c r="W103" s="5"/>
    </row>
    <row r="104" spans="1:23">
      <c r="A104" s="4"/>
      <c r="B104" s="31"/>
      <c r="C104" s="31"/>
      <c r="D104" s="31"/>
      <c r="E104" s="31"/>
      <c r="F104" s="31"/>
      <c r="G104" s="31"/>
      <c r="H104" s="5"/>
      <c r="I104" s="5"/>
      <c r="J104" s="5"/>
      <c r="K104" s="5"/>
      <c r="L104" s="5"/>
      <c r="M104" s="5"/>
      <c r="N104" s="5"/>
      <c r="O104" s="5"/>
      <c r="P104" s="5"/>
      <c r="Q104" s="5"/>
      <c r="R104" s="5"/>
      <c r="S104" s="5"/>
      <c r="T104" s="5"/>
      <c r="U104" s="5"/>
      <c r="V104" s="5"/>
      <c r="W104" s="5"/>
    </row>
    <row r="105" spans="1:23">
      <c r="A105" s="4"/>
      <c r="B105" s="31"/>
      <c r="C105" s="31"/>
      <c r="D105" s="31"/>
      <c r="E105" s="31"/>
      <c r="F105" s="31"/>
      <c r="G105" s="31"/>
      <c r="H105" s="5"/>
      <c r="I105" s="5"/>
      <c r="J105" s="5"/>
      <c r="K105" s="5"/>
      <c r="L105" s="5"/>
      <c r="M105" s="5"/>
      <c r="N105" s="5"/>
      <c r="O105" s="5"/>
      <c r="P105" s="5"/>
      <c r="Q105" s="5"/>
      <c r="R105" s="5"/>
      <c r="S105" s="5"/>
      <c r="T105" s="5"/>
      <c r="U105" s="5"/>
      <c r="V105" s="5"/>
      <c r="W105" s="5"/>
    </row>
    <row r="106" spans="1:23">
      <c r="A106" s="4"/>
      <c r="B106" s="31"/>
      <c r="C106" s="31"/>
      <c r="D106" s="31"/>
      <c r="E106" s="31"/>
      <c r="F106" s="31"/>
      <c r="G106" s="31"/>
      <c r="H106" s="5"/>
      <c r="I106" s="5"/>
      <c r="J106" s="5"/>
      <c r="K106" s="5"/>
      <c r="L106" s="5"/>
      <c r="M106" s="5"/>
      <c r="N106" s="5"/>
      <c r="O106" s="5"/>
      <c r="P106" s="5"/>
      <c r="Q106" s="5"/>
      <c r="R106" s="5"/>
      <c r="S106" s="5"/>
      <c r="T106" s="5"/>
      <c r="U106" s="5"/>
      <c r="V106" s="5"/>
      <c r="W106" s="5"/>
    </row>
    <row r="107" spans="1:23">
      <c r="A107" s="4"/>
      <c r="B107" s="31"/>
      <c r="C107" s="31"/>
      <c r="D107" s="31"/>
      <c r="E107" s="31"/>
      <c r="F107" s="31"/>
      <c r="G107" s="31"/>
      <c r="H107" s="5"/>
      <c r="I107" s="5"/>
      <c r="J107" s="5"/>
      <c r="K107" s="5"/>
      <c r="L107" s="5"/>
      <c r="M107" s="5"/>
      <c r="N107" s="5"/>
      <c r="O107" s="5"/>
      <c r="P107" s="5"/>
      <c r="Q107" s="5"/>
      <c r="R107" s="5"/>
      <c r="S107" s="5"/>
      <c r="T107" s="5"/>
      <c r="U107" s="5"/>
      <c r="V107" s="5"/>
      <c r="W107" s="5"/>
    </row>
    <row r="108" spans="1:23">
      <c r="A108" s="4"/>
      <c r="B108" s="31"/>
      <c r="C108" s="31"/>
      <c r="D108" s="31"/>
      <c r="E108" s="31"/>
      <c r="F108" s="31"/>
      <c r="G108" s="31"/>
      <c r="H108" s="5"/>
      <c r="I108" s="5"/>
      <c r="J108" s="5"/>
      <c r="K108" s="5"/>
      <c r="L108" s="5"/>
      <c r="M108" s="5"/>
      <c r="N108" s="5"/>
      <c r="O108" s="5"/>
      <c r="P108" s="5"/>
      <c r="Q108" s="5"/>
      <c r="R108" s="5"/>
      <c r="S108" s="5"/>
      <c r="T108" s="5"/>
      <c r="U108" s="5"/>
      <c r="V108" s="5"/>
      <c r="W108" s="5"/>
    </row>
    <row r="109" spans="1:23">
      <c r="A109" s="4"/>
      <c r="B109" s="31"/>
      <c r="C109" s="31"/>
      <c r="D109" s="31"/>
      <c r="E109" s="31"/>
      <c r="F109" s="31"/>
      <c r="G109" s="31"/>
      <c r="H109" s="5"/>
      <c r="I109" s="5"/>
      <c r="J109" s="5"/>
      <c r="K109" s="5"/>
      <c r="L109" s="5"/>
      <c r="M109" s="5"/>
      <c r="N109" s="5"/>
      <c r="O109" s="5"/>
      <c r="P109" s="5"/>
      <c r="Q109" s="5"/>
      <c r="R109" s="5"/>
      <c r="S109" s="5"/>
      <c r="T109" s="5"/>
      <c r="U109" s="5"/>
      <c r="V109" s="5"/>
      <c r="W109" s="5"/>
    </row>
    <row r="110" spans="1:23">
      <c r="A110" s="4"/>
      <c r="B110" s="31"/>
      <c r="C110" s="31"/>
      <c r="D110" s="31"/>
      <c r="E110" s="31"/>
      <c r="F110" s="31"/>
      <c r="G110" s="31"/>
      <c r="H110" s="5"/>
      <c r="I110" s="5"/>
      <c r="J110" s="5"/>
      <c r="K110" s="5"/>
      <c r="L110" s="5"/>
      <c r="M110" s="5"/>
      <c r="N110" s="5"/>
      <c r="O110" s="5"/>
      <c r="P110" s="5"/>
      <c r="Q110" s="5"/>
      <c r="R110" s="5"/>
      <c r="S110" s="5"/>
      <c r="T110" s="5"/>
      <c r="U110" s="5"/>
      <c r="V110" s="5"/>
      <c r="W110" s="5"/>
    </row>
    <row r="111" spans="1:23">
      <c r="A111" s="4"/>
      <c r="B111" s="31"/>
      <c r="C111" s="31"/>
      <c r="D111" s="31"/>
      <c r="E111" s="31"/>
      <c r="F111" s="31"/>
      <c r="G111" s="31"/>
      <c r="H111" s="5"/>
      <c r="I111" s="5"/>
      <c r="J111" s="5"/>
      <c r="K111" s="5"/>
      <c r="L111" s="5"/>
      <c r="M111" s="5"/>
      <c r="N111" s="5"/>
      <c r="O111" s="5"/>
      <c r="P111" s="5"/>
      <c r="Q111" s="5"/>
      <c r="R111" s="5"/>
      <c r="S111" s="5"/>
      <c r="T111" s="5"/>
      <c r="U111" s="5"/>
      <c r="V111" s="5"/>
      <c r="W111" s="5"/>
    </row>
    <row r="112" spans="1:23">
      <c r="A112" s="4"/>
      <c r="B112" s="31"/>
      <c r="C112" s="31"/>
      <c r="D112" s="31"/>
      <c r="E112" s="31"/>
      <c r="F112" s="31"/>
      <c r="G112" s="31"/>
      <c r="H112" s="5"/>
      <c r="I112" s="5"/>
      <c r="J112" s="5"/>
      <c r="K112" s="5"/>
      <c r="L112" s="5"/>
      <c r="M112" s="5"/>
      <c r="N112" s="5"/>
      <c r="O112" s="5"/>
      <c r="P112" s="5"/>
      <c r="Q112" s="5"/>
      <c r="R112" s="5"/>
      <c r="S112" s="5"/>
      <c r="T112" s="5"/>
      <c r="U112" s="5"/>
      <c r="V112" s="5"/>
      <c r="W112" s="5"/>
    </row>
    <row r="113" spans="1:23">
      <c r="A113" s="4"/>
      <c r="B113" s="31"/>
      <c r="C113" s="31"/>
      <c r="D113" s="31"/>
      <c r="E113" s="31"/>
      <c r="F113" s="31"/>
      <c r="G113" s="31"/>
      <c r="H113" s="5"/>
      <c r="I113" s="5"/>
      <c r="J113" s="5"/>
      <c r="K113" s="5"/>
      <c r="L113" s="5"/>
      <c r="M113" s="5"/>
      <c r="N113" s="5"/>
      <c r="O113" s="5"/>
      <c r="P113" s="5"/>
      <c r="Q113" s="5"/>
      <c r="R113" s="5"/>
      <c r="S113" s="5"/>
      <c r="T113" s="5"/>
      <c r="U113" s="5"/>
      <c r="V113" s="5"/>
      <c r="W113" s="5"/>
    </row>
    <row r="114" spans="1:23">
      <c r="A114" s="4"/>
      <c r="B114" s="31"/>
      <c r="C114" s="31"/>
      <c r="D114" s="31"/>
      <c r="E114" s="31"/>
      <c r="F114" s="31"/>
      <c r="G114" s="31"/>
      <c r="H114" s="5"/>
      <c r="I114" s="5"/>
      <c r="J114" s="5"/>
      <c r="K114" s="5"/>
      <c r="L114" s="5"/>
      <c r="M114" s="5"/>
      <c r="N114" s="5"/>
      <c r="O114" s="5"/>
      <c r="P114" s="5"/>
      <c r="Q114" s="5"/>
      <c r="R114" s="5"/>
      <c r="S114" s="5"/>
      <c r="T114" s="5"/>
      <c r="U114" s="5"/>
      <c r="V114" s="5"/>
      <c r="W114" s="5"/>
    </row>
    <row r="115" spans="1:23">
      <c r="A115" s="4"/>
      <c r="B115" s="31"/>
      <c r="C115" s="31"/>
      <c r="D115" s="31"/>
      <c r="E115" s="31"/>
      <c r="F115" s="31"/>
      <c r="G115" s="31"/>
      <c r="H115" s="5"/>
      <c r="I115" s="5"/>
      <c r="J115" s="5"/>
      <c r="K115" s="5"/>
      <c r="L115" s="5"/>
      <c r="M115" s="5"/>
      <c r="N115" s="5"/>
      <c r="O115" s="5"/>
      <c r="P115" s="5"/>
      <c r="Q115" s="5"/>
      <c r="R115" s="5"/>
      <c r="S115" s="5"/>
      <c r="T115" s="5"/>
      <c r="U115" s="5"/>
      <c r="V115" s="5"/>
      <c r="W115" s="5"/>
    </row>
    <row r="116" spans="1:23">
      <c r="A116" s="4"/>
      <c r="B116" s="31"/>
      <c r="C116" s="31"/>
      <c r="D116" s="31"/>
      <c r="E116" s="31"/>
      <c r="F116" s="31"/>
      <c r="G116" s="31"/>
      <c r="H116" s="5"/>
      <c r="I116" s="5"/>
      <c r="J116" s="5"/>
      <c r="K116" s="5"/>
      <c r="L116" s="5"/>
      <c r="M116" s="5"/>
      <c r="N116" s="5"/>
      <c r="O116" s="5"/>
      <c r="P116" s="5"/>
      <c r="Q116" s="5"/>
      <c r="R116" s="5"/>
      <c r="S116" s="5"/>
      <c r="T116" s="5"/>
      <c r="U116" s="5"/>
      <c r="V116" s="5"/>
      <c r="W116" s="5"/>
    </row>
    <row r="117" spans="1:23">
      <c r="A117" s="4"/>
      <c r="B117" s="31"/>
      <c r="C117" s="31"/>
      <c r="D117" s="31"/>
      <c r="E117" s="31"/>
      <c r="F117" s="31"/>
      <c r="G117" s="31"/>
      <c r="H117" s="5"/>
      <c r="I117" s="5"/>
      <c r="J117" s="5"/>
      <c r="K117" s="5"/>
      <c r="L117" s="5"/>
      <c r="M117" s="5"/>
      <c r="N117" s="5"/>
      <c r="O117" s="5"/>
      <c r="P117" s="5"/>
      <c r="Q117" s="5"/>
      <c r="R117" s="5"/>
      <c r="S117" s="5"/>
      <c r="T117" s="5"/>
      <c r="U117" s="5"/>
      <c r="V117" s="5"/>
      <c r="W117" s="5"/>
    </row>
    <row r="118" spans="1:23">
      <c r="A118" s="4"/>
      <c r="B118" s="31"/>
      <c r="C118" s="31"/>
      <c r="D118" s="31"/>
      <c r="E118" s="31"/>
      <c r="F118" s="31"/>
      <c r="G118" s="31"/>
      <c r="H118" s="5"/>
      <c r="I118" s="5"/>
      <c r="J118" s="5"/>
      <c r="K118" s="5"/>
      <c r="L118" s="5"/>
      <c r="M118" s="5"/>
      <c r="N118" s="5"/>
      <c r="O118" s="5"/>
      <c r="P118" s="5"/>
      <c r="Q118" s="5"/>
      <c r="R118" s="5"/>
      <c r="S118" s="5"/>
      <c r="T118" s="5"/>
      <c r="U118" s="5"/>
      <c r="V118" s="5"/>
      <c r="W118" s="5"/>
    </row>
    <row r="119" spans="1:23">
      <c r="A119" s="4"/>
      <c r="B119" s="31"/>
      <c r="C119" s="31"/>
      <c r="D119" s="31"/>
      <c r="E119" s="31"/>
      <c r="F119" s="31"/>
      <c r="G119" s="31"/>
      <c r="H119" s="5"/>
      <c r="I119" s="5"/>
      <c r="J119" s="5"/>
      <c r="K119" s="5"/>
      <c r="L119" s="5"/>
      <c r="M119" s="5"/>
      <c r="N119" s="5"/>
      <c r="O119" s="5"/>
      <c r="P119" s="5"/>
      <c r="Q119" s="5"/>
      <c r="R119" s="5"/>
      <c r="S119" s="5"/>
      <c r="T119" s="5"/>
      <c r="U119" s="5"/>
      <c r="V119" s="5"/>
      <c r="W119" s="5"/>
    </row>
    <row r="120" spans="1:23">
      <c r="A120" s="4"/>
      <c r="B120" s="31"/>
      <c r="C120" s="31"/>
      <c r="D120" s="31"/>
      <c r="E120" s="31"/>
      <c r="F120" s="31"/>
      <c r="G120" s="31"/>
      <c r="H120" s="5"/>
      <c r="I120" s="5"/>
      <c r="J120" s="5"/>
      <c r="K120" s="5"/>
      <c r="L120" s="5"/>
      <c r="M120" s="5"/>
      <c r="N120" s="5"/>
      <c r="O120" s="5"/>
      <c r="P120" s="5"/>
      <c r="Q120" s="5"/>
      <c r="R120" s="5"/>
      <c r="S120" s="5"/>
      <c r="T120" s="5"/>
      <c r="U120" s="5"/>
      <c r="V120" s="5"/>
      <c r="W120" s="5"/>
    </row>
    <row r="121" spans="1:23">
      <c r="A121" s="4"/>
      <c r="B121" s="31"/>
      <c r="C121" s="31"/>
      <c r="D121" s="31"/>
      <c r="E121" s="31"/>
      <c r="F121" s="31"/>
      <c r="G121" s="31"/>
      <c r="H121" s="5"/>
      <c r="I121" s="5"/>
      <c r="J121" s="5"/>
      <c r="K121" s="5"/>
      <c r="L121" s="5"/>
      <c r="M121" s="5"/>
      <c r="N121" s="5"/>
      <c r="O121" s="5"/>
      <c r="P121" s="5"/>
      <c r="Q121" s="5"/>
      <c r="R121" s="5"/>
      <c r="S121" s="5"/>
      <c r="T121" s="5"/>
      <c r="U121" s="5"/>
      <c r="V121" s="5"/>
      <c r="W121" s="5"/>
    </row>
    <row r="122" spans="1:23">
      <c r="A122" s="4"/>
      <c r="B122" s="31"/>
      <c r="C122" s="31"/>
      <c r="D122" s="31"/>
      <c r="E122" s="31"/>
      <c r="F122" s="31"/>
      <c r="G122" s="31"/>
      <c r="H122" s="5"/>
      <c r="I122" s="5"/>
      <c r="J122" s="5"/>
      <c r="K122" s="5"/>
      <c r="L122" s="5"/>
      <c r="M122" s="5"/>
      <c r="N122" s="5"/>
      <c r="O122" s="5"/>
      <c r="P122" s="5"/>
      <c r="Q122" s="5"/>
      <c r="R122" s="5"/>
      <c r="S122" s="5"/>
      <c r="T122" s="5"/>
      <c r="U122" s="5"/>
      <c r="V122" s="5"/>
      <c r="W122" s="5"/>
    </row>
    <row r="123" spans="1:23">
      <c r="A123" s="4"/>
      <c r="B123" s="31"/>
      <c r="C123" s="31"/>
      <c r="D123" s="31"/>
      <c r="E123" s="31"/>
      <c r="F123" s="31"/>
      <c r="G123" s="31"/>
      <c r="H123" s="5"/>
      <c r="I123" s="5"/>
      <c r="J123" s="5"/>
      <c r="K123" s="5"/>
      <c r="L123" s="5"/>
      <c r="M123" s="5"/>
      <c r="N123" s="5"/>
      <c r="O123" s="5"/>
      <c r="P123" s="5"/>
      <c r="Q123" s="5"/>
      <c r="R123" s="5"/>
      <c r="S123" s="5"/>
      <c r="T123" s="5"/>
      <c r="U123" s="5"/>
      <c r="V123" s="5"/>
      <c r="W123" s="5"/>
    </row>
    <row r="124" spans="1:23">
      <c r="A124" s="4"/>
      <c r="B124" s="31"/>
      <c r="C124" s="31"/>
      <c r="D124" s="31"/>
      <c r="E124" s="31"/>
      <c r="F124" s="31"/>
      <c r="G124" s="31"/>
      <c r="H124" s="5"/>
      <c r="I124" s="5"/>
      <c r="J124" s="5"/>
      <c r="K124" s="5"/>
      <c r="L124" s="5"/>
      <c r="M124" s="5"/>
      <c r="N124" s="5"/>
      <c r="O124" s="5"/>
      <c r="P124" s="5"/>
      <c r="Q124" s="5"/>
      <c r="R124" s="5"/>
      <c r="S124" s="5"/>
      <c r="T124" s="5"/>
      <c r="U124" s="5"/>
      <c r="V124" s="5"/>
      <c r="W124" s="5"/>
    </row>
    <row r="125" spans="1:23">
      <c r="A125" s="4"/>
      <c r="B125" s="31"/>
      <c r="C125" s="31"/>
      <c r="D125" s="31"/>
      <c r="E125" s="31"/>
      <c r="F125" s="31"/>
      <c r="G125" s="31"/>
      <c r="H125" s="5"/>
      <c r="I125" s="5"/>
      <c r="J125" s="5"/>
      <c r="K125" s="5"/>
      <c r="L125" s="5"/>
      <c r="M125" s="5"/>
      <c r="N125" s="5"/>
      <c r="O125" s="5"/>
      <c r="P125" s="5"/>
      <c r="Q125" s="5"/>
      <c r="R125" s="5"/>
      <c r="S125" s="5"/>
      <c r="T125" s="5"/>
      <c r="U125" s="5"/>
      <c r="V125" s="5"/>
      <c r="W125" s="5"/>
    </row>
    <row r="126" spans="1:23">
      <c r="A126" s="4"/>
      <c r="B126" s="31"/>
      <c r="C126" s="31"/>
      <c r="D126" s="31"/>
      <c r="E126" s="31"/>
      <c r="F126" s="31"/>
      <c r="G126" s="31"/>
      <c r="H126" s="5"/>
      <c r="I126" s="5"/>
      <c r="J126" s="5"/>
      <c r="K126" s="5"/>
      <c r="L126" s="5"/>
      <c r="M126" s="5"/>
      <c r="N126" s="5"/>
      <c r="O126" s="5"/>
      <c r="P126" s="5"/>
      <c r="Q126" s="5"/>
      <c r="R126" s="5"/>
      <c r="S126" s="5"/>
      <c r="T126" s="5"/>
      <c r="U126" s="5"/>
      <c r="V126" s="5"/>
      <c r="W126" s="5"/>
    </row>
    <row r="127" spans="1:23">
      <c r="A127" s="4"/>
      <c r="B127" s="31"/>
      <c r="C127" s="31"/>
      <c r="D127" s="31"/>
      <c r="E127" s="31"/>
      <c r="F127" s="31"/>
      <c r="G127" s="31"/>
      <c r="H127" s="5"/>
      <c r="I127" s="5"/>
      <c r="J127" s="5"/>
      <c r="K127" s="5"/>
      <c r="L127" s="5"/>
      <c r="M127" s="5"/>
      <c r="N127" s="5"/>
      <c r="O127" s="5"/>
      <c r="P127" s="5"/>
      <c r="Q127" s="5"/>
      <c r="R127" s="5"/>
      <c r="S127" s="5"/>
      <c r="T127" s="5"/>
      <c r="U127" s="5"/>
      <c r="V127" s="5"/>
      <c r="W127" s="5"/>
    </row>
    <row r="128" spans="1:23">
      <c r="A128" s="4"/>
      <c r="B128" s="31"/>
      <c r="C128" s="31"/>
      <c r="D128" s="31"/>
      <c r="E128" s="31"/>
      <c r="F128" s="31"/>
      <c r="G128" s="31"/>
      <c r="H128" s="5"/>
      <c r="I128" s="5"/>
      <c r="J128" s="5"/>
      <c r="K128" s="5"/>
      <c r="L128" s="5"/>
      <c r="M128" s="5"/>
      <c r="N128" s="5"/>
      <c r="O128" s="5"/>
      <c r="P128" s="5"/>
      <c r="Q128" s="5"/>
      <c r="R128" s="5"/>
      <c r="S128" s="5"/>
      <c r="T128" s="5"/>
      <c r="U128" s="5"/>
      <c r="V128" s="5"/>
      <c r="W128" s="5"/>
    </row>
    <row r="129" spans="1:23">
      <c r="A129" s="4"/>
      <c r="B129" s="31"/>
      <c r="C129" s="31"/>
      <c r="D129" s="31"/>
      <c r="E129" s="31"/>
      <c r="F129" s="31"/>
      <c r="G129" s="31"/>
      <c r="H129" s="5"/>
      <c r="I129" s="5"/>
      <c r="J129" s="5"/>
      <c r="K129" s="5"/>
      <c r="L129" s="5"/>
      <c r="M129" s="5"/>
      <c r="N129" s="5"/>
      <c r="O129" s="5"/>
      <c r="P129" s="5"/>
      <c r="Q129" s="5"/>
      <c r="R129" s="5"/>
      <c r="S129" s="5"/>
      <c r="T129" s="5"/>
      <c r="U129" s="5"/>
      <c r="V129" s="5"/>
      <c r="W129" s="5"/>
    </row>
    <row r="130" spans="1:23">
      <c r="A130" s="4"/>
      <c r="B130" s="31"/>
      <c r="C130" s="31"/>
      <c r="D130" s="31"/>
      <c r="E130" s="31"/>
      <c r="F130" s="31"/>
      <c r="G130" s="31"/>
      <c r="H130" s="5"/>
      <c r="I130" s="5"/>
      <c r="J130" s="5"/>
      <c r="K130" s="5"/>
      <c r="L130" s="5"/>
      <c r="M130" s="5"/>
      <c r="N130" s="5"/>
      <c r="O130" s="5"/>
      <c r="P130" s="5"/>
      <c r="Q130" s="5"/>
      <c r="R130" s="5"/>
      <c r="S130" s="5"/>
      <c r="T130" s="5"/>
      <c r="U130" s="5"/>
      <c r="V130" s="5"/>
      <c r="W130" s="5"/>
    </row>
    <row r="131" spans="1:23">
      <c r="A131" s="4"/>
      <c r="B131" s="31"/>
      <c r="C131" s="31"/>
      <c r="D131" s="31"/>
      <c r="E131" s="31"/>
      <c r="F131" s="31"/>
      <c r="G131" s="31"/>
      <c r="H131" s="5"/>
      <c r="I131" s="5"/>
      <c r="J131" s="5"/>
      <c r="K131" s="5"/>
      <c r="L131" s="5"/>
      <c r="M131" s="5"/>
      <c r="N131" s="5"/>
      <c r="O131" s="5"/>
      <c r="P131" s="5"/>
      <c r="Q131" s="5"/>
      <c r="R131" s="5"/>
      <c r="S131" s="5"/>
      <c r="T131" s="5"/>
      <c r="U131" s="5"/>
      <c r="V131" s="5"/>
      <c r="W131" s="5"/>
    </row>
    <row r="132" spans="1:23">
      <c r="A132" s="4"/>
      <c r="B132" s="31"/>
      <c r="C132" s="31"/>
      <c r="D132" s="31"/>
      <c r="E132" s="31"/>
      <c r="F132" s="31"/>
      <c r="G132" s="31"/>
      <c r="H132" s="5"/>
      <c r="I132" s="5"/>
      <c r="J132" s="5"/>
      <c r="K132" s="5"/>
      <c r="L132" s="5"/>
      <c r="M132" s="5"/>
      <c r="N132" s="5"/>
      <c r="O132" s="5"/>
      <c r="P132" s="5"/>
      <c r="Q132" s="5"/>
      <c r="R132" s="5"/>
      <c r="S132" s="5"/>
      <c r="T132" s="5"/>
      <c r="U132" s="5"/>
      <c r="V132" s="5"/>
      <c r="W132" s="5"/>
    </row>
    <row r="133" spans="1:23">
      <c r="A133" s="4"/>
      <c r="B133" s="31"/>
      <c r="C133" s="31"/>
      <c r="D133" s="31"/>
      <c r="E133" s="31"/>
      <c r="F133" s="31"/>
      <c r="G133" s="31"/>
      <c r="H133" s="5"/>
      <c r="I133" s="5"/>
      <c r="J133" s="5"/>
      <c r="K133" s="5"/>
      <c r="L133" s="5"/>
      <c r="M133" s="5"/>
      <c r="N133" s="5"/>
      <c r="O133" s="5"/>
      <c r="P133" s="5"/>
      <c r="Q133" s="5"/>
      <c r="R133" s="5"/>
      <c r="S133" s="5"/>
      <c r="T133" s="5"/>
      <c r="U133" s="5"/>
      <c r="V133" s="5"/>
      <c r="W133" s="5"/>
    </row>
    <row r="134" spans="1:23">
      <c r="A134" s="4"/>
      <c r="B134" s="31"/>
      <c r="C134" s="31"/>
      <c r="D134" s="31"/>
      <c r="E134" s="31"/>
      <c r="F134" s="31"/>
      <c r="G134" s="31"/>
      <c r="H134" s="5"/>
      <c r="I134" s="5"/>
      <c r="J134" s="5"/>
      <c r="K134" s="5"/>
      <c r="L134" s="5"/>
      <c r="M134" s="5"/>
      <c r="N134" s="5"/>
      <c r="O134" s="5"/>
      <c r="P134" s="5"/>
      <c r="Q134" s="5"/>
      <c r="R134" s="5"/>
      <c r="S134" s="5"/>
      <c r="T134" s="5"/>
      <c r="U134" s="5"/>
      <c r="V134" s="5"/>
      <c r="W134" s="5"/>
    </row>
    <row r="135" spans="1:23">
      <c r="A135" s="4"/>
      <c r="B135" s="31"/>
      <c r="C135" s="31"/>
      <c r="D135" s="31"/>
      <c r="E135" s="31"/>
      <c r="F135" s="31"/>
      <c r="G135" s="31"/>
      <c r="H135" s="5"/>
      <c r="I135" s="5"/>
      <c r="J135" s="5"/>
      <c r="K135" s="5"/>
      <c r="L135" s="5"/>
      <c r="M135" s="5"/>
      <c r="N135" s="5"/>
      <c r="O135" s="5"/>
      <c r="P135" s="5"/>
      <c r="Q135" s="5"/>
      <c r="R135" s="5"/>
      <c r="S135" s="5"/>
      <c r="T135" s="5"/>
      <c r="U135" s="5"/>
      <c r="V135" s="5"/>
      <c r="W135" s="5"/>
    </row>
    <row r="136" spans="1:23">
      <c r="A136" s="4"/>
      <c r="B136" s="31"/>
      <c r="C136" s="31"/>
      <c r="D136" s="31"/>
      <c r="E136" s="31"/>
      <c r="F136" s="31"/>
      <c r="G136" s="31"/>
      <c r="H136" s="5"/>
      <c r="I136" s="5"/>
      <c r="J136" s="5"/>
      <c r="K136" s="5"/>
      <c r="L136" s="5"/>
      <c r="M136" s="5"/>
      <c r="N136" s="5"/>
      <c r="O136" s="5"/>
      <c r="P136" s="5"/>
      <c r="Q136" s="5"/>
      <c r="R136" s="5"/>
      <c r="S136" s="5"/>
      <c r="T136" s="5"/>
      <c r="U136" s="5"/>
      <c r="V136" s="5"/>
      <c r="W136" s="5"/>
    </row>
    <row r="137" spans="1:23">
      <c r="A137" s="4"/>
      <c r="B137" s="31"/>
      <c r="C137" s="31"/>
      <c r="D137" s="31"/>
      <c r="E137" s="31"/>
      <c r="F137" s="31"/>
      <c r="G137" s="31"/>
      <c r="H137" s="5"/>
      <c r="I137" s="5"/>
      <c r="J137" s="5"/>
      <c r="K137" s="5"/>
      <c r="L137" s="5"/>
      <c r="M137" s="5"/>
      <c r="N137" s="5"/>
      <c r="O137" s="5"/>
      <c r="P137" s="5"/>
      <c r="Q137" s="5"/>
      <c r="R137" s="5"/>
      <c r="S137" s="5"/>
      <c r="T137" s="5"/>
      <c r="U137" s="5"/>
      <c r="V137" s="5"/>
      <c r="W137" s="5"/>
    </row>
    <row r="138" spans="1:23">
      <c r="A138" s="4"/>
      <c r="B138" s="31"/>
      <c r="C138" s="31"/>
      <c r="D138" s="31"/>
      <c r="E138" s="31"/>
      <c r="F138" s="31"/>
      <c r="G138" s="31"/>
      <c r="H138" s="5"/>
      <c r="I138" s="5"/>
      <c r="J138" s="5"/>
      <c r="K138" s="5"/>
      <c r="L138" s="5"/>
      <c r="M138" s="5"/>
      <c r="N138" s="5"/>
      <c r="O138" s="5"/>
      <c r="P138" s="5"/>
      <c r="Q138" s="5"/>
      <c r="R138" s="5"/>
      <c r="S138" s="5"/>
      <c r="T138" s="5"/>
      <c r="U138" s="5"/>
      <c r="V138" s="5"/>
      <c r="W138" s="5"/>
    </row>
    <row r="139" spans="1:23">
      <c r="A139" s="4"/>
      <c r="B139" s="31"/>
      <c r="C139" s="31"/>
      <c r="D139" s="31"/>
      <c r="E139" s="31"/>
      <c r="F139" s="31"/>
      <c r="G139" s="31"/>
      <c r="H139" s="5"/>
      <c r="I139" s="5"/>
      <c r="J139" s="5"/>
      <c r="K139" s="5"/>
      <c r="L139" s="5"/>
      <c r="M139" s="5"/>
      <c r="N139" s="5"/>
      <c r="O139" s="5"/>
      <c r="P139" s="5"/>
      <c r="Q139" s="5"/>
      <c r="R139" s="5"/>
      <c r="S139" s="5"/>
      <c r="T139" s="5"/>
      <c r="U139" s="5"/>
      <c r="V139" s="5"/>
      <c r="W139" s="5"/>
    </row>
    <row r="140" spans="1:23">
      <c r="A140" s="4"/>
      <c r="B140" s="31"/>
      <c r="C140" s="31"/>
      <c r="D140" s="31"/>
      <c r="E140" s="31"/>
      <c r="F140" s="31"/>
      <c r="G140" s="31"/>
      <c r="H140" s="5"/>
      <c r="I140" s="5"/>
      <c r="J140" s="5"/>
      <c r="K140" s="5"/>
      <c r="L140" s="5"/>
      <c r="M140" s="5"/>
      <c r="N140" s="5"/>
      <c r="O140" s="5"/>
      <c r="P140" s="5"/>
      <c r="Q140" s="5"/>
      <c r="R140" s="5"/>
      <c r="S140" s="5"/>
      <c r="T140" s="5"/>
      <c r="U140" s="5"/>
      <c r="V140" s="5"/>
      <c r="W140" s="5"/>
    </row>
    <row r="141" spans="1:23">
      <c r="A141" s="4"/>
      <c r="B141" s="31"/>
      <c r="C141" s="31"/>
      <c r="D141" s="31"/>
      <c r="E141" s="31"/>
      <c r="F141" s="31"/>
      <c r="G141" s="31"/>
      <c r="H141" s="5"/>
      <c r="I141" s="5"/>
      <c r="J141" s="5"/>
      <c r="K141" s="5"/>
      <c r="L141" s="5"/>
      <c r="M141" s="5"/>
      <c r="N141" s="5"/>
      <c r="O141" s="5"/>
      <c r="P141" s="5"/>
      <c r="Q141" s="5"/>
      <c r="R141" s="5"/>
      <c r="S141" s="5"/>
      <c r="T141" s="5"/>
      <c r="U141" s="5"/>
      <c r="V141" s="5"/>
      <c r="W141" s="5"/>
    </row>
    <row r="142" spans="1:23">
      <c r="A142" s="4"/>
      <c r="B142" s="31"/>
      <c r="C142" s="31"/>
      <c r="D142" s="31"/>
      <c r="E142" s="31"/>
      <c r="F142" s="31"/>
      <c r="G142" s="31"/>
      <c r="H142" s="5"/>
      <c r="I142" s="5"/>
      <c r="J142" s="5"/>
      <c r="K142" s="5"/>
      <c r="L142" s="5"/>
      <c r="M142" s="5"/>
      <c r="N142" s="5"/>
      <c r="O142" s="5"/>
      <c r="P142" s="5"/>
      <c r="Q142" s="5"/>
      <c r="R142" s="5"/>
      <c r="S142" s="5"/>
      <c r="T142" s="5"/>
      <c r="U142" s="5"/>
      <c r="V142" s="5"/>
      <c r="W142" s="5"/>
    </row>
    <row r="143" spans="1:23">
      <c r="A143" s="4"/>
      <c r="B143" s="31"/>
      <c r="C143" s="31"/>
      <c r="D143" s="31"/>
      <c r="E143" s="31"/>
      <c r="F143" s="31"/>
      <c r="G143" s="31"/>
      <c r="H143" s="5"/>
      <c r="I143" s="5"/>
      <c r="J143" s="5"/>
      <c r="K143" s="5"/>
      <c r="L143" s="5"/>
      <c r="M143" s="5"/>
      <c r="N143" s="5"/>
      <c r="O143" s="5"/>
      <c r="P143" s="5"/>
      <c r="Q143" s="5"/>
      <c r="R143" s="5"/>
      <c r="S143" s="5"/>
      <c r="T143" s="5"/>
      <c r="U143" s="5"/>
      <c r="V143" s="5"/>
      <c r="W143" s="5"/>
    </row>
    <row r="144" spans="1:23">
      <c r="A144" s="4"/>
      <c r="B144" s="31"/>
      <c r="C144" s="31"/>
      <c r="D144" s="31"/>
      <c r="E144" s="31"/>
      <c r="F144" s="31"/>
      <c r="G144" s="31"/>
      <c r="H144" s="5"/>
      <c r="I144" s="5"/>
      <c r="J144" s="5"/>
      <c r="K144" s="5"/>
      <c r="L144" s="5"/>
      <c r="M144" s="5"/>
      <c r="N144" s="5"/>
      <c r="O144" s="5"/>
      <c r="P144" s="5"/>
      <c r="Q144" s="5"/>
      <c r="R144" s="5"/>
      <c r="S144" s="5"/>
      <c r="T144" s="5"/>
      <c r="U144" s="5"/>
      <c r="V144" s="5"/>
      <c r="W144" s="5"/>
    </row>
    <row r="145" spans="1:23">
      <c r="A145" s="4"/>
      <c r="B145" s="31"/>
      <c r="C145" s="31"/>
      <c r="D145" s="31"/>
      <c r="E145" s="31"/>
      <c r="F145" s="31"/>
      <c r="G145" s="31"/>
      <c r="H145" s="5"/>
      <c r="I145" s="5"/>
      <c r="J145" s="5"/>
      <c r="K145" s="5"/>
      <c r="L145" s="5"/>
      <c r="M145" s="5"/>
      <c r="N145" s="5"/>
      <c r="O145" s="5"/>
      <c r="P145" s="5"/>
      <c r="Q145" s="5"/>
      <c r="R145" s="5"/>
      <c r="S145" s="5"/>
      <c r="T145" s="5"/>
      <c r="U145" s="5"/>
      <c r="V145" s="5"/>
      <c r="W145" s="5"/>
    </row>
    <row r="146" spans="1:23">
      <c r="A146" s="4"/>
      <c r="B146" s="31"/>
      <c r="C146" s="31"/>
      <c r="D146" s="31"/>
      <c r="E146" s="31"/>
      <c r="F146" s="31"/>
      <c r="G146" s="31"/>
      <c r="H146" s="5"/>
      <c r="I146" s="5"/>
      <c r="J146" s="5"/>
      <c r="K146" s="5"/>
      <c r="L146" s="5"/>
      <c r="M146" s="5"/>
      <c r="N146" s="5"/>
      <c r="O146" s="5"/>
      <c r="P146" s="5"/>
      <c r="Q146" s="5"/>
      <c r="R146" s="5"/>
      <c r="S146" s="5"/>
      <c r="T146" s="5"/>
      <c r="U146" s="5"/>
      <c r="V146" s="5"/>
      <c r="W146" s="5"/>
    </row>
    <row r="147" spans="1:23">
      <c r="A147" s="4"/>
      <c r="B147" s="31"/>
      <c r="C147" s="31"/>
      <c r="D147" s="31"/>
      <c r="E147" s="31"/>
      <c r="F147" s="31"/>
      <c r="G147" s="31"/>
      <c r="H147" s="5"/>
      <c r="I147" s="5"/>
      <c r="J147" s="5"/>
      <c r="K147" s="5"/>
      <c r="L147" s="5"/>
      <c r="M147" s="5"/>
      <c r="N147" s="5"/>
      <c r="O147" s="5"/>
      <c r="P147" s="5"/>
      <c r="Q147" s="5"/>
      <c r="R147" s="5"/>
      <c r="S147" s="5"/>
      <c r="T147" s="5"/>
      <c r="U147" s="5"/>
      <c r="V147" s="5"/>
      <c r="W147" s="5"/>
    </row>
    <row r="148" spans="1:23">
      <c r="A148" s="4"/>
      <c r="B148" s="31"/>
      <c r="C148" s="31"/>
      <c r="D148" s="31"/>
      <c r="E148" s="31"/>
      <c r="F148" s="31"/>
      <c r="G148" s="31"/>
      <c r="H148" s="5"/>
      <c r="I148" s="5"/>
      <c r="J148" s="5"/>
      <c r="K148" s="5"/>
      <c r="L148" s="5"/>
      <c r="M148" s="5"/>
      <c r="N148" s="5"/>
      <c r="O148" s="5"/>
      <c r="P148" s="5"/>
      <c r="Q148" s="5"/>
      <c r="R148" s="5"/>
      <c r="S148" s="5"/>
      <c r="T148" s="5"/>
      <c r="U148" s="5"/>
      <c r="V148" s="5"/>
      <c r="W148" s="5"/>
    </row>
    <row r="149" spans="1:23">
      <c r="A149" s="4"/>
      <c r="B149" s="31"/>
      <c r="C149" s="31"/>
      <c r="D149" s="31"/>
      <c r="E149" s="31"/>
      <c r="F149" s="31"/>
      <c r="G149" s="31"/>
      <c r="H149" s="5"/>
      <c r="I149" s="5"/>
      <c r="J149" s="5"/>
      <c r="K149" s="5"/>
      <c r="L149" s="5"/>
      <c r="M149" s="5"/>
      <c r="N149" s="5"/>
      <c r="O149" s="5"/>
      <c r="P149" s="5"/>
      <c r="Q149" s="5"/>
      <c r="R149" s="5"/>
      <c r="S149" s="5"/>
      <c r="T149" s="5"/>
      <c r="U149" s="5"/>
      <c r="V149" s="5"/>
      <c r="W149" s="5"/>
    </row>
    <row r="150" spans="1:23">
      <c r="A150" s="4"/>
      <c r="B150" s="31"/>
      <c r="C150" s="31"/>
      <c r="D150" s="31"/>
      <c r="E150" s="31"/>
      <c r="F150" s="31"/>
      <c r="G150" s="31"/>
      <c r="H150" s="5"/>
      <c r="I150" s="5"/>
      <c r="J150" s="5"/>
      <c r="K150" s="5"/>
      <c r="L150" s="5"/>
      <c r="M150" s="5"/>
      <c r="N150" s="5"/>
      <c r="O150" s="5"/>
      <c r="P150" s="5"/>
      <c r="Q150" s="5"/>
      <c r="R150" s="5"/>
      <c r="S150" s="5"/>
      <c r="T150" s="5"/>
      <c r="U150" s="5"/>
      <c r="V150" s="5"/>
      <c r="W150" s="5"/>
    </row>
    <row r="151" spans="1:23">
      <c r="A151" s="4"/>
      <c r="B151" s="31"/>
      <c r="C151" s="31"/>
      <c r="D151" s="31"/>
      <c r="E151" s="31"/>
      <c r="F151" s="31"/>
      <c r="G151" s="31"/>
      <c r="H151" s="5"/>
      <c r="I151" s="5"/>
      <c r="J151" s="5"/>
      <c r="K151" s="5"/>
      <c r="L151" s="5"/>
      <c r="M151" s="5"/>
      <c r="N151" s="5"/>
      <c r="O151" s="5"/>
      <c r="P151" s="5"/>
      <c r="Q151" s="5"/>
      <c r="R151" s="5"/>
      <c r="S151" s="5"/>
      <c r="T151" s="5"/>
      <c r="U151" s="5"/>
      <c r="V151" s="5"/>
      <c r="W151" s="5"/>
    </row>
    <row r="152" spans="1:23">
      <c r="A152" s="4"/>
      <c r="B152" s="31"/>
      <c r="C152" s="31"/>
      <c r="D152" s="31"/>
      <c r="E152" s="31"/>
      <c r="F152" s="31"/>
      <c r="G152" s="31"/>
      <c r="H152" s="5"/>
      <c r="I152" s="5"/>
      <c r="J152" s="5"/>
      <c r="K152" s="5"/>
      <c r="L152" s="5"/>
      <c r="M152" s="5"/>
      <c r="N152" s="5"/>
      <c r="O152" s="5"/>
      <c r="P152" s="5"/>
      <c r="Q152" s="5"/>
      <c r="R152" s="5"/>
      <c r="S152" s="5"/>
      <c r="T152" s="5"/>
      <c r="U152" s="5"/>
      <c r="V152" s="5"/>
      <c r="W152" s="5"/>
    </row>
    <row r="153" spans="1:23">
      <c r="A153" s="4"/>
      <c r="B153" s="31"/>
      <c r="C153" s="31"/>
      <c r="D153" s="31"/>
      <c r="E153" s="31"/>
      <c r="F153" s="31"/>
      <c r="G153" s="31"/>
      <c r="H153" s="5"/>
      <c r="I153" s="5"/>
      <c r="J153" s="5"/>
      <c r="K153" s="5"/>
      <c r="L153" s="5"/>
      <c r="M153" s="5"/>
      <c r="N153" s="5"/>
      <c r="O153" s="5"/>
      <c r="P153" s="5"/>
      <c r="Q153" s="5"/>
      <c r="R153" s="5"/>
      <c r="S153" s="5"/>
      <c r="T153" s="5"/>
      <c r="U153" s="5"/>
      <c r="V153" s="5"/>
      <c r="W153" s="5"/>
    </row>
    <row r="154" spans="1:23">
      <c r="A154" s="4"/>
      <c r="B154" s="31"/>
      <c r="C154" s="31"/>
      <c r="D154" s="31"/>
      <c r="E154" s="31"/>
      <c r="F154" s="31"/>
      <c r="G154" s="31"/>
      <c r="H154" s="5"/>
      <c r="I154" s="5"/>
      <c r="J154" s="5"/>
      <c r="K154" s="5"/>
      <c r="L154" s="5"/>
      <c r="M154" s="5"/>
      <c r="N154" s="5"/>
      <c r="O154" s="5"/>
      <c r="P154" s="5"/>
      <c r="Q154" s="5"/>
      <c r="R154" s="5"/>
      <c r="S154" s="5"/>
      <c r="T154" s="5"/>
      <c r="U154" s="5"/>
      <c r="V154" s="5"/>
      <c r="W154" s="5"/>
    </row>
    <row r="155" spans="1:23">
      <c r="A155" s="4"/>
      <c r="B155" s="31"/>
      <c r="C155" s="31"/>
      <c r="D155" s="31"/>
      <c r="E155" s="31"/>
      <c r="F155" s="31"/>
      <c r="G155" s="31"/>
      <c r="H155" s="5"/>
      <c r="I155" s="5"/>
      <c r="J155" s="5"/>
      <c r="K155" s="5"/>
      <c r="L155" s="5"/>
      <c r="M155" s="5"/>
      <c r="N155" s="5"/>
      <c r="O155" s="5"/>
      <c r="P155" s="5"/>
      <c r="Q155" s="5"/>
      <c r="R155" s="5"/>
      <c r="S155" s="5"/>
      <c r="T155" s="5"/>
      <c r="U155" s="5"/>
      <c r="V155" s="5"/>
      <c r="W155" s="5"/>
    </row>
    <row r="156" spans="1:23">
      <c r="A156" s="4"/>
      <c r="B156" s="31"/>
      <c r="C156" s="31"/>
      <c r="D156" s="31"/>
      <c r="E156" s="31"/>
      <c r="F156" s="31"/>
      <c r="G156" s="31"/>
      <c r="H156" s="5"/>
      <c r="I156" s="5"/>
      <c r="J156" s="5"/>
      <c r="K156" s="5"/>
      <c r="L156" s="5"/>
      <c r="M156" s="5"/>
      <c r="N156" s="5"/>
      <c r="O156" s="5"/>
      <c r="P156" s="5"/>
      <c r="Q156" s="5"/>
      <c r="R156" s="5"/>
      <c r="S156" s="5"/>
      <c r="T156" s="5"/>
      <c r="U156" s="5"/>
      <c r="V156" s="5"/>
      <c r="W156" s="5"/>
    </row>
    <row r="157" spans="1:23">
      <c r="A157" s="4"/>
      <c r="B157" s="31"/>
      <c r="C157" s="31"/>
      <c r="D157" s="31"/>
      <c r="E157" s="31"/>
      <c r="F157" s="31"/>
      <c r="G157" s="31"/>
      <c r="H157" s="5"/>
      <c r="I157" s="5"/>
      <c r="J157" s="5"/>
      <c r="K157" s="5"/>
      <c r="L157" s="5"/>
      <c r="M157" s="5"/>
      <c r="N157" s="5"/>
      <c r="O157" s="5"/>
      <c r="P157" s="5"/>
      <c r="Q157" s="5"/>
      <c r="R157" s="5"/>
      <c r="S157" s="5"/>
      <c r="T157" s="5"/>
      <c r="U157" s="5"/>
      <c r="V157" s="5"/>
      <c r="W157" s="5"/>
    </row>
    <row r="158" spans="1:23">
      <c r="A158" s="4"/>
      <c r="B158" s="31"/>
      <c r="C158" s="31"/>
      <c r="D158" s="31"/>
      <c r="E158" s="31"/>
      <c r="F158" s="31"/>
      <c r="G158" s="31"/>
      <c r="H158" s="5"/>
      <c r="I158" s="5"/>
      <c r="J158" s="5"/>
      <c r="K158" s="5"/>
      <c r="L158" s="5"/>
      <c r="M158" s="5"/>
      <c r="N158" s="5"/>
      <c r="O158" s="5"/>
      <c r="P158" s="5"/>
      <c r="Q158" s="5"/>
      <c r="R158" s="5"/>
      <c r="S158" s="5"/>
      <c r="T158" s="5"/>
      <c r="U158" s="5"/>
      <c r="V158" s="5"/>
      <c r="W158" s="5"/>
    </row>
    <row r="159" spans="1:23">
      <c r="A159" s="4"/>
      <c r="B159" s="31"/>
      <c r="C159" s="31"/>
      <c r="D159" s="31"/>
      <c r="E159" s="31"/>
      <c r="F159" s="31"/>
      <c r="G159" s="31"/>
      <c r="H159" s="5"/>
      <c r="I159" s="5"/>
      <c r="J159" s="5"/>
      <c r="K159" s="5"/>
      <c r="L159" s="5"/>
      <c r="M159" s="5"/>
      <c r="N159" s="5"/>
      <c r="O159" s="5"/>
      <c r="P159" s="5"/>
      <c r="Q159" s="5"/>
      <c r="R159" s="5"/>
      <c r="S159" s="5"/>
      <c r="T159" s="5"/>
      <c r="U159" s="5"/>
      <c r="V159" s="5"/>
      <c r="W159" s="5"/>
    </row>
    <row r="160" spans="1:23">
      <c r="A160" s="4"/>
      <c r="B160" s="31"/>
      <c r="C160" s="31"/>
      <c r="D160" s="31"/>
      <c r="E160" s="31"/>
      <c r="F160" s="31"/>
      <c r="G160" s="31"/>
      <c r="H160" s="5"/>
      <c r="I160" s="5"/>
      <c r="J160" s="5"/>
      <c r="K160" s="5"/>
      <c r="L160" s="5"/>
      <c r="M160" s="5"/>
      <c r="N160" s="5"/>
      <c r="O160" s="5"/>
      <c r="P160" s="5"/>
      <c r="Q160" s="5"/>
      <c r="R160" s="5"/>
      <c r="S160" s="5"/>
      <c r="T160" s="5"/>
      <c r="U160" s="5"/>
      <c r="V160" s="5"/>
      <c r="W160" s="5"/>
    </row>
    <row r="161" spans="1:23">
      <c r="A161" s="4"/>
      <c r="B161" s="31"/>
      <c r="C161" s="31"/>
      <c r="D161" s="31"/>
      <c r="E161" s="31"/>
      <c r="F161" s="31"/>
      <c r="G161" s="31"/>
      <c r="H161" s="5"/>
      <c r="I161" s="5"/>
      <c r="J161" s="5"/>
      <c r="K161" s="5"/>
      <c r="L161" s="5"/>
      <c r="M161" s="5"/>
      <c r="N161" s="5"/>
      <c r="O161" s="5"/>
      <c r="P161" s="5"/>
      <c r="Q161" s="5"/>
      <c r="R161" s="5"/>
      <c r="S161" s="5"/>
      <c r="T161" s="5"/>
      <c r="U161" s="5"/>
      <c r="V161" s="5"/>
      <c r="W161" s="5"/>
    </row>
    <row r="162" spans="1:23">
      <c r="A162" s="4"/>
      <c r="B162" s="31"/>
      <c r="C162" s="31"/>
      <c r="D162" s="31"/>
      <c r="E162" s="31"/>
      <c r="F162" s="31"/>
      <c r="G162" s="31"/>
      <c r="H162" s="5"/>
      <c r="I162" s="5"/>
      <c r="J162" s="5"/>
      <c r="K162" s="5"/>
      <c r="L162" s="5"/>
      <c r="M162" s="5"/>
      <c r="N162" s="5"/>
      <c r="O162" s="5"/>
      <c r="P162" s="5"/>
      <c r="Q162" s="5"/>
      <c r="R162" s="5"/>
      <c r="S162" s="5"/>
      <c r="T162" s="5"/>
      <c r="U162" s="5"/>
      <c r="V162" s="5"/>
      <c r="W162" s="5"/>
    </row>
    <row r="163" spans="1:23">
      <c r="A163" s="4"/>
      <c r="B163" s="31"/>
      <c r="C163" s="31"/>
      <c r="D163" s="31"/>
      <c r="E163" s="31"/>
      <c r="F163" s="31"/>
      <c r="G163" s="31"/>
      <c r="H163" s="5"/>
      <c r="I163" s="5"/>
      <c r="J163" s="5"/>
      <c r="K163" s="5"/>
      <c r="L163" s="5"/>
      <c r="M163" s="5"/>
      <c r="N163" s="5"/>
      <c r="O163" s="5"/>
      <c r="P163" s="5"/>
      <c r="Q163" s="5"/>
      <c r="R163" s="5"/>
      <c r="S163" s="5"/>
      <c r="T163" s="5"/>
      <c r="U163" s="5"/>
      <c r="V163" s="5"/>
      <c r="W163" s="5"/>
    </row>
    <row r="164" spans="1:23">
      <c r="A164" s="4"/>
      <c r="B164" s="31"/>
      <c r="C164" s="31"/>
      <c r="D164" s="31"/>
      <c r="E164" s="31"/>
      <c r="F164" s="31"/>
      <c r="G164" s="31"/>
      <c r="H164" s="5"/>
      <c r="I164" s="5"/>
      <c r="J164" s="5"/>
      <c r="K164" s="5"/>
      <c r="L164" s="5"/>
      <c r="M164" s="5"/>
      <c r="N164" s="5"/>
      <c r="O164" s="5"/>
      <c r="P164" s="5"/>
      <c r="Q164" s="5"/>
      <c r="R164" s="5"/>
      <c r="S164" s="5"/>
      <c r="T164" s="5"/>
      <c r="U164" s="5"/>
      <c r="V164" s="5"/>
      <c r="W164" s="5"/>
    </row>
    <row r="165" spans="1:23">
      <c r="A165" s="4"/>
      <c r="B165" s="31"/>
      <c r="C165" s="31"/>
      <c r="D165" s="31"/>
      <c r="E165" s="31"/>
      <c r="F165" s="31"/>
      <c r="G165" s="31"/>
      <c r="H165" s="5"/>
      <c r="I165" s="5"/>
      <c r="J165" s="5"/>
      <c r="K165" s="5"/>
      <c r="L165" s="5"/>
      <c r="M165" s="5"/>
      <c r="N165" s="5"/>
      <c r="O165" s="5"/>
      <c r="P165" s="5"/>
      <c r="Q165" s="5"/>
      <c r="R165" s="5"/>
      <c r="S165" s="5"/>
      <c r="T165" s="5"/>
      <c r="U165" s="5"/>
      <c r="V165" s="5"/>
      <c r="W165" s="5"/>
    </row>
    <row r="166" spans="1:23">
      <c r="A166" s="4"/>
      <c r="B166" s="31"/>
      <c r="C166" s="31"/>
      <c r="D166" s="31"/>
      <c r="E166" s="31"/>
      <c r="F166" s="31"/>
      <c r="G166" s="31"/>
      <c r="H166" s="5"/>
      <c r="I166" s="5"/>
      <c r="J166" s="5"/>
      <c r="K166" s="5"/>
      <c r="L166" s="5"/>
      <c r="M166" s="5"/>
      <c r="N166" s="5"/>
      <c r="O166" s="5"/>
      <c r="P166" s="5"/>
      <c r="Q166" s="5"/>
      <c r="R166" s="5"/>
      <c r="S166" s="5"/>
      <c r="T166" s="5"/>
      <c r="U166" s="5"/>
      <c r="V166" s="5"/>
      <c r="W166" s="5"/>
    </row>
    <row r="167" spans="1:23">
      <c r="A167" s="4"/>
      <c r="B167" s="31"/>
      <c r="C167" s="31"/>
      <c r="D167" s="31"/>
      <c r="E167" s="31"/>
      <c r="F167" s="31"/>
      <c r="G167" s="31"/>
      <c r="H167" s="5"/>
      <c r="I167" s="5"/>
      <c r="J167" s="5"/>
      <c r="K167" s="5"/>
      <c r="L167" s="5"/>
      <c r="M167" s="5"/>
      <c r="N167" s="5"/>
      <c r="O167" s="5"/>
      <c r="P167" s="5"/>
      <c r="Q167" s="5"/>
      <c r="R167" s="5"/>
      <c r="S167" s="5"/>
      <c r="T167" s="5"/>
      <c r="U167" s="5"/>
      <c r="V167" s="5"/>
      <c r="W167" s="5"/>
    </row>
    <row r="168" spans="1:23">
      <c r="A168" s="4"/>
      <c r="B168" s="31"/>
      <c r="C168" s="31"/>
      <c r="D168" s="31"/>
      <c r="E168" s="31"/>
      <c r="F168" s="31"/>
      <c r="G168" s="31"/>
      <c r="H168" s="5"/>
      <c r="I168" s="5"/>
      <c r="J168" s="5"/>
      <c r="K168" s="5"/>
      <c r="L168" s="5"/>
      <c r="M168" s="5"/>
      <c r="N168" s="5"/>
      <c r="O168" s="5"/>
      <c r="P168" s="5"/>
      <c r="Q168" s="5"/>
      <c r="R168" s="5"/>
      <c r="S168" s="5"/>
      <c r="T168" s="5"/>
      <c r="U168" s="5"/>
      <c r="V168" s="5"/>
      <c r="W168" s="5"/>
    </row>
    <row r="169" spans="1:23">
      <c r="A169" s="4"/>
      <c r="B169" s="31"/>
      <c r="C169" s="31"/>
      <c r="D169" s="31"/>
      <c r="E169" s="31"/>
      <c r="F169" s="31"/>
      <c r="G169" s="31"/>
      <c r="H169" s="5"/>
      <c r="I169" s="5"/>
      <c r="J169" s="5"/>
      <c r="K169" s="5"/>
      <c r="L169" s="5"/>
      <c r="M169" s="5"/>
      <c r="N169" s="5"/>
      <c r="O169" s="5"/>
      <c r="P169" s="5"/>
      <c r="Q169" s="5"/>
      <c r="R169" s="5"/>
      <c r="S169" s="5"/>
      <c r="T169" s="5"/>
      <c r="U169" s="5"/>
      <c r="V169" s="5"/>
      <c r="W169" s="5"/>
    </row>
    <row r="170" spans="1:23">
      <c r="A170" s="4"/>
      <c r="B170" s="31"/>
      <c r="C170" s="31"/>
      <c r="D170" s="31"/>
      <c r="E170" s="31"/>
      <c r="F170" s="31"/>
      <c r="G170" s="31"/>
      <c r="H170" s="5"/>
      <c r="I170" s="5"/>
      <c r="J170" s="5"/>
      <c r="K170" s="5"/>
      <c r="L170" s="5"/>
      <c r="M170" s="5"/>
      <c r="N170" s="5"/>
      <c r="O170" s="5"/>
      <c r="P170" s="5"/>
      <c r="Q170" s="5"/>
      <c r="R170" s="5"/>
      <c r="S170" s="5"/>
      <c r="T170" s="5"/>
      <c r="U170" s="5"/>
      <c r="V170" s="5"/>
      <c r="W170" s="5"/>
    </row>
    <row r="171" spans="1:23">
      <c r="A171" s="4"/>
      <c r="B171" s="31"/>
      <c r="C171" s="31"/>
      <c r="D171" s="31"/>
      <c r="E171" s="31"/>
      <c r="F171" s="31"/>
      <c r="G171" s="31"/>
      <c r="H171" s="5"/>
      <c r="I171" s="5"/>
      <c r="J171" s="5"/>
      <c r="K171" s="5"/>
      <c r="L171" s="5"/>
      <c r="M171" s="5"/>
      <c r="N171" s="5"/>
      <c r="O171" s="5"/>
      <c r="P171" s="5"/>
      <c r="Q171" s="5"/>
      <c r="R171" s="5"/>
      <c r="S171" s="5"/>
      <c r="T171" s="5"/>
      <c r="U171" s="5"/>
      <c r="V171" s="5"/>
      <c r="W171" s="5"/>
    </row>
    <row r="172" spans="1:23">
      <c r="A172" s="4"/>
      <c r="B172" s="31"/>
      <c r="C172" s="31"/>
      <c r="D172" s="31"/>
      <c r="E172" s="31"/>
      <c r="F172" s="31"/>
      <c r="G172" s="31"/>
      <c r="H172" s="5"/>
      <c r="I172" s="5"/>
      <c r="J172" s="5"/>
      <c r="K172" s="5"/>
      <c r="L172" s="5"/>
      <c r="M172" s="5"/>
      <c r="N172" s="5"/>
      <c r="O172" s="5"/>
      <c r="P172" s="5"/>
      <c r="Q172" s="5"/>
      <c r="R172" s="5"/>
      <c r="S172" s="5"/>
      <c r="T172" s="5"/>
      <c r="U172" s="5"/>
      <c r="V172" s="5"/>
      <c r="W172" s="5"/>
    </row>
    <row r="173" spans="1:23">
      <c r="A173" s="4"/>
      <c r="B173" s="31"/>
      <c r="C173" s="31"/>
      <c r="D173" s="31"/>
      <c r="E173" s="31"/>
      <c r="F173" s="31"/>
      <c r="G173" s="31"/>
      <c r="H173" s="5"/>
      <c r="I173" s="5"/>
      <c r="J173" s="5"/>
      <c r="K173" s="5"/>
      <c r="L173" s="5"/>
      <c r="M173" s="5"/>
      <c r="N173" s="5"/>
      <c r="O173" s="5"/>
      <c r="P173" s="5"/>
      <c r="Q173" s="5"/>
      <c r="R173" s="5"/>
      <c r="S173" s="5"/>
      <c r="T173" s="5"/>
      <c r="U173" s="5"/>
      <c r="V173" s="5"/>
      <c r="W173" s="5"/>
    </row>
    <row r="174" spans="1:23">
      <c r="A174" s="4"/>
      <c r="B174" s="31"/>
      <c r="C174" s="31"/>
      <c r="D174" s="31"/>
      <c r="E174" s="31"/>
      <c r="F174" s="31"/>
      <c r="G174" s="31"/>
      <c r="H174" s="5"/>
      <c r="I174" s="5"/>
      <c r="J174" s="5"/>
      <c r="K174" s="5"/>
      <c r="L174" s="5"/>
      <c r="M174" s="5"/>
      <c r="N174" s="5"/>
      <c r="O174" s="5"/>
      <c r="P174" s="5"/>
      <c r="Q174" s="5"/>
      <c r="R174" s="5"/>
      <c r="S174" s="5"/>
      <c r="T174" s="5"/>
      <c r="U174" s="5"/>
      <c r="V174" s="5"/>
      <c r="W174" s="5"/>
    </row>
    <row r="175" spans="1:23">
      <c r="A175" s="4"/>
      <c r="B175" s="31"/>
      <c r="C175" s="31"/>
      <c r="D175" s="31"/>
      <c r="E175" s="31"/>
      <c r="F175" s="31"/>
      <c r="G175" s="31"/>
      <c r="H175" s="5"/>
      <c r="I175" s="5"/>
      <c r="J175" s="5"/>
      <c r="K175" s="5"/>
      <c r="L175" s="5"/>
      <c r="M175" s="5"/>
      <c r="N175" s="5"/>
      <c r="O175" s="5"/>
      <c r="P175" s="5"/>
      <c r="Q175" s="5"/>
      <c r="R175" s="5"/>
      <c r="S175" s="5"/>
      <c r="T175" s="5"/>
      <c r="U175" s="5"/>
      <c r="V175" s="5"/>
      <c r="W175" s="5"/>
    </row>
    <row r="176" spans="1:23">
      <c r="A176" s="4"/>
      <c r="B176" s="31"/>
      <c r="C176" s="31"/>
      <c r="D176" s="31"/>
      <c r="E176" s="31"/>
      <c r="F176" s="31"/>
      <c r="G176" s="31"/>
      <c r="H176" s="5"/>
      <c r="I176" s="5"/>
      <c r="J176" s="5"/>
      <c r="K176" s="5"/>
      <c r="L176" s="5"/>
      <c r="M176" s="5"/>
      <c r="N176" s="5"/>
      <c r="O176" s="5"/>
      <c r="P176" s="5"/>
      <c r="Q176" s="5"/>
      <c r="R176" s="5"/>
      <c r="S176" s="5"/>
      <c r="T176" s="5"/>
      <c r="U176" s="5"/>
      <c r="V176" s="5"/>
      <c r="W176" s="5"/>
    </row>
    <row r="177" spans="1:23">
      <c r="A177" s="4"/>
      <c r="B177" s="31"/>
      <c r="C177" s="31"/>
      <c r="D177" s="31"/>
      <c r="E177" s="31"/>
      <c r="F177" s="31"/>
      <c r="G177" s="31"/>
      <c r="H177" s="5"/>
      <c r="I177" s="5"/>
      <c r="J177" s="5"/>
      <c r="K177" s="5"/>
      <c r="L177" s="5"/>
      <c r="M177" s="5"/>
      <c r="N177" s="5"/>
      <c r="O177" s="5"/>
      <c r="P177" s="5"/>
      <c r="Q177" s="5"/>
      <c r="R177" s="5"/>
      <c r="S177" s="5"/>
      <c r="T177" s="5"/>
      <c r="U177" s="5"/>
      <c r="V177" s="5"/>
      <c r="W177" s="5"/>
    </row>
    <row r="178" spans="1:23">
      <c r="A178" s="4"/>
      <c r="B178" s="31"/>
      <c r="C178" s="31"/>
      <c r="D178" s="31"/>
      <c r="E178" s="31"/>
      <c r="F178" s="31"/>
      <c r="G178" s="31"/>
      <c r="H178" s="5"/>
      <c r="I178" s="5"/>
      <c r="J178" s="5"/>
      <c r="K178" s="5"/>
      <c r="L178" s="5"/>
      <c r="M178" s="5"/>
      <c r="N178" s="5"/>
      <c r="O178" s="5"/>
      <c r="P178" s="5"/>
      <c r="Q178" s="5"/>
      <c r="R178" s="5"/>
      <c r="S178" s="5"/>
      <c r="T178" s="5"/>
      <c r="U178" s="5"/>
      <c r="V178" s="5"/>
      <c r="W178" s="5"/>
    </row>
    <row r="179" spans="1:23">
      <c r="A179" s="4"/>
      <c r="B179" s="31"/>
      <c r="C179" s="31"/>
      <c r="D179" s="31"/>
      <c r="E179" s="31"/>
      <c r="F179" s="31"/>
      <c r="G179" s="31"/>
      <c r="H179" s="5"/>
      <c r="I179" s="5"/>
      <c r="J179" s="5"/>
      <c r="K179" s="5"/>
      <c r="L179" s="5"/>
      <c r="M179" s="5"/>
      <c r="N179" s="5"/>
      <c r="O179" s="5"/>
      <c r="P179" s="5"/>
      <c r="Q179" s="5"/>
      <c r="R179" s="5"/>
      <c r="S179" s="5"/>
      <c r="T179" s="5"/>
      <c r="U179" s="5"/>
      <c r="V179" s="5"/>
      <c r="W179" s="5"/>
    </row>
    <row r="180" spans="1:23">
      <c r="A180" s="4"/>
      <c r="B180" s="31"/>
      <c r="C180" s="31"/>
      <c r="D180" s="31"/>
      <c r="E180" s="31"/>
      <c r="F180" s="31"/>
      <c r="G180" s="31"/>
      <c r="H180" s="5"/>
      <c r="I180" s="5"/>
      <c r="J180" s="5"/>
      <c r="K180" s="5"/>
      <c r="L180" s="5"/>
      <c r="M180" s="5"/>
      <c r="N180" s="5"/>
      <c r="O180" s="5"/>
      <c r="P180" s="5"/>
      <c r="Q180" s="5"/>
      <c r="R180" s="5"/>
      <c r="S180" s="5"/>
      <c r="T180" s="5"/>
      <c r="U180" s="5"/>
      <c r="V180" s="5"/>
      <c r="W180" s="5"/>
    </row>
    <row r="181" spans="1:23">
      <c r="A181" s="4"/>
      <c r="B181" s="31"/>
      <c r="C181" s="31"/>
      <c r="D181" s="31"/>
      <c r="E181" s="31"/>
      <c r="F181" s="31"/>
      <c r="G181" s="31"/>
      <c r="H181" s="5"/>
      <c r="I181" s="5"/>
      <c r="J181" s="5"/>
      <c r="K181" s="5"/>
      <c r="L181" s="5"/>
      <c r="M181" s="5"/>
      <c r="N181" s="5"/>
      <c r="O181" s="5"/>
      <c r="P181" s="5"/>
      <c r="Q181" s="5"/>
      <c r="R181" s="5"/>
      <c r="S181" s="5"/>
      <c r="T181" s="5"/>
      <c r="U181" s="5"/>
      <c r="V181" s="5"/>
      <c r="W181" s="5"/>
    </row>
    <row r="182" spans="1:23">
      <c r="A182" s="4"/>
      <c r="B182" s="31"/>
      <c r="C182" s="31"/>
      <c r="D182" s="31"/>
      <c r="E182" s="31"/>
      <c r="F182" s="31"/>
      <c r="G182" s="31"/>
      <c r="H182" s="5"/>
      <c r="I182" s="5"/>
      <c r="J182" s="5"/>
      <c r="K182" s="5"/>
      <c r="L182" s="5"/>
      <c r="M182" s="5"/>
      <c r="N182" s="5"/>
      <c r="O182" s="5"/>
      <c r="P182" s="5"/>
      <c r="Q182" s="5"/>
      <c r="R182" s="5"/>
      <c r="S182" s="5"/>
      <c r="T182" s="5"/>
      <c r="U182" s="5"/>
      <c r="V182" s="5"/>
      <c r="W182" s="5"/>
    </row>
    <row r="183" spans="1:23">
      <c r="A183" s="4"/>
      <c r="B183" s="31"/>
      <c r="C183" s="31"/>
      <c r="D183" s="31"/>
      <c r="E183" s="31"/>
      <c r="F183" s="31"/>
      <c r="G183" s="31"/>
      <c r="H183" s="5"/>
      <c r="I183" s="5"/>
      <c r="J183" s="5"/>
      <c r="K183" s="5"/>
      <c r="L183" s="5"/>
      <c r="M183" s="5"/>
      <c r="N183" s="5"/>
      <c r="O183" s="5"/>
      <c r="P183" s="5"/>
      <c r="Q183" s="5"/>
      <c r="R183" s="5"/>
      <c r="S183" s="5"/>
      <c r="T183" s="5"/>
      <c r="U183" s="5"/>
      <c r="V183" s="5"/>
      <c r="W183" s="5"/>
    </row>
    <row r="184" spans="1:23">
      <c r="A184" s="4"/>
      <c r="B184" s="31"/>
      <c r="C184" s="31"/>
      <c r="D184" s="31"/>
      <c r="E184" s="31"/>
      <c r="F184" s="31"/>
      <c r="G184" s="31"/>
      <c r="H184" s="5"/>
      <c r="I184" s="5"/>
      <c r="J184" s="5"/>
      <c r="K184" s="5"/>
      <c r="L184" s="5"/>
      <c r="M184" s="5"/>
      <c r="N184" s="5"/>
      <c r="O184" s="5"/>
      <c r="P184" s="5"/>
      <c r="Q184" s="5"/>
      <c r="R184" s="5"/>
      <c r="S184" s="5"/>
      <c r="T184" s="5"/>
      <c r="U184" s="5"/>
      <c r="V184" s="5"/>
      <c r="W184" s="5"/>
    </row>
    <row r="185" spans="1:23">
      <c r="A185" s="4"/>
      <c r="B185" s="31"/>
      <c r="C185" s="31"/>
      <c r="D185" s="31"/>
      <c r="E185" s="31"/>
      <c r="F185" s="31"/>
      <c r="G185" s="31"/>
      <c r="H185" s="5"/>
      <c r="I185" s="5"/>
      <c r="J185" s="5"/>
      <c r="K185" s="5"/>
      <c r="L185" s="5"/>
      <c r="M185" s="5"/>
      <c r="N185" s="5"/>
      <c r="O185" s="5"/>
      <c r="P185" s="5"/>
      <c r="Q185" s="5"/>
      <c r="R185" s="5"/>
      <c r="S185" s="5"/>
      <c r="T185" s="5"/>
      <c r="U185" s="5"/>
      <c r="V185" s="5"/>
      <c r="W185" s="5"/>
    </row>
    <row r="186" spans="1:23">
      <c r="A186" s="4"/>
      <c r="B186" s="31"/>
      <c r="C186" s="31"/>
      <c r="D186" s="31"/>
      <c r="E186" s="31"/>
      <c r="F186" s="31"/>
      <c r="G186" s="31"/>
      <c r="H186" s="5"/>
      <c r="I186" s="5"/>
      <c r="J186" s="5"/>
      <c r="K186" s="5"/>
      <c r="L186" s="5"/>
      <c r="M186" s="5"/>
      <c r="N186" s="5"/>
      <c r="O186" s="5"/>
      <c r="P186" s="5"/>
      <c r="Q186" s="5"/>
      <c r="R186" s="5"/>
      <c r="S186" s="5"/>
      <c r="T186" s="5"/>
      <c r="U186" s="5"/>
      <c r="V186" s="5"/>
      <c r="W186" s="5"/>
    </row>
    <row r="187" spans="1:23">
      <c r="A187" s="4"/>
      <c r="B187" s="31"/>
      <c r="C187" s="31"/>
      <c r="D187" s="31"/>
      <c r="E187" s="31"/>
      <c r="F187" s="31"/>
      <c r="G187" s="31"/>
      <c r="H187" s="5"/>
      <c r="I187" s="5"/>
      <c r="J187" s="5"/>
      <c r="K187" s="5"/>
      <c r="L187" s="5"/>
      <c r="M187" s="5"/>
      <c r="N187" s="5"/>
      <c r="O187" s="5"/>
      <c r="P187" s="5"/>
      <c r="Q187" s="5"/>
      <c r="R187" s="5"/>
      <c r="S187" s="5"/>
      <c r="T187" s="5"/>
      <c r="U187" s="5"/>
      <c r="V187" s="5"/>
      <c r="W187" s="5"/>
    </row>
    <row r="188" spans="1:23">
      <c r="A188" s="4"/>
      <c r="B188" s="31"/>
      <c r="C188" s="31"/>
      <c r="D188" s="31"/>
      <c r="E188" s="31"/>
      <c r="F188" s="31"/>
      <c r="G188" s="31"/>
      <c r="H188" s="5"/>
      <c r="I188" s="5"/>
      <c r="J188" s="5"/>
      <c r="K188" s="5"/>
      <c r="L188" s="5"/>
      <c r="M188" s="5"/>
      <c r="N188" s="5"/>
      <c r="O188" s="5"/>
      <c r="P188" s="5"/>
      <c r="Q188" s="5"/>
      <c r="R188" s="5"/>
      <c r="S188" s="5"/>
      <c r="T188" s="5"/>
      <c r="U188" s="5"/>
      <c r="V188" s="5"/>
      <c r="W188" s="5"/>
    </row>
    <row r="189" spans="1:23">
      <c r="A189" s="4"/>
      <c r="B189" s="31"/>
      <c r="C189" s="31"/>
      <c r="D189" s="31"/>
      <c r="E189" s="31"/>
      <c r="F189" s="31"/>
      <c r="G189" s="31"/>
      <c r="H189" s="5"/>
      <c r="I189" s="5"/>
      <c r="J189" s="5"/>
      <c r="K189" s="5"/>
      <c r="L189" s="5"/>
      <c r="M189" s="5"/>
      <c r="N189" s="5"/>
      <c r="O189" s="5"/>
      <c r="P189" s="5"/>
      <c r="Q189" s="5"/>
      <c r="R189" s="5"/>
      <c r="S189" s="5"/>
      <c r="T189" s="5"/>
      <c r="U189" s="5"/>
      <c r="V189" s="5"/>
      <c r="W189" s="5"/>
    </row>
    <row r="190" spans="1:23">
      <c r="A190" s="4"/>
      <c r="B190" s="31"/>
      <c r="C190" s="31"/>
      <c r="D190" s="31"/>
      <c r="E190" s="31"/>
      <c r="F190" s="31"/>
      <c r="G190" s="31"/>
      <c r="H190" s="5"/>
      <c r="I190" s="5"/>
      <c r="J190" s="5"/>
      <c r="K190" s="5"/>
      <c r="L190" s="5"/>
      <c r="M190" s="5"/>
      <c r="N190" s="5"/>
      <c r="O190" s="5"/>
      <c r="P190" s="5"/>
      <c r="Q190" s="5"/>
      <c r="R190" s="5"/>
      <c r="S190" s="5"/>
      <c r="T190" s="5"/>
      <c r="U190" s="5"/>
      <c r="V190" s="5"/>
      <c r="W190" s="5"/>
    </row>
    <row r="191" spans="1:23">
      <c r="A191" s="4"/>
      <c r="B191" s="31"/>
      <c r="C191" s="31"/>
      <c r="D191" s="31"/>
      <c r="E191" s="31"/>
      <c r="F191" s="31"/>
      <c r="G191" s="31"/>
      <c r="H191" s="5"/>
      <c r="I191" s="5"/>
      <c r="J191" s="5"/>
      <c r="K191" s="5"/>
      <c r="L191" s="5"/>
      <c r="M191" s="5"/>
      <c r="N191" s="5"/>
      <c r="O191" s="5"/>
      <c r="P191" s="5"/>
      <c r="Q191" s="5"/>
      <c r="R191" s="5"/>
      <c r="S191" s="5"/>
      <c r="T191" s="5"/>
      <c r="U191" s="5"/>
      <c r="V191" s="5"/>
      <c r="W191" s="5"/>
    </row>
    <row r="192" spans="1:23">
      <c r="A192" s="4"/>
      <c r="B192" s="31"/>
      <c r="C192" s="31"/>
      <c r="D192" s="31"/>
      <c r="E192" s="31"/>
      <c r="F192" s="31"/>
      <c r="G192" s="31"/>
      <c r="H192" s="5"/>
      <c r="I192" s="5"/>
      <c r="J192" s="5"/>
      <c r="K192" s="5"/>
      <c r="L192" s="5"/>
      <c r="M192" s="5"/>
      <c r="N192" s="5"/>
      <c r="O192" s="5"/>
      <c r="P192" s="5"/>
      <c r="Q192" s="5"/>
      <c r="R192" s="5"/>
      <c r="S192" s="5"/>
      <c r="T192" s="5"/>
      <c r="U192" s="5"/>
      <c r="V192" s="5"/>
      <c r="W192" s="5"/>
    </row>
    <row r="193" spans="1:23">
      <c r="A193" s="4"/>
      <c r="B193" s="31"/>
      <c r="C193" s="31"/>
      <c r="D193" s="31"/>
      <c r="E193" s="31"/>
      <c r="F193" s="31"/>
      <c r="G193" s="31"/>
      <c r="H193" s="5"/>
      <c r="I193" s="5"/>
      <c r="J193" s="5"/>
      <c r="K193" s="5"/>
      <c r="L193" s="5"/>
      <c r="M193" s="5"/>
      <c r="N193" s="5"/>
      <c r="O193" s="5"/>
      <c r="P193" s="5"/>
      <c r="Q193" s="5"/>
      <c r="R193" s="5"/>
      <c r="S193" s="5"/>
      <c r="T193" s="5"/>
      <c r="U193" s="5"/>
      <c r="V193" s="5"/>
      <c r="W193" s="5"/>
    </row>
    <row r="194" spans="1:23">
      <c r="A194" s="4"/>
      <c r="B194" s="31"/>
      <c r="C194" s="31"/>
      <c r="D194" s="31"/>
      <c r="E194" s="31"/>
      <c r="F194" s="31"/>
      <c r="G194" s="31"/>
      <c r="H194" s="5"/>
      <c r="I194" s="5"/>
      <c r="J194" s="5"/>
      <c r="K194" s="5"/>
      <c r="L194" s="5"/>
      <c r="M194" s="5"/>
      <c r="N194" s="5"/>
      <c r="O194" s="5"/>
      <c r="P194" s="5"/>
      <c r="Q194" s="5"/>
      <c r="R194" s="5"/>
      <c r="S194" s="5"/>
      <c r="T194" s="5"/>
      <c r="U194" s="5"/>
      <c r="V194" s="5"/>
      <c r="W194" s="5"/>
    </row>
    <row r="195" spans="1:23">
      <c r="A195" s="4"/>
      <c r="B195" s="31"/>
      <c r="C195" s="31"/>
      <c r="D195" s="31"/>
      <c r="E195" s="31"/>
      <c r="F195" s="31"/>
      <c r="G195" s="31"/>
      <c r="H195" s="5"/>
      <c r="I195" s="5"/>
      <c r="J195" s="5"/>
      <c r="K195" s="5"/>
      <c r="L195" s="5"/>
      <c r="M195" s="5"/>
      <c r="N195" s="5"/>
      <c r="O195" s="5"/>
      <c r="P195" s="5"/>
      <c r="Q195" s="5"/>
      <c r="R195" s="5"/>
      <c r="S195" s="5"/>
      <c r="T195" s="5"/>
      <c r="U195" s="5"/>
      <c r="V195" s="5"/>
      <c r="W195" s="5"/>
    </row>
    <row r="196" spans="1:23">
      <c r="A196" s="4"/>
      <c r="B196" s="31"/>
      <c r="C196" s="31"/>
      <c r="D196" s="31"/>
      <c r="E196" s="31"/>
      <c r="F196" s="31"/>
      <c r="G196" s="31"/>
      <c r="H196" s="5"/>
      <c r="I196" s="5"/>
      <c r="J196" s="5"/>
      <c r="K196" s="5"/>
      <c r="L196" s="5"/>
      <c r="M196" s="5"/>
      <c r="N196" s="5"/>
      <c r="O196" s="5"/>
      <c r="P196" s="5"/>
      <c r="Q196" s="5"/>
      <c r="R196" s="5"/>
      <c r="S196" s="5"/>
      <c r="T196" s="5"/>
      <c r="U196" s="5"/>
      <c r="V196" s="5"/>
      <c r="W196" s="5"/>
    </row>
    <row r="197" spans="1:23">
      <c r="A197" s="4"/>
      <c r="B197" s="31"/>
      <c r="C197" s="31"/>
      <c r="D197" s="31"/>
      <c r="E197" s="31"/>
      <c r="F197" s="31"/>
      <c r="G197" s="31"/>
      <c r="H197" s="5"/>
      <c r="I197" s="5"/>
      <c r="J197" s="5"/>
      <c r="K197" s="5"/>
      <c r="L197" s="5"/>
      <c r="M197" s="5"/>
      <c r="N197" s="5"/>
      <c r="O197" s="5"/>
      <c r="P197" s="5"/>
      <c r="Q197" s="5"/>
      <c r="R197" s="5"/>
      <c r="S197" s="5"/>
      <c r="T197" s="5"/>
      <c r="U197" s="5"/>
      <c r="V197" s="5"/>
      <c r="W197" s="5"/>
    </row>
    <row r="198" spans="1:23">
      <c r="A198" s="4"/>
      <c r="B198" s="31"/>
      <c r="C198" s="31"/>
      <c r="D198" s="31"/>
      <c r="E198" s="31"/>
      <c r="F198" s="31"/>
      <c r="G198" s="31"/>
      <c r="H198" s="5"/>
      <c r="I198" s="5"/>
      <c r="J198" s="5"/>
      <c r="K198" s="5"/>
      <c r="L198" s="5"/>
      <c r="M198" s="5"/>
      <c r="N198" s="5"/>
      <c r="O198" s="5"/>
      <c r="P198" s="5"/>
      <c r="Q198" s="5"/>
      <c r="R198" s="5"/>
      <c r="S198" s="5"/>
      <c r="T198" s="5"/>
      <c r="U198" s="5"/>
      <c r="V198" s="5"/>
      <c r="W198" s="5"/>
    </row>
    <row r="199" spans="1:23">
      <c r="A199" s="4"/>
      <c r="B199" s="31"/>
      <c r="C199" s="31"/>
      <c r="D199" s="31"/>
      <c r="E199" s="31"/>
      <c r="F199" s="31"/>
      <c r="G199" s="31"/>
      <c r="H199" s="5"/>
      <c r="I199" s="5"/>
      <c r="J199" s="5"/>
      <c r="K199" s="5"/>
      <c r="L199" s="5"/>
      <c r="M199" s="5"/>
      <c r="N199" s="5"/>
      <c r="O199" s="5"/>
      <c r="P199" s="5"/>
      <c r="Q199" s="5"/>
      <c r="R199" s="5"/>
      <c r="S199" s="5"/>
      <c r="T199" s="5"/>
      <c r="U199" s="5"/>
      <c r="V199" s="5"/>
      <c r="W199" s="5"/>
    </row>
    <row r="200" spans="1:23">
      <c r="A200" s="4"/>
      <c r="B200" s="31"/>
      <c r="C200" s="31"/>
      <c r="D200" s="31"/>
      <c r="E200" s="31"/>
      <c r="F200" s="31"/>
      <c r="G200" s="31"/>
      <c r="H200" s="5"/>
      <c r="I200" s="5"/>
      <c r="J200" s="5"/>
      <c r="K200" s="5"/>
      <c r="L200" s="5"/>
      <c r="M200" s="5"/>
      <c r="N200" s="5"/>
      <c r="O200" s="5"/>
      <c r="P200" s="5"/>
      <c r="Q200" s="5"/>
      <c r="R200" s="5"/>
      <c r="S200" s="5"/>
      <c r="T200" s="5"/>
      <c r="U200" s="5"/>
      <c r="V200" s="5"/>
      <c r="W200" s="5"/>
    </row>
    <row r="201" spans="1:23">
      <c r="A201" s="4"/>
      <c r="B201" s="31"/>
      <c r="C201" s="31"/>
      <c r="D201" s="31"/>
      <c r="E201" s="31"/>
      <c r="F201" s="31"/>
      <c r="G201" s="31"/>
      <c r="H201" s="5"/>
      <c r="I201" s="5"/>
      <c r="J201" s="5"/>
      <c r="K201" s="5"/>
      <c r="L201" s="5"/>
      <c r="M201" s="5"/>
      <c r="N201" s="5"/>
      <c r="O201" s="5"/>
      <c r="P201" s="5"/>
      <c r="Q201" s="5"/>
      <c r="R201" s="5"/>
      <c r="S201" s="5"/>
      <c r="T201" s="5"/>
      <c r="U201" s="5"/>
      <c r="V201" s="5"/>
      <c r="W201" s="5"/>
    </row>
    <row r="202" spans="1:23">
      <c r="A202" s="4"/>
      <c r="B202" s="31"/>
      <c r="C202" s="31"/>
      <c r="D202" s="31"/>
      <c r="E202" s="31"/>
      <c r="F202" s="31"/>
      <c r="G202" s="31"/>
      <c r="H202" s="5"/>
      <c r="I202" s="5"/>
      <c r="J202" s="5"/>
      <c r="K202" s="5"/>
      <c r="L202" s="5"/>
      <c r="M202" s="5"/>
      <c r="N202" s="5"/>
      <c r="O202" s="5"/>
      <c r="P202" s="5"/>
      <c r="Q202" s="5"/>
      <c r="R202" s="5"/>
      <c r="S202" s="5"/>
      <c r="T202" s="5"/>
      <c r="U202" s="5"/>
      <c r="V202" s="5"/>
      <c r="W202" s="5"/>
    </row>
    <row r="203" spans="1:23">
      <c r="A203" s="4"/>
      <c r="B203" s="31"/>
      <c r="C203" s="31"/>
      <c r="D203" s="31"/>
      <c r="E203" s="31"/>
      <c r="F203" s="31"/>
      <c r="G203" s="31"/>
      <c r="H203" s="5"/>
      <c r="I203" s="5"/>
      <c r="J203" s="5"/>
      <c r="K203" s="5"/>
      <c r="L203" s="5"/>
      <c r="M203" s="5"/>
      <c r="N203" s="5"/>
      <c r="O203" s="5"/>
      <c r="P203" s="5"/>
      <c r="Q203" s="5"/>
      <c r="R203" s="5"/>
      <c r="S203" s="5"/>
      <c r="T203" s="5"/>
      <c r="U203" s="5"/>
      <c r="V203" s="5"/>
      <c r="W203" s="5"/>
    </row>
    <row r="204" spans="1:23">
      <c r="A204" s="4"/>
      <c r="B204" s="31"/>
      <c r="C204" s="31"/>
      <c r="D204" s="31"/>
      <c r="E204" s="31"/>
      <c r="F204" s="31"/>
      <c r="G204" s="31"/>
      <c r="H204" s="5"/>
      <c r="I204" s="5"/>
      <c r="J204" s="5"/>
      <c r="K204" s="5"/>
      <c r="L204" s="5"/>
      <c r="M204" s="5"/>
      <c r="N204" s="5"/>
      <c r="O204" s="5"/>
      <c r="P204" s="5"/>
      <c r="Q204" s="5"/>
      <c r="R204" s="5"/>
      <c r="S204" s="5"/>
      <c r="T204" s="5"/>
      <c r="U204" s="5"/>
      <c r="V204" s="5"/>
      <c r="W204" s="5"/>
    </row>
    <row r="205" spans="1:23">
      <c r="A205" s="4"/>
      <c r="B205" s="31"/>
      <c r="C205" s="31"/>
      <c r="D205" s="31"/>
      <c r="E205" s="31"/>
      <c r="F205" s="31"/>
      <c r="G205" s="31"/>
      <c r="H205" s="5"/>
      <c r="I205" s="5"/>
      <c r="J205" s="5"/>
      <c r="K205" s="5"/>
      <c r="L205" s="5"/>
      <c r="M205" s="5"/>
      <c r="N205" s="5"/>
      <c r="O205" s="5"/>
      <c r="P205" s="5"/>
      <c r="Q205" s="5"/>
      <c r="R205" s="5"/>
      <c r="S205" s="5"/>
      <c r="T205" s="5"/>
      <c r="U205" s="5"/>
      <c r="V205" s="5"/>
      <c r="W205" s="5"/>
    </row>
    <row r="206" spans="1:23">
      <c r="A206" s="4"/>
      <c r="B206" s="31"/>
      <c r="C206" s="31"/>
      <c r="D206" s="31"/>
      <c r="E206" s="31"/>
      <c r="F206" s="31"/>
      <c r="G206" s="31"/>
      <c r="H206" s="5"/>
      <c r="I206" s="5"/>
      <c r="J206" s="5"/>
      <c r="K206" s="5"/>
      <c r="L206" s="5"/>
      <c r="M206" s="5"/>
      <c r="N206" s="5"/>
      <c r="O206" s="5"/>
      <c r="P206" s="5"/>
      <c r="Q206" s="5"/>
      <c r="R206" s="5"/>
      <c r="S206" s="5"/>
      <c r="T206" s="5"/>
      <c r="U206" s="5"/>
      <c r="V206" s="5"/>
      <c r="W206" s="5"/>
    </row>
    <row r="207" spans="1:23">
      <c r="A207" s="4"/>
      <c r="B207" s="31"/>
      <c r="C207" s="31"/>
      <c r="D207" s="31"/>
      <c r="E207" s="31"/>
      <c r="F207" s="31"/>
      <c r="G207" s="31"/>
      <c r="H207" s="5"/>
      <c r="I207" s="5"/>
      <c r="J207" s="5"/>
      <c r="K207" s="5"/>
      <c r="L207" s="5"/>
      <c r="M207" s="5"/>
      <c r="N207" s="5"/>
      <c r="O207" s="5"/>
      <c r="P207" s="5"/>
      <c r="Q207" s="5"/>
      <c r="R207" s="5"/>
      <c r="S207" s="5"/>
      <c r="T207" s="5"/>
      <c r="U207" s="5"/>
      <c r="V207" s="5"/>
      <c r="W207" s="5"/>
    </row>
    <row r="208" spans="1:23">
      <c r="A208" s="4"/>
      <c r="B208" s="31"/>
      <c r="C208" s="31"/>
      <c r="D208" s="31"/>
      <c r="E208" s="31"/>
      <c r="F208" s="31"/>
      <c r="G208" s="31"/>
      <c r="H208" s="5"/>
      <c r="I208" s="5"/>
      <c r="J208" s="5"/>
      <c r="K208" s="5"/>
      <c r="L208" s="5"/>
      <c r="M208" s="5"/>
      <c r="N208" s="5"/>
      <c r="O208" s="5"/>
      <c r="P208" s="5"/>
      <c r="Q208" s="5"/>
      <c r="R208" s="5"/>
      <c r="S208" s="5"/>
      <c r="T208" s="5"/>
      <c r="U208" s="5"/>
      <c r="V208" s="5"/>
      <c r="W208" s="5"/>
    </row>
    <row r="209" spans="1:23">
      <c r="A209" s="4"/>
      <c r="B209" s="31"/>
      <c r="C209" s="31"/>
      <c r="D209" s="31"/>
      <c r="E209" s="31"/>
      <c r="F209" s="31"/>
      <c r="G209" s="31"/>
      <c r="H209" s="5"/>
      <c r="I209" s="5"/>
      <c r="J209" s="5"/>
      <c r="K209" s="5"/>
      <c r="L209" s="5"/>
      <c r="M209" s="5"/>
      <c r="N209" s="5"/>
      <c r="O209" s="5"/>
      <c r="P209" s="5"/>
      <c r="Q209" s="5"/>
      <c r="R209" s="5"/>
      <c r="S209" s="5"/>
      <c r="T209" s="5"/>
      <c r="U209" s="5"/>
      <c r="V209" s="5"/>
      <c r="W209" s="5"/>
    </row>
    <row r="210" spans="1:23">
      <c r="A210" s="4"/>
      <c r="B210" s="31"/>
      <c r="C210" s="31"/>
      <c r="D210" s="31"/>
      <c r="E210" s="31"/>
      <c r="F210" s="31"/>
      <c r="G210" s="31"/>
      <c r="H210" s="5"/>
      <c r="I210" s="5"/>
      <c r="J210" s="5"/>
      <c r="K210" s="5"/>
      <c r="L210" s="5"/>
      <c r="M210" s="5"/>
      <c r="N210" s="5"/>
      <c r="O210" s="5"/>
      <c r="P210" s="5"/>
      <c r="Q210" s="5"/>
      <c r="R210" s="5"/>
      <c r="S210" s="5"/>
      <c r="T210" s="5"/>
      <c r="U210" s="5"/>
      <c r="V210" s="5"/>
      <c r="W210" s="5"/>
    </row>
    <row r="211" spans="1:23">
      <c r="A211" s="4"/>
      <c r="B211" s="31"/>
      <c r="C211" s="31"/>
      <c r="D211" s="31"/>
      <c r="E211" s="31"/>
      <c r="F211" s="31"/>
      <c r="G211" s="31"/>
      <c r="H211" s="5"/>
      <c r="I211" s="5"/>
      <c r="J211" s="5"/>
      <c r="K211" s="5"/>
      <c r="L211" s="5"/>
      <c r="M211" s="5"/>
      <c r="N211" s="5"/>
      <c r="O211" s="5"/>
      <c r="P211" s="5"/>
      <c r="Q211" s="5"/>
      <c r="R211" s="5"/>
      <c r="S211" s="5"/>
      <c r="T211" s="5"/>
      <c r="U211" s="5"/>
      <c r="V211" s="5"/>
      <c r="W211" s="5"/>
    </row>
    <row r="212" spans="1:23">
      <c r="A212" s="4"/>
      <c r="B212" s="31"/>
      <c r="C212" s="31"/>
      <c r="D212" s="31"/>
      <c r="E212" s="31"/>
      <c r="F212" s="31"/>
      <c r="G212" s="31"/>
      <c r="H212" s="5"/>
      <c r="I212" s="5"/>
      <c r="J212" s="5"/>
      <c r="K212" s="5"/>
      <c r="L212" s="5"/>
      <c r="M212" s="5"/>
      <c r="N212" s="5"/>
      <c r="O212" s="5"/>
      <c r="P212" s="5"/>
      <c r="Q212" s="5"/>
      <c r="R212" s="5"/>
      <c r="S212" s="5"/>
      <c r="T212" s="5"/>
      <c r="U212" s="5"/>
      <c r="V212" s="5"/>
      <c r="W212" s="5"/>
    </row>
    <row r="213" spans="1:23">
      <c r="A213" s="4"/>
      <c r="B213" s="31"/>
      <c r="C213" s="31"/>
      <c r="D213" s="31"/>
      <c r="E213" s="31"/>
      <c r="F213" s="31"/>
      <c r="G213" s="31"/>
      <c r="H213" s="5"/>
      <c r="I213" s="5"/>
      <c r="J213" s="5"/>
      <c r="K213" s="5"/>
      <c r="L213" s="5"/>
      <c r="M213" s="5"/>
      <c r="N213" s="5"/>
      <c r="O213" s="5"/>
      <c r="P213" s="5"/>
      <c r="Q213" s="5"/>
      <c r="R213" s="5"/>
      <c r="S213" s="5"/>
      <c r="T213" s="5"/>
      <c r="U213" s="5"/>
      <c r="V213" s="5"/>
      <c r="W213" s="5"/>
    </row>
    <row r="214" spans="1:23">
      <c r="A214" s="4"/>
      <c r="B214" s="31"/>
      <c r="C214" s="31"/>
      <c r="D214" s="31"/>
      <c r="E214" s="31"/>
      <c r="F214" s="31"/>
      <c r="G214" s="31"/>
      <c r="H214" s="5"/>
      <c r="I214" s="5"/>
      <c r="J214" s="5"/>
      <c r="K214" s="5"/>
      <c r="L214" s="5"/>
      <c r="M214" s="5"/>
      <c r="N214" s="5"/>
      <c r="O214" s="5"/>
      <c r="P214" s="5"/>
      <c r="Q214" s="5"/>
      <c r="R214" s="5"/>
      <c r="S214" s="5"/>
      <c r="T214" s="5"/>
      <c r="U214" s="5"/>
      <c r="V214" s="5"/>
      <c r="W214" s="5"/>
    </row>
    <row r="215" spans="1:23">
      <c r="A215" s="4"/>
      <c r="B215" s="31"/>
      <c r="C215" s="31"/>
      <c r="D215" s="31"/>
      <c r="E215" s="31"/>
      <c r="F215" s="31"/>
      <c r="G215" s="31"/>
      <c r="H215" s="5"/>
      <c r="I215" s="5"/>
      <c r="J215" s="5"/>
      <c r="K215" s="5"/>
      <c r="L215" s="5"/>
      <c r="M215" s="5"/>
      <c r="N215" s="5"/>
      <c r="O215" s="5"/>
      <c r="P215" s="5"/>
      <c r="Q215" s="5"/>
      <c r="R215" s="5"/>
      <c r="S215" s="5"/>
      <c r="T215" s="5"/>
      <c r="U215" s="5"/>
      <c r="V215" s="5"/>
      <c r="W215" s="5"/>
    </row>
    <row r="216" spans="1:23">
      <c r="A216" s="4"/>
      <c r="B216" s="31"/>
      <c r="C216" s="31"/>
      <c r="D216" s="31"/>
      <c r="E216" s="31"/>
      <c r="F216" s="31"/>
      <c r="G216" s="31"/>
      <c r="H216" s="5"/>
      <c r="I216" s="5"/>
      <c r="J216" s="5"/>
      <c r="K216" s="5"/>
      <c r="L216" s="5"/>
      <c r="M216" s="5"/>
      <c r="N216" s="5"/>
      <c r="O216" s="5"/>
      <c r="P216" s="5"/>
      <c r="Q216" s="5"/>
      <c r="R216" s="5"/>
      <c r="S216" s="5"/>
      <c r="T216" s="5"/>
      <c r="U216" s="5"/>
      <c r="V216" s="5"/>
      <c r="W216" s="5"/>
    </row>
    <row r="217" spans="1:23">
      <c r="A217" s="4"/>
      <c r="B217" s="31"/>
      <c r="C217" s="31"/>
      <c r="D217" s="31"/>
      <c r="E217" s="31"/>
      <c r="F217" s="31"/>
      <c r="G217" s="31"/>
      <c r="H217" s="5"/>
      <c r="I217" s="5"/>
      <c r="J217" s="5"/>
      <c r="K217" s="5"/>
      <c r="L217" s="5"/>
      <c r="M217" s="5"/>
      <c r="N217" s="5"/>
      <c r="O217" s="5"/>
      <c r="P217" s="5"/>
      <c r="Q217" s="5"/>
      <c r="R217" s="5"/>
      <c r="S217" s="5"/>
      <c r="T217" s="5"/>
      <c r="U217" s="5"/>
      <c r="V217" s="5"/>
      <c r="W217" s="5"/>
    </row>
    <row r="218" spans="1:23">
      <c r="A218" s="4"/>
      <c r="B218" s="31"/>
      <c r="C218" s="31"/>
      <c r="D218" s="31"/>
      <c r="E218" s="31"/>
      <c r="F218" s="31"/>
      <c r="G218" s="31"/>
      <c r="H218" s="5"/>
      <c r="I218" s="5"/>
      <c r="J218" s="5"/>
      <c r="K218" s="5"/>
      <c r="L218" s="5"/>
      <c r="M218" s="5"/>
      <c r="N218" s="5"/>
      <c r="O218" s="5"/>
      <c r="P218" s="5"/>
      <c r="Q218" s="5"/>
      <c r="R218" s="5"/>
      <c r="S218" s="5"/>
      <c r="T218" s="5"/>
      <c r="U218" s="5"/>
      <c r="V218" s="5"/>
      <c r="W218" s="5"/>
    </row>
    <row r="219" spans="1:23">
      <c r="A219" s="4"/>
      <c r="B219" s="31"/>
      <c r="C219" s="31"/>
      <c r="D219" s="31"/>
      <c r="E219" s="31"/>
      <c r="F219" s="31"/>
      <c r="G219" s="31"/>
      <c r="H219" s="5"/>
      <c r="I219" s="5"/>
      <c r="J219" s="5"/>
      <c r="K219" s="5"/>
      <c r="L219" s="5"/>
      <c r="M219" s="5"/>
      <c r="N219" s="5"/>
      <c r="O219" s="5"/>
      <c r="P219" s="5"/>
      <c r="Q219" s="5"/>
      <c r="R219" s="5"/>
      <c r="S219" s="5"/>
      <c r="T219" s="5"/>
      <c r="U219" s="5"/>
      <c r="V219" s="5"/>
      <c r="W219" s="5"/>
    </row>
    <row r="220" spans="1:23">
      <c r="A220" s="4"/>
      <c r="B220" s="31"/>
      <c r="C220" s="31"/>
      <c r="D220" s="31"/>
      <c r="E220" s="31"/>
      <c r="F220" s="31"/>
      <c r="G220" s="31"/>
      <c r="H220" s="5"/>
      <c r="I220" s="5"/>
      <c r="J220" s="5"/>
      <c r="K220" s="5"/>
      <c r="L220" s="5"/>
      <c r="M220" s="5"/>
      <c r="N220" s="5"/>
      <c r="O220" s="5"/>
      <c r="P220" s="5"/>
      <c r="Q220" s="5"/>
      <c r="R220" s="5"/>
      <c r="S220" s="5"/>
      <c r="T220" s="5"/>
      <c r="U220" s="5"/>
      <c r="V220" s="5"/>
      <c r="W220" s="5"/>
    </row>
    <row r="221" spans="1:23">
      <c r="A221" s="4"/>
      <c r="B221" s="31"/>
      <c r="C221" s="31"/>
      <c r="D221" s="31"/>
      <c r="E221" s="31"/>
      <c r="F221" s="31"/>
      <c r="G221" s="31"/>
      <c r="H221" s="5"/>
      <c r="I221" s="5"/>
      <c r="J221" s="5"/>
      <c r="K221" s="5"/>
      <c r="L221" s="5"/>
      <c r="M221" s="5"/>
      <c r="N221" s="5"/>
      <c r="O221" s="5"/>
      <c r="P221" s="5"/>
      <c r="Q221" s="5"/>
      <c r="R221" s="5"/>
      <c r="S221" s="5"/>
      <c r="T221" s="5"/>
      <c r="U221" s="5"/>
      <c r="V221" s="5"/>
      <c r="W221" s="5"/>
    </row>
    <row r="222" spans="1:23">
      <c r="A222" s="4"/>
      <c r="B222" s="31"/>
      <c r="C222" s="31"/>
      <c r="D222" s="31"/>
      <c r="E222" s="31"/>
      <c r="F222" s="31"/>
      <c r="G222" s="31"/>
      <c r="H222" s="5"/>
      <c r="I222" s="5"/>
      <c r="J222" s="5"/>
      <c r="K222" s="5"/>
      <c r="L222" s="5"/>
      <c r="M222" s="5"/>
      <c r="N222" s="5"/>
      <c r="O222" s="5"/>
      <c r="P222" s="5"/>
      <c r="Q222" s="5"/>
      <c r="R222" s="5"/>
      <c r="S222" s="5"/>
      <c r="T222" s="5"/>
      <c r="U222" s="5"/>
      <c r="V222" s="5"/>
      <c r="W222" s="5"/>
    </row>
    <row r="223" spans="1:23">
      <c r="A223" s="4"/>
      <c r="B223" s="31"/>
      <c r="C223" s="31"/>
      <c r="D223" s="31"/>
      <c r="E223" s="31"/>
      <c r="F223" s="31"/>
      <c r="G223" s="31"/>
      <c r="H223" s="5"/>
      <c r="I223" s="5"/>
      <c r="J223" s="5"/>
      <c r="K223" s="5"/>
      <c r="L223" s="5"/>
      <c r="M223" s="5"/>
      <c r="N223" s="5"/>
      <c r="O223" s="5"/>
      <c r="P223" s="5"/>
      <c r="Q223" s="5"/>
      <c r="R223" s="5"/>
      <c r="S223" s="5"/>
      <c r="T223" s="5"/>
      <c r="U223" s="5"/>
      <c r="V223" s="5"/>
      <c r="W223" s="5"/>
    </row>
    <row r="224" spans="1:23">
      <c r="A224" s="4"/>
      <c r="B224" s="31"/>
      <c r="C224" s="31"/>
      <c r="D224" s="31"/>
      <c r="E224" s="31"/>
      <c r="F224" s="31"/>
      <c r="G224" s="31"/>
      <c r="H224" s="5"/>
      <c r="I224" s="5"/>
      <c r="J224" s="5"/>
      <c r="K224" s="5"/>
      <c r="L224" s="5"/>
      <c r="M224" s="5"/>
      <c r="N224" s="5"/>
      <c r="O224" s="5"/>
      <c r="P224" s="5"/>
      <c r="Q224" s="5"/>
      <c r="R224" s="5"/>
      <c r="S224" s="5"/>
      <c r="T224" s="5"/>
      <c r="U224" s="5"/>
      <c r="V224" s="5"/>
      <c r="W224" s="5"/>
    </row>
    <row r="225" spans="1:23">
      <c r="A225" s="4"/>
      <c r="B225" s="31"/>
      <c r="C225" s="31"/>
      <c r="D225" s="31"/>
      <c r="E225" s="31"/>
      <c r="F225" s="31"/>
      <c r="G225" s="31"/>
      <c r="H225" s="5"/>
      <c r="I225" s="5"/>
      <c r="J225" s="5"/>
      <c r="K225" s="5"/>
      <c r="L225" s="5"/>
      <c r="M225" s="5"/>
      <c r="N225" s="5"/>
      <c r="O225" s="5"/>
      <c r="P225" s="5"/>
      <c r="Q225" s="5"/>
      <c r="R225" s="5"/>
      <c r="S225" s="5"/>
      <c r="T225" s="5"/>
      <c r="U225" s="5"/>
      <c r="V225" s="5"/>
      <c r="W225" s="5"/>
    </row>
    <row r="226" spans="1:23">
      <c r="A226" s="4"/>
      <c r="B226" s="31"/>
      <c r="C226" s="31"/>
      <c r="D226" s="31"/>
      <c r="E226" s="31"/>
      <c r="F226" s="31"/>
      <c r="G226" s="31"/>
      <c r="H226" s="5"/>
      <c r="I226" s="5"/>
      <c r="J226" s="5"/>
      <c r="K226" s="5"/>
      <c r="L226" s="5"/>
      <c r="M226" s="5"/>
      <c r="N226" s="5"/>
      <c r="O226" s="5"/>
      <c r="P226" s="5"/>
      <c r="Q226" s="5"/>
      <c r="R226" s="5"/>
      <c r="S226" s="5"/>
      <c r="T226" s="5"/>
      <c r="U226" s="5"/>
      <c r="V226" s="5"/>
      <c r="W226" s="5"/>
    </row>
    <row r="227" spans="1:23">
      <c r="A227" s="4"/>
      <c r="B227" s="31"/>
      <c r="C227" s="31"/>
      <c r="D227" s="31"/>
      <c r="E227" s="31"/>
      <c r="F227" s="31"/>
      <c r="G227" s="31"/>
      <c r="H227" s="5"/>
      <c r="I227" s="5"/>
      <c r="J227" s="5"/>
      <c r="K227" s="5"/>
      <c r="L227" s="5"/>
      <c r="M227" s="5"/>
      <c r="N227" s="5"/>
      <c r="O227" s="5"/>
      <c r="P227" s="5"/>
      <c r="Q227" s="5"/>
      <c r="R227" s="5"/>
      <c r="S227" s="5"/>
      <c r="T227" s="5"/>
      <c r="U227" s="5"/>
      <c r="V227" s="5"/>
      <c r="W227" s="5"/>
    </row>
    <row r="228" spans="1:23">
      <c r="A228" s="4"/>
      <c r="B228" s="31"/>
      <c r="C228" s="31"/>
      <c r="D228" s="31"/>
      <c r="E228" s="31"/>
      <c r="F228" s="31"/>
      <c r="G228" s="31"/>
      <c r="H228" s="5"/>
      <c r="I228" s="5"/>
      <c r="J228" s="5"/>
      <c r="K228" s="5"/>
      <c r="L228" s="5"/>
      <c r="M228" s="5"/>
      <c r="N228" s="5"/>
      <c r="O228" s="5"/>
      <c r="P228" s="5"/>
      <c r="Q228" s="5"/>
      <c r="R228" s="5"/>
      <c r="S228" s="5"/>
      <c r="T228" s="5"/>
      <c r="U228" s="5"/>
      <c r="V228" s="5"/>
      <c r="W228" s="5"/>
    </row>
    <row r="229" spans="1:23">
      <c r="A229" s="4"/>
      <c r="B229" s="31"/>
      <c r="C229" s="31"/>
      <c r="D229" s="31"/>
      <c r="E229" s="31"/>
      <c r="F229" s="31"/>
      <c r="G229" s="31"/>
      <c r="H229" s="5"/>
      <c r="I229" s="5"/>
      <c r="J229" s="5"/>
      <c r="K229" s="5"/>
      <c r="L229" s="5"/>
      <c r="M229" s="5"/>
      <c r="N229" s="5"/>
      <c r="O229" s="5"/>
      <c r="P229" s="5"/>
      <c r="Q229" s="5"/>
      <c r="R229" s="5"/>
      <c r="S229" s="5"/>
      <c r="T229" s="5"/>
      <c r="U229" s="5"/>
      <c r="V229" s="5"/>
      <c r="W229" s="5"/>
    </row>
    <row r="230" spans="1:23">
      <c r="A230" s="4"/>
      <c r="B230" s="31"/>
      <c r="C230" s="31"/>
      <c r="D230" s="31"/>
      <c r="E230" s="31"/>
      <c r="F230" s="31"/>
      <c r="G230" s="31"/>
      <c r="H230" s="5"/>
      <c r="I230" s="5"/>
      <c r="J230" s="5"/>
      <c r="K230" s="5"/>
      <c r="L230" s="5"/>
      <c r="M230" s="5"/>
      <c r="N230" s="5"/>
      <c r="O230" s="5"/>
      <c r="P230" s="5"/>
      <c r="Q230" s="5"/>
      <c r="R230" s="5"/>
      <c r="S230" s="5"/>
      <c r="T230" s="5"/>
      <c r="U230" s="5"/>
      <c r="V230" s="5"/>
      <c r="W230" s="5"/>
    </row>
    <row r="231" spans="1:23">
      <c r="A231" s="4"/>
      <c r="B231" s="31"/>
      <c r="C231" s="31"/>
      <c r="D231" s="31"/>
      <c r="E231" s="31"/>
      <c r="F231" s="31"/>
      <c r="G231" s="31"/>
      <c r="H231" s="5"/>
      <c r="I231" s="5"/>
      <c r="J231" s="5"/>
      <c r="K231" s="5"/>
      <c r="L231" s="5"/>
      <c r="M231" s="5"/>
      <c r="N231" s="5"/>
      <c r="O231" s="5"/>
      <c r="P231" s="5"/>
      <c r="Q231" s="5"/>
      <c r="R231" s="5"/>
      <c r="S231" s="5"/>
      <c r="T231" s="5"/>
      <c r="U231" s="5"/>
      <c r="V231" s="5"/>
      <c r="W231" s="5"/>
    </row>
    <row r="232" spans="1:23">
      <c r="A232" s="4"/>
      <c r="B232" s="31"/>
      <c r="C232" s="31"/>
      <c r="D232" s="31"/>
      <c r="E232" s="31"/>
      <c r="F232" s="31"/>
      <c r="G232" s="31"/>
      <c r="H232" s="5"/>
      <c r="I232" s="5"/>
      <c r="J232" s="5"/>
      <c r="K232" s="5"/>
      <c r="L232" s="5"/>
      <c r="M232" s="5"/>
      <c r="N232" s="5"/>
      <c r="O232" s="5"/>
      <c r="P232" s="5"/>
      <c r="Q232" s="5"/>
      <c r="R232" s="5"/>
      <c r="S232" s="5"/>
      <c r="T232" s="5"/>
      <c r="U232" s="5"/>
      <c r="V232" s="5"/>
      <c r="W232" s="5"/>
    </row>
    <row r="233" spans="1:23">
      <c r="A233" s="4"/>
      <c r="B233" s="31"/>
      <c r="C233" s="31"/>
      <c r="D233" s="31"/>
      <c r="E233" s="31"/>
      <c r="F233" s="31"/>
      <c r="G233" s="31"/>
      <c r="H233" s="5"/>
      <c r="I233" s="5"/>
      <c r="J233" s="5"/>
      <c r="K233" s="5"/>
      <c r="L233" s="5"/>
      <c r="M233" s="5"/>
      <c r="N233" s="5"/>
      <c r="O233" s="5"/>
      <c r="P233" s="5"/>
      <c r="Q233" s="5"/>
      <c r="R233" s="5"/>
      <c r="S233" s="5"/>
      <c r="T233" s="5"/>
      <c r="U233" s="5"/>
      <c r="V233" s="5"/>
      <c r="W233" s="5"/>
    </row>
    <row r="234" spans="1:23">
      <c r="A234" s="4"/>
      <c r="B234" s="31"/>
      <c r="C234" s="31"/>
      <c r="D234" s="31"/>
      <c r="E234" s="31"/>
      <c r="F234" s="31"/>
      <c r="G234" s="31"/>
      <c r="H234" s="5"/>
      <c r="I234" s="5"/>
      <c r="J234" s="5"/>
      <c r="K234" s="5"/>
      <c r="L234" s="5"/>
      <c r="M234" s="5"/>
      <c r="N234" s="5"/>
      <c r="O234" s="5"/>
      <c r="P234" s="5"/>
      <c r="Q234" s="5"/>
      <c r="R234" s="5"/>
      <c r="S234" s="5"/>
      <c r="T234" s="5"/>
      <c r="U234" s="5"/>
      <c r="V234" s="5"/>
      <c r="W234" s="5"/>
    </row>
    <row r="235" spans="1:23">
      <c r="A235" s="4"/>
      <c r="B235" s="31"/>
      <c r="C235" s="31"/>
      <c r="D235" s="31"/>
      <c r="E235" s="31"/>
      <c r="F235" s="31"/>
      <c r="G235" s="31"/>
      <c r="H235" s="5"/>
      <c r="I235" s="5"/>
      <c r="J235" s="5"/>
      <c r="K235" s="5"/>
      <c r="L235" s="5"/>
      <c r="M235" s="5"/>
      <c r="N235" s="5"/>
      <c r="O235" s="5"/>
      <c r="P235" s="5"/>
      <c r="Q235" s="5"/>
      <c r="R235" s="5"/>
      <c r="S235" s="5"/>
      <c r="T235" s="5"/>
      <c r="U235" s="5"/>
      <c r="V235" s="5"/>
      <c r="W235" s="5"/>
    </row>
    <row r="236" spans="1:23">
      <c r="A236" s="4"/>
      <c r="B236" s="31"/>
      <c r="C236" s="31"/>
      <c r="D236" s="31"/>
      <c r="E236" s="31"/>
      <c r="F236" s="31"/>
      <c r="G236" s="31"/>
      <c r="H236" s="5"/>
      <c r="I236" s="5"/>
      <c r="J236" s="5"/>
      <c r="K236" s="5"/>
      <c r="L236" s="5"/>
      <c r="M236" s="5"/>
      <c r="N236" s="5"/>
      <c r="O236" s="5"/>
      <c r="P236" s="5"/>
      <c r="Q236" s="5"/>
      <c r="R236" s="5"/>
      <c r="S236" s="5"/>
      <c r="T236" s="5"/>
      <c r="U236" s="5"/>
      <c r="V236" s="5"/>
      <c r="W236" s="5"/>
    </row>
    <row r="237" spans="1:23">
      <c r="A237" s="4"/>
      <c r="B237" s="31"/>
      <c r="C237" s="31"/>
      <c r="D237" s="31"/>
      <c r="E237" s="31"/>
      <c r="F237" s="31"/>
      <c r="G237" s="31"/>
      <c r="H237" s="5"/>
      <c r="I237" s="5"/>
      <c r="J237" s="5"/>
      <c r="K237" s="5"/>
      <c r="L237" s="5"/>
      <c r="M237" s="5"/>
      <c r="N237" s="5"/>
      <c r="O237" s="5"/>
      <c r="P237" s="5"/>
      <c r="Q237" s="5"/>
      <c r="R237" s="5"/>
      <c r="S237" s="5"/>
      <c r="T237" s="5"/>
      <c r="U237" s="5"/>
      <c r="V237" s="5"/>
      <c r="W237" s="5"/>
    </row>
    <row r="238" spans="1:23">
      <c r="A238" s="4"/>
      <c r="B238" s="31"/>
      <c r="C238" s="31"/>
      <c r="D238" s="31"/>
      <c r="E238" s="31"/>
      <c r="F238" s="31"/>
      <c r="G238" s="31"/>
      <c r="H238" s="5"/>
      <c r="I238" s="5"/>
      <c r="J238" s="5"/>
      <c r="K238" s="5"/>
      <c r="L238" s="5"/>
      <c r="M238" s="5"/>
      <c r="N238" s="5"/>
      <c r="O238" s="5"/>
      <c r="P238" s="5"/>
      <c r="Q238" s="5"/>
      <c r="R238" s="5"/>
      <c r="S238" s="5"/>
      <c r="T238" s="5"/>
      <c r="U238" s="5"/>
      <c r="V238" s="5"/>
      <c r="W238" s="5"/>
    </row>
    <row r="239" spans="1:23">
      <c r="A239" s="4"/>
      <c r="B239" s="31"/>
      <c r="C239" s="31"/>
      <c r="D239" s="31"/>
      <c r="E239" s="31"/>
      <c r="F239" s="31"/>
      <c r="G239" s="31"/>
      <c r="H239" s="5"/>
      <c r="I239" s="5"/>
      <c r="J239" s="5"/>
      <c r="K239" s="5"/>
      <c r="L239" s="5"/>
      <c r="M239" s="5"/>
      <c r="N239" s="5"/>
      <c r="O239" s="5"/>
      <c r="P239" s="5"/>
      <c r="Q239" s="5"/>
      <c r="R239" s="5"/>
      <c r="S239" s="5"/>
      <c r="T239" s="5"/>
      <c r="U239" s="5"/>
      <c r="V239" s="5"/>
      <c r="W239" s="5"/>
    </row>
    <row r="240" spans="1:23">
      <c r="A240" s="4"/>
      <c r="B240" s="31"/>
      <c r="C240" s="31"/>
      <c r="D240" s="31"/>
      <c r="E240" s="31"/>
      <c r="F240" s="31"/>
      <c r="G240" s="31"/>
      <c r="H240" s="5"/>
      <c r="I240" s="5"/>
      <c r="J240" s="5"/>
      <c r="K240" s="5"/>
      <c r="L240" s="5"/>
      <c r="M240" s="5"/>
      <c r="N240" s="5"/>
      <c r="O240" s="5"/>
      <c r="P240" s="5"/>
      <c r="Q240" s="5"/>
      <c r="R240" s="5"/>
      <c r="S240" s="5"/>
      <c r="T240" s="5"/>
      <c r="U240" s="5"/>
      <c r="V240" s="5"/>
      <c r="W240" s="5"/>
    </row>
    <row r="241" spans="1:23">
      <c r="A241" s="4"/>
      <c r="B241" s="31"/>
      <c r="C241" s="31"/>
      <c r="D241" s="31"/>
      <c r="E241" s="31"/>
      <c r="F241" s="31"/>
      <c r="G241" s="31"/>
      <c r="H241" s="5"/>
      <c r="I241" s="5"/>
      <c r="J241" s="5"/>
      <c r="K241" s="5"/>
      <c r="L241" s="5"/>
      <c r="M241" s="5"/>
      <c r="N241" s="5"/>
      <c r="O241" s="5"/>
      <c r="P241" s="5"/>
      <c r="Q241" s="5"/>
      <c r="R241" s="5"/>
      <c r="S241" s="5"/>
      <c r="T241" s="5"/>
      <c r="U241" s="5"/>
      <c r="V241" s="5"/>
      <c r="W241" s="5"/>
    </row>
    <row r="242" spans="1:23">
      <c r="A242" s="4"/>
      <c r="B242" s="31"/>
      <c r="C242" s="31"/>
      <c r="D242" s="31"/>
      <c r="E242" s="31"/>
      <c r="F242" s="31"/>
      <c r="G242" s="31"/>
      <c r="H242" s="5"/>
      <c r="I242" s="5"/>
      <c r="J242" s="5"/>
      <c r="K242" s="5"/>
      <c r="L242" s="5"/>
      <c r="M242" s="5"/>
      <c r="N242" s="5"/>
      <c r="O242" s="5"/>
      <c r="P242" s="5"/>
      <c r="Q242" s="5"/>
      <c r="R242" s="5"/>
      <c r="S242" s="5"/>
      <c r="T242" s="5"/>
      <c r="U242" s="5"/>
      <c r="V242" s="5"/>
      <c r="W242" s="5"/>
    </row>
    <row r="243" spans="1:23">
      <c r="A243" s="4"/>
      <c r="B243" s="31"/>
      <c r="C243" s="31"/>
      <c r="D243" s="31"/>
      <c r="E243" s="31"/>
      <c r="F243" s="31"/>
      <c r="G243" s="31"/>
      <c r="H243" s="5"/>
      <c r="I243" s="5"/>
      <c r="J243" s="5"/>
      <c r="K243" s="5"/>
      <c r="L243" s="5"/>
      <c r="M243" s="5"/>
      <c r="N243" s="5"/>
      <c r="O243" s="5"/>
      <c r="P243" s="5"/>
      <c r="Q243" s="5"/>
      <c r="R243" s="5"/>
      <c r="S243" s="5"/>
      <c r="T243" s="5"/>
      <c r="U243" s="5"/>
      <c r="V243" s="5"/>
      <c r="W243" s="5"/>
    </row>
    <row r="244" spans="1:23">
      <c r="A244" s="4"/>
      <c r="B244" s="31"/>
      <c r="C244" s="31"/>
      <c r="D244" s="31"/>
      <c r="E244" s="31"/>
      <c r="F244" s="31"/>
      <c r="G244" s="31"/>
      <c r="H244" s="5"/>
      <c r="I244" s="5"/>
      <c r="J244" s="5"/>
      <c r="K244" s="5"/>
      <c r="L244" s="5"/>
      <c r="M244" s="5"/>
      <c r="N244" s="5"/>
      <c r="O244" s="5"/>
      <c r="P244" s="5"/>
      <c r="Q244" s="5"/>
      <c r="R244" s="5"/>
      <c r="S244" s="5"/>
      <c r="T244" s="5"/>
      <c r="U244" s="5"/>
      <c r="V244" s="5"/>
      <c r="W244" s="5"/>
    </row>
    <row r="245" spans="1:23">
      <c r="A245" s="4"/>
      <c r="B245" s="31"/>
      <c r="C245" s="31"/>
      <c r="D245" s="31"/>
      <c r="E245" s="31"/>
      <c r="F245" s="31"/>
      <c r="G245" s="31"/>
      <c r="H245" s="5"/>
      <c r="I245" s="5"/>
      <c r="J245" s="5"/>
      <c r="K245" s="5"/>
      <c r="L245" s="5"/>
      <c r="M245" s="5"/>
      <c r="N245" s="5"/>
      <c r="O245" s="5"/>
      <c r="P245" s="5"/>
      <c r="Q245" s="5"/>
      <c r="R245" s="5"/>
      <c r="S245" s="5"/>
      <c r="T245" s="5"/>
      <c r="U245" s="5"/>
      <c r="V245" s="5"/>
      <c r="W245" s="5"/>
    </row>
    <row r="246" spans="1:23">
      <c r="A246" s="4"/>
      <c r="B246" s="31"/>
      <c r="C246" s="31"/>
      <c r="D246" s="31"/>
      <c r="E246" s="31"/>
      <c r="F246" s="31"/>
      <c r="G246" s="31"/>
      <c r="H246" s="5"/>
      <c r="I246" s="5"/>
      <c r="J246" s="5"/>
      <c r="K246" s="5"/>
      <c r="L246" s="5"/>
      <c r="M246" s="5"/>
      <c r="N246" s="5"/>
      <c r="O246" s="5"/>
      <c r="P246" s="5"/>
      <c r="Q246" s="5"/>
      <c r="R246" s="5"/>
      <c r="S246" s="5"/>
      <c r="T246" s="5"/>
      <c r="U246" s="5"/>
      <c r="V246" s="5"/>
      <c r="W246" s="5"/>
    </row>
    <row r="247" spans="1:23">
      <c r="A247" s="4"/>
      <c r="B247" s="31"/>
      <c r="C247" s="31"/>
      <c r="D247" s="31"/>
      <c r="E247" s="31"/>
      <c r="F247" s="31"/>
      <c r="G247" s="31"/>
      <c r="H247" s="5"/>
      <c r="I247" s="5"/>
      <c r="J247" s="5"/>
      <c r="K247" s="5"/>
      <c r="L247" s="5"/>
      <c r="M247" s="5"/>
      <c r="N247" s="5"/>
      <c r="O247" s="5"/>
      <c r="P247" s="5"/>
      <c r="Q247" s="5"/>
      <c r="R247" s="5"/>
      <c r="S247" s="5"/>
      <c r="T247" s="5"/>
      <c r="U247" s="5"/>
      <c r="V247" s="5"/>
      <c r="W247" s="5"/>
    </row>
    <row r="248" spans="1:23">
      <c r="A248" s="4"/>
      <c r="B248" s="31"/>
      <c r="C248" s="31"/>
      <c r="D248" s="31"/>
      <c r="E248" s="31"/>
      <c r="F248" s="31"/>
      <c r="G248" s="31"/>
      <c r="H248" s="5"/>
      <c r="I248" s="5"/>
      <c r="J248" s="5"/>
      <c r="K248" s="5"/>
      <c r="L248" s="5"/>
      <c r="M248" s="5"/>
      <c r="N248" s="5"/>
      <c r="O248" s="5"/>
      <c r="P248" s="5"/>
      <c r="Q248" s="5"/>
      <c r="R248" s="5"/>
      <c r="S248" s="5"/>
      <c r="T248" s="5"/>
      <c r="U248" s="5"/>
      <c r="V248" s="5"/>
      <c r="W248" s="5"/>
    </row>
    <row r="249" spans="1:23">
      <c r="A249" s="4"/>
      <c r="B249" s="31"/>
      <c r="C249" s="31"/>
      <c r="D249" s="31"/>
      <c r="E249" s="31"/>
      <c r="F249" s="31"/>
      <c r="G249" s="31"/>
      <c r="H249" s="5"/>
      <c r="I249" s="5"/>
      <c r="J249" s="5"/>
      <c r="K249" s="5"/>
      <c r="L249" s="5"/>
      <c r="M249" s="5"/>
      <c r="N249" s="5"/>
      <c r="O249" s="5"/>
      <c r="P249" s="5"/>
      <c r="Q249" s="5"/>
      <c r="R249" s="5"/>
      <c r="S249" s="5"/>
      <c r="T249" s="5"/>
      <c r="U249" s="5"/>
      <c r="V249" s="5"/>
      <c r="W249" s="5"/>
    </row>
    <row r="250" spans="1:23">
      <c r="A250" s="4"/>
      <c r="B250" s="31"/>
      <c r="C250" s="31"/>
      <c r="D250" s="31"/>
      <c r="E250" s="31"/>
      <c r="F250" s="31"/>
      <c r="G250" s="31"/>
      <c r="H250" s="5"/>
      <c r="I250" s="5"/>
      <c r="J250" s="5"/>
      <c r="K250" s="5"/>
      <c r="L250" s="5"/>
      <c r="M250" s="5"/>
      <c r="N250" s="5"/>
      <c r="O250" s="5"/>
      <c r="P250" s="5"/>
      <c r="Q250" s="5"/>
      <c r="R250" s="5"/>
      <c r="S250" s="5"/>
      <c r="T250" s="5"/>
      <c r="U250" s="5"/>
      <c r="V250" s="5"/>
      <c r="W250" s="5"/>
    </row>
    <row r="251" spans="1:23">
      <c r="A251" s="4"/>
      <c r="B251" s="31"/>
      <c r="C251" s="31"/>
      <c r="D251" s="31"/>
      <c r="E251" s="31"/>
      <c r="F251" s="31"/>
      <c r="G251" s="31"/>
      <c r="H251" s="5"/>
      <c r="I251" s="5"/>
      <c r="J251" s="5"/>
      <c r="K251" s="5"/>
      <c r="L251" s="5"/>
      <c r="M251" s="5"/>
      <c r="N251" s="5"/>
      <c r="O251" s="5"/>
      <c r="P251" s="5"/>
      <c r="Q251" s="5"/>
      <c r="R251" s="5"/>
      <c r="S251" s="5"/>
      <c r="T251" s="5"/>
      <c r="U251" s="5"/>
      <c r="V251" s="5"/>
      <c r="W251" s="5"/>
    </row>
    <row r="252" spans="1:23">
      <c r="A252" s="4"/>
      <c r="B252" s="31"/>
      <c r="C252" s="31"/>
      <c r="D252" s="31"/>
      <c r="E252" s="31"/>
      <c r="F252" s="31"/>
      <c r="G252" s="31"/>
      <c r="H252" s="5"/>
      <c r="I252" s="5"/>
      <c r="J252" s="5"/>
      <c r="K252" s="5"/>
      <c r="L252" s="5"/>
      <c r="M252" s="5"/>
      <c r="N252" s="5"/>
      <c r="O252" s="5"/>
      <c r="P252" s="5"/>
      <c r="Q252" s="5"/>
      <c r="R252" s="5"/>
      <c r="S252" s="5"/>
      <c r="T252" s="5"/>
      <c r="U252" s="5"/>
      <c r="V252" s="5"/>
      <c r="W252" s="5"/>
    </row>
    <row r="253" spans="1:23">
      <c r="A253" s="4"/>
      <c r="B253" s="31"/>
      <c r="C253" s="31"/>
      <c r="D253" s="31"/>
      <c r="E253" s="31"/>
      <c r="F253" s="31"/>
      <c r="G253" s="31"/>
      <c r="H253" s="5"/>
      <c r="I253" s="5"/>
      <c r="J253" s="5"/>
      <c r="K253" s="5"/>
      <c r="L253" s="5"/>
      <c r="M253" s="5"/>
      <c r="N253" s="5"/>
      <c r="O253" s="5"/>
      <c r="P253" s="5"/>
      <c r="Q253" s="5"/>
      <c r="R253" s="5"/>
      <c r="S253" s="5"/>
      <c r="T253" s="5"/>
      <c r="U253" s="5"/>
      <c r="V253" s="5"/>
      <c r="W253" s="5"/>
    </row>
    <row r="254" spans="1:23">
      <c r="A254" s="4"/>
      <c r="B254" s="31"/>
      <c r="C254" s="31"/>
      <c r="D254" s="31"/>
      <c r="E254" s="31"/>
      <c r="F254" s="31"/>
      <c r="G254" s="31"/>
      <c r="H254" s="5"/>
      <c r="I254" s="5"/>
      <c r="J254" s="5"/>
      <c r="K254" s="5"/>
      <c r="L254" s="5"/>
      <c r="M254" s="5"/>
      <c r="N254" s="5"/>
      <c r="O254" s="5"/>
      <c r="P254" s="5"/>
      <c r="Q254" s="5"/>
      <c r="R254" s="5"/>
      <c r="S254" s="5"/>
      <c r="T254" s="5"/>
      <c r="U254" s="5"/>
      <c r="V254" s="5"/>
      <c r="W254" s="5"/>
    </row>
    <row r="255" spans="1:23">
      <c r="A255" s="4"/>
      <c r="B255" s="31"/>
      <c r="C255" s="31"/>
      <c r="D255" s="31"/>
      <c r="E255" s="31"/>
      <c r="F255" s="31"/>
      <c r="G255" s="31"/>
      <c r="H255" s="5"/>
      <c r="I255" s="5"/>
      <c r="J255" s="5"/>
      <c r="K255" s="5"/>
      <c r="L255" s="5"/>
      <c r="M255" s="5"/>
      <c r="N255" s="5"/>
      <c r="O255" s="5"/>
      <c r="P255" s="5"/>
      <c r="Q255" s="5"/>
      <c r="R255" s="5"/>
      <c r="S255" s="5"/>
      <c r="T255" s="5"/>
      <c r="U255" s="5"/>
      <c r="V255" s="5"/>
      <c r="W255" s="5"/>
    </row>
    <row r="256" spans="1:23">
      <c r="A256" s="4"/>
      <c r="B256" s="31"/>
      <c r="C256" s="31"/>
      <c r="D256" s="31"/>
      <c r="E256" s="31"/>
      <c r="F256" s="31"/>
      <c r="G256" s="31"/>
      <c r="H256" s="5"/>
      <c r="I256" s="5"/>
      <c r="J256" s="5"/>
      <c r="K256" s="5"/>
      <c r="L256" s="5"/>
      <c r="M256" s="5"/>
      <c r="N256" s="5"/>
      <c r="O256" s="5"/>
      <c r="P256" s="5"/>
      <c r="Q256" s="5"/>
      <c r="R256" s="5"/>
      <c r="S256" s="5"/>
      <c r="T256" s="5"/>
      <c r="U256" s="5"/>
      <c r="V256" s="5"/>
      <c r="W256" s="5"/>
    </row>
    <row r="257" spans="1:23">
      <c r="A257" s="4"/>
      <c r="B257" s="31"/>
      <c r="C257" s="31"/>
      <c r="D257" s="31"/>
      <c r="E257" s="31"/>
      <c r="F257" s="31"/>
      <c r="G257" s="31"/>
      <c r="H257" s="5"/>
      <c r="I257" s="5"/>
      <c r="J257" s="5"/>
      <c r="K257" s="5"/>
      <c r="L257" s="5"/>
      <c r="M257" s="5"/>
      <c r="N257" s="5"/>
      <c r="O257" s="5"/>
      <c r="P257" s="5"/>
      <c r="Q257" s="5"/>
      <c r="R257" s="5"/>
      <c r="S257" s="5"/>
      <c r="T257" s="5"/>
      <c r="U257" s="5"/>
      <c r="V257" s="5"/>
      <c r="W257" s="5"/>
    </row>
    <row r="258" spans="1:23">
      <c r="A258" s="4"/>
      <c r="B258" s="31"/>
      <c r="C258" s="31"/>
      <c r="D258" s="31"/>
      <c r="E258" s="31"/>
      <c r="F258" s="31"/>
      <c r="G258" s="31"/>
      <c r="H258" s="5"/>
      <c r="I258" s="5"/>
      <c r="J258" s="5"/>
      <c r="K258" s="5"/>
      <c r="L258" s="5"/>
      <c r="M258" s="5"/>
      <c r="N258" s="5"/>
      <c r="O258" s="5"/>
      <c r="P258" s="5"/>
      <c r="Q258" s="5"/>
      <c r="R258" s="5"/>
      <c r="S258" s="5"/>
      <c r="T258" s="5"/>
      <c r="U258" s="5"/>
      <c r="V258" s="5"/>
      <c r="W258" s="5"/>
    </row>
    <row r="259" spans="1:23">
      <c r="A259" s="4"/>
      <c r="B259" s="31"/>
      <c r="C259" s="31"/>
      <c r="D259" s="31"/>
      <c r="E259" s="31"/>
      <c r="F259" s="31"/>
      <c r="G259" s="31"/>
      <c r="H259" s="5"/>
      <c r="I259" s="5"/>
      <c r="J259" s="5"/>
      <c r="K259" s="5"/>
      <c r="L259" s="5"/>
      <c r="M259" s="5"/>
      <c r="N259" s="5"/>
      <c r="O259" s="5"/>
      <c r="P259" s="5"/>
      <c r="Q259" s="5"/>
      <c r="R259" s="5"/>
      <c r="S259" s="5"/>
      <c r="T259" s="5"/>
      <c r="U259" s="5"/>
      <c r="V259" s="5"/>
      <c r="W259" s="5"/>
    </row>
    <row r="260" spans="1:23">
      <c r="A260" s="4"/>
      <c r="B260" s="31"/>
      <c r="C260" s="31"/>
      <c r="D260" s="31"/>
      <c r="E260" s="31"/>
      <c r="F260" s="31"/>
      <c r="G260" s="31"/>
      <c r="H260" s="5"/>
      <c r="I260" s="5"/>
      <c r="J260" s="5"/>
      <c r="K260" s="5"/>
      <c r="L260" s="5"/>
      <c r="M260" s="5"/>
      <c r="N260" s="5"/>
      <c r="O260" s="5"/>
      <c r="P260" s="5"/>
      <c r="Q260" s="5"/>
      <c r="R260" s="5"/>
      <c r="S260" s="5"/>
      <c r="T260" s="5"/>
      <c r="U260" s="5"/>
      <c r="V260" s="5"/>
      <c r="W260" s="5"/>
    </row>
    <row r="261" spans="1:23">
      <c r="A261" s="4"/>
      <c r="B261" s="31"/>
      <c r="C261" s="31"/>
      <c r="D261" s="31"/>
      <c r="E261" s="31"/>
      <c r="F261" s="31"/>
      <c r="G261" s="31"/>
      <c r="H261" s="5"/>
      <c r="I261" s="5"/>
      <c r="J261" s="5"/>
      <c r="K261" s="5"/>
      <c r="L261" s="5"/>
      <c r="M261" s="5"/>
      <c r="N261" s="5"/>
      <c r="O261" s="5"/>
      <c r="P261" s="5"/>
      <c r="Q261" s="5"/>
      <c r="R261" s="5"/>
      <c r="S261" s="5"/>
      <c r="T261" s="5"/>
      <c r="U261" s="5"/>
      <c r="V261" s="5"/>
      <c r="W261" s="5"/>
    </row>
    <row r="262" spans="1:23">
      <c r="A262" s="4"/>
      <c r="B262" s="31"/>
      <c r="C262" s="31"/>
      <c r="D262" s="31"/>
      <c r="E262" s="31"/>
      <c r="F262" s="31"/>
      <c r="G262" s="31"/>
      <c r="H262" s="5"/>
      <c r="I262" s="5"/>
      <c r="J262" s="5"/>
      <c r="K262" s="5"/>
      <c r="L262" s="5"/>
      <c r="M262" s="5"/>
      <c r="N262" s="5"/>
      <c r="O262" s="5"/>
      <c r="P262" s="5"/>
      <c r="Q262" s="5"/>
      <c r="R262" s="5"/>
      <c r="S262" s="5"/>
      <c r="T262" s="5"/>
      <c r="U262" s="5"/>
      <c r="V262" s="5"/>
      <c r="W262" s="5"/>
    </row>
    <row r="263" spans="1:23">
      <c r="A263" s="4"/>
      <c r="B263" s="31"/>
      <c r="C263" s="31"/>
      <c r="D263" s="31"/>
      <c r="E263" s="31"/>
      <c r="F263" s="31"/>
      <c r="G263" s="31"/>
      <c r="H263" s="5"/>
      <c r="I263" s="5"/>
      <c r="J263" s="5"/>
      <c r="K263" s="5"/>
      <c r="L263" s="5"/>
      <c r="M263" s="5"/>
      <c r="N263" s="5"/>
      <c r="O263" s="5"/>
      <c r="P263" s="5"/>
      <c r="Q263" s="5"/>
      <c r="R263" s="5"/>
      <c r="S263" s="5"/>
      <c r="T263" s="5"/>
      <c r="U263" s="5"/>
      <c r="V263" s="5"/>
      <c r="W263" s="5"/>
    </row>
    <row r="264" spans="1:23">
      <c r="A264" s="4"/>
      <c r="B264" s="31"/>
      <c r="C264" s="31"/>
      <c r="D264" s="31"/>
      <c r="E264" s="31"/>
      <c r="F264" s="31"/>
      <c r="G264" s="31"/>
      <c r="H264" s="5"/>
      <c r="I264" s="5"/>
      <c r="J264" s="5"/>
      <c r="K264" s="5"/>
      <c r="L264" s="5"/>
      <c r="M264" s="5"/>
      <c r="N264" s="5"/>
      <c r="O264" s="5"/>
      <c r="P264" s="5"/>
      <c r="Q264" s="5"/>
      <c r="R264" s="5"/>
      <c r="S264" s="5"/>
      <c r="T264" s="5"/>
      <c r="U264" s="5"/>
      <c r="V264" s="5"/>
      <c r="W264" s="5"/>
    </row>
    <row r="265" spans="1:23">
      <c r="A265" s="4"/>
      <c r="B265" s="31"/>
      <c r="C265" s="31"/>
      <c r="D265" s="31"/>
      <c r="E265" s="31"/>
      <c r="F265" s="31"/>
      <c r="G265" s="31"/>
      <c r="H265" s="5"/>
      <c r="I265" s="5"/>
      <c r="J265" s="5"/>
      <c r="K265" s="5"/>
      <c r="L265" s="5"/>
      <c r="M265" s="5"/>
      <c r="N265" s="5"/>
      <c r="O265" s="5"/>
      <c r="P265" s="5"/>
      <c r="Q265" s="5"/>
      <c r="R265" s="5"/>
      <c r="S265" s="5"/>
      <c r="T265" s="5"/>
      <c r="U265" s="5"/>
      <c r="V265" s="5"/>
      <c r="W265" s="5"/>
    </row>
    <row r="266" spans="1:23">
      <c r="A266" s="4"/>
      <c r="B266" s="31"/>
      <c r="C266" s="31"/>
      <c r="D266" s="31"/>
      <c r="E266" s="31"/>
      <c r="F266" s="31"/>
      <c r="G266" s="31"/>
      <c r="H266" s="5"/>
      <c r="I266" s="5"/>
      <c r="J266" s="5"/>
      <c r="K266" s="5"/>
      <c r="L266" s="5"/>
      <c r="M266" s="5"/>
      <c r="N266" s="5"/>
      <c r="O266" s="5"/>
      <c r="P266" s="5"/>
      <c r="Q266" s="5"/>
      <c r="R266" s="5"/>
      <c r="S266" s="5"/>
      <c r="T266" s="5"/>
      <c r="U266" s="5"/>
      <c r="V266" s="5"/>
      <c r="W266" s="5"/>
    </row>
    <row r="267" spans="1:23">
      <c r="A267" s="4"/>
      <c r="B267" s="31"/>
      <c r="C267" s="31"/>
      <c r="D267" s="31"/>
      <c r="E267" s="31"/>
      <c r="F267" s="31"/>
      <c r="G267" s="31"/>
      <c r="H267" s="5"/>
      <c r="I267" s="5"/>
      <c r="J267" s="5"/>
      <c r="K267" s="5"/>
      <c r="L267" s="5"/>
      <c r="M267" s="5"/>
      <c r="N267" s="5"/>
      <c r="O267" s="5"/>
      <c r="P267" s="5"/>
      <c r="Q267" s="5"/>
      <c r="R267" s="5"/>
      <c r="S267" s="5"/>
      <c r="T267" s="5"/>
      <c r="U267" s="5"/>
      <c r="V267" s="5"/>
      <c r="W267" s="5"/>
    </row>
    <row r="268" spans="1:23">
      <c r="A268" s="4"/>
      <c r="B268" s="31"/>
      <c r="C268" s="31"/>
      <c r="D268" s="31"/>
      <c r="E268" s="31"/>
      <c r="F268" s="31"/>
      <c r="G268" s="31"/>
      <c r="H268" s="5"/>
      <c r="I268" s="5"/>
      <c r="J268" s="5"/>
      <c r="K268" s="5"/>
      <c r="L268" s="5"/>
      <c r="M268" s="5"/>
      <c r="N268" s="5"/>
      <c r="O268" s="5"/>
      <c r="P268" s="5"/>
      <c r="Q268" s="5"/>
      <c r="R268" s="5"/>
      <c r="S268" s="5"/>
      <c r="T268" s="5"/>
      <c r="U268" s="5"/>
      <c r="V268" s="5"/>
      <c r="W268" s="5"/>
    </row>
    <row r="269" spans="1:23">
      <c r="A269" s="4"/>
      <c r="B269" s="31"/>
      <c r="C269" s="31"/>
      <c r="D269" s="31"/>
      <c r="E269" s="31"/>
      <c r="F269" s="31"/>
      <c r="G269" s="31"/>
      <c r="H269" s="5"/>
      <c r="I269" s="5"/>
      <c r="J269" s="5"/>
      <c r="K269" s="5"/>
      <c r="L269" s="5"/>
      <c r="M269" s="5"/>
      <c r="N269" s="5"/>
      <c r="O269" s="5"/>
      <c r="P269" s="5"/>
      <c r="Q269" s="5"/>
      <c r="R269" s="5"/>
      <c r="S269" s="5"/>
      <c r="T269" s="5"/>
      <c r="U269" s="5"/>
      <c r="V269" s="5"/>
      <c r="W269" s="5"/>
    </row>
    <row r="270" spans="1:23">
      <c r="A270" s="4"/>
      <c r="B270" s="31"/>
      <c r="C270" s="31"/>
      <c r="D270" s="31"/>
      <c r="E270" s="31"/>
      <c r="F270" s="31"/>
      <c r="G270" s="31"/>
      <c r="H270" s="5"/>
      <c r="I270" s="5"/>
      <c r="J270" s="5"/>
      <c r="K270" s="5"/>
      <c r="L270" s="5"/>
      <c r="M270" s="5"/>
      <c r="N270" s="5"/>
      <c r="O270" s="5"/>
      <c r="P270" s="5"/>
      <c r="Q270" s="5"/>
      <c r="R270" s="5"/>
      <c r="S270" s="5"/>
      <c r="T270" s="5"/>
      <c r="U270" s="5"/>
      <c r="V270" s="5"/>
      <c r="W270" s="5"/>
    </row>
    <row r="271" spans="1:23">
      <c r="A271" s="4"/>
      <c r="B271" s="31"/>
      <c r="C271" s="31"/>
      <c r="D271" s="31"/>
      <c r="E271" s="31"/>
      <c r="F271" s="31"/>
      <c r="G271" s="31"/>
      <c r="H271" s="5"/>
      <c r="I271" s="5"/>
      <c r="J271" s="5"/>
      <c r="K271" s="5"/>
      <c r="L271" s="5"/>
      <c r="M271" s="5"/>
      <c r="N271" s="5"/>
      <c r="O271" s="5"/>
      <c r="P271" s="5"/>
      <c r="Q271" s="5"/>
      <c r="R271" s="5"/>
      <c r="S271" s="5"/>
      <c r="T271" s="5"/>
      <c r="U271" s="5"/>
      <c r="V271" s="5"/>
      <c r="W271" s="5"/>
    </row>
    <row r="272" spans="1:23">
      <c r="A272" s="4"/>
      <c r="B272" s="31"/>
      <c r="C272" s="31"/>
      <c r="D272" s="31"/>
      <c r="E272" s="31"/>
      <c r="F272" s="31"/>
      <c r="G272" s="31"/>
      <c r="H272" s="5"/>
      <c r="I272" s="5"/>
      <c r="J272" s="5"/>
      <c r="K272" s="5"/>
      <c r="L272" s="5"/>
      <c r="M272" s="5"/>
      <c r="N272" s="5"/>
      <c r="O272" s="5"/>
      <c r="P272" s="5"/>
      <c r="Q272" s="5"/>
      <c r="R272" s="5"/>
      <c r="S272" s="5"/>
      <c r="T272" s="5"/>
      <c r="U272" s="5"/>
      <c r="V272" s="5"/>
      <c r="W272" s="5"/>
    </row>
    <row r="273" spans="1:23">
      <c r="A273" s="4"/>
      <c r="B273" s="31"/>
      <c r="C273" s="31"/>
      <c r="D273" s="31"/>
      <c r="E273" s="31"/>
      <c r="F273" s="31"/>
      <c r="G273" s="31"/>
      <c r="H273" s="5"/>
      <c r="I273" s="5"/>
      <c r="J273" s="5"/>
      <c r="K273" s="5"/>
      <c r="L273" s="5"/>
      <c r="M273" s="5"/>
      <c r="N273" s="5"/>
      <c r="O273" s="5"/>
      <c r="P273" s="5"/>
      <c r="Q273" s="5"/>
      <c r="R273" s="5"/>
      <c r="S273" s="5"/>
      <c r="T273" s="5"/>
      <c r="U273" s="5"/>
      <c r="V273" s="5"/>
      <c r="W273" s="5"/>
    </row>
    <row r="274" spans="1:23">
      <c r="A274" s="4"/>
      <c r="B274" s="31"/>
      <c r="C274" s="31"/>
      <c r="D274" s="31"/>
      <c r="E274" s="31"/>
      <c r="F274" s="31"/>
      <c r="G274" s="31"/>
      <c r="H274" s="5"/>
      <c r="I274" s="5"/>
      <c r="J274" s="5"/>
      <c r="K274" s="5"/>
      <c r="L274" s="5"/>
      <c r="M274" s="5"/>
      <c r="N274" s="5"/>
      <c r="O274" s="5"/>
      <c r="P274" s="5"/>
      <c r="Q274" s="5"/>
      <c r="R274" s="5"/>
      <c r="S274" s="5"/>
      <c r="T274" s="5"/>
      <c r="U274" s="5"/>
      <c r="V274" s="5"/>
      <c r="W274" s="5"/>
    </row>
    <row r="275" spans="1:23">
      <c r="A275" s="4"/>
      <c r="B275" s="31"/>
      <c r="C275" s="31"/>
      <c r="D275" s="31"/>
      <c r="E275" s="31"/>
      <c r="F275" s="31"/>
      <c r="G275" s="31"/>
      <c r="H275" s="5"/>
      <c r="I275" s="5"/>
      <c r="J275" s="5"/>
      <c r="K275" s="5"/>
      <c r="L275" s="5"/>
      <c r="M275" s="5"/>
      <c r="N275" s="5"/>
      <c r="O275" s="5"/>
      <c r="P275" s="5"/>
      <c r="Q275" s="5"/>
      <c r="R275" s="5"/>
      <c r="S275" s="5"/>
      <c r="T275" s="5"/>
      <c r="U275" s="5"/>
      <c r="V275" s="5"/>
      <c r="W275" s="5"/>
    </row>
    <row r="276" spans="1:23">
      <c r="A276" s="4"/>
      <c r="B276" s="31"/>
      <c r="C276" s="31"/>
      <c r="D276" s="31"/>
      <c r="E276" s="31"/>
      <c r="F276" s="31"/>
      <c r="G276" s="31"/>
      <c r="H276" s="5"/>
      <c r="I276" s="5"/>
      <c r="J276" s="5"/>
      <c r="K276" s="5"/>
      <c r="L276" s="5"/>
      <c r="M276" s="5"/>
      <c r="N276" s="5"/>
      <c r="O276" s="5"/>
      <c r="P276" s="5"/>
      <c r="Q276" s="5"/>
      <c r="R276" s="5"/>
      <c r="S276" s="5"/>
      <c r="T276" s="5"/>
      <c r="U276" s="5"/>
      <c r="V276" s="5"/>
      <c r="W276" s="5"/>
    </row>
    <row r="277" spans="1:23">
      <c r="A277" s="4"/>
      <c r="B277" s="31"/>
      <c r="C277" s="31"/>
      <c r="D277" s="31"/>
      <c r="E277" s="31"/>
      <c r="F277" s="31"/>
      <c r="G277" s="31"/>
      <c r="H277" s="5"/>
      <c r="I277" s="5"/>
      <c r="J277" s="5"/>
      <c r="K277" s="5"/>
      <c r="L277" s="5"/>
      <c r="M277" s="5"/>
      <c r="N277" s="5"/>
      <c r="O277" s="5"/>
      <c r="P277" s="5"/>
      <c r="Q277" s="5"/>
      <c r="R277" s="5"/>
      <c r="S277" s="5"/>
      <c r="T277" s="5"/>
      <c r="U277" s="5"/>
      <c r="V277" s="5"/>
      <c r="W277" s="5"/>
    </row>
    <row r="278" spans="1:23">
      <c r="A278" s="4"/>
      <c r="B278" s="31"/>
      <c r="C278" s="31"/>
      <c r="D278" s="31"/>
      <c r="E278" s="31"/>
      <c r="F278" s="31"/>
      <c r="G278" s="31"/>
      <c r="H278" s="5"/>
      <c r="I278" s="5"/>
      <c r="J278" s="5"/>
      <c r="K278" s="5"/>
      <c r="L278" s="5"/>
      <c r="M278" s="5"/>
      <c r="N278" s="5"/>
      <c r="O278" s="5"/>
      <c r="P278" s="5"/>
      <c r="Q278" s="5"/>
      <c r="R278" s="5"/>
      <c r="S278" s="5"/>
      <c r="T278" s="5"/>
      <c r="U278" s="5"/>
      <c r="V278" s="5"/>
      <c r="W278" s="5"/>
    </row>
    <row r="279" spans="1:23">
      <c r="A279" s="4"/>
      <c r="B279" s="31"/>
      <c r="C279" s="31"/>
      <c r="D279" s="31"/>
      <c r="E279" s="31"/>
      <c r="F279" s="31"/>
      <c r="G279" s="31"/>
      <c r="H279" s="5"/>
      <c r="I279" s="5"/>
      <c r="J279" s="5"/>
      <c r="K279" s="5"/>
      <c r="L279" s="5"/>
      <c r="M279" s="5"/>
      <c r="N279" s="5"/>
      <c r="O279" s="5"/>
      <c r="P279" s="5"/>
      <c r="Q279" s="5"/>
      <c r="R279" s="5"/>
      <c r="S279" s="5"/>
      <c r="T279" s="5"/>
      <c r="U279" s="5"/>
      <c r="V279" s="5"/>
      <c r="W279" s="5"/>
    </row>
    <row r="280" spans="1:23">
      <c r="A280" s="4"/>
      <c r="B280" s="31"/>
      <c r="C280" s="31"/>
      <c r="D280" s="31"/>
      <c r="E280" s="31"/>
      <c r="F280" s="31"/>
      <c r="G280" s="31"/>
      <c r="H280" s="5"/>
      <c r="I280" s="5"/>
      <c r="J280" s="5"/>
      <c r="K280" s="5"/>
      <c r="L280" s="5"/>
      <c r="M280" s="5"/>
      <c r="N280" s="5"/>
      <c r="O280" s="5"/>
      <c r="P280" s="5"/>
      <c r="Q280" s="5"/>
      <c r="R280" s="5"/>
      <c r="S280" s="5"/>
      <c r="T280" s="5"/>
      <c r="U280" s="5"/>
      <c r="V280" s="5"/>
      <c r="W280" s="5"/>
    </row>
    <row r="281" spans="1:23">
      <c r="A281" s="4"/>
      <c r="B281" s="31"/>
      <c r="C281" s="31"/>
      <c r="D281" s="31"/>
      <c r="E281" s="31"/>
      <c r="F281" s="31"/>
      <c r="G281" s="31"/>
      <c r="H281" s="5"/>
      <c r="I281" s="5"/>
      <c r="J281" s="5"/>
      <c r="K281" s="5"/>
      <c r="L281" s="5"/>
      <c r="M281" s="5"/>
      <c r="N281" s="5"/>
      <c r="O281" s="5"/>
      <c r="P281" s="5"/>
      <c r="Q281" s="5"/>
      <c r="R281" s="5"/>
      <c r="S281" s="5"/>
      <c r="T281" s="5"/>
      <c r="U281" s="5"/>
      <c r="V281" s="5"/>
      <c r="W281" s="5"/>
    </row>
    <row r="282" spans="1:23">
      <c r="A282" s="4"/>
      <c r="B282" s="31"/>
      <c r="C282" s="31"/>
      <c r="D282" s="31"/>
      <c r="E282" s="31"/>
      <c r="F282" s="31"/>
      <c r="G282" s="31"/>
      <c r="H282" s="5"/>
      <c r="I282" s="5"/>
      <c r="J282" s="5"/>
      <c r="K282" s="5"/>
      <c r="L282" s="5"/>
      <c r="M282" s="5"/>
      <c r="N282" s="5"/>
      <c r="O282" s="5"/>
      <c r="P282" s="5"/>
      <c r="Q282" s="5"/>
      <c r="R282" s="5"/>
      <c r="S282" s="5"/>
      <c r="T282" s="5"/>
      <c r="U282" s="5"/>
      <c r="V282" s="5"/>
      <c r="W282" s="5"/>
    </row>
    <row r="283" spans="1:23">
      <c r="A283" s="4"/>
      <c r="B283" s="31"/>
      <c r="C283" s="31"/>
      <c r="D283" s="31"/>
      <c r="E283" s="31"/>
      <c r="F283" s="31"/>
      <c r="G283" s="31"/>
      <c r="H283" s="5"/>
      <c r="I283" s="5"/>
      <c r="J283" s="5"/>
      <c r="K283" s="5"/>
      <c r="L283" s="5"/>
      <c r="M283" s="5"/>
      <c r="N283" s="5"/>
      <c r="O283" s="5"/>
      <c r="P283" s="5"/>
      <c r="Q283" s="5"/>
      <c r="R283" s="5"/>
      <c r="S283" s="5"/>
      <c r="T283" s="5"/>
      <c r="U283" s="5"/>
      <c r="V283" s="5"/>
      <c r="W283" s="5"/>
    </row>
    <row r="284" spans="1:23">
      <c r="A284" s="4"/>
      <c r="B284" s="31"/>
      <c r="C284" s="31"/>
      <c r="D284" s="31"/>
      <c r="E284" s="31"/>
      <c r="F284" s="31"/>
      <c r="G284" s="31"/>
      <c r="H284" s="5"/>
      <c r="I284" s="5"/>
      <c r="J284" s="5"/>
      <c r="K284" s="5"/>
      <c r="L284" s="5"/>
      <c r="M284" s="5"/>
      <c r="N284" s="5"/>
      <c r="O284" s="5"/>
      <c r="P284" s="5"/>
      <c r="Q284" s="5"/>
      <c r="R284" s="5"/>
      <c r="S284" s="5"/>
      <c r="T284" s="5"/>
      <c r="U284" s="5"/>
      <c r="V284" s="5"/>
      <c r="W284" s="5"/>
    </row>
    <row r="285" spans="1:23">
      <c r="A285" s="4"/>
      <c r="B285" s="31"/>
      <c r="C285" s="31"/>
      <c r="D285" s="31"/>
      <c r="E285" s="31"/>
      <c r="F285" s="31"/>
      <c r="G285" s="31"/>
      <c r="H285" s="5"/>
      <c r="I285" s="5"/>
      <c r="J285" s="5"/>
      <c r="K285" s="5"/>
      <c r="L285" s="5"/>
      <c r="M285" s="5"/>
      <c r="N285" s="5"/>
      <c r="O285" s="5"/>
      <c r="P285" s="5"/>
      <c r="Q285" s="5"/>
      <c r="R285" s="5"/>
      <c r="S285" s="5"/>
      <c r="T285" s="5"/>
      <c r="U285" s="5"/>
      <c r="V285" s="5"/>
      <c r="W285" s="5"/>
    </row>
    <row r="286" spans="1:23">
      <c r="A286" s="4"/>
      <c r="B286" s="31"/>
      <c r="C286" s="31"/>
      <c r="D286" s="31"/>
      <c r="E286" s="31"/>
      <c r="F286" s="31"/>
      <c r="G286" s="31"/>
      <c r="H286" s="5"/>
      <c r="I286" s="5"/>
      <c r="J286" s="5"/>
      <c r="K286" s="5"/>
      <c r="L286" s="5"/>
      <c r="M286" s="5"/>
      <c r="N286" s="5"/>
      <c r="O286" s="5"/>
      <c r="P286" s="5"/>
      <c r="Q286" s="5"/>
      <c r="R286" s="5"/>
      <c r="S286" s="5"/>
      <c r="T286" s="5"/>
      <c r="U286" s="5"/>
      <c r="V286" s="5"/>
      <c r="W286" s="5"/>
    </row>
    <row r="287" spans="1:23">
      <c r="A287" s="4"/>
      <c r="B287" s="31"/>
      <c r="C287" s="31"/>
      <c r="D287" s="31"/>
      <c r="E287" s="31"/>
      <c r="F287" s="31"/>
      <c r="G287" s="31"/>
      <c r="H287" s="5"/>
      <c r="I287" s="5"/>
      <c r="J287" s="5"/>
      <c r="K287" s="5"/>
      <c r="L287" s="5"/>
      <c r="M287" s="5"/>
      <c r="N287" s="5"/>
      <c r="O287" s="5"/>
      <c r="P287" s="5"/>
      <c r="Q287" s="5"/>
      <c r="R287" s="5"/>
      <c r="S287" s="5"/>
      <c r="T287" s="5"/>
      <c r="U287" s="5"/>
      <c r="V287" s="5"/>
      <c r="W287" s="5"/>
    </row>
    <row r="288" spans="1:23">
      <c r="A288" s="4"/>
      <c r="B288" s="31"/>
      <c r="C288" s="31"/>
      <c r="D288" s="31"/>
      <c r="E288" s="31"/>
      <c r="F288" s="31"/>
      <c r="G288" s="31"/>
      <c r="H288" s="5"/>
      <c r="I288" s="5"/>
      <c r="J288" s="5"/>
      <c r="K288" s="5"/>
      <c r="L288" s="5"/>
      <c r="M288" s="5"/>
      <c r="N288" s="5"/>
      <c r="O288" s="5"/>
      <c r="P288" s="5"/>
      <c r="Q288" s="5"/>
      <c r="R288" s="5"/>
      <c r="S288" s="5"/>
      <c r="T288" s="5"/>
      <c r="U288" s="5"/>
      <c r="V288" s="5"/>
      <c r="W288" s="5"/>
    </row>
    <row r="289" spans="1:23">
      <c r="A289" s="4"/>
      <c r="B289" s="31"/>
      <c r="C289" s="31"/>
      <c r="D289" s="31"/>
      <c r="E289" s="31"/>
      <c r="F289" s="31"/>
      <c r="G289" s="31"/>
      <c r="H289" s="5"/>
      <c r="I289" s="5"/>
      <c r="J289" s="5"/>
      <c r="K289" s="5"/>
      <c r="L289" s="5"/>
      <c r="M289" s="5"/>
      <c r="N289" s="5"/>
      <c r="O289" s="5"/>
      <c r="P289" s="5"/>
      <c r="Q289" s="5"/>
      <c r="R289" s="5"/>
      <c r="S289" s="5"/>
      <c r="T289" s="5"/>
      <c r="U289" s="5"/>
      <c r="V289" s="5"/>
      <c r="W289" s="5"/>
    </row>
    <row r="290" spans="1:23">
      <c r="A290" s="4"/>
      <c r="B290" s="31"/>
      <c r="C290" s="31"/>
      <c r="D290" s="31"/>
      <c r="E290" s="31"/>
      <c r="F290" s="31"/>
      <c r="G290" s="31"/>
      <c r="H290" s="5"/>
      <c r="I290" s="5"/>
      <c r="J290" s="5"/>
      <c r="K290" s="5"/>
      <c r="L290" s="5"/>
      <c r="M290" s="5"/>
      <c r="N290" s="5"/>
      <c r="O290" s="5"/>
      <c r="P290" s="5"/>
      <c r="Q290" s="5"/>
      <c r="R290" s="5"/>
      <c r="S290" s="5"/>
      <c r="T290" s="5"/>
      <c r="U290" s="5"/>
      <c r="V290" s="5"/>
      <c r="W290" s="5"/>
    </row>
    <row r="291" spans="1:23">
      <c r="A291" s="4"/>
      <c r="B291" s="31"/>
      <c r="C291" s="31"/>
      <c r="D291" s="31"/>
      <c r="E291" s="31"/>
      <c r="F291" s="31"/>
      <c r="G291" s="31"/>
      <c r="H291" s="5"/>
      <c r="I291" s="5"/>
      <c r="J291" s="5"/>
      <c r="K291" s="5"/>
      <c r="L291" s="5"/>
      <c r="M291" s="5"/>
      <c r="N291" s="5"/>
      <c r="O291" s="5"/>
      <c r="P291" s="5"/>
      <c r="Q291" s="5"/>
      <c r="R291" s="5"/>
      <c r="S291" s="5"/>
      <c r="T291" s="5"/>
      <c r="U291" s="5"/>
      <c r="V291" s="5"/>
      <c r="W291" s="5"/>
    </row>
    <row r="292" spans="1:23">
      <c r="A292" s="4"/>
      <c r="B292" s="31"/>
      <c r="C292" s="31"/>
      <c r="D292" s="31"/>
      <c r="E292" s="31"/>
      <c r="F292" s="31"/>
      <c r="G292" s="31"/>
      <c r="H292" s="5"/>
      <c r="I292" s="5"/>
      <c r="J292" s="5"/>
      <c r="K292" s="5"/>
      <c r="L292" s="5"/>
      <c r="M292" s="5"/>
      <c r="N292" s="5"/>
      <c r="O292" s="5"/>
      <c r="P292" s="5"/>
      <c r="Q292" s="5"/>
      <c r="R292" s="5"/>
      <c r="S292" s="5"/>
      <c r="T292" s="5"/>
      <c r="U292" s="5"/>
      <c r="V292" s="5"/>
      <c r="W292" s="5"/>
    </row>
    <row r="293" spans="1:23">
      <c r="A293" s="4"/>
      <c r="B293" s="31"/>
      <c r="C293" s="31"/>
      <c r="D293" s="31"/>
      <c r="E293" s="31"/>
      <c r="F293" s="31"/>
      <c r="G293" s="31"/>
      <c r="H293" s="5"/>
      <c r="I293" s="5"/>
      <c r="J293" s="5"/>
      <c r="K293" s="5"/>
      <c r="L293" s="5"/>
      <c r="M293" s="5"/>
      <c r="N293" s="5"/>
      <c r="O293" s="5"/>
      <c r="P293" s="5"/>
      <c r="Q293" s="5"/>
      <c r="R293" s="5"/>
      <c r="S293" s="5"/>
      <c r="T293" s="5"/>
      <c r="U293" s="5"/>
      <c r="V293" s="5"/>
      <c r="W293" s="5"/>
    </row>
    <row r="294" spans="1:23">
      <c r="A294" s="4"/>
      <c r="B294" s="31"/>
      <c r="C294" s="31"/>
      <c r="D294" s="31"/>
      <c r="E294" s="31"/>
      <c r="F294" s="31"/>
      <c r="G294" s="31"/>
      <c r="H294" s="5"/>
      <c r="I294" s="5"/>
      <c r="J294" s="5"/>
      <c r="K294" s="5"/>
      <c r="L294" s="5"/>
      <c r="M294" s="5"/>
      <c r="N294" s="5"/>
      <c r="O294" s="5"/>
      <c r="P294" s="5"/>
      <c r="Q294" s="5"/>
      <c r="R294" s="5"/>
      <c r="S294" s="5"/>
      <c r="T294" s="5"/>
      <c r="U294" s="5"/>
      <c r="V294" s="5"/>
      <c r="W294" s="5"/>
    </row>
    <row r="295" spans="1:23">
      <c r="A295" s="4"/>
      <c r="B295" s="31"/>
      <c r="C295" s="31"/>
      <c r="D295" s="31"/>
      <c r="E295" s="31"/>
      <c r="F295" s="31"/>
      <c r="G295" s="31"/>
      <c r="H295" s="5"/>
      <c r="I295" s="5"/>
      <c r="J295" s="5"/>
      <c r="K295" s="5"/>
      <c r="L295" s="5"/>
      <c r="M295" s="5"/>
      <c r="N295" s="5"/>
      <c r="O295" s="5"/>
      <c r="P295" s="5"/>
      <c r="Q295" s="5"/>
      <c r="R295" s="5"/>
      <c r="S295" s="5"/>
      <c r="T295" s="5"/>
      <c r="U295" s="5"/>
      <c r="V295" s="5"/>
      <c r="W295" s="5"/>
    </row>
    <row r="296" spans="1:23">
      <c r="A296" s="4"/>
      <c r="B296" s="31"/>
      <c r="C296" s="31"/>
      <c r="D296" s="31"/>
      <c r="E296" s="31"/>
      <c r="F296" s="31"/>
      <c r="G296" s="31"/>
      <c r="H296" s="5"/>
      <c r="I296" s="5"/>
      <c r="J296" s="5"/>
      <c r="K296" s="5"/>
      <c r="L296" s="5"/>
      <c r="M296" s="5"/>
      <c r="N296" s="5"/>
      <c r="O296" s="5"/>
      <c r="P296" s="5"/>
      <c r="Q296" s="5"/>
      <c r="R296" s="5"/>
      <c r="S296" s="5"/>
      <c r="T296" s="5"/>
      <c r="U296" s="5"/>
      <c r="V296" s="5"/>
      <c r="W296" s="5"/>
    </row>
    <row r="297" spans="1:23">
      <c r="A297" s="4"/>
      <c r="B297" s="31"/>
      <c r="C297" s="31"/>
      <c r="D297" s="31"/>
      <c r="E297" s="31"/>
      <c r="F297" s="31"/>
      <c r="G297" s="31"/>
      <c r="H297" s="5"/>
      <c r="I297" s="5"/>
      <c r="J297" s="5"/>
      <c r="K297" s="5"/>
      <c r="L297" s="5"/>
      <c r="M297" s="5"/>
      <c r="N297" s="5"/>
      <c r="O297" s="5"/>
      <c r="P297" s="5"/>
      <c r="Q297" s="5"/>
      <c r="R297" s="5"/>
      <c r="S297" s="5"/>
      <c r="T297" s="5"/>
      <c r="U297" s="5"/>
      <c r="V297" s="5"/>
      <c r="W297" s="5"/>
    </row>
    <row r="298" spans="1:23">
      <c r="A298" s="4"/>
      <c r="B298" s="31"/>
      <c r="C298" s="31"/>
      <c r="D298" s="31"/>
      <c r="E298" s="31"/>
      <c r="F298" s="31"/>
      <c r="G298" s="31"/>
      <c r="H298" s="5"/>
      <c r="I298" s="5"/>
      <c r="J298" s="5"/>
      <c r="K298" s="5"/>
      <c r="L298" s="5"/>
      <c r="M298" s="5"/>
      <c r="N298" s="5"/>
      <c r="O298" s="5"/>
      <c r="P298" s="5"/>
      <c r="Q298" s="5"/>
      <c r="R298" s="5"/>
      <c r="S298" s="5"/>
      <c r="T298" s="5"/>
      <c r="U298" s="5"/>
      <c r="V298" s="5"/>
      <c r="W298" s="5"/>
    </row>
    <row r="299" spans="1:23">
      <c r="A299" s="4"/>
      <c r="B299" s="31"/>
      <c r="C299" s="31"/>
      <c r="D299" s="31"/>
      <c r="E299" s="31"/>
      <c r="F299" s="31"/>
      <c r="G299" s="31"/>
      <c r="H299" s="5"/>
      <c r="I299" s="5"/>
      <c r="J299" s="5"/>
      <c r="K299" s="5"/>
      <c r="L299" s="5"/>
      <c r="M299" s="5"/>
      <c r="N299" s="5"/>
      <c r="O299" s="5"/>
      <c r="P299" s="5"/>
      <c r="Q299" s="5"/>
      <c r="R299" s="5"/>
      <c r="S299" s="5"/>
      <c r="T299" s="5"/>
      <c r="U299" s="5"/>
      <c r="V299" s="5"/>
      <c r="W299" s="5"/>
    </row>
    <row r="300" spans="1:23">
      <c r="A300" s="4"/>
      <c r="B300" s="31"/>
      <c r="C300" s="31"/>
      <c r="D300" s="31"/>
      <c r="E300" s="31"/>
      <c r="F300" s="31"/>
      <c r="G300" s="31"/>
      <c r="H300" s="5"/>
      <c r="I300" s="5"/>
      <c r="J300" s="5"/>
      <c r="K300" s="5"/>
      <c r="L300" s="5"/>
      <c r="M300" s="5"/>
      <c r="N300" s="5"/>
      <c r="O300" s="5"/>
      <c r="P300" s="5"/>
      <c r="Q300" s="5"/>
      <c r="R300" s="5"/>
      <c r="S300" s="5"/>
      <c r="T300" s="5"/>
      <c r="U300" s="5"/>
      <c r="V300" s="5"/>
      <c r="W300" s="5"/>
    </row>
    <row r="301" spans="1:23">
      <c r="A301" s="4"/>
      <c r="B301" s="31"/>
      <c r="C301" s="31"/>
      <c r="D301" s="31"/>
      <c r="E301" s="31"/>
      <c r="F301" s="31"/>
      <c r="G301" s="31"/>
      <c r="H301" s="5"/>
      <c r="I301" s="5"/>
      <c r="J301" s="5"/>
      <c r="K301" s="5"/>
      <c r="L301" s="5"/>
      <c r="M301" s="5"/>
      <c r="N301" s="5"/>
      <c r="O301" s="5"/>
      <c r="P301" s="5"/>
      <c r="Q301" s="5"/>
      <c r="R301" s="5"/>
      <c r="S301" s="5"/>
      <c r="T301" s="5"/>
      <c r="U301" s="5"/>
      <c r="V301" s="5"/>
      <c r="W301" s="5"/>
    </row>
    <row r="302" spans="1:23">
      <c r="A302" s="4"/>
      <c r="B302" s="31"/>
      <c r="C302" s="31"/>
      <c r="D302" s="31"/>
      <c r="E302" s="31"/>
      <c r="F302" s="31"/>
      <c r="G302" s="31"/>
      <c r="H302" s="5"/>
      <c r="I302" s="5"/>
      <c r="J302" s="5"/>
      <c r="K302" s="5"/>
      <c r="L302" s="5"/>
      <c r="M302" s="5"/>
      <c r="N302" s="5"/>
      <c r="O302" s="5"/>
      <c r="P302" s="5"/>
      <c r="Q302" s="5"/>
      <c r="R302" s="5"/>
      <c r="S302" s="5"/>
      <c r="T302" s="5"/>
      <c r="U302" s="5"/>
      <c r="V302" s="5"/>
      <c r="W302" s="5"/>
    </row>
    <row r="303" spans="1:23">
      <c r="A303" s="4"/>
      <c r="B303" s="31"/>
      <c r="C303" s="31"/>
      <c r="D303" s="31"/>
      <c r="E303" s="31"/>
      <c r="F303" s="31"/>
      <c r="G303" s="31"/>
      <c r="H303" s="5"/>
      <c r="I303" s="5"/>
      <c r="J303" s="5"/>
      <c r="K303" s="5"/>
      <c r="L303" s="5"/>
      <c r="M303" s="5"/>
      <c r="N303" s="5"/>
      <c r="O303" s="5"/>
      <c r="P303" s="5"/>
      <c r="Q303" s="5"/>
      <c r="R303" s="5"/>
      <c r="S303" s="5"/>
      <c r="T303" s="5"/>
      <c r="U303" s="5"/>
      <c r="V303" s="5"/>
      <c r="W303" s="5"/>
    </row>
    <row r="304" spans="1:23">
      <c r="A304" s="4"/>
      <c r="B304" s="31"/>
      <c r="C304" s="31"/>
      <c r="D304" s="31"/>
      <c r="E304" s="31"/>
      <c r="F304" s="31"/>
      <c r="G304" s="31"/>
      <c r="H304" s="5"/>
      <c r="I304" s="5"/>
      <c r="J304" s="5"/>
      <c r="K304" s="5"/>
      <c r="L304" s="5"/>
      <c r="M304" s="5"/>
      <c r="N304" s="5"/>
      <c r="O304" s="5"/>
      <c r="P304" s="5"/>
      <c r="Q304" s="5"/>
      <c r="R304" s="5"/>
      <c r="S304" s="5"/>
      <c r="T304" s="5"/>
      <c r="U304" s="5"/>
      <c r="V304" s="5"/>
      <c r="W304" s="5"/>
    </row>
    <row r="305" spans="1:23">
      <c r="A305" s="4"/>
      <c r="B305" s="31"/>
      <c r="C305" s="31"/>
      <c r="D305" s="31"/>
      <c r="E305" s="31"/>
      <c r="F305" s="31"/>
      <c r="G305" s="31"/>
      <c r="H305" s="5"/>
      <c r="I305" s="5"/>
      <c r="J305" s="5"/>
      <c r="K305" s="5"/>
      <c r="L305" s="5"/>
      <c r="M305" s="5"/>
      <c r="N305" s="5"/>
      <c r="O305" s="5"/>
      <c r="P305" s="5"/>
      <c r="Q305" s="5"/>
      <c r="R305" s="5"/>
      <c r="S305" s="5"/>
      <c r="T305" s="5"/>
      <c r="U305" s="5"/>
      <c r="V305" s="5"/>
      <c r="W305" s="5"/>
    </row>
    <row r="306" spans="1:23">
      <c r="A306" s="4"/>
      <c r="B306" s="31"/>
      <c r="C306" s="31"/>
      <c r="D306" s="31"/>
      <c r="E306" s="31"/>
      <c r="F306" s="31"/>
      <c r="G306" s="31"/>
      <c r="H306" s="5"/>
      <c r="I306" s="5"/>
      <c r="J306" s="5"/>
      <c r="K306" s="5"/>
      <c r="L306" s="5"/>
      <c r="M306" s="5"/>
      <c r="N306" s="5"/>
      <c r="O306" s="5"/>
      <c r="P306" s="5"/>
      <c r="Q306" s="5"/>
      <c r="R306" s="5"/>
      <c r="S306" s="5"/>
      <c r="T306" s="5"/>
      <c r="U306" s="5"/>
      <c r="V306" s="5"/>
      <c r="W306" s="5"/>
    </row>
    <row r="307" spans="1:23">
      <c r="A307" s="4"/>
      <c r="B307" s="31"/>
      <c r="C307" s="31"/>
      <c r="D307" s="31"/>
      <c r="E307" s="31"/>
      <c r="F307" s="31"/>
      <c r="G307" s="31"/>
      <c r="H307" s="5"/>
      <c r="I307" s="5"/>
      <c r="J307" s="5"/>
      <c r="K307" s="5"/>
      <c r="L307" s="5"/>
      <c r="M307" s="5"/>
      <c r="N307" s="5"/>
      <c r="O307" s="5"/>
      <c r="P307" s="5"/>
      <c r="Q307" s="5"/>
      <c r="R307" s="5"/>
      <c r="S307" s="5"/>
      <c r="T307" s="5"/>
      <c r="U307" s="5"/>
      <c r="V307" s="5"/>
      <c r="W307" s="5"/>
    </row>
    <row r="308" spans="1:23">
      <c r="A308" s="4"/>
      <c r="B308" s="31"/>
      <c r="C308" s="31"/>
      <c r="D308" s="31"/>
      <c r="E308" s="31"/>
      <c r="F308" s="31"/>
      <c r="G308" s="31"/>
      <c r="H308" s="5"/>
      <c r="I308" s="5"/>
      <c r="J308" s="5"/>
      <c r="K308" s="5"/>
      <c r="L308" s="5"/>
      <c r="M308" s="5"/>
      <c r="N308" s="5"/>
      <c r="O308" s="5"/>
      <c r="P308" s="5"/>
      <c r="Q308" s="5"/>
      <c r="R308" s="5"/>
      <c r="S308" s="5"/>
      <c r="T308" s="5"/>
      <c r="U308" s="5"/>
      <c r="V308" s="5"/>
      <c r="W308" s="5"/>
    </row>
    <row r="309" spans="1:23">
      <c r="A309" s="4"/>
      <c r="B309" s="31"/>
      <c r="C309" s="31"/>
      <c r="D309" s="31"/>
      <c r="E309" s="31"/>
      <c r="F309" s="31"/>
      <c r="G309" s="31"/>
      <c r="H309" s="5"/>
      <c r="I309" s="5"/>
      <c r="J309" s="5"/>
      <c r="K309" s="5"/>
      <c r="L309" s="5"/>
      <c r="M309" s="5"/>
      <c r="N309" s="5"/>
      <c r="O309" s="5"/>
      <c r="P309" s="5"/>
      <c r="Q309" s="5"/>
      <c r="R309" s="5"/>
      <c r="S309" s="5"/>
      <c r="T309" s="5"/>
      <c r="U309" s="5"/>
      <c r="V309" s="5"/>
      <c r="W309" s="5"/>
    </row>
    <row r="310" spans="1:23">
      <c r="A310" s="4"/>
      <c r="B310" s="31"/>
      <c r="C310" s="31"/>
      <c r="D310" s="31"/>
      <c r="E310" s="31"/>
      <c r="F310" s="31"/>
      <c r="G310" s="31"/>
      <c r="H310" s="5"/>
      <c r="I310" s="5"/>
      <c r="J310" s="5"/>
      <c r="K310" s="5"/>
      <c r="L310" s="5"/>
      <c r="M310" s="5"/>
      <c r="N310" s="5"/>
      <c r="O310" s="5"/>
      <c r="P310" s="5"/>
      <c r="Q310" s="5"/>
      <c r="R310" s="5"/>
      <c r="S310" s="5"/>
      <c r="T310" s="5"/>
      <c r="U310" s="5"/>
      <c r="V310" s="5"/>
      <c r="W310" s="5"/>
    </row>
    <row r="311" spans="1:23">
      <c r="A311" s="4"/>
      <c r="B311" s="31"/>
      <c r="C311" s="31"/>
      <c r="D311" s="31"/>
      <c r="E311" s="31"/>
      <c r="F311" s="31"/>
      <c r="G311" s="31"/>
      <c r="H311" s="5"/>
      <c r="I311" s="5"/>
      <c r="J311" s="5"/>
      <c r="K311" s="5"/>
      <c r="L311" s="5"/>
      <c r="M311" s="5"/>
      <c r="N311" s="5"/>
      <c r="O311" s="5"/>
      <c r="P311" s="5"/>
      <c r="Q311" s="5"/>
      <c r="R311" s="5"/>
      <c r="S311" s="5"/>
      <c r="T311" s="5"/>
      <c r="U311" s="5"/>
      <c r="V311" s="5"/>
      <c r="W311" s="5"/>
    </row>
    <row r="312" spans="1:23">
      <c r="A312" s="4"/>
      <c r="B312" s="31"/>
      <c r="C312" s="31"/>
      <c r="D312" s="31"/>
      <c r="E312" s="31"/>
      <c r="F312" s="31"/>
      <c r="G312" s="31"/>
      <c r="H312" s="5"/>
      <c r="I312" s="5"/>
      <c r="J312" s="5"/>
      <c r="K312" s="5"/>
      <c r="L312" s="5"/>
      <c r="M312" s="5"/>
      <c r="N312" s="5"/>
      <c r="O312" s="5"/>
      <c r="P312" s="5"/>
      <c r="Q312" s="5"/>
      <c r="R312" s="5"/>
      <c r="S312" s="5"/>
      <c r="T312" s="5"/>
      <c r="U312" s="5"/>
      <c r="V312" s="5"/>
      <c r="W312" s="5"/>
    </row>
    <row r="313" spans="1:23">
      <c r="A313" s="4"/>
      <c r="B313" s="31"/>
      <c r="C313" s="31"/>
      <c r="D313" s="31"/>
      <c r="E313" s="31"/>
      <c r="F313" s="31"/>
      <c r="G313" s="31"/>
      <c r="H313" s="5"/>
      <c r="I313" s="5"/>
      <c r="J313" s="5"/>
      <c r="K313" s="5"/>
      <c r="L313" s="5"/>
      <c r="M313" s="5"/>
      <c r="N313" s="5"/>
      <c r="O313" s="5"/>
      <c r="P313" s="5"/>
      <c r="Q313" s="5"/>
      <c r="R313" s="5"/>
      <c r="S313" s="5"/>
      <c r="T313" s="5"/>
      <c r="U313" s="5"/>
      <c r="V313" s="5"/>
      <c r="W313" s="5"/>
    </row>
    <row r="314" spans="1:23">
      <c r="A314" s="4"/>
      <c r="B314" s="31"/>
      <c r="C314" s="31"/>
      <c r="D314" s="31"/>
      <c r="E314" s="31"/>
      <c r="F314" s="31"/>
      <c r="G314" s="31"/>
      <c r="H314" s="5"/>
      <c r="I314" s="5"/>
      <c r="J314" s="5"/>
      <c r="K314" s="5"/>
      <c r="L314" s="5"/>
      <c r="M314" s="5"/>
      <c r="N314" s="5"/>
      <c r="O314" s="5"/>
      <c r="P314" s="5"/>
      <c r="Q314" s="5"/>
      <c r="R314" s="5"/>
      <c r="S314" s="5"/>
      <c r="T314" s="5"/>
      <c r="U314" s="5"/>
      <c r="V314" s="5"/>
      <c r="W314" s="5"/>
    </row>
    <row r="315" spans="1:23">
      <c r="A315" s="4"/>
      <c r="B315" s="31"/>
      <c r="C315" s="31"/>
      <c r="D315" s="31"/>
      <c r="E315" s="31"/>
      <c r="F315" s="31"/>
      <c r="G315" s="31"/>
      <c r="H315" s="5"/>
      <c r="I315" s="5"/>
      <c r="J315" s="5"/>
      <c r="K315" s="5"/>
      <c r="L315" s="5"/>
      <c r="M315" s="5"/>
      <c r="N315" s="5"/>
      <c r="O315" s="5"/>
      <c r="P315" s="5"/>
      <c r="Q315" s="5"/>
      <c r="R315" s="5"/>
      <c r="S315" s="5"/>
      <c r="T315" s="5"/>
      <c r="U315" s="5"/>
      <c r="V315" s="5"/>
      <c r="W315" s="5"/>
    </row>
    <row r="316" spans="1:23">
      <c r="A316" s="4"/>
      <c r="B316" s="31"/>
      <c r="C316" s="31"/>
      <c r="D316" s="31"/>
      <c r="E316" s="31"/>
      <c r="F316" s="31"/>
      <c r="G316" s="31"/>
      <c r="H316" s="5"/>
      <c r="I316" s="5"/>
      <c r="J316" s="5"/>
      <c r="K316" s="5"/>
      <c r="L316" s="5"/>
      <c r="M316" s="5"/>
      <c r="N316" s="5"/>
      <c r="O316" s="5"/>
      <c r="P316" s="5"/>
      <c r="Q316" s="5"/>
      <c r="R316" s="5"/>
      <c r="S316" s="5"/>
      <c r="T316" s="5"/>
      <c r="U316" s="5"/>
      <c r="V316" s="5"/>
      <c r="W316" s="5"/>
    </row>
    <row r="317" spans="1:23">
      <c r="A317" s="4"/>
      <c r="B317" s="31"/>
      <c r="C317" s="31"/>
      <c r="D317" s="31"/>
      <c r="E317" s="31"/>
      <c r="F317" s="31"/>
      <c r="G317" s="31"/>
      <c r="H317" s="5"/>
      <c r="I317" s="5"/>
      <c r="J317" s="5"/>
      <c r="K317" s="5"/>
      <c r="L317" s="5"/>
      <c r="M317" s="5"/>
      <c r="N317" s="5"/>
      <c r="O317" s="5"/>
      <c r="P317" s="5"/>
      <c r="Q317" s="5"/>
      <c r="R317" s="5"/>
      <c r="S317" s="5"/>
      <c r="T317" s="5"/>
      <c r="U317" s="5"/>
      <c r="V317" s="5"/>
      <c r="W317" s="5"/>
    </row>
    <row r="318" spans="1:23">
      <c r="A318" s="4"/>
      <c r="B318" s="31"/>
      <c r="C318" s="31"/>
      <c r="D318" s="31"/>
      <c r="E318" s="31"/>
      <c r="F318" s="31"/>
      <c r="G318" s="31"/>
      <c r="H318" s="5"/>
      <c r="I318" s="5"/>
      <c r="J318" s="5"/>
      <c r="K318" s="5"/>
      <c r="L318" s="5"/>
      <c r="M318" s="5"/>
      <c r="N318" s="5"/>
      <c r="O318" s="5"/>
      <c r="P318" s="5"/>
      <c r="Q318" s="5"/>
      <c r="R318" s="5"/>
      <c r="S318" s="5"/>
      <c r="T318" s="5"/>
      <c r="U318" s="5"/>
      <c r="V318" s="5"/>
      <c r="W318" s="5"/>
    </row>
    <row r="319" spans="1:23">
      <c r="A319" s="4"/>
      <c r="B319" s="31"/>
      <c r="C319" s="31"/>
      <c r="D319" s="31"/>
      <c r="E319" s="31"/>
      <c r="F319" s="31"/>
      <c r="G319" s="31"/>
      <c r="H319" s="5"/>
      <c r="I319" s="5"/>
      <c r="J319" s="5"/>
      <c r="K319" s="5"/>
      <c r="L319" s="5"/>
      <c r="M319" s="5"/>
      <c r="N319" s="5"/>
      <c r="O319" s="5"/>
      <c r="P319" s="5"/>
      <c r="Q319" s="5"/>
      <c r="R319" s="5"/>
      <c r="S319" s="5"/>
      <c r="T319" s="5"/>
      <c r="U319" s="5"/>
      <c r="V319" s="5"/>
      <c r="W319" s="5"/>
    </row>
    <row r="320" spans="1:23">
      <c r="A320" s="4"/>
      <c r="B320" s="31"/>
      <c r="C320" s="31"/>
      <c r="D320" s="31"/>
      <c r="E320" s="31"/>
      <c r="F320" s="31"/>
      <c r="G320" s="31"/>
      <c r="H320" s="5"/>
      <c r="I320" s="5"/>
      <c r="J320" s="5"/>
      <c r="K320" s="5"/>
      <c r="L320" s="5"/>
      <c r="M320" s="5"/>
      <c r="N320" s="5"/>
      <c r="O320" s="5"/>
      <c r="P320" s="5"/>
      <c r="Q320" s="5"/>
      <c r="R320" s="5"/>
      <c r="S320" s="5"/>
      <c r="T320" s="5"/>
      <c r="U320" s="5"/>
      <c r="V320" s="5"/>
      <c r="W320" s="5"/>
    </row>
    <row r="321" spans="1:23">
      <c r="A321" s="4"/>
      <c r="B321" s="31"/>
      <c r="C321" s="31"/>
      <c r="D321" s="31"/>
      <c r="E321" s="31"/>
      <c r="F321" s="31"/>
      <c r="G321" s="31"/>
      <c r="H321" s="5"/>
      <c r="I321" s="5"/>
      <c r="J321" s="5"/>
      <c r="K321" s="5"/>
      <c r="L321" s="5"/>
      <c r="M321" s="5"/>
      <c r="N321" s="5"/>
      <c r="O321" s="5"/>
      <c r="P321" s="5"/>
      <c r="Q321" s="5"/>
      <c r="R321" s="5"/>
      <c r="S321" s="5"/>
      <c r="T321" s="5"/>
      <c r="U321" s="5"/>
      <c r="V321" s="5"/>
      <c r="W321" s="5"/>
    </row>
    <row r="322" spans="1:23">
      <c r="A322" s="4"/>
      <c r="B322" s="31"/>
      <c r="C322" s="31"/>
      <c r="D322" s="31"/>
      <c r="E322" s="31"/>
      <c r="F322" s="31"/>
      <c r="G322" s="31"/>
      <c r="H322" s="5"/>
      <c r="I322" s="5"/>
      <c r="J322" s="5"/>
      <c r="K322" s="5"/>
      <c r="L322" s="5"/>
      <c r="M322" s="5"/>
      <c r="N322" s="5"/>
      <c r="O322" s="5"/>
      <c r="P322" s="5"/>
      <c r="Q322" s="5"/>
      <c r="R322" s="5"/>
      <c r="S322" s="5"/>
      <c r="T322" s="5"/>
      <c r="U322" s="5"/>
      <c r="V322" s="5"/>
      <c r="W322" s="5"/>
    </row>
    <row r="323" spans="1:23">
      <c r="A323" s="4"/>
      <c r="B323" s="31"/>
      <c r="C323" s="31"/>
      <c r="D323" s="31"/>
      <c r="E323" s="31"/>
      <c r="F323" s="31"/>
      <c r="G323" s="31"/>
      <c r="H323" s="5"/>
      <c r="I323" s="5"/>
      <c r="J323" s="5"/>
      <c r="K323" s="5"/>
      <c r="L323" s="5"/>
      <c r="M323" s="5"/>
      <c r="N323" s="5"/>
      <c r="O323" s="5"/>
      <c r="P323" s="5"/>
      <c r="Q323" s="5"/>
      <c r="R323" s="5"/>
      <c r="S323" s="5"/>
      <c r="T323" s="5"/>
      <c r="U323" s="5"/>
      <c r="V323" s="5"/>
      <c r="W323" s="5"/>
    </row>
    <row r="324" spans="1:23">
      <c r="A324" s="4"/>
      <c r="B324" s="31"/>
      <c r="C324" s="31"/>
      <c r="D324" s="31"/>
      <c r="E324" s="31"/>
      <c r="F324" s="31"/>
      <c r="G324" s="31"/>
      <c r="H324" s="5"/>
      <c r="I324" s="5"/>
      <c r="J324" s="5"/>
      <c r="K324" s="5"/>
      <c r="L324" s="5"/>
      <c r="M324" s="5"/>
      <c r="N324" s="5"/>
      <c r="O324" s="5"/>
      <c r="P324" s="5"/>
      <c r="Q324" s="5"/>
      <c r="R324" s="5"/>
      <c r="S324" s="5"/>
      <c r="T324" s="5"/>
      <c r="U324" s="5"/>
      <c r="V324" s="5"/>
      <c r="W324" s="5"/>
    </row>
    <row r="325" spans="1:23">
      <c r="A325" s="4"/>
      <c r="B325" s="31"/>
      <c r="C325" s="31"/>
      <c r="D325" s="31"/>
      <c r="E325" s="31"/>
      <c r="F325" s="31"/>
      <c r="G325" s="31"/>
      <c r="H325" s="5"/>
      <c r="I325" s="5"/>
      <c r="J325" s="5"/>
      <c r="K325" s="5"/>
      <c r="L325" s="5"/>
      <c r="M325" s="5"/>
      <c r="N325" s="5"/>
      <c r="O325" s="5"/>
      <c r="P325" s="5"/>
      <c r="Q325" s="5"/>
      <c r="R325" s="5"/>
      <c r="S325" s="5"/>
      <c r="T325" s="5"/>
      <c r="U325" s="5"/>
      <c r="V325" s="5"/>
      <c r="W325" s="5"/>
    </row>
    <row r="326" spans="1:23">
      <c r="A326" s="4"/>
      <c r="B326" s="31"/>
      <c r="C326" s="31"/>
      <c r="D326" s="31"/>
      <c r="E326" s="31"/>
      <c r="F326" s="31"/>
      <c r="G326" s="31"/>
      <c r="H326" s="5"/>
      <c r="I326" s="5"/>
      <c r="J326" s="5"/>
      <c r="K326" s="5"/>
      <c r="L326" s="5"/>
      <c r="M326" s="5"/>
      <c r="N326" s="5"/>
      <c r="O326" s="5"/>
      <c r="P326" s="5"/>
      <c r="Q326" s="5"/>
      <c r="R326" s="5"/>
      <c r="S326" s="5"/>
      <c r="T326" s="5"/>
      <c r="U326" s="5"/>
      <c r="V326" s="5"/>
      <c r="W326" s="5"/>
    </row>
    <row r="327" spans="1:23">
      <c r="A327" s="4"/>
      <c r="B327" s="31"/>
      <c r="C327" s="31"/>
      <c r="D327" s="31"/>
      <c r="E327" s="31"/>
      <c r="F327" s="31"/>
      <c r="G327" s="31"/>
      <c r="H327" s="5"/>
      <c r="I327" s="5"/>
      <c r="J327" s="5"/>
      <c r="K327" s="5"/>
      <c r="L327" s="5"/>
      <c r="M327" s="5"/>
      <c r="N327" s="5"/>
      <c r="O327" s="5"/>
      <c r="P327" s="5"/>
      <c r="Q327" s="5"/>
      <c r="R327" s="5"/>
      <c r="S327" s="5"/>
      <c r="T327" s="5"/>
      <c r="U327" s="5"/>
      <c r="V327" s="5"/>
      <c r="W327" s="5"/>
    </row>
    <row r="328" spans="1:23">
      <c r="A328" s="4"/>
      <c r="B328" s="31"/>
      <c r="C328" s="31"/>
      <c r="D328" s="31"/>
      <c r="E328" s="31"/>
      <c r="F328" s="31"/>
      <c r="G328" s="31"/>
      <c r="H328" s="5"/>
      <c r="I328" s="5"/>
      <c r="J328" s="5"/>
      <c r="K328" s="5"/>
      <c r="L328" s="5"/>
      <c r="M328" s="5"/>
      <c r="N328" s="5"/>
      <c r="O328" s="5"/>
      <c r="P328" s="5"/>
      <c r="Q328" s="5"/>
      <c r="R328" s="5"/>
      <c r="S328" s="5"/>
      <c r="T328" s="5"/>
      <c r="U328" s="5"/>
      <c r="V328" s="5"/>
      <c r="W328" s="5"/>
    </row>
    <row r="329" spans="1:23">
      <c r="A329" s="4"/>
      <c r="B329" s="31"/>
      <c r="C329" s="31"/>
      <c r="D329" s="31"/>
      <c r="E329" s="31"/>
      <c r="F329" s="31"/>
      <c r="G329" s="31"/>
      <c r="H329" s="5"/>
      <c r="I329" s="5"/>
      <c r="J329" s="5"/>
      <c r="K329" s="5"/>
      <c r="L329" s="5"/>
      <c r="M329" s="5"/>
      <c r="N329" s="5"/>
      <c r="O329" s="5"/>
      <c r="P329" s="5"/>
      <c r="Q329" s="5"/>
      <c r="R329" s="5"/>
      <c r="S329" s="5"/>
      <c r="T329" s="5"/>
      <c r="U329" s="5"/>
      <c r="V329" s="5"/>
      <c r="W329" s="5"/>
    </row>
    <row r="330" spans="1:23">
      <c r="A330" s="4"/>
      <c r="B330" s="31"/>
      <c r="C330" s="31"/>
      <c r="D330" s="31"/>
      <c r="E330" s="31"/>
      <c r="F330" s="31"/>
      <c r="G330" s="31"/>
      <c r="H330" s="5"/>
      <c r="I330" s="5"/>
      <c r="J330" s="5"/>
      <c r="K330" s="5"/>
      <c r="L330" s="5"/>
      <c r="M330" s="5"/>
      <c r="N330" s="5"/>
      <c r="O330" s="5"/>
      <c r="P330" s="5"/>
      <c r="Q330" s="5"/>
      <c r="R330" s="5"/>
      <c r="S330" s="5"/>
      <c r="T330" s="5"/>
      <c r="U330" s="5"/>
      <c r="V330" s="5"/>
      <c r="W330" s="5"/>
    </row>
    <row r="331" spans="1:23">
      <c r="A331" s="4"/>
      <c r="B331" s="31"/>
      <c r="C331" s="31"/>
      <c r="D331" s="31"/>
      <c r="E331" s="31"/>
      <c r="F331" s="31"/>
      <c r="G331" s="31"/>
      <c r="H331" s="5"/>
      <c r="I331" s="5"/>
      <c r="J331" s="5"/>
      <c r="K331" s="5"/>
      <c r="L331" s="5"/>
      <c r="M331" s="5"/>
      <c r="N331" s="5"/>
      <c r="O331" s="5"/>
      <c r="P331" s="5"/>
      <c r="Q331" s="5"/>
      <c r="R331" s="5"/>
      <c r="S331" s="5"/>
      <c r="T331" s="5"/>
      <c r="U331" s="5"/>
      <c r="V331" s="5"/>
      <c r="W331" s="5"/>
    </row>
    <row r="332" spans="1:23">
      <c r="A332" s="4"/>
      <c r="B332" s="31"/>
      <c r="C332" s="31"/>
      <c r="D332" s="31"/>
      <c r="E332" s="31"/>
      <c r="F332" s="31"/>
      <c r="G332" s="31"/>
      <c r="H332" s="5"/>
      <c r="I332" s="5"/>
      <c r="J332" s="5"/>
      <c r="K332" s="5"/>
      <c r="L332" s="5"/>
      <c r="M332" s="5"/>
      <c r="N332" s="5"/>
      <c r="O332" s="5"/>
      <c r="P332" s="5"/>
      <c r="Q332" s="5"/>
      <c r="R332" s="5"/>
      <c r="S332" s="5"/>
      <c r="T332" s="5"/>
      <c r="U332" s="5"/>
      <c r="V332" s="5"/>
      <c r="W332" s="5"/>
    </row>
    <row r="333" spans="1:23">
      <c r="A333" s="4"/>
      <c r="B333" s="31"/>
      <c r="C333" s="31"/>
      <c r="D333" s="31"/>
      <c r="E333" s="31"/>
      <c r="F333" s="31"/>
      <c r="G333" s="31"/>
      <c r="H333" s="5"/>
      <c r="I333" s="5"/>
      <c r="J333" s="5"/>
      <c r="K333" s="5"/>
      <c r="L333" s="5"/>
      <c r="M333" s="5"/>
      <c r="N333" s="5"/>
      <c r="O333" s="5"/>
      <c r="P333" s="5"/>
      <c r="Q333" s="5"/>
      <c r="R333" s="5"/>
      <c r="S333" s="5"/>
      <c r="T333" s="5"/>
      <c r="U333" s="5"/>
      <c r="V333" s="5"/>
      <c r="W333" s="5"/>
    </row>
    <row r="334" spans="1:23">
      <c r="A334" s="4"/>
      <c r="B334" s="31"/>
      <c r="C334" s="31"/>
      <c r="D334" s="31"/>
      <c r="E334" s="31"/>
      <c r="F334" s="31"/>
      <c r="G334" s="31"/>
      <c r="H334" s="5"/>
      <c r="I334" s="5"/>
      <c r="J334" s="5"/>
      <c r="K334" s="5"/>
      <c r="L334" s="5"/>
      <c r="M334" s="5"/>
      <c r="N334" s="5"/>
      <c r="O334" s="5"/>
      <c r="P334" s="5"/>
      <c r="Q334" s="5"/>
      <c r="R334" s="5"/>
      <c r="S334" s="5"/>
      <c r="T334" s="5"/>
      <c r="U334" s="5"/>
      <c r="V334" s="5"/>
      <c r="W334" s="5"/>
    </row>
    <row r="335" spans="1:23">
      <c r="A335" s="4"/>
      <c r="B335" s="31"/>
      <c r="C335" s="31"/>
      <c r="D335" s="31"/>
      <c r="E335" s="31"/>
      <c r="F335" s="31"/>
      <c r="G335" s="31"/>
      <c r="H335" s="5"/>
      <c r="I335" s="5"/>
      <c r="J335" s="5"/>
      <c r="K335" s="5"/>
      <c r="L335" s="5"/>
      <c r="M335" s="5"/>
      <c r="N335" s="5"/>
      <c r="O335" s="5"/>
      <c r="P335" s="5"/>
      <c r="Q335" s="5"/>
      <c r="R335" s="5"/>
      <c r="S335" s="5"/>
      <c r="T335" s="5"/>
      <c r="U335" s="5"/>
      <c r="V335" s="5"/>
      <c r="W335" s="5"/>
    </row>
    <row r="336" spans="1:23">
      <c r="A336" s="4"/>
      <c r="B336" s="31"/>
      <c r="C336" s="31"/>
      <c r="D336" s="31"/>
      <c r="E336" s="31"/>
      <c r="F336" s="31"/>
      <c r="G336" s="31"/>
      <c r="H336" s="5"/>
      <c r="I336" s="5"/>
      <c r="J336" s="5"/>
      <c r="K336" s="5"/>
      <c r="L336" s="5"/>
      <c r="M336" s="5"/>
      <c r="N336" s="5"/>
      <c r="O336" s="5"/>
      <c r="P336" s="5"/>
      <c r="Q336" s="5"/>
      <c r="R336" s="5"/>
      <c r="S336" s="5"/>
      <c r="T336" s="5"/>
      <c r="U336" s="5"/>
      <c r="V336" s="5"/>
      <c r="W336" s="5"/>
    </row>
    <row r="337" spans="1:23">
      <c r="A337" s="4"/>
      <c r="B337" s="31"/>
      <c r="C337" s="31"/>
      <c r="D337" s="31"/>
      <c r="E337" s="31"/>
      <c r="F337" s="31"/>
      <c r="G337" s="31"/>
      <c r="H337" s="5"/>
      <c r="I337" s="5"/>
      <c r="J337" s="5"/>
      <c r="K337" s="5"/>
      <c r="L337" s="5"/>
      <c r="M337" s="5"/>
      <c r="N337" s="5"/>
      <c r="O337" s="5"/>
      <c r="P337" s="5"/>
      <c r="Q337" s="5"/>
      <c r="R337" s="5"/>
      <c r="S337" s="5"/>
      <c r="T337" s="5"/>
      <c r="U337" s="5"/>
      <c r="V337" s="5"/>
      <c r="W337" s="5"/>
    </row>
    <row r="338" spans="1:23">
      <c r="A338" s="4"/>
      <c r="B338" s="31"/>
      <c r="C338" s="31"/>
      <c r="D338" s="31"/>
      <c r="E338" s="31"/>
      <c r="F338" s="31"/>
      <c r="G338" s="31"/>
      <c r="H338" s="5"/>
      <c r="I338" s="5"/>
      <c r="J338" s="5"/>
      <c r="K338" s="5"/>
      <c r="L338" s="5"/>
      <c r="M338" s="5"/>
      <c r="N338" s="5"/>
      <c r="O338" s="5"/>
      <c r="P338" s="5"/>
      <c r="Q338" s="5"/>
      <c r="R338" s="5"/>
      <c r="S338" s="5"/>
      <c r="T338" s="5"/>
      <c r="U338" s="5"/>
      <c r="V338" s="5"/>
      <c r="W338" s="5"/>
    </row>
    <row r="339" spans="1:23">
      <c r="A339" s="4"/>
      <c r="B339" s="31"/>
      <c r="C339" s="31"/>
      <c r="D339" s="31"/>
      <c r="E339" s="31"/>
      <c r="F339" s="31"/>
      <c r="G339" s="31"/>
      <c r="H339" s="5"/>
      <c r="I339" s="5"/>
      <c r="J339" s="5"/>
      <c r="K339" s="5"/>
      <c r="L339" s="5"/>
      <c r="M339" s="5"/>
      <c r="N339" s="5"/>
      <c r="O339" s="5"/>
      <c r="P339" s="5"/>
      <c r="Q339" s="5"/>
      <c r="R339" s="5"/>
      <c r="S339" s="5"/>
      <c r="T339" s="5"/>
      <c r="U339" s="5"/>
      <c r="V339" s="5"/>
      <c r="W339" s="5"/>
    </row>
    <row r="340" spans="1:23">
      <c r="A340" s="4"/>
      <c r="B340" s="31"/>
      <c r="C340" s="31"/>
      <c r="D340" s="31"/>
      <c r="E340" s="31"/>
      <c r="F340" s="31"/>
      <c r="G340" s="31"/>
      <c r="H340" s="5"/>
      <c r="I340" s="5"/>
      <c r="J340" s="5"/>
      <c r="K340" s="5"/>
      <c r="L340" s="5"/>
      <c r="M340" s="5"/>
      <c r="N340" s="5"/>
      <c r="O340" s="5"/>
      <c r="P340" s="5"/>
      <c r="Q340" s="5"/>
      <c r="R340" s="5"/>
      <c r="S340" s="5"/>
      <c r="T340" s="5"/>
      <c r="U340" s="5"/>
      <c r="V340" s="5"/>
      <c r="W340" s="5"/>
    </row>
    <row r="341" spans="1:23">
      <c r="A341" s="4"/>
      <c r="B341" s="31"/>
      <c r="C341" s="31"/>
      <c r="D341" s="31"/>
      <c r="E341" s="31"/>
      <c r="F341" s="31"/>
      <c r="G341" s="31"/>
      <c r="H341" s="5"/>
      <c r="I341" s="5"/>
      <c r="J341" s="5"/>
      <c r="K341" s="5"/>
      <c r="L341" s="5"/>
      <c r="M341" s="5"/>
      <c r="N341" s="5"/>
      <c r="O341" s="5"/>
      <c r="P341" s="5"/>
      <c r="Q341" s="5"/>
      <c r="R341" s="5"/>
      <c r="S341" s="5"/>
      <c r="T341" s="5"/>
      <c r="U341" s="5"/>
      <c r="V341" s="5"/>
      <c r="W341" s="5"/>
    </row>
    <row r="342" spans="1:23">
      <c r="A342" s="4"/>
      <c r="B342" s="31"/>
      <c r="C342" s="31"/>
      <c r="D342" s="31"/>
      <c r="E342" s="31"/>
      <c r="F342" s="31"/>
      <c r="G342" s="31"/>
      <c r="H342" s="5"/>
      <c r="I342" s="5"/>
      <c r="J342" s="5"/>
      <c r="K342" s="5"/>
      <c r="L342" s="5"/>
      <c r="M342" s="5"/>
      <c r="N342" s="5"/>
      <c r="O342" s="5"/>
      <c r="P342" s="5"/>
      <c r="Q342" s="5"/>
      <c r="R342" s="5"/>
      <c r="S342" s="5"/>
      <c r="T342" s="5"/>
      <c r="U342" s="5"/>
      <c r="V342" s="5"/>
      <c r="W342" s="5"/>
    </row>
    <row r="343" spans="1:23">
      <c r="A343" s="4"/>
      <c r="B343" s="31"/>
      <c r="C343" s="31"/>
      <c r="D343" s="31"/>
      <c r="E343" s="31"/>
      <c r="F343" s="31"/>
      <c r="G343" s="31"/>
      <c r="H343" s="5"/>
      <c r="I343" s="5"/>
      <c r="J343" s="5"/>
      <c r="K343" s="5"/>
      <c r="L343" s="5"/>
      <c r="M343" s="5"/>
      <c r="N343" s="5"/>
      <c r="O343" s="5"/>
      <c r="P343" s="5"/>
      <c r="Q343" s="5"/>
      <c r="R343" s="5"/>
      <c r="S343" s="5"/>
      <c r="T343" s="5"/>
      <c r="U343" s="5"/>
      <c r="V343" s="5"/>
      <c r="W343" s="5"/>
    </row>
    <row r="344" spans="1:23">
      <c r="A344" s="4"/>
      <c r="B344" s="31"/>
      <c r="C344" s="31"/>
      <c r="D344" s="31"/>
      <c r="E344" s="31"/>
      <c r="F344" s="31"/>
      <c r="G344" s="31"/>
      <c r="H344" s="5"/>
      <c r="I344" s="5"/>
      <c r="J344" s="5"/>
      <c r="K344" s="5"/>
      <c r="L344" s="5"/>
      <c r="M344" s="5"/>
      <c r="N344" s="5"/>
      <c r="O344" s="5"/>
      <c r="P344" s="5"/>
      <c r="Q344" s="5"/>
      <c r="R344" s="5"/>
      <c r="S344" s="5"/>
      <c r="T344" s="5"/>
      <c r="U344" s="5"/>
      <c r="V344" s="5"/>
      <c r="W344" s="5"/>
    </row>
    <row r="345" spans="1:23">
      <c r="A345" s="4"/>
      <c r="B345" s="31"/>
      <c r="C345" s="31"/>
      <c r="D345" s="31"/>
      <c r="E345" s="31"/>
      <c r="F345" s="31"/>
      <c r="G345" s="31"/>
      <c r="H345" s="5"/>
      <c r="I345" s="5"/>
      <c r="J345" s="5"/>
      <c r="K345" s="5"/>
      <c r="L345" s="5"/>
      <c r="M345" s="5"/>
      <c r="N345" s="5"/>
      <c r="O345" s="5"/>
      <c r="P345" s="5"/>
      <c r="Q345" s="5"/>
      <c r="R345" s="5"/>
      <c r="S345" s="5"/>
      <c r="T345" s="5"/>
      <c r="U345" s="5"/>
      <c r="V345" s="5"/>
      <c r="W345" s="5"/>
    </row>
    <row r="346" spans="1:23">
      <c r="A346" s="4"/>
      <c r="B346" s="31"/>
      <c r="C346" s="31"/>
      <c r="D346" s="31"/>
      <c r="E346" s="31"/>
      <c r="F346" s="31"/>
      <c r="G346" s="31"/>
      <c r="H346" s="5"/>
      <c r="I346" s="5"/>
      <c r="J346" s="5"/>
      <c r="K346" s="5"/>
      <c r="L346" s="5"/>
      <c r="M346" s="5"/>
      <c r="N346" s="5"/>
      <c r="O346" s="5"/>
      <c r="P346" s="5"/>
      <c r="Q346" s="5"/>
      <c r="R346" s="5"/>
      <c r="S346" s="5"/>
      <c r="T346" s="5"/>
      <c r="U346" s="5"/>
      <c r="V346" s="5"/>
      <c r="W346" s="5"/>
    </row>
    <row r="347" spans="1:23">
      <c r="A347" s="4"/>
      <c r="B347" s="31"/>
      <c r="C347" s="31"/>
      <c r="D347" s="31"/>
      <c r="E347" s="31"/>
      <c r="F347" s="31"/>
      <c r="G347" s="31"/>
      <c r="H347" s="5"/>
      <c r="I347" s="5"/>
      <c r="J347" s="5"/>
      <c r="K347" s="5"/>
      <c r="L347" s="5"/>
      <c r="M347" s="5"/>
      <c r="N347" s="5"/>
      <c r="O347" s="5"/>
      <c r="P347" s="5"/>
      <c r="Q347" s="5"/>
      <c r="R347" s="5"/>
      <c r="S347" s="5"/>
      <c r="T347" s="5"/>
      <c r="U347" s="5"/>
      <c r="V347" s="5"/>
      <c r="W347" s="5"/>
    </row>
    <row r="348" spans="1:23">
      <c r="A348" s="4"/>
      <c r="B348" s="31"/>
      <c r="C348" s="31"/>
      <c r="D348" s="31"/>
      <c r="E348" s="31"/>
      <c r="F348" s="31"/>
      <c r="G348" s="31"/>
      <c r="H348" s="5"/>
      <c r="I348" s="5"/>
      <c r="J348" s="5"/>
      <c r="K348" s="5"/>
      <c r="L348" s="5"/>
      <c r="M348" s="5"/>
      <c r="N348" s="5"/>
      <c r="O348" s="5"/>
      <c r="P348" s="5"/>
      <c r="Q348" s="5"/>
      <c r="R348" s="5"/>
      <c r="S348" s="5"/>
      <c r="T348" s="5"/>
      <c r="U348" s="5"/>
      <c r="V348" s="5"/>
      <c r="W348" s="5"/>
    </row>
    <row r="349" spans="1:23">
      <c r="A349" s="4"/>
      <c r="B349" s="31"/>
      <c r="C349" s="31"/>
      <c r="D349" s="31"/>
      <c r="E349" s="31"/>
      <c r="F349" s="31"/>
      <c r="G349" s="31"/>
      <c r="H349" s="5"/>
      <c r="I349" s="5"/>
      <c r="J349" s="5"/>
      <c r="K349" s="5"/>
      <c r="L349" s="5"/>
      <c r="M349" s="5"/>
      <c r="N349" s="5"/>
      <c r="O349" s="5"/>
      <c r="P349" s="5"/>
      <c r="Q349" s="5"/>
      <c r="R349" s="5"/>
      <c r="S349" s="5"/>
      <c r="T349" s="5"/>
      <c r="U349" s="5"/>
      <c r="V349" s="5"/>
      <c r="W349" s="5"/>
    </row>
    <row r="350" spans="1:23">
      <c r="A350" s="4"/>
      <c r="B350" s="31"/>
      <c r="C350" s="31"/>
      <c r="D350" s="31"/>
      <c r="E350" s="31"/>
      <c r="F350" s="31"/>
      <c r="G350" s="31"/>
      <c r="H350" s="5"/>
      <c r="I350" s="5"/>
      <c r="J350" s="5"/>
      <c r="K350" s="5"/>
      <c r="L350" s="5"/>
      <c r="M350" s="5"/>
      <c r="N350" s="5"/>
      <c r="O350" s="5"/>
      <c r="P350" s="5"/>
      <c r="Q350" s="5"/>
      <c r="R350" s="5"/>
      <c r="S350" s="5"/>
      <c r="T350" s="5"/>
      <c r="U350" s="5"/>
      <c r="V350" s="5"/>
      <c r="W350" s="5"/>
    </row>
    <row r="351" spans="1:23">
      <c r="A351" s="4"/>
      <c r="B351" s="31"/>
      <c r="C351" s="31"/>
      <c r="D351" s="31"/>
      <c r="E351" s="31"/>
      <c r="F351" s="31"/>
      <c r="G351" s="31"/>
      <c r="H351" s="5"/>
      <c r="I351" s="5"/>
      <c r="J351" s="5"/>
      <c r="K351" s="5"/>
      <c r="L351" s="5"/>
      <c r="M351" s="5"/>
      <c r="N351" s="5"/>
      <c r="O351" s="5"/>
      <c r="P351" s="5"/>
      <c r="Q351" s="5"/>
      <c r="R351" s="5"/>
      <c r="S351" s="5"/>
      <c r="T351" s="5"/>
      <c r="U351" s="5"/>
      <c r="V351" s="5"/>
      <c r="W351" s="5"/>
    </row>
    <row r="352" spans="1:23">
      <c r="A352" s="4"/>
      <c r="B352" s="31"/>
      <c r="C352" s="31"/>
      <c r="D352" s="31"/>
      <c r="E352" s="31"/>
      <c r="F352" s="31"/>
      <c r="G352" s="31"/>
      <c r="H352" s="5"/>
      <c r="I352" s="5"/>
      <c r="J352" s="5"/>
      <c r="K352" s="5"/>
      <c r="L352" s="5"/>
      <c r="M352" s="5"/>
      <c r="N352" s="5"/>
      <c r="O352" s="5"/>
      <c r="P352" s="5"/>
      <c r="Q352" s="5"/>
      <c r="R352" s="5"/>
      <c r="S352" s="5"/>
      <c r="T352" s="5"/>
      <c r="U352" s="5"/>
      <c r="V352" s="5"/>
      <c r="W352" s="5"/>
    </row>
    <row r="353" spans="1:23">
      <c r="A353" s="4"/>
      <c r="B353" s="31"/>
      <c r="C353" s="31"/>
      <c r="D353" s="31"/>
      <c r="E353" s="31"/>
      <c r="F353" s="31"/>
      <c r="G353" s="31"/>
      <c r="H353" s="5"/>
      <c r="I353" s="5"/>
      <c r="J353" s="5"/>
      <c r="K353" s="5"/>
      <c r="L353" s="5"/>
      <c r="M353" s="5"/>
      <c r="N353" s="5"/>
      <c r="O353" s="5"/>
      <c r="P353" s="5"/>
      <c r="Q353" s="5"/>
      <c r="R353" s="5"/>
      <c r="S353" s="5"/>
      <c r="T353" s="5"/>
      <c r="U353" s="5"/>
      <c r="V353" s="5"/>
      <c r="W353" s="5"/>
    </row>
    <row r="354" spans="1:23">
      <c r="A354" s="4"/>
      <c r="B354" s="31"/>
      <c r="C354" s="31"/>
      <c r="D354" s="31"/>
      <c r="E354" s="31"/>
      <c r="F354" s="31"/>
      <c r="G354" s="31"/>
      <c r="H354" s="5"/>
      <c r="I354" s="5"/>
      <c r="J354" s="5"/>
      <c r="K354" s="5"/>
      <c r="L354" s="5"/>
      <c r="M354" s="5"/>
      <c r="N354" s="5"/>
      <c r="O354" s="5"/>
      <c r="P354" s="5"/>
      <c r="Q354" s="5"/>
      <c r="R354" s="5"/>
      <c r="S354" s="5"/>
      <c r="T354" s="5"/>
      <c r="U354" s="5"/>
      <c r="V354" s="5"/>
      <c r="W354" s="5"/>
    </row>
    <row r="355" spans="1:23">
      <c r="A355" s="4"/>
      <c r="B355" s="31"/>
      <c r="C355" s="31"/>
      <c r="D355" s="31"/>
      <c r="E355" s="31"/>
      <c r="F355" s="31"/>
      <c r="G355" s="31"/>
      <c r="H355" s="5"/>
      <c r="I355" s="5"/>
      <c r="J355" s="5"/>
      <c r="K355" s="5"/>
      <c r="L355" s="5"/>
      <c r="M355" s="5"/>
      <c r="N355" s="5"/>
      <c r="O355" s="5"/>
      <c r="P355" s="5"/>
      <c r="Q355" s="5"/>
      <c r="R355" s="5"/>
      <c r="S355" s="5"/>
      <c r="T355" s="5"/>
      <c r="U355" s="5"/>
      <c r="V355" s="5"/>
      <c r="W355" s="5"/>
    </row>
    <row r="356" spans="1:23">
      <c r="A356" s="4"/>
      <c r="B356" s="31"/>
      <c r="C356" s="31"/>
      <c r="D356" s="31"/>
      <c r="E356" s="31"/>
      <c r="F356" s="31"/>
      <c r="G356" s="31"/>
      <c r="H356" s="5"/>
      <c r="I356" s="5"/>
      <c r="J356" s="5"/>
      <c r="K356" s="5"/>
      <c r="L356" s="5"/>
      <c r="M356" s="5"/>
      <c r="N356" s="5"/>
      <c r="O356" s="5"/>
      <c r="P356" s="5"/>
      <c r="Q356" s="5"/>
      <c r="R356" s="5"/>
      <c r="S356" s="5"/>
      <c r="T356" s="5"/>
      <c r="U356" s="5"/>
      <c r="V356" s="5"/>
      <c r="W356" s="5"/>
    </row>
    <row r="357" spans="1:23">
      <c r="A357" s="4"/>
      <c r="B357" s="31"/>
      <c r="C357" s="31"/>
      <c r="D357" s="31"/>
      <c r="E357" s="31"/>
      <c r="F357" s="31"/>
      <c r="G357" s="31"/>
      <c r="H357" s="5"/>
      <c r="I357" s="5"/>
      <c r="J357" s="5"/>
      <c r="K357" s="5"/>
      <c r="L357" s="5"/>
      <c r="M357" s="5"/>
      <c r="N357" s="5"/>
      <c r="O357" s="5"/>
      <c r="P357" s="5"/>
      <c r="Q357" s="5"/>
      <c r="R357" s="5"/>
      <c r="S357" s="5"/>
      <c r="T357" s="5"/>
      <c r="U357" s="5"/>
      <c r="V357" s="5"/>
      <c r="W357" s="5"/>
    </row>
    <row r="358" spans="1:23">
      <c r="A358" s="4"/>
      <c r="B358" s="31"/>
      <c r="C358" s="31"/>
      <c r="D358" s="31"/>
      <c r="E358" s="31"/>
      <c r="F358" s="31"/>
      <c r="G358" s="31"/>
      <c r="H358" s="5"/>
      <c r="I358" s="5"/>
      <c r="J358" s="5"/>
      <c r="K358" s="5"/>
      <c r="L358" s="5"/>
      <c r="M358" s="5"/>
      <c r="N358" s="5"/>
      <c r="O358" s="5"/>
      <c r="P358" s="5"/>
      <c r="Q358" s="5"/>
      <c r="R358" s="5"/>
      <c r="S358" s="5"/>
      <c r="T358" s="5"/>
      <c r="U358" s="5"/>
      <c r="V358" s="5"/>
      <c r="W358" s="5"/>
    </row>
    <row r="359" spans="1:23">
      <c r="A359" s="4"/>
      <c r="B359" s="31"/>
      <c r="C359" s="31"/>
      <c r="D359" s="31"/>
      <c r="E359" s="31"/>
      <c r="F359" s="31"/>
      <c r="G359" s="31"/>
      <c r="H359" s="5"/>
      <c r="I359" s="5"/>
      <c r="J359" s="5"/>
      <c r="K359" s="5"/>
      <c r="L359" s="5"/>
      <c r="M359" s="5"/>
      <c r="N359" s="5"/>
      <c r="O359" s="5"/>
      <c r="P359" s="5"/>
      <c r="Q359" s="5"/>
      <c r="R359" s="5"/>
      <c r="S359" s="5"/>
      <c r="T359" s="5"/>
      <c r="U359" s="5"/>
      <c r="V359" s="5"/>
      <c r="W359" s="5"/>
    </row>
    <row r="360" spans="1:23">
      <c r="A360" s="4"/>
      <c r="B360" s="31"/>
      <c r="C360" s="31"/>
      <c r="D360" s="31"/>
      <c r="E360" s="31"/>
      <c r="F360" s="31"/>
      <c r="G360" s="31"/>
      <c r="H360" s="5"/>
      <c r="I360" s="5"/>
      <c r="J360" s="5"/>
      <c r="K360" s="5"/>
      <c r="L360" s="5"/>
      <c r="M360" s="5"/>
      <c r="N360" s="5"/>
      <c r="O360" s="5"/>
      <c r="P360" s="5"/>
      <c r="Q360" s="5"/>
      <c r="R360" s="5"/>
      <c r="S360" s="5"/>
      <c r="T360" s="5"/>
      <c r="U360" s="5"/>
      <c r="V360" s="5"/>
      <c r="W360" s="5"/>
    </row>
    <row r="361" spans="1:23">
      <c r="A361" s="4"/>
      <c r="B361" s="31"/>
      <c r="C361" s="31"/>
      <c r="D361" s="31"/>
      <c r="E361" s="31"/>
      <c r="F361" s="31"/>
      <c r="G361" s="31"/>
      <c r="H361" s="5"/>
      <c r="I361" s="5"/>
      <c r="J361" s="5"/>
      <c r="K361" s="5"/>
      <c r="L361" s="5"/>
      <c r="M361" s="5"/>
      <c r="N361" s="5"/>
      <c r="O361" s="5"/>
      <c r="P361" s="5"/>
      <c r="Q361" s="5"/>
      <c r="R361" s="5"/>
      <c r="S361" s="5"/>
      <c r="T361" s="5"/>
      <c r="U361" s="5"/>
      <c r="V361" s="5"/>
      <c r="W361" s="5"/>
    </row>
    <row r="362" spans="1:23">
      <c r="A362" s="4"/>
      <c r="B362" s="31"/>
      <c r="C362" s="31"/>
      <c r="D362" s="31"/>
      <c r="E362" s="31"/>
      <c r="F362" s="31"/>
      <c r="G362" s="31"/>
      <c r="H362" s="5"/>
      <c r="I362" s="5"/>
      <c r="J362" s="5"/>
      <c r="K362" s="5"/>
      <c r="L362" s="5"/>
      <c r="M362" s="5"/>
      <c r="N362" s="5"/>
      <c r="O362" s="5"/>
      <c r="P362" s="5"/>
      <c r="Q362" s="5"/>
      <c r="R362" s="5"/>
      <c r="S362" s="5"/>
      <c r="T362" s="5"/>
      <c r="U362" s="5"/>
      <c r="V362" s="5"/>
      <c r="W362" s="5"/>
    </row>
    <row r="363" spans="1:23">
      <c r="A363" s="4"/>
      <c r="B363" s="31"/>
      <c r="C363" s="31"/>
      <c r="D363" s="31"/>
      <c r="E363" s="31"/>
      <c r="F363" s="31"/>
      <c r="G363" s="31"/>
      <c r="H363" s="5"/>
      <c r="I363" s="5"/>
      <c r="J363" s="5"/>
      <c r="K363" s="5"/>
      <c r="L363" s="5"/>
      <c r="M363" s="5"/>
      <c r="N363" s="5"/>
      <c r="O363" s="5"/>
      <c r="P363" s="5"/>
      <c r="Q363" s="5"/>
      <c r="R363" s="5"/>
      <c r="S363" s="5"/>
      <c r="T363" s="5"/>
      <c r="U363" s="5"/>
      <c r="V363" s="5"/>
      <c r="W363" s="5"/>
    </row>
    <row r="364" spans="1:23">
      <c r="A364" s="4"/>
      <c r="B364" s="31"/>
      <c r="C364" s="31"/>
      <c r="D364" s="31"/>
      <c r="E364" s="31"/>
      <c r="F364" s="31"/>
      <c r="G364" s="31"/>
      <c r="H364" s="5"/>
      <c r="I364" s="5"/>
      <c r="J364" s="5"/>
      <c r="K364" s="5"/>
      <c r="L364" s="5"/>
      <c r="M364" s="5"/>
      <c r="N364" s="5"/>
      <c r="O364" s="5"/>
      <c r="P364" s="5"/>
      <c r="Q364" s="5"/>
      <c r="R364" s="5"/>
      <c r="S364" s="5"/>
      <c r="T364" s="5"/>
      <c r="U364" s="5"/>
      <c r="V364" s="5"/>
      <c r="W364" s="5"/>
    </row>
    <row r="365" spans="1:23">
      <c r="A365" s="4"/>
      <c r="B365" s="31"/>
      <c r="C365" s="31"/>
      <c r="D365" s="31"/>
      <c r="E365" s="31"/>
      <c r="F365" s="31"/>
      <c r="G365" s="31"/>
      <c r="H365" s="5"/>
      <c r="I365" s="5"/>
      <c r="J365" s="5"/>
      <c r="K365" s="5"/>
      <c r="L365" s="5"/>
      <c r="M365" s="5"/>
      <c r="N365" s="5"/>
      <c r="O365" s="5"/>
      <c r="P365" s="5"/>
      <c r="Q365" s="5"/>
      <c r="R365" s="5"/>
      <c r="S365" s="5"/>
      <c r="T365" s="5"/>
      <c r="U365" s="5"/>
      <c r="V365" s="5"/>
      <c r="W365" s="5"/>
    </row>
    <row r="366" spans="1:23">
      <c r="A366" s="4"/>
      <c r="B366" s="31"/>
      <c r="C366" s="31"/>
      <c r="D366" s="31"/>
      <c r="E366" s="31"/>
      <c r="F366" s="31"/>
      <c r="G366" s="31"/>
      <c r="H366" s="5"/>
      <c r="I366" s="5"/>
      <c r="J366" s="5"/>
      <c r="K366" s="5"/>
      <c r="L366" s="5"/>
      <c r="M366" s="5"/>
      <c r="N366" s="5"/>
      <c r="O366" s="5"/>
      <c r="P366" s="5"/>
      <c r="Q366" s="5"/>
      <c r="R366" s="5"/>
      <c r="S366" s="5"/>
      <c r="T366" s="5"/>
      <c r="U366" s="5"/>
      <c r="V366" s="5"/>
      <c r="W366" s="5"/>
    </row>
    <row r="367" spans="1:23">
      <c r="A367" s="4"/>
      <c r="B367" s="31"/>
      <c r="C367" s="31"/>
      <c r="D367" s="31"/>
      <c r="E367" s="31"/>
      <c r="F367" s="31"/>
      <c r="G367" s="31"/>
      <c r="H367" s="5"/>
      <c r="I367" s="5"/>
      <c r="J367" s="5"/>
      <c r="K367" s="5"/>
      <c r="L367" s="5"/>
      <c r="M367" s="5"/>
      <c r="N367" s="5"/>
      <c r="O367" s="5"/>
      <c r="P367" s="5"/>
      <c r="Q367" s="5"/>
      <c r="R367" s="5"/>
      <c r="S367" s="5"/>
      <c r="T367" s="5"/>
      <c r="U367" s="5"/>
      <c r="V367" s="5"/>
      <c r="W367" s="5"/>
    </row>
    <row r="368" spans="1:23">
      <c r="A368" s="4"/>
      <c r="B368" s="31"/>
      <c r="C368" s="31"/>
      <c r="D368" s="31"/>
      <c r="E368" s="31"/>
      <c r="F368" s="31"/>
      <c r="G368" s="31"/>
      <c r="H368" s="5"/>
      <c r="I368" s="5"/>
      <c r="J368" s="5"/>
      <c r="K368" s="5"/>
      <c r="L368" s="5"/>
      <c r="M368" s="5"/>
      <c r="N368" s="5"/>
      <c r="O368" s="5"/>
      <c r="P368" s="5"/>
      <c r="Q368" s="5"/>
      <c r="R368" s="5"/>
      <c r="S368" s="5"/>
      <c r="T368" s="5"/>
      <c r="U368" s="5"/>
      <c r="V368" s="5"/>
      <c r="W368" s="5"/>
    </row>
    <row r="369" spans="1:23">
      <c r="A369" s="4"/>
      <c r="B369" s="31"/>
      <c r="C369" s="31"/>
      <c r="D369" s="31"/>
      <c r="E369" s="31"/>
      <c r="F369" s="31"/>
      <c r="G369" s="31"/>
      <c r="H369" s="5"/>
      <c r="I369" s="5"/>
      <c r="J369" s="5"/>
      <c r="K369" s="5"/>
      <c r="L369" s="5"/>
      <c r="M369" s="5"/>
      <c r="N369" s="5"/>
      <c r="O369" s="5"/>
      <c r="P369" s="5"/>
      <c r="Q369" s="5"/>
      <c r="R369" s="5"/>
      <c r="S369" s="5"/>
      <c r="T369" s="5"/>
      <c r="U369" s="5"/>
      <c r="V369" s="5"/>
      <c r="W369" s="5"/>
    </row>
    <row r="370" spans="1:23">
      <c r="A370" s="4"/>
      <c r="B370" s="31"/>
      <c r="C370" s="31"/>
      <c r="D370" s="31"/>
      <c r="E370" s="31"/>
      <c r="F370" s="31"/>
      <c r="G370" s="31"/>
      <c r="H370" s="5"/>
      <c r="I370" s="5"/>
      <c r="J370" s="5"/>
      <c r="K370" s="5"/>
      <c r="L370" s="5"/>
      <c r="M370" s="5"/>
      <c r="N370" s="5"/>
      <c r="O370" s="5"/>
      <c r="P370" s="5"/>
      <c r="Q370" s="5"/>
      <c r="R370" s="5"/>
      <c r="S370" s="5"/>
      <c r="T370" s="5"/>
      <c r="U370" s="5"/>
      <c r="V370" s="5"/>
      <c r="W370" s="5"/>
    </row>
    <row r="371" spans="1:23">
      <c r="A371" s="4"/>
      <c r="B371" s="31"/>
      <c r="C371" s="31"/>
      <c r="D371" s="31"/>
      <c r="E371" s="31"/>
      <c r="F371" s="31"/>
      <c r="G371" s="31"/>
      <c r="H371" s="5"/>
      <c r="I371" s="5"/>
      <c r="J371" s="5"/>
      <c r="K371" s="5"/>
      <c r="L371" s="5"/>
      <c r="M371" s="5"/>
      <c r="N371" s="5"/>
      <c r="O371" s="5"/>
      <c r="P371" s="5"/>
      <c r="Q371" s="5"/>
      <c r="R371" s="5"/>
      <c r="S371" s="5"/>
      <c r="T371" s="5"/>
      <c r="U371" s="5"/>
      <c r="V371" s="5"/>
      <c r="W371" s="5"/>
    </row>
    <row r="372" spans="1:23">
      <c r="A372" s="4"/>
      <c r="B372" s="31"/>
      <c r="C372" s="31"/>
      <c r="D372" s="31"/>
      <c r="E372" s="31"/>
      <c r="F372" s="31"/>
      <c r="G372" s="31"/>
      <c r="H372" s="5"/>
      <c r="I372" s="5"/>
      <c r="J372" s="5"/>
      <c r="K372" s="5"/>
      <c r="L372" s="5"/>
      <c r="M372" s="5"/>
      <c r="N372" s="5"/>
      <c r="O372" s="5"/>
      <c r="P372" s="5"/>
      <c r="Q372" s="5"/>
      <c r="R372" s="5"/>
      <c r="S372" s="5"/>
      <c r="T372" s="5"/>
      <c r="U372" s="5"/>
      <c r="V372" s="5"/>
      <c r="W372" s="5"/>
    </row>
    <row r="373" spans="1:23">
      <c r="A373" s="4"/>
      <c r="B373" s="31"/>
      <c r="C373" s="31"/>
      <c r="D373" s="31"/>
      <c r="E373" s="31"/>
      <c r="F373" s="31"/>
      <c r="G373" s="31"/>
      <c r="H373" s="5"/>
      <c r="I373" s="5"/>
      <c r="J373" s="5"/>
      <c r="K373" s="5"/>
      <c r="L373" s="5"/>
      <c r="M373" s="5"/>
      <c r="N373" s="5"/>
      <c r="O373" s="5"/>
      <c r="P373" s="5"/>
      <c r="Q373" s="5"/>
      <c r="R373" s="5"/>
      <c r="S373" s="5"/>
      <c r="T373" s="5"/>
      <c r="U373" s="5"/>
      <c r="V373" s="5"/>
      <c r="W373" s="5"/>
    </row>
    <row r="374" spans="1:23">
      <c r="A374" s="4"/>
      <c r="B374" s="31"/>
      <c r="C374" s="31"/>
      <c r="D374" s="31"/>
      <c r="E374" s="31"/>
      <c r="F374" s="31"/>
      <c r="G374" s="31"/>
      <c r="H374" s="5"/>
      <c r="I374" s="5"/>
      <c r="J374" s="5"/>
      <c r="K374" s="5"/>
      <c r="L374" s="5"/>
      <c r="M374" s="5"/>
      <c r="N374" s="5"/>
      <c r="O374" s="5"/>
      <c r="P374" s="5"/>
      <c r="Q374" s="5"/>
      <c r="R374" s="5"/>
      <c r="S374" s="5"/>
      <c r="T374" s="5"/>
      <c r="U374" s="5"/>
      <c r="V374" s="5"/>
      <c r="W374" s="5"/>
    </row>
    <row r="375" spans="1:23">
      <c r="A375" s="4"/>
      <c r="B375" s="31"/>
      <c r="C375" s="31"/>
      <c r="D375" s="31"/>
      <c r="E375" s="31"/>
      <c r="F375" s="31"/>
      <c r="G375" s="31"/>
      <c r="H375" s="5"/>
      <c r="I375" s="5"/>
      <c r="J375" s="5"/>
      <c r="K375" s="5"/>
      <c r="L375" s="5"/>
      <c r="M375" s="5"/>
      <c r="N375" s="5"/>
      <c r="O375" s="5"/>
      <c r="P375" s="5"/>
      <c r="Q375" s="5"/>
      <c r="R375" s="5"/>
      <c r="S375" s="5"/>
      <c r="T375" s="5"/>
      <c r="U375" s="5"/>
      <c r="V375" s="5"/>
      <c r="W375" s="5"/>
    </row>
    <row r="376" spans="1:23">
      <c r="A376" s="4"/>
      <c r="B376" s="31"/>
      <c r="C376" s="31"/>
      <c r="D376" s="31"/>
      <c r="E376" s="31"/>
      <c r="F376" s="31"/>
      <c r="G376" s="31"/>
      <c r="H376" s="5"/>
      <c r="I376" s="5"/>
      <c r="J376" s="5"/>
      <c r="K376" s="5"/>
      <c r="L376" s="5"/>
      <c r="M376" s="5"/>
      <c r="N376" s="5"/>
      <c r="O376" s="5"/>
      <c r="P376" s="5"/>
      <c r="Q376" s="5"/>
      <c r="R376" s="5"/>
      <c r="S376" s="5"/>
      <c r="T376" s="5"/>
      <c r="U376" s="5"/>
      <c r="V376" s="5"/>
      <c r="W376" s="5"/>
    </row>
    <row r="377" spans="1:23">
      <c r="A377" s="4"/>
      <c r="B377" s="31"/>
      <c r="C377" s="31"/>
      <c r="D377" s="31"/>
      <c r="E377" s="31"/>
      <c r="F377" s="31"/>
      <c r="G377" s="31"/>
      <c r="H377" s="5"/>
      <c r="I377" s="5"/>
      <c r="J377" s="5"/>
      <c r="K377" s="5"/>
      <c r="L377" s="5"/>
      <c r="M377" s="5"/>
      <c r="N377" s="5"/>
      <c r="O377" s="5"/>
      <c r="P377" s="5"/>
      <c r="Q377" s="5"/>
      <c r="R377" s="5"/>
      <c r="S377" s="5"/>
      <c r="T377" s="5"/>
      <c r="U377" s="5"/>
      <c r="V377" s="5"/>
      <c r="W377" s="5"/>
    </row>
    <row r="378" spans="1:23">
      <c r="A378" s="4"/>
      <c r="B378" s="31"/>
      <c r="C378" s="31"/>
      <c r="D378" s="31"/>
      <c r="E378" s="31"/>
      <c r="F378" s="31"/>
      <c r="G378" s="31"/>
      <c r="H378" s="5"/>
      <c r="I378" s="5"/>
      <c r="J378" s="5"/>
      <c r="K378" s="5"/>
      <c r="L378" s="5"/>
      <c r="M378" s="5"/>
      <c r="N378" s="5"/>
      <c r="O378" s="5"/>
      <c r="P378" s="5"/>
      <c r="Q378" s="5"/>
      <c r="R378" s="5"/>
      <c r="S378" s="5"/>
      <c r="T378" s="5"/>
      <c r="U378" s="5"/>
      <c r="V378" s="5"/>
      <c r="W378" s="5"/>
    </row>
    <row r="379" spans="1:23">
      <c r="A379" s="4"/>
      <c r="B379" s="31"/>
      <c r="C379" s="31"/>
      <c r="D379" s="31"/>
      <c r="E379" s="31"/>
      <c r="F379" s="31"/>
      <c r="G379" s="31"/>
      <c r="H379" s="5"/>
      <c r="I379" s="5"/>
      <c r="J379" s="5"/>
      <c r="K379" s="5"/>
      <c r="L379" s="5"/>
      <c r="M379" s="5"/>
      <c r="N379" s="5"/>
      <c r="O379" s="5"/>
      <c r="P379" s="5"/>
      <c r="Q379" s="5"/>
      <c r="R379" s="5"/>
      <c r="S379" s="5"/>
      <c r="T379" s="5"/>
      <c r="U379" s="5"/>
      <c r="V379" s="5"/>
      <c r="W379" s="5"/>
    </row>
    <row r="380" spans="1:23">
      <c r="A380" s="4"/>
      <c r="B380" s="31"/>
      <c r="C380" s="31"/>
      <c r="D380" s="31"/>
      <c r="E380" s="31"/>
      <c r="F380" s="31"/>
      <c r="G380" s="31"/>
      <c r="H380" s="5"/>
      <c r="I380" s="5"/>
      <c r="J380" s="5"/>
      <c r="K380" s="5"/>
      <c r="L380" s="5"/>
      <c r="M380" s="5"/>
      <c r="N380" s="5"/>
      <c r="O380" s="5"/>
      <c r="P380" s="5"/>
      <c r="Q380" s="5"/>
      <c r="R380" s="5"/>
      <c r="S380" s="5"/>
      <c r="T380" s="5"/>
      <c r="U380" s="5"/>
      <c r="V380" s="5"/>
      <c r="W380" s="5"/>
    </row>
    <row r="381" spans="1:23">
      <c r="A381" s="4"/>
      <c r="B381" s="31"/>
      <c r="C381" s="31"/>
      <c r="D381" s="31"/>
      <c r="E381" s="31"/>
      <c r="F381" s="31"/>
      <c r="G381" s="31"/>
      <c r="H381" s="5"/>
      <c r="I381" s="5"/>
      <c r="J381" s="5"/>
      <c r="K381" s="5"/>
      <c r="L381" s="5"/>
      <c r="M381" s="5"/>
      <c r="N381" s="5"/>
      <c r="O381" s="5"/>
      <c r="P381" s="5"/>
      <c r="Q381" s="5"/>
      <c r="R381" s="5"/>
      <c r="S381" s="5"/>
      <c r="T381" s="5"/>
      <c r="U381" s="5"/>
      <c r="V381" s="5"/>
      <c r="W381" s="5"/>
    </row>
    <row r="382" spans="1:23">
      <c r="A382" s="4"/>
      <c r="B382" s="31"/>
      <c r="C382" s="31"/>
      <c r="D382" s="31"/>
      <c r="E382" s="31"/>
      <c r="F382" s="31"/>
      <c r="G382" s="31"/>
      <c r="H382" s="5"/>
      <c r="I382" s="5"/>
      <c r="J382" s="5"/>
      <c r="K382" s="5"/>
      <c r="L382" s="5"/>
      <c r="M382" s="5"/>
      <c r="N382" s="5"/>
      <c r="O382" s="5"/>
      <c r="P382" s="5"/>
      <c r="Q382" s="5"/>
      <c r="R382" s="5"/>
      <c r="S382" s="5"/>
      <c r="T382" s="5"/>
      <c r="U382" s="5"/>
      <c r="V382" s="5"/>
      <c r="W382" s="5"/>
    </row>
    <row r="383" spans="1:23">
      <c r="A383" s="4"/>
      <c r="B383" s="31"/>
      <c r="C383" s="31"/>
      <c r="D383" s="31"/>
      <c r="E383" s="31"/>
      <c r="F383" s="31"/>
      <c r="G383" s="31"/>
      <c r="H383" s="5"/>
      <c r="I383" s="5"/>
      <c r="J383" s="5"/>
      <c r="K383" s="5"/>
      <c r="L383" s="5"/>
      <c r="M383" s="5"/>
      <c r="N383" s="5"/>
      <c r="O383" s="5"/>
      <c r="P383" s="5"/>
      <c r="Q383" s="5"/>
      <c r="R383" s="5"/>
      <c r="S383" s="5"/>
      <c r="T383" s="5"/>
      <c r="U383" s="5"/>
      <c r="V383" s="5"/>
      <c r="W383" s="5"/>
    </row>
    <row r="384" spans="1:23">
      <c r="A384" s="4"/>
      <c r="B384" s="31"/>
      <c r="C384" s="31"/>
      <c r="D384" s="31"/>
      <c r="E384" s="31"/>
      <c r="F384" s="31"/>
      <c r="G384" s="31"/>
      <c r="H384" s="5"/>
      <c r="I384" s="5"/>
      <c r="J384" s="5"/>
      <c r="K384" s="5"/>
      <c r="L384" s="5"/>
      <c r="M384" s="5"/>
      <c r="N384" s="5"/>
      <c r="O384" s="5"/>
      <c r="P384" s="5"/>
      <c r="Q384" s="5"/>
      <c r="R384" s="5"/>
      <c r="S384" s="5"/>
      <c r="T384" s="5"/>
      <c r="U384" s="5"/>
      <c r="V384" s="5"/>
      <c r="W384" s="5"/>
    </row>
    <row r="385" spans="1:23">
      <c r="A385" s="4"/>
      <c r="B385" s="31"/>
      <c r="C385" s="31"/>
      <c r="D385" s="31"/>
      <c r="E385" s="31"/>
      <c r="F385" s="31"/>
      <c r="G385" s="31"/>
      <c r="H385" s="5"/>
      <c r="I385" s="5"/>
      <c r="J385" s="5"/>
      <c r="K385" s="5"/>
      <c r="L385" s="5"/>
      <c r="M385" s="5"/>
      <c r="N385" s="5"/>
      <c r="O385" s="5"/>
      <c r="P385" s="5"/>
      <c r="Q385" s="5"/>
      <c r="R385" s="5"/>
      <c r="S385" s="5"/>
      <c r="T385" s="5"/>
      <c r="U385" s="5"/>
      <c r="V385" s="5"/>
      <c r="W385" s="5"/>
    </row>
    <row r="386" spans="1:23">
      <c r="A386" s="4"/>
      <c r="B386" s="31"/>
      <c r="C386" s="31"/>
      <c r="D386" s="31"/>
      <c r="E386" s="31"/>
      <c r="F386" s="31"/>
      <c r="G386" s="31"/>
      <c r="H386" s="5"/>
      <c r="I386" s="5"/>
      <c r="J386" s="5"/>
      <c r="K386" s="5"/>
      <c r="L386" s="5"/>
      <c r="M386" s="5"/>
      <c r="N386" s="5"/>
      <c r="O386" s="5"/>
      <c r="P386" s="5"/>
      <c r="Q386" s="5"/>
      <c r="R386" s="5"/>
      <c r="S386" s="5"/>
      <c r="T386" s="5"/>
      <c r="U386" s="5"/>
      <c r="V386" s="5"/>
      <c r="W386" s="5"/>
    </row>
    <row r="387" spans="1:23">
      <c r="A387" s="4"/>
      <c r="B387" s="31"/>
      <c r="C387" s="31"/>
      <c r="D387" s="31"/>
      <c r="E387" s="31"/>
      <c r="F387" s="31"/>
      <c r="G387" s="31"/>
      <c r="H387" s="5"/>
      <c r="I387" s="5"/>
      <c r="J387" s="5"/>
      <c r="K387" s="5"/>
      <c r="L387" s="5"/>
      <c r="M387" s="5"/>
      <c r="N387" s="5"/>
      <c r="O387" s="5"/>
      <c r="P387" s="5"/>
      <c r="Q387" s="5"/>
      <c r="R387" s="5"/>
      <c r="S387" s="5"/>
      <c r="T387" s="5"/>
      <c r="U387" s="5"/>
      <c r="V387" s="5"/>
      <c r="W387" s="5"/>
    </row>
    <row r="388" spans="1:23">
      <c r="A388" s="4"/>
      <c r="B388" s="31"/>
      <c r="C388" s="31"/>
      <c r="D388" s="31"/>
      <c r="E388" s="31"/>
      <c r="F388" s="31"/>
      <c r="G388" s="31"/>
      <c r="H388" s="5"/>
      <c r="I388" s="5"/>
      <c r="J388" s="5"/>
      <c r="K388" s="5"/>
      <c r="L388" s="5"/>
      <c r="M388" s="5"/>
      <c r="N388" s="5"/>
      <c r="O388" s="5"/>
      <c r="P388" s="5"/>
      <c r="Q388" s="5"/>
      <c r="R388" s="5"/>
      <c r="S388" s="5"/>
      <c r="T388" s="5"/>
      <c r="U388" s="5"/>
      <c r="V388" s="5"/>
      <c r="W388" s="5"/>
    </row>
    <row r="389" spans="1:23">
      <c r="A389" s="4"/>
      <c r="B389" s="31"/>
      <c r="C389" s="31"/>
      <c r="D389" s="31"/>
      <c r="E389" s="31"/>
      <c r="F389" s="31"/>
      <c r="G389" s="31"/>
      <c r="H389" s="5"/>
      <c r="I389" s="5"/>
      <c r="J389" s="5"/>
      <c r="K389" s="5"/>
      <c r="L389" s="5"/>
      <c r="M389" s="5"/>
      <c r="N389" s="5"/>
      <c r="O389" s="5"/>
      <c r="P389" s="5"/>
      <c r="Q389" s="5"/>
      <c r="R389" s="5"/>
      <c r="S389" s="5"/>
      <c r="T389" s="5"/>
      <c r="U389" s="5"/>
      <c r="V389" s="5"/>
      <c r="W389" s="5"/>
    </row>
    <row r="390" spans="1:23">
      <c r="A390" s="4"/>
      <c r="B390" s="31"/>
      <c r="C390" s="31"/>
      <c r="D390" s="31"/>
      <c r="E390" s="31"/>
      <c r="F390" s="31"/>
      <c r="G390" s="31"/>
      <c r="H390" s="5"/>
      <c r="I390" s="5"/>
      <c r="J390" s="5"/>
      <c r="K390" s="5"/>
      <c r="L390" s="5"/>
      <c r="M390" s="5"/>
      <c r="N390" s="5"/>
      <c r="O390" s="5"/>
      <c r="P390" s="5"/>
      <c r="Q390" s="5"/>
      <c r="R390" s="5"/>
      <c r="S390" s="5"/>
      <c r="T390" s="5"/>
      <c r="U390" s="5"/>
      <c r="V390" s="5"/>
      <c r="W390" s="5"/>
    </row>
    <row r="391" spans="1:23">
      <c r="A391" s="4"/>
      <c r="B391" s="31"/>
      <c r="C391" s="31"/>
      <c r="D391" s="31"/>
      <c r="E391" s="31"/>
      <c r="F391" s="31"/>
      <c r="G391" s="31"/>
      <c r="H391" s="5"/>
      <c r="I391" s="5"/>
      <c r="J391" s="5"/>
      <c r="K391" s="5"/>
      <c r="L391" s="5"/>
      <c r="M391" s="5"/>
      <c r="N391" s="5"/>
      <c r="O391" s="5"/>
      <c r="P391" s="5"/>
      <c r="Q391" s="5"/>
      <c r="R391" s="5"/>
      <c r="S391" s="5"/>
      <c r="T391" s="5"/>
      <c r="U391" s="5"/>
      <c r="V391" s="5"/>
      <c r="W391" s="5"/>
    </row>
    <row r="392" spans="1:23">
      <c r="A392" s="4"/>
      <c r="B392" s="31"/>
      <c r="C392" s="31"/>
      <c r="D392" s="31"/>
      <c r="E392" s="31"/>
      <c r="F392" s="31"/>
      <c r="G392" s="31"/>
      <c r="H392" s="5"/>
      <c r="I392" s="5"/>
      <c r="J392" s="5"/>
      <c r="K392" s="5"/>
      <c r="L392" s="5"/>
      <c r="M392" s="5"/>
      <c r="N392" s="5"/>
      <c r="O392" s="5"/>
      <c r="P392" s="5"/>
      <c r="Q392" s="5"/>
      <c r="R392" s="5"/>
      <c r="S392" s="5"/>
      <c r="T392" s="5"/>
      <c r="U392" s="5"/>
      <c r="V392" s="5"/>
      <c r="W392" s="5"/>
    </row>
    <row r="393" spans="1:23">
      <c r="A393" s="4"/>
      <c r="B393" s="31"/>
      <c r="C393" s="31"/>
      <c r="D393" s="31"/>
      <c r="E393" s="31"/>
      <c r="F393" s="31"/>
      <c r="G393" s="31"/>
      <c r="H393" s="5"/>
      <c r="I393" s="5"/>
      <c r="J393" s="5"/>
      <c r="K393" s="5"/>
      <c r="L393" s="5"/>
      <c r="M393" s="5"/>
      <c r="N393" s="5"/>
      <c r="O393" s="5"/>
      <c r="P393" s="5"/>
      <c r="Q393" s="5"/>
      <c r="R393" s="5"/>
      <c r="S393" s="5"/>
      <c r="T393" s="5"/>
      <c r="U393" s="5"/>
      <c r="V393" s="5"/>
      <c r="W393" s="5"/>
    </row>
    <row r="394" spans="1:23">
      <c r="A394" s="4"/>
      <c r="B394" s="31"/>
      <c r="C394" s="31"/>
      <c r="D394" s="31"/>
      <c r="E394" s="31"/>
      <c r="F394" s="31"/>
      <c r="G394" s="31"/>
      <c r="H394" s="5"/>
      <c r="I394" s="5"/>
      <c r="J394" s="5"/>
      <c r="K394" s="5"/>
      <c r="L394" s="5"/>
      <c r="M394" s="5"/>
      <c r="N394" s="5"/>
      <c r="O394" s="5"/>
      <c r="P394" s="5"/>
      <c r="Q394" s="5"/>
      <c r="R394" s="5"/>
      <c r="S394" s="5"/>
      <c r="T394" s="5"/>
      <c r="U394" s="5"/>
      <c r="V394" s="5"/>
      <c r="W394" s="5"/>
    </row>
    <row r="395" spans="1:23">
      <c r="A395" s="4"/>
      <c r="B395" s="31"/>
      <c r="C395" s="31"/>
      <c r="D395" s="31"/>
      <c r="E395" s="31"/>
      <c r="F395" s="31"/>
      <c r="G395" s="31"/>
      <c r="H395" s="5"/>
      <c r="I395" s="5"/>
      <c r="J395" s="5"/>
      <c r="K395" s="5"/>
      <c r="L395" s="5"/>
      <c r="M395" s="5"/>
      <c r="N395" s="5"/>
      <c r="O395" s="5"/>
      <c r="P395" s="5"/>
      <c r="Q395" s="5"/>
      <c r="R395" s="5"/>
      <c r="S395" s="5"/>
      <c r="T395" s="5"/>
      <c r="U395" s="5"/>
      <c r="V395" s="5"/>
      <c r="W395" s="5"/>
    </row>
    <row r="396" spans="1:23">
      <c r="A396" s="4"/>
      <c r="B396" s="31"/>
      <c r="C396" s="31"/>
      <c r="D396" s="31"/>
      <c r="E396" s="31"/>
      <c r="F396" s="31"/>
      <c r="G396" s="31"/>
      <c r="H396" s="5"/>
      <c r="I396" s="5"/>
      <c r="J396" s="5"/>
      <c r="K396" s="5"/>
      <c r="L396" s="5"/>
      <c r="M396" s="5"/>
      <c r="N396" s="5"/>
      <c r="O396" s="5"/>
      <c r="P396" s="5"/>
      <c r="Q396" s="5"/>
      <c r="R396" s="5"/>
      <c r="S396" s="5"/>
      <c r="T396" s="5"/>
      <c r="U396" s="5"/>
      <c r="V396" s="5"/>
      <c r="W396" s="5"/>
    </row>
    <row r="397" spans="1:23">
      <c r="A397" s="4"/>
      <c r="B397" s="31"/>
      <c r="C397" s="31"/>
      <c r="D397" s="31"/>
      <c r="E397" s="31"/>
      <c r="F397" s="31"/>
      <c r="G397" s="31"/>
      <c r="H397" s="5"/>
      <c r="I397" s="5"/>
      <c r="J397" s="5"/>
      <c r="K397" s="5"/>
      <c r="L397" s="5"/>
      <c r="M397" s="5"/>
      <c r="N397" s="5"/>
      <c r="O397" s="5"/>
      <c r="P397" s="5"/>
      <c r="Q397" s="5"/>
      <c r="R397" s="5"/>
      <c r="S397" s="5"/>
      <c r="T397" s="5"/>
      <c r="U397" s="5"/>
      <c r="V397" s="5"/>
      <c r="W397" s="5"/>
    </row>
    <row r="398" spans="1:23">
      <c r="A398" s="4"/>
      <c r="B398" s="31"/>
      <c r="C398" s="31"/>
      <c r="D398" s="31"/>
      <c r="E398" s="31"/>
      <c r="F398" s="31"/>
      <c r="G398" s="31"/>
      <c r="H398" s="5"/>
      <c r="I398" s="5"/>
      <c r="J398" s="5"/>
      <c r="K398" s="5"/>
      <c r="L398" s="5"/>
      <c r="M398" s="5"/>
      <c r="N398" s="5"/>
      <c r="O398" s="5"/>
      <c r="P398" s="5"/>
      <c r="Q398" s="5"/>
      <c r="R398" s="5"/>
      <c r="S398" s="5"/>
      <c r="T398" s="5"/>
      <c r="U398" s="5"/>
      <c r="V398" s="5"/>
      <c r="W398" s="5"/>
    </row>
    <row r="399" spans="1:23">
      <c r="A399" s="4"/>
      <c r="B399" s="31"/>
      <c r="C399" s="31"/>
      <c r="D399" s="31"/>
      <c r="E399" s="31"/>
      <c r="F399" s="31"/>
      <c r="G399" s="31"/>
      <c r="H399" s="5"/>
      <c r="I399" s="5"/>
      <c r="J399" s="5"/>
      <c r="K399" s="5"/>
      <c r="L399" s="5"/>
      <c r="M399" s="5"/>
      <c r="N399" s="5"/>
      <c r="O399" s="5"/>
      <c r="P399" s="5"/>
      <c r="Q399" s="5"/>
      <c r="R399" s="5"/>
      <c r="S399" s="5"/>
      <c r="T399" s="5"/>
      <c r="U399" s="5"/>
      <c r="V399" s="5"/>
      <c r="W399" s="5"/>
    </row>
    <row r="400" spans="1:23">
      <c r="A400" s="4"/>
      <c r="B400" s="31"/>
      <c r="C400" s="31"/>
      <c r="D400" s="31"/>
      <c r="E400" s="31"/>
      <c r="F400" s="31"/>
      <c r="G400" s="31"/>
      <c r="H400" s="5"/>
      <c r="I400" s="5"/>
      <c r="J400" s="5"/>
      <c r="K400" s="5"/>
      <c r="L400" s="5"/>
      <c r="M400" s="5"/>
      <c r="N400" s="5"/>
      <c r="O400" s="5"/>
      <c r="P400" s="5"/>
      <c r="Q400" s="5"/>
      <c r="R400" s="5"/>
      <c r="S400" s="5"/>
      <c r="T400" s="5"/>
      <c r="U400" s="5"/>
      <c r="V400" s="5"/>
      <c r="W400" s="5"/>
    </row>
    <row r="401" spans="1:23">
      <c r="A401" s="4"/>
      <c r="B401" s="31"/>
      <c r="C401" s="31"/>
      <c r="D401" s="31"/>
      <c r="E401" s="31"/>
      <c r="F401" s="31"/>
      <c r="G401" s="31"/>
      <c r="H401" s="5"/>
      <c r="I401" s="5"/>
      <c r="J401" s="5"/>
      <c r="K401" s="5"/>
      <c r="L401" s="5"/>
      <c r="M401" s="5"/>
      <c r="N401" s="5"/>
      <c r="O401" s="5"/>
      <c r="P401" s="5"/>
      <c r="Q401" s="5"/>
      <c r="R401" s="5"/>
      <c r="S401" s="5"/>
      <c r="T401" s="5"/>
      <c r="U401" s="5"/>
      <c r="V401" s="5"/>
      <c r="W401" s="5"/>
    </row>
    <row r="402" spans="1:23">
      <c r="A402" s="4"/>
      <c r="B402" s="31"/>
      <c r="C402" s="31"/>
      <c r="D402" s="31"/>
      <c r="E402" s="31"/>
      <c r="F402" s="31"/>
      <c r="G402" s="31"/>
      <c r="H402" s="5"/>
      <c r="I402" s="5"/>
      <c r="J402" s="5"/>
      <c r="K402" s="5"/>
      <c r="L402" s="5"/>
      <c r="M402" s="5"/>
      <c r="N402" s="5"/>
      <c r="O402" s="5"/>
      <c r="P402" s="5"/>
      <c r="Q402" s="5"/>
      <c r="R402" s="5"/>
      <c r="S402" s="5"/>
      <c r="T402" s="5"/>
      <c r="U402" s="5"/>
      <c r="V402" s="5"/>
      <c r="W402" s="5"/>
    </row>
    <row r="403" spans="1:23">
      <c r="A403" s="4"/>
      <c r="B403" s="31"/>
      <c r="C403" s="31"/>
      <c r="D403" s="31"/>
      <c r="E403" s="31"/>
      <c r="F403" s="31"/>
      <c r="G403" s="31"/>
      <c r="H403" s="5"/>
      <c r="I403" s="5"/>
      <c r="J403" s="5"/>
      <c r="K403" s="5"/>
      <c r="L403" s="5"/>
      <c r="M403" s="5"/>
      <c r="N403" s="5"/>
      <c r="O403" s="5"/>
      <c r="P403" s="5"/>
      <c r="Q403" s="5"/>
      <c r="R403" s="5"/>
      <c r="S403" s="5"/>
      <c r="T403" s="5"/>
      <c r="U403" s="5"/>
      <c r="V403" s="5"/>
      <c r="W403" s="5"/>
    </row>
    <row r="404" spans="1:23">
      <c r="A404" s="4"/>
      <c r="B404" s="31"/>
      <c r="C404" s="31"/>
      <c r="D404" s="31"/>
      <c r="E404" s="31"/>
      <c r="F404" s="31"/>
      <c r="G404" s="31"/>
      <c r="H404" s="5"/>
      <c r="I404" s="5"/>
      <c r="J404" s="5"/>
      <c r="K404" s="5"/>
      <c r="L404" s="5"/>
      <c r="M404" s="5"/>
      <c r="N404" s="5"/>
      <c r="O404" s="5"/>
      <c r="P404" s="5"/>
      <c r="Q404" s="5"/>
      <c r="R404" s="5"/>
      <c r="S404" s="5"/>
      <c r="T404" s="5"/>
      <c r="U404" s="5"/>
      <c r="V404" s="5"/>
      <c r="W404" s="5"/>
    </row>
    <row r="405" spans="1:23">
      <c r="A405" s="4"/>
      <c r="B405" s="31"/>
      <c r="C405" s="31"/>
      <c r="D405" s="31"/>
      <c r="E405" s="31"/>
      <c r="F405" s="31"/>
      <c r="G405" s="31"/>
      <c r="H405" s="5"/>
      <c r="I405" s="5"/>
      <c r="J405" s="5"/>
      <c r="K405" s="5"/>
      <c r="L405" s="5"/>
      <c r="M405" s="5"/>
      <c r="N405" s="5"/>
      <c r="O405" s="5"/>
      <c r="P405" s="5"/>
      <c r="Q405" s="5"/>
      <c r="R405" s="5"/>
      <c r="S405" s="5"/>
      <c r="T405" s="5"/>
      <c r="U405" s="5"/>
      <c r="V405" s="5"/>
      <c r="W405" s="5"/>
    </row>
    <row r="406" spans="1:23">
      <c r="A406" s="4"/>
      <c r="B406" s="31"/>
      <c r="C406" s="31"/>
      <c r="D406" s="31"/>
      <c r="E406" s="31"/>
      <c r="F406" s="31"/>
      <c r="G406" s="31"/>
      <c r="H406" s="5"/>
      <c r="I406" s="5"/>
      <c r="J406" s="5"/>
      <c r="K406" s="5"/>
      <c r="L406" s="5"/>
      <c r="M406" s="5"/>
      <c r="N406" s="5"/>
      <c r="O406" s="5"/>
      <c r="P406" s="5"/>
      <c r="Q406" s="5"/>
      <c r="R406" s="5"/>
      <c r="S406" s="5"/>
      <c r="T406" s="5"/>
      <c r="U406" s="5"/>
      <c r="V406" s="5"/>
      <c r="W406" s="5"/>
    </row>
    <row r="407" spans="1:23">
      <c r="A407" s="4"/>
      <c r="B407" s="31"/>
      <c r="C407" s="31"/>
      <c r="D407" s="31"/>
      <c r="E407" s="31"/>
      <c r="F407" s="31"/>
      <c r="G407" s="31"/>
      <c r="H407" s="5"/>
      <c r="I407" s="5"/>
      <c r="J407" s="5"/>
      <c r="K407" s="5"/>
      <c r="L407" s="5"/>
      <c r="M407" s="5"/>
      <c r="N407" s="5"/>
      <c r="O407" s="5"/>
      <c r="P407" s="5"/>
      <c r="Q407" s="5"/>
      <c r="R407" s="5"/>
      <c r="S407" s="5"/>
      <c r="T407" s="5"/>
      <c r="U407" s="5"/>
      <c r="V407" s="5"/>
      <c r="W407" s="5"/>
    </row>
    <row r="408" spans="1:23">
      <c r="A408" s="4"/>
      <c r="B408" s="31"/>
      <c r="C408" s="31"/>
      <c r="D408" s="31"/>
      <c r="E408" s="31"/>
      <c r="F408" s="31"/>
      <c r="G408" s="31"/>
      <c r="H408" s="5"/>
      <c r="I408" s="5"/>
      <c r="J408" s="5"/>
      <c r="K408" s="5"/>
      <c r="L408" s="5"/>
      <c r="M408" s="5"/>
      <c r="N408" s="5"/>
      <c r="O408" s="5"/>
      <c r="P408" s="5"/>
      <c r="Q408" s="5"/>
      <c r="R408" s="5"/>
      <c r="S408" s="5"/>
      <c r="T408" s="5"/>
      <c r="U408" s="5"/>
      <c r="V408" s="5"/>
      <c r="W408" s="5"/>
    </row>
    <row r="409" spans="1:23">
      <c r="A409" s="4"/>
      <c r="B409" s="31"/>
      <c r="C409" s="31"/>
      <c r="D409" s="31"/>
      <c r="E409" s="31"/>
      <c r="F409" s="31"/>
      <c r="G409" s="31"/>
      <c r="H409" s="5"/>
      <c r="I409" s="5"/>
      <c r="J409" s="5"/>
      <c r="K409" s="5"/>
      <c r="L409" s="5"/>
      <c r="M409" s="5"/>
      <c r="N409" s="5"/>
      <c r="O409" s="5"/>
      <c r="P409" s="5"/>
      <c r="Q409" s="5"/>
      <c r="R409" s="5"/>
      <c r="S409" s="5"/>
      <c r="T409" s="5"/>
      <c r="U409" s="5"/>
      <c r="V409" s="5"/>
      <c r="W409" s="5"/>
    </row>
    <row r="410" spans="1:23">
      <c r="A410" s="4"/>
      <c r="B410" s="31"/>
      <c r="C410" s="31"/>
      <c r="D410" s="31"/>
      <c r="E410" s="31"/>
      <c r="F410" s="31"/>
      <c r="G410" s="31"/>
      <c r="H410" s="5"/>
      <c r="I410" s="5"/>
      <c r="J410" s="5"/>
      <c r="K410" s="5"/>
      <c r="L410" s="5"/>
      <c r="M410" s="5"/>
      <c r="N410" s="5"/>
      <c r="O410" s="5"/>
      <c r="P410" s="5"/>
      <c r="Q410" s="5"/>
      <c r="R410" s="5"/>
      <c r="S410" s="5"/>
      <c r="T410" s="5"/>
      <c r="U410" s="5"/>
      <c r="V410" s="5"/>
      <c r="W410" s="5"/>
    </row>
    <row r="411" spans="1:23">
      <c r="A411" s="4"/>
      <c r="B411" s="31"/>
      <c r="C411" s="31"/>
      <c r="D411" s="31"/>
      <c r="E411" s="31"/>
      <c r="F411" s="31"/>
      <c r="G411" s="31"/>
      <c r="H411" s="5"/>
      <c r="I411" s="5"/>
      <c r="J411" s="5"/>
      <c r="K411" s="5"/>
      <c r="L411" s="5"/>
      <c r="M411" s="5"/>
      <c r="N411" s="5"/>
      <c r="O411" s="5"/>
      <c r="P411" s="5"/>
      <c r="Q411" s="5"/>
      <c r="R411" s="5"/>
      <c r="S411" s="5"/>
      <c r="T411" s="5"/>
      <c r="U411" s="5"/>
      <c r="V411" s="5"/>
      <c r="W411" s="5"/>
    </row>
    <row r="412" spans="1:23">
      <c r="A412" s="4"/>
      <c r="B412" s="31"/>
      <c r="C412" s="31"/>
      <c r="D412" s="31"/>
      <c r="E412" s="31"/>
      <c r="F412" s="31"/>
      <c r="G412" s="31"/>
      <c r="H412" s="5"/>
      <c r="I412" s="5"/>
      <c r="J412" s="5"/>
      <c r="K412" s="5"/>
      <c r="L412" s="5"/>
      <c r="M412" s="5"/>
      <c r="N412" s="5"/>
      <c r="O412" s="5"/>
      <c r="P412" s="5"/>
      <c r="Q412" s="5"/>
      <c r="R412" s="5"/>
      <c r="S412" s="5"/>
      <c r="T412" s="5"/>
      <c r="U412" s="5"/>
      <c r="V412" s="5"/>
      <c r="W412" s="5"/>
    </row>
    <row r="413" spans="1:23">
      <c r="A413" s="4"/>
      <c r="B413" s="31"/>
      <c r="C413" s="31"/>
      <c r="D413" s="31"/>
      <c r="E413" s="31"/>
      <c r="F413" s="31"/>
      <c r="G413" s="31"/>
      <c r="H413" s="5"/>
      <c r="I413" s="5"/>
      <c r="J413" s="5"/>
      <c r="K413" s="5"/>
      <c r="L413" s="5"/>
      <c r="M413" s="5"/>
      <c r="N413" s="5"/>
      <c r="O413" s="5"/>
      <c r="P413" s="5"/>
      <c r="Q413" s="5"/>
      <c r="R413" s="5"/>
      <c r="S413" s="5"/>
      <c r="T413" s="5"/>
      <c r="U413" s="5"/>
      <c r="V413" s="5"/>
      <c r="W413" s="5"/>
    </row>
    <row r="414" spans="1:23">
      <c r="A414" s="4"/>
      <c r="B414" s="31"/>
      <c r="C414" s="31"/>
      <c r="D414" s="31"/>
      <c r="E414" s="31"/>
      <c r="F414" s="31"/>
      <c r="G414" s="31"/>
      <c r="H414" s="5"/>
      <c r="I414" s="5"/>
      <c r="J414" s="5"/>
      <c r="K414" s="5"/>
      <c r="L414" s="5"/>
      <c r="M414" s="5"/>
      <c r="N414" s="5"/>
      <c r="O414" s="5"/>
      <c r="P414" s="5"/>
      <c r="Q414" s="5"/>
      <c r="R414" s="5"/>
      <c r="S414" s="5"/>
      <c r="T414" s="5"/>
      <c r="U414" s="5"/>
      <c r="V414" s="5"/>
      <c r="W414" s="5"/>
    </row>
    <row r="415" spans="1:23">
      <c r="A415" s="4"/>
      <c r="B415" s="31"/>
      <c r="C415" s="31"/>
      <c r="D415" s="31"/>
      <c r="E415" s="31"/>
      <c r="F415" s="31"/>
      <c r="G415" s="31"/>
      <c r="H415" s="5"/>
      <c r="I415" s="5"/>
      <c r="J415" s="5"/>
      <c r="K415" s="5"/>
      <c r="L415" s="5"/>
      <c r="M415" s="5"/>
      <c r="N415" s="5"/>
      <c r="O415" s="5"/>
      <c r="P415" s="5"/>
      <c r="Q415" s="5"/>
      <c r="R415" s="5"/>
      <c r="S415" s="5"/>
      <c r="T415" s="5"/>
      <c r="U415" s="5"/>
      <c r="V415" s="5"/>
      <c r="W415" s="5"/>
    </row>
    <row r="416" spans="1:23">
      <c r="A416" s="4"/>
      <c r="B416" s="31"/>
      <c r="C416" s="31"/>
      <c r="D416" s="31"/>
      <c r="E416" s="31"/>
      <c r="F416" s="31"/>
      <c r="G416" s="31"/>
      <c r="H416" s="5"/>
      <c r="I416" s="5"/>
      <c r="J416" s="5"/>
      <c r="K416" s="5"/>
      <c r="L416" s="5"/>
      <c r="M416" s="5"/>
      <c r="N416" s="5"/>
      <c r="O416" s="5"/>
      <c r="P416" s="5"/>
      <c r="Q416" s="5"/>
      <c r="R416" s="5"/>
      <c r="S416" s="5"/>
      <c r="T416" s="5"/>
      <c r="U416" s="5"/>
      <c r="V416" s="5"/>
      <c r="W416" s="5"/>
    </row>
    <row r="417" spans="1:23">
      <c r="A417" s="4"/>
      <c r="B417" s="31"/>
      <c r="C417" s="31"/>
      <c r="D417" s="31"/>
      <c r="E417" s="31"/>
      <c r="F417" s="31"/>
      <c r="G417" s="31"/>
      <c r="H417" s="5"/>
      <c r="I417" s="5"/>
      <c r="J417" s="5"/>
      <c r="K417" s="5"/>
      <c r="L417" s="5"/>
      <c r="M417" s="5"/>
      <c r="N417" s="5"/>
      <c r="O417" s="5"/>
      <c r="P417" s="5"/>
      <c r="Q417" s="5"/>
      <c r="R417" s="5"/>
      <c r="S417" s="5"/>
      <c r="T417" s="5"/>
      <c r="U417" s="5"/>
      <c r="V417" s="5"/>
      <c r="W417" s="5"/>
    </row>
    <row r="418" spans="1:23">
      <c r="A418" s="4"/>
      <c r="B418" s="31"/>
      <c r="C418" s="31"/>
      <c r="D418" s="31"/>
      <c r="E418" s="31"/>
      <c r="F418" s="31"/>
      <c r="G418" s="31"/>
      <c r="H418" s="5"/>
      <c r="I418" s="5"/>
      <c r="J418" s="5"/>
      <c r="K418" s="5"/>
      <c r="L418" s="5"/>
      <c r="M418" s="5"/>
      <c r="N418" s="5"/>
      <c r="O418" s="5"/>
      <c r="P418" s="5"/>
      <c r="Q418" s="5"/>
      <c r="R418" s="5"/>
      <c r="S418" s="5"/>
      <c r="T418" s="5"/>
      <c r="U418" s="5"/>
      <c r="V418" s="5"/>
      <c r="W418" s="5"/>
    </row>
    <row r="419" spans="1:23">
      <c r="A419" s="4"/>
      <c r="B419" s="31"/>
      <c r="C419" s="31"/>
      <c r="D419" s="31"/>
      <c r="E419" s="31"/>
      <c r="F419" s="31"/>
      <c r="G419" s="31"/>
      <c r="H419" s="5"/>
      <c r="I419" s="5"/>
      <c r="J419" s="5"/>
      <c r="K419" s="5"/>
      <c r="L419" s="5"/>
      <c r="M419" s="5"/>
      <c r="N419" s="5"/>
      <c r="O419" s="5"/>
      <c r="P419" s="5"/>
      <c r="Q419" s="5"/>
      <c r="R419" s="5"/>
      <c r="S419" s="5"/>
      <c r="T419" s="5"/>
      <c r="U419" s="5"/>
      <c r="V419" s="5"/>
      <c r="W419" s="5"/>
    </row>
    <row r="420" spans="1:23">
      <c r="A420" s="4"/>
      <c r="B420" s="31"/>
      <c r="C420" s="31"/>
      <c r="D420" s="31"/>
      <c r="E420" s="31"/>
      <c r="F420" s="31"/>
      <c r="G420" s="31"/>
      <c r="H420" s="5"/>
      <c r="I420" s="5"/>
      <c r="J420" s="5"/>
      <c r="K420" s="5"/>
      <c r="L420" s="5"/>
      <c r="M420" s="5"/>
      <c r="N420" s="5"/>
      <c r="O420" s="5"/>
      <c r="P420" s="5"/>
      <c r="Q420" s="5"/>
      <c r="R420" s="5"/>
      <c r="S420" s="5"/>
      <c r="T420" s="5"/>
      <c r="U420" s="5"/>
      <c r="V420" s="5"/>
      <c r="W420" s="5"/>
    </row>
    <row r="421" spans="1:23">
      <c r="A421" s="4"/>
      <c r="B421" s="31"/>
      <c r="C421" s="31"/>
      <c r="D421" s="31"/>
      <c r="E421" s="31"/>
      <c r="F421" s="31"/>
      <c r="G421" s="31"/>
      <c r="H421" s="5"/>
      <c r="I421" s="5"/>
      <c r="J421" s="5"/>
      <c r="K421" s="5"/>
      <c r="L421" s="5"/>
      <c r="M421" s="5"/>
      <c r="N421" s="5"/>
      <c r="O421" s="5"/>
      <c r="P421" s="5"/>
      <c r="Q421" s="5"/>
      <c r="R421" s="5"/>
      <c r="S421" s="5"/>
      <c r="T421" s="5"/>
      <c r="U421" s="5"/>
      <c r="V421" s="5"/>
      <c r="W421" s="5"/>
    </row>
    <row r="422" spans="1:23">
      <c r="A422" s="4"/>
      <c r="B422" s="31"/>
      <c r="C422" s="31"/>
      <c r="D422" s="31"/>
      <c r="E422" s="31"/>
      <c r="F422" s="31"/>
      <c r="G422" s="31"/>
      <c r="H422" s="5"/>
      <c r="I422" s="5"/>
      <c r="J422" s="5"/>
      <c r="K422" s="5"/>
      <c r="L422" s="5"/>
      <c r="M422" s="5"/>
      <c r="N422" s="5"/>
      <c r="O422" s="5"/>
      <c r="P422" s="5"/>
      <c r="Q422" s="5"/>
      <c r="R422" s="5"/>
      <c r="S422" s="5"/>
      <c r="T422" s="5"/>
      <c r="U422" s="5"/>
      <c r="V422" s="5"/>
      <c r="W422" s="5"/>
    </row>
    <row r="423" spans="1:23">
      <c r="A423" s="4"/>
      <c r="B423" s="31"/>
      <c r="C423" s="31"/>
      <c r="D423" s="31"/>
      <c r="E423" s="31"/>
      <c r="F423" s="31"/>
      <c r="G423" s="31"/>
      <c r="H423" s="5"/>
      <c r="I423" s="5"/>
      <c r="J423" s="5"/>
      <c r="K423" s="5"/>
      <c r="L423" s="5"/>
      <c r="M423" s="5"/>
      <c r="N423" s="5"/>
      <c r="O423" s="5"/>
      <c r="P423" s="5"/>
      <c r="Q423" s="5"/>
      <c r="R423" s="5"/>
      <c r="S423" s="5"/>
      <c r="T423" s="5"/>
      <c r="U423" s="5"/>
      <c r="V423" s="5"/>
      <c r="W423" s="5"/>
    </row>
    <row r="424" spans="1:23">
      <c r="A424" s="4"/>
      <c r="B424" s="31"/>
      <c r="C424" s="31"/>
      <c r="D424" s="31"/>
      <c r="E424" s="31"/>
      <c r="F424" s="31"/>
      <c r="G424" s="31"/>
      <c r="H424" s="5"/>
      <c r="I424" s="5"/>
      <c r="J424" s="5"/>
      <c r="K424" s="5"/>
      <c r="L424" s="5"/>
      <c r="M424" s="5"/>
      <c r="N424" s="5"/>
      <c r="O424" s="5"/>
      <c r="P424" s="5"/>
      <c r="Q424" s="5"/>
      <c r="R424" s="5"/>
      <c r="S424" s="5"/>
      <c r="T424" s="5"/>
      <c r="U424" s="5"/>
      <c r="V424" s="5"/>
      <c r="W424" s="5"/>
    </row>
    <row r="425" spans="1:23">
      <c r="A425" s="4"/>
      <c r="B425" s="31"/>
      <c r="C425" s="31"/>
      <c r="D425" s="31"/>
      <c r="E425" s="31"/>
      <c r="F425" s="31"/>
      <c r="G425" s="31"/>
      <c r="H425" s="5"/>
      <c r="I425" s="5"/>
      <c r="J425" s="5"/>
      <c r="K425" s="5"/>
      <c r="L425" s="5"/>
      <c r="M425" s="5"/>
      <c r="N425" s="5"/>
      <c r="O425" s="5"/>
      <c r="P425" s="5"/>
      <c r="Q425" s="5"/>
      <c r="R425" s="5"/>
      <c r="S425" s="5"/>
      <c r="T425" s="5"/>
      <c r="U425" s="5"/>
      <c r="V425" s="5"/>
      <c r="W425" s="5"/>
    </row>
    <row r="426" spans="1:23">
      <c r="A426" s="4"/>
      <c r="B426" s="31"/>
      <c r="C426" s="31"/>
      <c r="D426" s="31"/>
      <c r="E426" s="31"/>
      <c r="F426" s="31"/>
      <c r="G426" s="31"/>
      <c r="H426" s="5"/>
      <c r="I426" s="5"/>
      <c r="J426" s="5"/>
      <c r="K426" s="5"/>
      <c r="L426" s="5"/>
      <c r="M426" s="5"/>
      <c r="N426" s="5"/>
      <c r="O426" s="5"/>
      <c r="P426" s="5"/>
      <c r="Q426" s="5"/>
      <c r="R426" s="5"/>
      <c r="S426" s="5"/>
      <c r="T426" s="5"/>
      <c r="U426" s="5"/>
      <c r="V426" s="5"/>
      <c r="W426" s="5"/>
    </row>
    <row r="427" spans="1:23">
      <c r="A427" s="4"/>
      <c r="B427" s="31"/>
      <c r="C427" s="31"/>
      <c r="D427" s="31"/>
      <c r="E427" s="31"/>
      <c r="F427" s="31"/>
      <c r="G427" s="31"/>
      <c r="H427" s="5"/>
      <c r="I427" s="5"/>
      <c r="J427" s="5"/>
      <c r="K427" s="5"/>
      <c r="L427" s="5"/>
      <c r="M427" s="5"/>
      <c r="N427" s="5"/>
      <c r="O427" s="5"/>
      <c r="P427" s="5"/>
      <c r="Q427" s="5"/>
      <c r="R427" s="5"/>
      <c r="S427" s="5"/>
      <c r="T427" s="5"/>
      <c r="U427" s="5"/>
      <c r="V427" s="5"/>
      <c r="W427" s="5"/>
    </row>
    <row r="428" spans="1:23">
      <c r="A428" s="4"/>
      <c r="B428" s="31"/>
      <c r="C428" s="31"/>
      <c r="D428" s="31"/>
      <c r="E428" s="31"/>
      <c r="F428" s="31"/>
      <c r="G428" s="31"/>
      <c r="H428" s="5"/>
      <c r="I428" s="5"/>
      <c r="J428" s="5"/>
      <c r="K428" s="5"/>
      <c r="L428" s="5"/>
      <c r="M428" s="5"/>
      <c r="N428" s="5"/>
      <c r="O428" s="5"/>
      <c r="P428" s="5"/>
      <c r="Q428" s="5"/>
      <c r="R428" s="5"/>
      <c r="S428" s="5"/>
      <c r="T428" s="5"/>
      <c r="U428" s="5"/>
      <c r="V428" s="5"/>
      <c r="W428" s="5"/>
    </row>
    <row r="429" spans="1:23">
      <c r="A429" s="4"/>
      <c r="B429" s="31"/>
      <c r="C429" s="31"/>
      <c r="D429" s="31"/>
      <c r="E429" s="31"/>
      <c r="F429" s="31"/>
      <c r="G429" s="31"/>
      <c r="H429" s="5"/>
      <c r="I429" s="5"/>
      <c r="J429" s="5"/>
      <c r="K429" s="5"/>
      <c r="L429" s="5"/>
      <c r="M429" s="5"/>
      <c r="N429" s="5"/>
      <c r="O429" s="5"/>
      <c r="P429" s="5"/>
      <c r="Q429" s="5"/>
      <c r="R429" s="5"/>
      <c r="S429" s="5"/>
      <c r="T429" s="5"/>
      <c r="U429" s="5"/>
      <c r="V429" s="5"/>
      <c r="W429" s="5"/>
    </row>
    <row r="430" spans="1:23">
      <c r="A430" s="4"/>
      <c r="B430" s="31"/>
      <c r="C430" s="31"/>
      <c r="D430" s="31"/>
      <c r="E430" s="31"/>
      <c r="F430" s="31"/>
      <c r="G430" s="31"/>
      <c r="H430" s="5"/>
      <c r="I430" s="5"/>
      <c r="J430" s="5"/>
      <c r="K430" s="5"/>
      <c r="L430" s="5"/>
      <c r="M430" s="5"/>
      <c r="N430" s="5"/>
      <c r="O430" s="5"/>
      <c r="P430" s="5"/>
      <c r="Q430" s="5"/>
      <c r="R430" s="5"/>
      <c r="S430" s="5"/>
      <c r="T430" s="5"/>
      <c r="U430" s="5"/>
      <c r="V430" s="5"/>
      <c r="W430" s="5"/>
    </row>
    <row r="431" spans="1:23">
      <c r="A431" s="4"/>
      <c r="B431" s="31"/>
      <c r="C431" s="31"/>
      <c r="D431" s="31"/>
      <c r="E431" s="31"/>
      <c r="F431" s="31"/>
      <c r="G431" s="31"/>
      <c r="H431" s="5"/>
      <c r="I431" s="5"/>
      <c r="J431" s="5"/>
      <c r="K431" s="5"/>
      <c r="L431" s="5"/>
      <c r="M431" s="5"/>
      <c r="N431" s="5"/>
      <c r="O431" s="5"/>
      <c r="P431" s="5"/>
      <c r="Q431" s="5"/>
      <c r="R431" s="5"/>
      <c r="S431" s="5"/>
      <c r="T431" s="5"/>
      <c r="U431" s="5"/>
      <c r="V431" s="5"/>
      <c r="W431" s="5"/>
    </row>
    <row r="432" spans="1:23">
      <c r="A432" s="4"/>
      <c r="B432" s="31"/>
      <c r="C432" s="31"/>
      <c r="D432" s="31"/>
      <c r="E432" s="31"/>
      <c r="F432" s="31"/>
      <c r="G432" s="31"/>
      <c r="H432" s="5"/>
      <c r="I432" s="5"/>
      <c r="J432" s="5"/>
      <c r="K432" s="5"/>
      <c r="L432" s="5"/>
      <c r="M432" s="5"/>
      <c r="N432" s="5"/>
      <c r="O432" s="5"/>
      <c r="P432" s="5"/>
      <c r="Q432" s="5"/>
      <c r="R432" s="5"/>
      <c r="S432" s="5"/>
      <c r="T432" s="5"/>
      <c r="U432" s="5"/>
      <c r="V432" s="5"/>
      <c r="W432" s="5"/>
    </row>
    <row r="433" spans="1:23">
      <c r="A433" s="4"/>
      <c r="B433" s="31"/>
      <c r="C433" s="31"/>
      <c r="D433" s="31"/>
      <c r="E433" s="31"/>
      <c r="F433" s="31"/>
      <c r="G433" s="31"/>
      <c r="H433" s="5"/>
      <c r="I433" s="5"/>
      <c r="J433" s="5"/>
      <c r="K433" s="5"/>
      <c r="L433" s="5"/>
      <c r="M433" s="5"/>
      <c r="N433" s="5"/>
      <c r="O433" s="5"/>
      <c r="P433" s="5"/>
      <c r="Q433" s="5"/>
      <c r="R433" s="5"/>
      <c r="S433" s="5"/>
      <c r="T433" s="5"/>
      <c r="U433" s="5"/>
      <c r="V433" s="5"/>
      <c r="W433" s="5"/>
    </row>
    <row r="434" spans="1:23">
      <c r="A434" s="4"/>
      <c r="B434" s="31"/>
      <c r="C434" s="31"/>
      <c r="D434" s="31"/>
      <c r="E434" s="31"/>
      <c r="F434" s="31"/>
      <c r="G434" s="31"/>
      <c r="H434" s="5"/>
      <c r="I434" s="5"/>
      <c r="J434" s="5"/>
      <c r="K434" s="5"/>
      <c r="L434" s="5"/>
      <c r="M434" s="5"/>
      <c r="N434" s="5"/>
      <c r="O434" s="5"/>
      <c r="P434" s="5"/>
      <c r="Q434" s="5"/>
      <c r="R434" s="5"/>
      <c r="S434" s="5"/>
      <c r="T434" s="5"/>
      <c r="U434" s="5"/>
      <c r="V434" s="5"/>
      <c r="W434" s="5"/>
    </row>
    <row r="435" spans="1:23">
      <c r="A435" s="4"/>
      <c r="B435" s="31"/>
      <c r="C435" s="31"/>
      <c r="D435" s="31"/>
      <c r="E435" s="31"/>
      <c r="F435" s="31"/>
      <c r="G435" s="31"/>
      <c r="H435" s="5"/>
      <c r="I435" s="5"/>
      <c r="J435" s="5"/>
      <c r="K435" s="5"/>
      <c r="L435" s="5"/>
      <c r="M435" s="5"/>
      <c r="N435" s="5"/>
      <c r="O435" s="5"/>
      <c r="P435" s="5"/>
      <c r="Q435" s="5"/>
      <c r="R435" s="5"/>
      <c r="S435" s="5"/>
      <c r="T435" s="5"/>
      <c r="U435" s="5"/>
      <c r="V435" s="5"/>
      <c r="W435" s="5"/>
    </row>
    <row r="436" spans="1:23">
      <c r="A436" s="4"/>
      <c r="B436" s="31"/>
      <c r="C436" s="31"/>
      <c r="D436" s="31"/>
      <c r="E436" s="31"/>
      <c r="F436" s="31"/>
      <c r="G436" s="31"/>
      <c r="H436" s="5"/>
      <c r="I436" s="5"/>
      <c r="J436" s="5"/>
      <c r="K436" s="5"/>
      <c r="L436" s="5"/>
      <c r="M436" s="5"/>
      <c r="N436" s="5"/>
      <c r="O436" s="5"/>
      <c r="P436" s="5"/>
      <c r="Q436" s="5"/>
      <c r="R436" s="5"/>
      <c r="S436" s="5"/>
      <c r="T436" s="5"/>
      <c r="U436" s="5"/>
      <c r="V436" s="5"/>
      <c r="W436" s="5"/>
    </row>
    <row r="437" spans="1:23">
      <c r="A437" s="4"/>
      <c r="B437" s="31"/>
      <c r="C437" s="31"/>
      <c r="D437" s="31"/>
      <c r="E437" s="31"/>
      <c r="F437" s="31"/>
      <c r="G437" s="31"/>
      <c r="H437" s="5"/>
      <c r="I437" s="5"/>
      <c r="J437" s="5"/>
      <c r="K437" s="5"/>
      <c r="L437" s="5"/>
      <c r="M437" s="5"/>
      <c r="N437" s="5"/>
      <c r="O437" s="5"/>
      <c r="P437" s="5"/>
      <c r="Q437" s="5"/>
      <c r="R437" s="5"/>
      <c r="S437" s="5"/>
      <c r="T437" s="5"/>
      <c r="U437" s="5"/>
      <c r="V437" s="5"/>
      <c r="W437" s="5"/>
    </row>
    <row r="438" spans="1:23">
      <c r="A438" s="4"/>
      <c r="B438" s="31"/>
      <c r="C438" s="31"/>
      <c r="D438" s="31"/>
      <c r="E438" s="31"/>
      <c r="F438" s="31"/>
      <c r="G438" s="31"/>
      <c r="H438" s="5"/>
      <c r="I438" s="5"/>
      <c r="J438" s="5"/>
      <c r="K438" s="5"/>
      <c r="L438" s="5"/>
      <c r="M438" s="5"/>
      <c r="N438" s="5"/>
      <c r="O438" s="5"/>
      <c r="P438" s="5"/>
      <c r="Q438" s="5"/>
      <c r="R438" s="5"/>
      <c r="S438" s="5"/>
      <c r="T438" s="5"/>
      <c r="U438" s="5"/>
      <c r="V438" s="5"/>
      <c r="W438" s="5"/>
    </row>
    <row r="439" spans="1:23">
      <c r="A439" s="4"/>
      <c r="B439" s="31"/>
      <c r="C439" s="31"/>
      <c r="D439" s="31"/>
      <c r="E439" s="31"/>
      <c r="F439" s="31"/>
      <c r="G439" s="31"/>
      <c r="H439" s="5"/>
      <c r="I439" s="5"/>
      <c r="J439" s="5"/>
      <c r="K439" s="5"/>
      <c r="L439" s="5"/>
      <c r="M439" s="5"/>
      <c r="N439" s="5"/>
      <c r="O439" s="5"/>
      <c r="P439" s="5"/>
      <c r="Q439" s="5"/>
      <c r="R439" s="5"/>
      <c r="S439" s="5"/>
      <c r="T439" s="5"/>
      <c r="U439" s="5"/>
      <c r="V439" s="5"/>
      <c r="W439" s="5"/>
    </row>
    <row r="440" spans="1:23">
      <c r="A440" s="4"/>
      <c r="B440" s="31"/>
      <c r="C440" s="31"/>
      <c r="D440" s="31"/>
      <c r="E440" s="31"/>
      <c r="F440" s="31"/>
      <c r="G440" s="31"/>
      <c r="H440" s="5"/>
      <c r="I440" s="5"/>
      <c r="J440" s="5"/>
      <c r="K440" s="5"/>
      <c r="L440" s="5"/>
      <c r="M440" s="5"/>
      <c r="N440" s="5"/>
      <c r="O440" s="5"/>
      <c r="P440" s="5"/>
      <c r="Q440" s="5"/>
      <c r="R440" s="5"/>
      <c r="S440" s="5"/>
      <c r="T440" s="5"/>
      <c r="U440" s="5"/>
      <c r="V440" s="5"/>
      <c r="W440" s="5"/>
    </row>
    <row r="441" spans="1:23">
      <c r="A441" s="4"/>
      <c r="B441" s="31"/>
      <c r="C441" s="31"/>
      <c r="D441" s="31"/>
      <c r="E441" s="31"/>
      <c r="F441" s="31"/>
      <c r="G441" s="31"/>
      <c r="H441" s="5"/>
      <c r="I441" s="5"/>
      <c r="J441" s="5"/>
      <c r="K441" s="5"/>
      <c r="L441" s="5"/>
      <c r="M441" s="5"/>
      <c r="N441" s="5"/>
      <c r="O441" s="5"/>
      <c r="P441" s="5"/>
      <c r="Q441" s="5"/>
      <c r="R441" s="5"/>
      <c r="S441" s="5"/>
      <c r="T441" s="5"/>
      <c r="U441" s="5"/>
      <c r="V441" s="5"/>
      <c r="W441" s="5"/>
    </row>
    <row r="442" spans="1:23">
      <c r="A442" s="4"/>
      <c r="B442" s="31"/>
      <c r="C442" s="31"/>
      <c r="D442" s="31"/>
      <c r="E442" s="31"/>
      <c r="F442" s="31"/>
      <c r="G442" s="31"/>
      <c r="H442" s="5"/>
      <c r="I442" s="5"/>
      <c r="J442" s="5"/>
      <c r="K442" s="5"/>
      <c r="L442" s="5"/>
      <c r="M442" s="5"/>
      <c r="N442" s="5"/>
      <c r="O442" s="5"/>
      <c r="P442" s="5"/>
      <c r="Q442" s="5"/>
      <c r="R442" s="5"/>
      <c r="S442" s="5"/>
      <c r="T442" s="5"/>
      <c r="U442" s="5"/>
      <c r="V442" s="5"/>
      <c r="W442" s="5"/>
    </row>
    <row r="443" spans="1:23">
      <c r="A443" s="4"/>
      <c r="B443" s="31"/>
      <c r="C443" s="31"/>
      <c r="D443" s="31"/>
      <c r="E443" s="31"/>
      <c r="F443" s="31"/>
      <c r="G443" s="31"/>
      <c r="H443" s="5"/>
      <c r="I443" s="5"/>
      <c r="J443" s="5"/>
      <c r="K443" s="5"/>
      <c r="L443" s="5"/>
      <c r="M443" s="5"/>
      <c r="N443" s="5"/>
      <c r="O443" s="5"/>
      <c r="P443" s="5"/>
      <c r="Q443" s="5"/>
      <c r="R443" s="5"/>
      <c r="S443" s="5"/>
      <c r="T443" s="5"/>
      <c r="U443" s="5"/>
      <c r="V443" s="5"/>
      <c r="W443" s="5"/>
    </row>
    <row r="444" spans="1:23">
      <c r="A444" s="4"/>
      <c r="B444" s="31"/>
      <c r="C444" s="31"/>
      <c r="D444" s="31"/>
      <c r="E444" s="31"/>
      <c r="F444" s="31"/>
      <c r="G444" s="31"/>
      <c r="H444" s="5"/>
      <c r="I444" s="5"/>
      <c r="J444" s="5"/>
      <c r="K444" s="5"/>
      <c r="L444" s="5"/>
      <c r="M444" s="5"/>
      <c r="N444" s="5"/>
      <c r="O444" s="5"/>
      <c r="P444" s="5"/>
      <c r="Q444" s="5"/>
      <c r="R444" s="5"/>
      <c r="S444" s="5"/>
      <c r="T444" s="5"/>
      <c r="U444" s="5"/>
      <c r="V444" s="5"/>
      <c r="W444" s="5"/>
    </row>
    <row r="445" spans="1:23">
      <c r="A445" s="4"/>
      <c r="B445" s="31"/>
      <c r="C445" s="31"/>
      <c r="D445" s="31"/>
      <c r="E445" s="31"/>
      <c r="F445" s="31"/>
      <c r="G445" s="31"/>
      <c r="H445" s="5"/>
      <c r="I445" s="5"/>
      <c r="J445" s="5"/>
      <c r="K445" s="5"/>
      <c r="L445" s="5"/>
      <c r="M445" s="5"/>
      <c r="N445" s="5"/>
      <c r="O445" s="5"/>
      <c r="P445" s="5"/>
      <c r="Q445" s="5"/>
      <c r="R445" s="5"/>
      <c r="S445" s="5"/>
      <c r="T445" s="5"/>
      <c r="U445" s="5"/>
      <c r="V445" s="5"/>
      <c r="W445" s="5"/>
    </row>
    <row r="446" spans="1:23">
      <c r="A446" s="4"/>
      <c r="B446" s="31"/>
      <c r="C446" s="31"/>
      <c r="D446" s="31"/>
      <c r="E446" s="31"/>
      <c r="F446" s="31"/>
      <c r="G446" s="31"/>
      <c r="H446" s="5"/>
      <c r="I446" s="5"/>
      <c r="J446" s="5"/>
      <c r="K446" s="5"/>
      <c r="L446" s="5"/>
      <c r="M446" s="5"/>
      <c r="N446" s="5"/>
      <c r="O446" s="5"/>
      <c r="P446" s="5"/>
      <c r="Q446" s="5"/>
      <c r="R446" s="5"/>
      <c r="S446" s="5"/>
      <c r="T446" s="5"/>
      <c r="U446" s="5"/>
      <c r="V446" s="5"/>
      <c r="W446" s="5"/>
    </row>
    <row r="447" spans="1:23">
      <c r="A447" s="4"/>
      <c r="B447" s="31"/>
      <c r="C447" s="31"/>
      <c r="D447" s="31"/>
      <c r="E447" s="31"/>
      <c r="F447" s="31"/>
      <c r="G447" s="31"/>
      <c r="H447" s="5"/>
      <c r="I447" s="5"/>
      <c r="J447" s="5"/>
      <c r="K447" s="5"/>
      <c r="L447" s="5"/>
      <c r="M447" s="5"/>
      <c r="N447" s="5"/>
      <c r="O447" s="5"/>
      <c r="P447" s="5"/>
      <c r="Q447" s="5"/>
      <c r="R447" s="5"/>
      <c r="S447" s="5"/>
      <c r="T447" s="5"/>
      <c r="U447" s="5"/>
      <c r="V447" s="5"/>
      <c r="W447" s="5"/>
    </row>
    <row r="448" spans="1:23">
      <c r="A448" s="4"/>
      <c r="B448" s="31"/>
      <c r="C448" s="31"/>
      <c r="D448" s="31"/>
      <c r="E448" s="31"/>
      <c r="F448" s="31"/>
      <c r="G448" s="31"/>
      <c r="H448" s="5"/>
      <c r="I448" s="5"/>
      <c r="J448" s="5"/>
      <c r="K448" s="5"/>
      <c r="L448" s="5"/>
      <c r="M448" s="5"/>
      <c r="N448" s="5"/>
      <c r="O448" s="5"/>
      <c r="P448" s="5"/>
      <c r="Q448" s="5"/>
      <c r="R448" s="5"/>
      <c r="S448" s="5"/>
      <c r="T448" s="5"/>
      <c r="U448" s="5"/>
      <c r="V448" s="5"/>
      <c r="W448" s="5"/>
    </row>
    <row r="449" spans="1:23">
      <c r="A449" s="4"/>
      <c r="B449" s="31"/>
      <c r="C449" s="31"/>
      <c r="D449" s="31"/>
      <c r="E449" s="31"/>
      <c r="F449" s="31"/>
      <c r="G449" s="31"/>
      <c r="H449" s="5"/>
      <c r="I449" s="5"/>
      <c r="J449" s="5"/>
      <c r="K449" s="5"/>
      <c r="L449" s="5"/>
      <c r="M449" s="5"/>
      <c r="N449" s="5"/>
      <c r="O449" s="5"/>
      <c r="P449" s="5"/>
      <c r="Q449" s="5"/>
      <c r="R449" s="5"/>
      <c r="S449" s="5"/>
      <c r="T449" s="5"/>
      <c r="U449" s="5"/>
      <c r="V449" s="5"/>
      <c r="W449" s="5"/>
    </row>
    <row r="450" spans="1:23">
      <c r="A450" s="4"/>
      <c r="B450" s="31"/>
      <c r="C450" s="31"/>
      <c r="D450" s="31"/>
      <c r="E450" s="31"/>
      <c r="F450" s="31"/>
      <c r="G450" s="31"/>
      <c r="H450" s="5"/>
      <c r="I450" s="5"/>
      <c r="J450" s="5"/>
      <c r="K450" s="5"/>
      <c r="L450" s="5"/>
      <c r="M450" s="5"/>
      <c r="N450" s="5"/>
      <c r="O450" s="5"/>
      <c r="P450" s="5"/>
      <c r="Q450" s="5"/>
      <c r="R450" s="5"/>
      <c r="S450" s="5"/>
      <c r="T450" s="5"/>
      <c r="U450" s="5"/>
      <c r="V450" s="5"/>
      <c r="W450" s="5"/>
    </row>
    <row r="451" spans="1:23">
      <c r="A451" s="4"/>
      <c r="B451" s="31"/>
      <c r="C451" s="31"/>
      <c r="D451" s="31"/>
      <c r="E451" s="31"/>
      <c r="F451" s="31"/>
      <c r="G451" s="31"/>
      <c r="H451" s="5"/>
      <c r="I451" s="5"/>
      <c r="J451" s="5"/>
      <c r="K451" s="5"/>
      <c r="L451" s="5"/>
      <c r="M451" s="5"/>
      <c r="N451" s="5"/>
      <c r="O451" s="5"/>
      <c r="P451" s="5"/>
      <c r="Q451" s="5"/>
      <c r="R451" s="5"/>
      <c r="S451" s="5"/>
      <c r="T451" s="5"/>
      <c r="U451" s="5"/>
      <c r="V451" s="5"/>
      <c r="W451" s="5"/>
    </row>
    <row r="452" spans="1:23">
      <c r="A452" s="4"/>
      <c r="B452" s="31"/>
      <c r="C452" s="31"/>
      <c r="D452" s="31"/>
      <c r="E452" s="31"/>
      <c r="F452" s="31"/>
      <c r="G452" s="31"/>
      <c r="H452" s="5"/>
      <c r="I452" s="5"/>
      <c r="J452" s="5"/>
      <c r="K452" s="5"/>
      <c r="L452" s="5"/>
      <c r="M452" s="5"/>
      <c r="N452" s="5"/>
      <c r="O452" s="5"/>
      <c r="P452" s="5"/>
      <c r="Q452" s="5"/>
      <c r="R452" s="5"/>
      <c r="S452" s="5"/>
      <c r="T452" s="5"/>
      <c r="U452" s="5"/>
      <c r="V452" s="5"/>
      <c r="W452" s="5"/>
    </row>
    <row r="453" spans="1:23">
      <c r="A453" s="4"/>
      <c r="B453" s="31"/>
      <c r="C453" s="31"/>
      <c r="D453" s="31"/>
      <c r="E453" s="31"/>
      <c r="F453" s="31"/>
      <c r="G453" s="31"/>
      <c r="H453" s="5"/>
      <c r="I453" s="5"/>
      <c r="J453" s="5"/>
      <c r="K453" s="5"/>
      <c r="L453" s="5"/>
      <c r="M453" s="5"/>
      <c r="N453" s="5"/>
      <c r="O453" s="5"/>
      <c r="P453" s="5"/>
      <c r="Q453" s="5"/>
      <c r="R453" s="5"/>
      <c r="S453" s="5"/>
      <c r="T453" s="5"/>
      <c r="U453" s="5"/>
      <c r="V453" s="5"/>
      <c r="W453" s="5"/>
    </row>
    <row r="454" spans="1:23">
      <c r="A454" s="4"/>
      <c r="B454" s="31"/>
      <c r="C454" s="31"/>
      <c r="D454" s="31"/>
      <c r="E454" s="31"/>
      <c r="F454" s="31"/>
      <c r="G454" s="31"/>
      <c r="H454" s="5"/>
      <c r="I454" s="5"/>
      <c r="J454" s="5"/>
      <c r="K454" s="5"/>
      <c r="L454" s="5"/>
      <c r="M454" s="5"/>
      <c r="N454" s="5"/>
      <c r="O454" s="5"/>
      <c r="P454" s="5"/>
      <c r="Q454" s="5"/>
      <c r="R454" s="5"/>
      <c r="S454" s="5"/>
      <c r="T454" s="5"/>
      <c r="U454" s="5"/>
      <c r="V454" s="5"/>
      <c r="W454" s="5"/>
    </row>
    <row r="455" spans="1:23">
      <c r="A455" s="4"/>
      <c r="B455" s="31"/>
      <c r="C455" s="31"/>
      <c r="D455" s="31"/>
      <c r="E455" s="31"/>
      <c r="F455" s="31"/>
      <c r="G455" s="31"/>
      <c r="H455" s="5"/>
      <c r="I455" s="5"/>
      <c r="J455" s="5"/>
      <c r="K455" s="5"/>
      <c r="L455" s="5"/>
      <c r="M455" s="5"/>
      <c r="N455" s="5"/>
      <c r="O455" s="5"/>
      <c r="P455" s="5"/>
      <c r="Q455" s="5"/>
      <c r="R455" s="5"/>
      <c r="S455" s="5"/>
      <c r="T455" s="5"/>
      <c r="U455" s="5"/>
      <c r="V455" s="5"/>
      <c r="W455" s="5"/>
    </row>
    <row r="456" spans="1:23">
      <c r="A456" s="4"/>
      <c r="B456" s="31"/>
      <c r="C456" s="31"/>
      <c r="D456" s="31"/>
      <c r="E456" s="31"/>
      <c r="F456" s="31"/>
      <c r="G456" s="31"/>
      <c r="H456" s="5"/>
      <c r="I456" s="5"/>
      <c r="J456" s="5"/>
      <c r="K456" s="5"/>
      <c r="L456" s="5"/>
      <c r="M456" s="5"/>
      <c r="N456" s="5"/>
      <c r="O456" s="5"/>
      <c r="P456" s="5"/>
      <c r="Q456" s="5"/>
      <c r="R456" s="5"/>
      <c r="S456" s="5"/>
      <c r="T456" s="5"/>
      <c r="U456" s="5"/>
      <c r="V456" s="5"/>
      <c r="W456" s="5"/>
    </row>
    <row r="457" spans="1:23">
      <c r="A457" s="4"/>
      <c r="B457" s="31"/>
      <c r="C457" s="31"/>
      <c r="D457" s="31"/>
      <c r="E457" s="31"/>
      <c r="F457" s="31"/>
      <c r="G457" s="31"/>
      <c r="H457" s="5"/>
      <c r="I457" s="5"/>
      <c r="J457" s="5"/>
      <c r="K457" s="5"/>
      <c r="L457" s="5"/>
      <c r="M457" s="5"/>
      <c r="N457" s="5"/>
      <c r="O457" s="5"/>
      <c r="P457" s="5"/>
      <c r="Q457" s="5"/>
      <c r="R457" s="5"/>
      <c r="S457" s="5"/>
      <c r="T457" s="5"/>
      <c r="U457" s="5"/>
      <c r="V457" s="5"/>
      <c r="W457" s="5"/>
    </row>
    <row r="458" spans="1:23">
      <c r="A458" s="4"/>
      <c r="B458" s="31"/>
      <c r="C458" s="31"/>
      <c r="D458" s="31"/>
      <c r="E458" s="31"/>
      <c r="F458" s="31"/>
      <c r="G458" s="31"/>
      <c r="H458" s="5"/>
      <c r="I458" s="5"/>
      <c r="J458" s="5"/>
      <c r="K458" s="5"/>
      <c r="L458" s="5"/>
      <c r="M458" s="5"/>
      <c r="N458" s="5"/>
      <c r="O458" s="5"/>
      <c r="P458" s="5"/>
      <c r="Q458" s="5"/>
      <c r="R458" s="5"/>
      <c r="S458" s="5"/>
      <c r="T458" s="5"/>
      <c r="U458" s="5"/>
      <c r="V458" s="5"/>
      <c r="W458" s="5"/>
    </row>
    <row r="459" spans="1:23">
      <c r="A459" s="4"/>
      <c r="B459" s="31"/>
      <c r="C459" s="31"/>
      <c r="D459" s="31"/>
      <c r="E459" s="31"/>
      <c r="F459" s="31"/>
      <c r="G459" s="31"/>
      <c r="H459" s="5"/>
      <c r="I459" s="5"/>
      <c r="J459" s="5"/>
      <c r="K459" s="5"/>
      <c r="L459" s="5"/>
      <c r="M459" s="5"/>
      <c r="N459" s="5"/>
      <c r="O459" s="5"/>
      <c r="P459" s="5"/>
      <c r="Q459" s="5"/>
      <c r="R459" s="5"/>
      <c r="S459" s="5"/>
      <c r="T459" s="5"/>
      <c r="U459" s="5"/>
      <c r="V459" s="5"/>
      <c r="W459" s="5"/>
    </row>
    <row r="460" spans="1:23">
      <c r="A460" s="4"/>
      <c r="B460" s="31"/>
      <c r="C460" s="31"/>
      <c r="D460" s="31"/>
      <c r="E460" s="31"/>
      <c r="F460" s="31"/>
      <c r="G460" s="31"/>
      <c r="H460" s="5"/>
      <c r="I460" s="5"/>
      <c r="J460" s="5"/>
      <c r="K460" s="5"/>
      <c r="L460" s="5"/>
      <c r="M460" s="5"/>
      <c r="N460" s="5"/>
      <c r="O460" s="5"/>
      <c r="P460" s="5"/>
      <c r="Q460" s="5"/>
      <c r="R460" s="5"/>
      <c r="S460" s="5"/>
      <c r="T460" s="5"/>
      <c r="U460" s="5"/>
      <c r="V460" s="5"/>
      <c r="W460" s="5"/>
    </row>
    <row r="461" spans="1:23">
      <c r="A461" s="4"/>
      <c r="B461" s="31"/>
      <c r="C461" s="31"/>
      <c r="D461" s="31"/>
      <c r="E461" s="31"/>
      <c r="F461" s="31"/>
      <c r="G461" s="31"/>
      <c r="H461" s="5"/>
      <c r="I461" s="5"/>
      <c r="J461" s="5"/>
      <c r="K461" s="5"/>
      <c r="L461" s="5"/>
      <c r="M461" s="5"/>
      <c r="N461" s="5"/>
      <c r="O461" s="5"/>
      <c r="P461" s="5"/>
      <c r="Q461" s="5"/>
      <c r="R461" s="5"/>
      <c r="S461" s="5"/>
      <c r="T461" s="5"/>
      <c r="U461" s="5"/>
      <c r="V461" s="5"/>
      <c r="W461" s="5"/>
    </row>
    <row r="462" spans="1:23">
      <c r="A462" s="4"/>
      <c r="B462" s="31"/>
      <c r="C462" s="31"/>
      <c r="D462" s="31"/>
      <c r="E462" s="31"/>
      <c r="F462" s="31"/>
      <c r="G462" s="31"/>
      <c r="H462" s="5"/>
      <c r="I462" s="5"/>
      <c r="J462" s="5"/>
      <c r="K462" s="5"/>
      <c r="L462" s="5"/>
      <c r="M462" s="5"/>
      <c r="N462" s="5"/>
      <c r="O462" s="5"/>
      <c r="P462" s="5"/>
      <c r="Q462" s="5"/>
      <c r="R462" s="5"/>
      <c r="S462" s="5"/>
      <c r="T462" s="5"/>
      <c r="U462" s="5"/>
      <c r="V462" s="5"/>
      <c r="W462" s="5"/>
    </row>
    <row r="463" spans="1:23">
      <c r="A463" s="4"/>
      <c r="B463" s="31"/>
      <c r="C463" s="31"/>
      <c r="D463" s="31"/>
      <c r="E463" s="31"/>
      <c r="F463" s="31"/>
      <c r="G463" s="31"/>
      <c r="H463" s="5"/>
      <c r="I463" s="5"/>
      <c r="J463" s="5"/>
      <c r="K463" s="5"/>
      <c r="L463" s="5"/>
      <c r="M463" s="5"/>
      <c r="N463" s="5"/>
      <c r="O463" s="5"/>
      <c r="P463" s="5"/>
      <c r="Q463" s="5"/>
      <c r="R463" s="5"/>
      <c r="S463" s="5"/>
      <c r="T463" s="5"/>
      <c r="U463" s="5"/>
      <c r="V463" s="5"/>
      <c r="W463" s="5"/>
    </row>
    <row r="464" spans="1:23">
      <c r="A464" s="4"/>
      <c r="B464" s="31"/>
      <c r="C464" s="31"/>
      <c r="D464" s="31"/>
      <c r="E464" s="31"/>
      <c r="F464" s="31"/>
      <c r="G464" s="31"/>
      <c r="H464" s="5"/>
      <c r="I464" s="5"/>
      <c r="J464" s="5"/>
      <c r="K464" s="5"/>
      <c r="L464" s="5"/>
      <c r="M464" s="5"/>
      <c r="N464" s="5"/>
      <c r="O464" s="5"/>
      <c r="P464" s="5"/>
      <c r="Q464" s="5"/>
      <c r="R464" s="5"/>
      <c r="S464" s="5"/>
      <c r="T464" s="5"/>
      <c r="U464" s="5"/>
      <c r="V464" s="5"/>
      <c r="W464" s="5"/>
    </row>
    <row r="465" spans="1:23">
      <c r="A465" s="4"/>
      <c r="B465" s="31"/>
      <c r="C465" s="31"/>
      <c r="D465" s="31"/>
      <c r="E465" s="31"/>
      <c r="F465" s="31"/>
      <c r="G465" s="31"/>
      <c r="H465" s="5"/>
      <c r="I465" s="5"/>
      <c r="J465" s="5"/>
      <c r="K465" s="5"/>
      <c r="L465" s="5"/>
      <c r="M465" s="5"/>
      <c r="N465" s="5"/>
      <c r="O465" s="5"/>
      <c r="P465" s="5"/>
      <c r="Q465" s="5"/>
      <c r="R465" s="5"/>
      <c r="S465" s="5"/>
      <c r="T465" s="5"/>
      <c r="U465" s="5"/>
      <c r="V465" s="5"/>
      <c r="W465" s="5"/>
    </row>
    <row r="466" spans="1:23">
      <c r="A466" s="4"/>
      <c r="B466" s="31"/>
      <c r="C466" s="31"/>
      <c r="D466" s="31"/>
      <c r="E466" s="31"/>
      <c r="F466" s="31"/>
      <c r="G466" s="31"/>
      <c r="H466" s="5"/>
      <c r="I466" s="5"/>
      <c r="J466" s="5"/>
      <c r="K466" s="5"/>
      <c r="L466" s="5"/>
      <c r="M466" s="5"/>
      <c r="N466" s="5"/>
      <c r="O466" s="5"/>
      <c r="P466" s="5"/>
      <c r="Q466" s="5"/>
      <c r="R466" s="5"/>
      <c r="S466" s="5"/>
      <c r="T466" s="5"/>
      <c r="U466" s="5"/>
      <c r="V466" s="5"/>
      <c r="W466" s="5"/>
    </row>
    <row r="467" spans="1:23">
      <c r="A467" s="4"/>
      <c r="B467" s="31"/>
      <c r="C467" s="31"/>
      <c r="D467" s="31"/>
      <c r="E467" s="31"/>
      <c r="F467" s="31"/>
      <c r="G467" s="31"/>
      <c r="H467" s="5"/>
      <c r="I467" s="5"/>
      <c r="J467" s="5"/>
      <c r="K467" s="5"/>
      <c r="L467" s="5"/>
      <c r="M467" s="5"/>
      <c r="N467" s="5"/>
      <c r="O467" s="5"/>
      <c r="P467" s="5"/>
      <c r="Q467" s="5"/>
      <c r="R467" s="5"/>
      <c r="S467" s="5"/>
      <c r="T467" s="5"/>
      <c r="U467" s="5"/>
      <c r="V467" s="5"/>
      <c r="W467" s="5"/>
    </row>
    <row r="468" spans="1:23">
      <c r="A468" s="4"/>
      <c r="B468" s="31"/>
      <c r="C468" s="31"/>
      <c r="D468" s="31"/>
      <c r="E468" s="31"/>
      <c r="F468" s="31"/>
      <c r="G468" s="31"/>
      <c r="H468" s="5"/>
      <c r="I468" s="5"/>
      <c r="J468" s="5"/>
      <c r="K468" s="5"/>
      <c r="L468" s="5"/>
      <c r="M468" s="5"/>
      <c r="N468" s="5"/>
      <c r="O468" s="5"/>
      <c r="P468" s="5"/>
      <c r="Q468" s="5"/>
      <c r="R468" s="5"/>
      <c r="S468" s="5"/>
      <c r="T468" s="5"/>
      <c r="U468" s="5"/>
      <c r="V468" s="5"/>
      <c r="W468" s="5"/>
    </row>
    <row r="469" spans="1:23">
      <c r="A469" s="4"/>
      <c r="B469" s="31"/>
      <c r="C469" s="31"/>
      <c r="D469" s="31"/>
      <c r="E469" s="31"/>
      <c r="F469" s="31"/>
      <c r="G469" s="31"/>
      <c r="H469" s="5"/>
      <c r="I469" s="5"/>
      <c r="J469" s="5"/>
      <c r="K469" s="5"/>
      <c r="L469" s="5"/>
      <c r="M469" s="5"/>
      <c r="N469" s="5"/>
      <c r="O469" s="5"/>
      <c r="P469" s="5"/>
      <c r="Q469" s="5"/>
      <c r="R469" s="5"/>
      <c r="S469" s="5"/>
      <c r="T469" s="5"/>
      <c r="U469" s="5"/>
      <c r="V469" s="5"/>
      <c r="W469" s="5"/>
    </row>
    <row r="470" spans="1:23">
      <c r="A470" s="4"/>
      <c r="B470" s="31"/>
      <c r="C470" s="31"/>
      <c r="D470" s="31"/>
      <c r="E470" s="31"/>
      <c r="F470" s="31"/>
      <c r="G470" s="31"/>
      <c r="H470" s="5"/>
      <c r="I470" s="5"/>
      <c r="J470" s="5"/>
      <c r="K470" s="5"/>
      <c r="L470" s="5"/>
      <c r="M470" s="5"/>
      <c r="N470" s="5"/>
      <c r="O470" s="5"/>
      <c r="P470" s="5"/>
      <c r="Q470" s="5"/>
      <c r="R470" s="5"/>
      <c r="S470" s="5"/>
      <c r="T470" s="5"/>
      <c r="U470" s="5"/>
      <c r="V470" s="5"/>
      <c r="W470" s="5"/>
    </row>
    <row r="471" spans="1:23">
      <c r="A471" s="4"/>
      <c r="B471" s="31"/>
      <c r="C471" s="31"/>
      <c r="D471" s="31"/>
      <c r="E471" s="31"/>
      <c r="F471" s="31"/>
      <c r="G471" s="31"/>
      <c r="H471" s="5"/>
      <c r="I471" s="5"/>
      <c r="J471" s="5"/>
      <c r="K471" s="5"/>
      <c r="L471" s="5"/>
      <c r="M471" s="5"/>
      <c r="N471" s="5"/>
      <c r="O471" s="5"/>
      <c r="P471" s="5"/>
      <c r="Q471" s="5"/>
      <c r="R471" s="5"/>
      <c r="S471" s="5"/>
      <c r="T471" s="5"/>
      <c r="U471" s="5"/>
      <c r="V471" s="5"/>
      <c r="W471" s="5"/>
    </row>
    <row r="472" spans="1:23">
      <c r="A472" s="4"/>
      <c r="B472" s="31"/>
      <c r="C472" s="31"/>
      <c r="D472" s="31"/>
      <c r="E472" s="31"/>
      <c r="F472" s="31"/>
      <c r="G472" s="31"/>
      <c r="H472" s="5"/>
      <c r="I472" s="5"/>
      <c r="J472" s="5"/>
      <c r="K472" s="5"/>
      <c r="L472" s="5"/>
      <c r="M472" s="5"/>
      <c r="N472" s="5"/>
      <c r="O472" s="5"/>
      <c r="P472" s="5"/>
      <c r="Q472" s="5"/>
      <c r="R472" s="5"/>
      <c r="S472" s="5"/>
      <c r="T472" s="5"/>
      <c r="U472" s="5"/>
      <c r="V472" s="5"/>
      <c r="W472" s="5"/>
    </row>
    <row r="473" spans="1:23">
      <c r="A473" s="4"/>
      <c r="B473" s="31"/>
      <c r="C473" s="31"/>
      <c r="D473" s="31"/>
      <c r="E473" s="31"/>
      <c r="F473" s="31"/>
      <c r="G473" s="31"/>
      <c r="H473" s="5"/>
      <c r="I473" s="5"/>
      <c r="J473" s="5"/>
      <c r="K473" s="5"/>
      <c r="L473" s="5"/>
      <c r="M473" s="5"/>
      <c r="N473" s="5"/>
      <c r="O473" s="5"/>
      <c r="P473" s="5"/>
      <c r="Q473" s="5"/>
      <c r="R473" s="5"/>
      <c r="S473" s="5"/>
      <c r="T473" s="5"/>
      <c r="U473" s="5"/>
      <c r="V473" s="5"/>
      <c r="W473" s="5"/>
    </row>
    <row r="474" spans="1:23">
      <c r="A474" s="4"/>
      <c r="B474" s="31"/>
      <c r="C474" s="31"/>
      <c r="D474" s="31"/>
      <c r="E474" s="31"/>
      <c r="F474" s="31"/>
      <c r="G474" s="31"/>
      <c r="H474" s="5"/>
      <c r="I474" s="5"/>
      <c r="J474" s="5"/>
      <c r="K474" s="5"/>
      <c r="L474" s="5"/>
      <c r="M474" s="5"/>
      <c r="N474" s="5"/>
      <c r="O474" s="5"/>
      <c r="P474" s="5"/>
      <c r="Q474" s="5"/>
      <c r="R474" s="5"/>
      <c r="S474" s="5"/>
      <c r="T474" s="5"/>
      <c r="U474" s="5"/>
      <c r="V474" s="5"/>
      <c r="W474" s="5"/>
    </row>
    <row r="475" spans="1:23">
      <c r="A475" s="4"/>
      <c r="B475" s="31"/>
      <c r="C475" s="31"/>
      <c r="D475" s="31"/>
      <c r="E475" s="31"/>
      <c r="F475" s="31"/>
      <c r="G475" s="31"/>
      <c r="H475" s="5"/>
      <c r="I475" s="5"/>
      <c r="J475" s="5"/>
      <c r="K475" s="5"/>
      <c r="L475" s="5"/>
      <c r="M475" s="5"/>
      <c r="N475" s="5"/>
      <c r="O475" s="5"/>
      <c r="P475" s="5"/>
      <c r="Q475" s="5"/>
      <c r="R475" s="5"/>
      <c r="S475" s="5"/>
      <c r="T475" s="5"/>
      <c r="U475" s="5"/>
      <c r="V475" s="5"/>
      <c r="W475" s="5"/>
    </row>
    <row r="476" spans="1:23">
      <c r="A476" s="4"/>
      <c r="B476" s="31"/>
      <c r="C476" s="31"/>
      <c r="D476" s="31"/>
      <c r="E476" s="31"/>
      <c r="F476" s="31"/>
      <c r="G476" s="31"/>
      <c r="H476" s="5"/>
      <c r="I476" s="5"/>
      <c r="J476" s="5"/>
      <c r="K476" s="5"/>
      <c r="L476" s="5"/>
      <c r="M476" s="5"/>
      <c r="N476" s="5"/>
      <c r="O476" s="5"/>
      <c r="P476" s="5"/>
      <c r="Q476" s="5"/>
      <c r="R476" s="5"/>
      <c r="S476" s="5"/>
      <c r="T476" s="5"/>
      <c r="U476" s="5"/>
      <c r="V476" s="5"/>
      <c r="W476" s="5"/>
    </row>
    <row r="477" spans="1:23">
      <c r="A477" s="4"/>
      <c r="B477" s="31"/>
      <c r="C477" s="31"/>
      <c r="D477" s="31"/>
      <c r="E477" s="31"/>
      <c r="F477" s="31"/>
      <c r="G477" s="31"/>
      <c r="H477" s="5"/>
      <c r="I477" s="5"/>
      <c r="J477" s="5"/>
      <c r="K477" s="5"/>
      <c r="L477" s="5"/>
      <c r="M477" s="5"/>
      <c r="N477" s="5"/>
      <c r="O477" s="5"/>
      <c r="P477" s="5"/>
      <c r="Q477" s="5"/>
      <c r="R477" s="5"/>
      <c r="S477" s="5"/>
      <c r="T477" s="5"/>
      <c r="U477" s="5"/>
      <c r="V477" s="5"/>
      <c r="W477" s="5"/>
    </row>
    <row r="478" spans="1:23">
      <c r="A478" s="4"/>
      <c r="B478" s="31"/>
      <c r="C478" s="31"/>
      <c r="D478" s="31"/>
      <c r="E478" s="31"/>
      <c r="F478" s="31"/>
      <c r="G478" s="31"/>
      <c r="H478" s="5"/>
      <c r="I478" s="5"/>
      <c r="J478" s="5"/>
      <c r="K478" s="5"/>
      <c r="L478" s="5"/>
      <c r="M478" s="5"/>
      <c r="N478" s="5"/>
      <c r="O478" s="5"/>
      <c r="P478" s="5"/>
      <c r="Q478" s="5"/>
      <c r="R478" s="5"/>
      <c r="S478" s="5"/>
      <c r="T478" s="5"/>
      <c r="U478" s="5"/>
      <c r="V478" s="5"/>
      <c r="W478" s="5"/>
    </row>
    <row r="479" spans="1:23">
      <c r="A479" s="4"/>
      <c r="B479" s="31"/>
      <c r="C479" s="31"/>
      <c r="D479" s="31"/>
      <c r="E479" s="31"/>
      <c r="F479" s="31"/>
      <c r="G479" s="31"/>
      <c r="H479" s="5"/>
      <c r="I479" s="5"/>
      <c r="J479" s="5"/>
      <c r="K479" s="5"/>
      <c r="L479" s="5"/>
      <c r="M479" s="5"/>
      <c r="N479" s="5"/>
      <c r="O479" s="5"/>
      <c r="P479" s="5"/>
      <c r="Q479" s="5"/>
      <c r="R479" s="5"/>
      <c r="S479" s="5"/>
      <c r="T479" s="5"/>
      <c r="U479" s="5"/>
      <c r="V479" s="5"/>
      <c r="W479" s="5"/>
    </row>
    <row r="480" spans="1:23">
      <c r="A480" s="4"/>
      <c r="B480" s="31"/>
      <c r="C480" s="31"/>
      <c r="D480" s="31"/>
      <c r="E480" s="31"/>
      <c r="F480" s="31"/>
      <c r="G480" s="31"/>
      <c r="H480" s="5"/>
      <c r="I480" s="5"/>
      <c r="J480" s="5"/>
      <c r="K480" s="5"/>
      <c r="L480" s="5"/>
      <c r="M480" s="5"/>
      <c r="N480" s="5"/>
      <c r="O480" s="5"/>
      <c r="P480" s="5"/>
      <c r="Q480" s="5"/>
      <c r="R480" s="5"/>
      <c r="S480" s="5"/>
      <c r="T480" s="5"/>
      <c r="U480" s="5"/>
      <c r="V480" s="5"/>
      <c r="W480" s="5"/>
    </row>
    <row r="481" spans="1:23">
      <c r="A481" s="4"/>
      <c r="B481" s="31"/>
      <c r="C481" s="31"/>
      <c r="D481" s="31"/>
      <c r="E481" s="31"/>
      <c r="F481" s="31"/>
      <c r="G481" s="31"/>
      <c r="H481" s="5"/>
      <c r="I481" s="5"/>
      <c r="J481" s="5"/>
      <c r="K481" s="5"/>
      <c r="L481" s="5"/>
      <c r="M481" s="5"/>
      <c r="N481" s="5"/>
      <c r="O481" s="5"/>
      <c r="P481" s="5"/>
      <c r="Q481" s="5"/>
      <c r="R481" s="5"/>
      <c r="S481" s="5"/>
      <c r="T481" s="5"/>
      <c r="U481" s="5"/>
      <c r="V481" s="5"/>
      <c r="W481" s="5"/>
    </row>
    <row r="482" spans="1:23">
      <c r="A482" s="4"/>
      <c r="B482" s="31"/>
      <c r="C482" s="31"/>
      <c r="D482" s="31"/>
      <c r="E482" s="31"/>
      <c r="F482" s="31"/>
      <c r="G482" s="31"/>
      <c r="H482" s="5"/>
      <c r="I482" s="5"/>
      <c r="J482" s="5"/>
      <c r="K482" s="5"/>
      <c r="L482" s="5"/>
      <c r="M482" s="5"/>
      <c r="N482" s="5"/>
      <c r="O482" s="5"/>
      <c r="P482" s="5"/>
      <c r="Q482" s="5"/>
      <c r="R482" s="5"/>
      <c r="S482" s="5"/>
      <c r="T482" s="5"/>
      <c r="U482" s="5"/>
      <c r="V482" s="5"/>
      <c r="W482" s="5"/>
    </row>
    <row r="483" spans="1:23">
      <c r="A483" s="4"/>
      <c r="B483" s="31"/>
      <c r="C483" s="31"/>
      <c r="D483" s="31"/>
      <c r="E483" s="31"/>
      <c r="F483" s="31"/>
      <c r="G483" s="31"/>
      <c r="H483" s="5"/>
      <c r="I483" s="5"/>
      <c r="J483" s="5"/>
      <c r="K483" s="5"/>
      <c r="L483" s="5"/>
      <c r="M483" s="5"/>
      <c r="N483" s="5"/>
      <c r="O483" s="5"/>
      <c r="P483" s="5"/>
      <c r="Q483" s="5"/>
      <c r="R483" s="5"/>
      <c r="S483" s="5"/>
      <c r="T483" s="5"/>
      <c r="U483" s="5"/>
      <c r="V483" s="5"/>
      <c r="W483" s="5"/>
    </row>
    <row r="484" spans="1:23">
      <c r="A484" s="4"/>
      <c r="B484" s="31"/>
      <c r="C484" s="31"/>
      <c r="D484" s="31"/>
      <c r="E484" s="31"/>
      <c r="F484" s="31"/>
      <c r="G484" s="31"/>
      <c r="H484" s="5"/>
      <c r="I484" s="5"/>
      <c r="J484" s="5"/>
      <c r="K484" s="5"/>
      <c r="L484" s="5"/>
      <c r="M484" s="5"/>
      <c r="N484" s="5"/>
      <c r="O484" s="5"/>
      <c r="P484" s="5"/>
      <c r="Q484" s="5"/>
      <c r="R484" s="5"/>
      <c r="S484" s="5"/>
      <c r="T484" s="5"/>
      <c r="U484" s="5"/>
      <c r="V484" s="5"/>
      <c r="W484" s="5"/>
    </row>
    <row r="485" spans="1:23">
      <c r="A485" s="4"/>
      <c r="B485" s="31"/>
      <c r="C485" s="31"/>
      <c r="D485" s="31"/>
      <c r="E485" s="31"/>
      <c r="F485" s="31"/>
      <c r="G485" s="31"/>
      <c r="H485" s="5"/>
      <c r="I485" s="5"/>
      <c r="J485" s="5"/>
      <c r="K485" s="5"/>
      <c r="L485" s="5"/>
      <c r="M485" s="5"/>
      <c r="N485" s="5"/>
      <c r="O485" s="5"/>
      <c r="P485" s="5"/>
      <c r="Q485" s="5"/>
      <c r="R485" s="5"/>
      <c r="S485" s="5"/>
      <c r="T485" s="5"/>
      <c r="U485" s="5"/>
      <c r="V485" s="5"/>
      <c r="W485" s="5"/>
    </row>
    <row r="486" spans="1:23">
      <c r="A486" s="4"/>
      <c r="B486" s="31"/>
      <c r="C486" s="31"/>
      <c r="D486" s="31"/>
      <c r="E486" s="31"/>
      <c r="F486" s="31"/>
      <c r="G486" s="31"/>
      <c r="H486" s="5"/>
      <c r="I486" s="5"/>
      <c r="J486" s="5"/>
      <c r="K486" s="5"/>
      <c r="L486" s="5"/>
      <c r="M486" s="5"/>
      <c r="N486" s="5"/>
      <c r="O486" s="5"/>
      <c r="P486" s="5"/>
      <c r="Q486" s="5"/>
      <c r="R486" s="5"/>
      <c r="S486" s="5"/>
      <c r="T486" s="5"/>
      <c r="U486" s="5"/>
      <c r="V486" s="5"/>
      <c r="W486" s="5"/>
    </row>
    <row r="487" spans="1:23">
      <c r="A487" s="4"/>
      <c r="B487" s="31"/>
      <c r="C487" s="31"/>
      <c r="D487" s="31"/>
      <c r="E487" s="31"/>
      <c r="F487" s="31"/>
      <c r="G487" s="31"/>
      <c r="H487" s="5"/>
      <c r="I487" s="5"/>
      <c r="J487" s="5"/>
      <c r="K487" s="5"/>
      <c r="L487" s="5"/>
      <c r="M487" s="5"/>
      <c r="N487" s="5"/>
      <c r="O487" s="5"/>
      <c r="P487" s="5"/>
      <c r="Q487" s="5"/>
      <c r="R487" s="5"/>
      <c r="S487" s="5"/>
      <c r="T487" s="5"/>
      <c r="U487" s="5"/>
      <c r="V487" s="5"/>
      <c r="W487" s="5"/>
    </row>
    <row r="488" spans="1:23">
      <c r="A488" s="4"/>
      <c r="B488" s="31"/>
      <c r="C488" s="31"/>
      <c r="D488" s="31"/>
      <c r="E488" s="31"/>
      <c r="F488" s="31"/>
      <c r="G488" s="31"/>
      <c r="H488" s="5"/>
      <c r="I488" s="5"/>
      <c r="J488" s="5"/>
      <c r="K488" s="5"/>
      <c r="L488" s="5"/>
      <c r="M488" s="5"/>
      <c r="N488" s="5"/>
      <c r="O488" s="5"/>
      <c r="P488" s="5"/>
      <c r="Q488" s="5"/>
      <c r="R488" s="5"/>
      <c r="S488" s="5"/>
      <c r="T488" s="5"/>
      <c r="U488" s="5"/>
      <c r="V488" s="5"/>
      <c r="W488" s="5"/>
    </row>
    <row r="489" spans="1:23">
      <c r="A489" s="4"/>
      <c r="B489" s="31"/>
      <c r="C489" s="31"/>
      <c r="D489" s="31"/>
      <c r="E489" s="31"/>
      <c r="F489" s="31"/>
      <c r="G489" s="31"/>
      <c r="H489" s="5"/>
      <c r="I489" s="5"/>
      <c r="J489" s="5"/>
      <c r="K489" s="5"/>
      <c r="L489" s="5"/>
      <c r="M489" s="5"/>
      <c r="N489" s="5"/>
      <c r="O489" s="5"/>
      <c r="P489" s="5"/>
      <c r="Q489" s="5"/>
      <c r="R489" s="5"/>
      <c r="S489" s="5"/>
      <c r="T489" s="5"/>
      <c r="U489" s="5"/>
      <c r="V489" s="5"/>
      <c r="W489" s="5"/>
    </row>
    <row r="490" spans="1:23">
      <c r="A490" s="4"/>
      <c r="B490" s="31"/>
      <c r="C490" s="31"/>
      <c r="D490" s="31"/>
      <c r="E490" s="31"/>
      <c r="F490" s="31"/>
      <c r="G490" s="31"/>
      <c r="H490" s="5"/>
      <c r="I490" s="5"/>
      <c r="J490" s="5"/>
      <c r="K490" s="5"/>
      <c r="L490" s="5"/>
      <c r="M490" s="5"/>
      <c r="N490" s="5"/>
      <c r="O490" s="5"/>
      <c r="P490" s="5"/>
      <c r="Q490" s="5"/>
      <c r="R490" s="5"/>
      <c r="S490" s="5"/>
      <c r="T490" s="5"/>
      <c r="U490" s="5"/>
      <c r="V490" s="5"/>
      <c r="W490" s="5"/>
    </row>
    <row r="491" spans="1:23">
      <c r="A491" s="4"/>
      <c r="B491" s="31"/>
      <c r="C491" s="31"/>
      <c r="D491" s="31"/>
      <c r="E491" s="31"/>
      <c r="F491" s="31"/>
      <c r="G491" s="31"/>
      <c r="H491" s="5"/>
      <c r="I491" s="5"/>
      <c r="J491" s="5"/>
      <c r="K491" s="5"/>
      <c r="L491" s="5"/>
      <c r="M491" s="5"/>
      <c r="N491" s="5"/>
      <c r="O491" s="5"/>
      <c r="P491" s="5"/>
      <c r="Q491" s="5"/>
      <c r="R491" s="5"/>
      <c r="S491" s="5"/>
      <c r="T491" s="5"/>
      <c r="U491" s="5"/>
      <c r="V491" s="5"/>
      <c r="W491" s="5"/>
    </row>
    <row r="492" spans="1:23">
      <c r="A492" s="4"/>
      <c r="B492" s="31"/>
      <c r="C492" s="31"/>
      <c r="D492" s="31"/>
      <c r="E492" s="31"/>
      <c r="F492" s="31"/>
      <c r="G492" s="31"/>
      <c r="H492" s="5"/>
      <c r="I492" s="5"/>
      <c r="J492" s="5"/>
      <c r="K492" s="5"/>
      <c r="L492" s="5"/>
      <c r="M492" s="5"/>
      <c r="N492" s="5"/>
      <c r="O492" s="5"/>
      <c r="P492" s="5"/>
      <c r="Q492" s="5"/>
      <c r="R492" s="5"/>
      <c r="S492" s="5"/>
      <c r="T492" s="5"/>
      <c r="U492" s="5"/>
      <c r="V492" s="5"/>
      <c r="W492" s="5"/>
    </row>
    <row r="493" spans="1:23">
      <c r="A493" s="4"/>
      <c r="B493" s="31"/>
      <c r="C493" s="31"/>
      <c r="D493" s="31"/>
      <c r="E493" s="31"/>
      <c r="F493" s="31"/>
      <c r="G493" s="31"/>
      <c r="H493" s="5"/>
      <c r="I493" s="5"/>
      <c r="J493" s="5"/>
      <c r="K493" s="5"/>
      <c r="L493" s="5"/>
      <c r="M493" s="5"/>
      <c r="N493" s="5"/>
      <c r="O493" s="5"/>
      <c r="P493" s="5"/>
      <c r="Q493" s="5"/>
      <c r="R493" s="5"/>
      <c r="S493" s="5"/>
      <c r="T493" s="5"/>
      <c r="U493" s="5"/>
      <c r="V493" s="5"/>
      <c r="W493" s="5"/>
    </row>
    <row r="494" spans="1:23">
      <c r="A494" s="4"/>
      <c r="B494" s="31"/>
      <c r="C494" s="31"/>
      <c r="D494" s="31"/>
      <c r="E494" s="31"/>
      <c r="F494" s="31"/>
      <c r="G494" s="31"/>
      <c r="H494" s="5"/>
      <c r="I494" s="5"/>
      <c r="J494" s="5"/>
      <c r="K494" s="5"/>
      <c r="L494" s="5"/>
      <c r="M494" s="5"/>
      <c r="N494" s="5"/>
      <c r="O494" s="5"/>
      <c r="P494" s="5"/>
      <c r="Q494" s="5"/>
      <c r="R494" s="5"/>
      <c r="S494" s="5"/>
      <c r="T494" s="5"/>
      <c r="U494" s="5"/>
      <c r="V494" s="5"/>
      <c r="W494" s="5"/>
    </row>
    <row r="495" spans="1:23">
      <c r="A495" s="4"/>
      <c r="B495" s="31"/>
      <c r="C495" s="31"/>
      <c r="D495" s="31"/>
      <c r="E495" s="31"/>
      <c r="F495" s="31"/>
      <c r="G495" s="31"/>
      <c r="H495" s="5"/>
      <c r="I495" s="5"/>
      <c r="J495" s="5"/>
      <c r="K495" s="5"/>
      <c r="L495" s="5"/>
      <c r="M495" s="5"/>
      <c r="N495" s="5"/>
      <c r="O495" s="5"/>
      <c r="P495" s="5"/>
      <c r="Q495" s="5"/>
      <c r="R495" s="5"/>
      <c r="S495" s="5"/>
      <c r="T495" s="5"/>
      <c r="U495" s="5"/>
      <c r="V495" s="5"/>
      <c r="W495" s="5"/>
    </row>
    <row r="496" spans="1:23">
      <c r="A496" s="4"/>
      <c r="B496" s="31"/>
      <c r="C496" s="31"/>
      <c r="D496" s="31"/>
      <c r="E496" s="31"/>
      <c r="F496" s="31"/>
      <c r="G496" s="31"/>
      <c r="H496" s="5"/>
      <c r="I496" s="5"/>
      <c r="J496" s="5"/>
      <c r="K496" s="5"/>
      <c r="L496" s="5"/>
      <c r="M496" s="5"/>
      <c r="N496" s="5"/>
      <c r="O496" s="5"/>
      <c r="P496" s="5"/>
      <c r="Q496" s="5"/>
      <c r="R496" s="5"/>
      <c r="S496" s="5"/>
      <c r="T496" s="5"/>
      <c r="U496" s="5"/>
      <c r="V496" s="5"/>
      <c r="W496" s="5"/>
    </row>
    <row r="497" spans="1:23">
      <c r="A497" s="4"/>
      <c r="B497" s="31"/>
      <c r="C497" s="31"/>
      <c r="D497" s="31"/>
      <c r="E497" s="31"/>
      <c r="F497" s="31"/>
      <c r="G497" s="31"/>
      <c r="H497" s="5"/>
      <c r="I497" s="5"/>
      <c r="J497" s="5"/>
      <c r="K497" s="5"/>
      <c r="L497" s="5"/>
      <c r="M497" s="5"/>
      <c r="N497" s="5"/>
      <c r="O497" s="5"/>
      <c r="P497" s="5"/>
      <c r="Q497" s="5"/>
      <c r="R497" s="5"/>
      <c r="S497" s="5"/>
      <c r="T497" s="5"/>
      <c r="U497" s="5"/>
      <c r="V497" s="5"/>
      <c r="W497" s="5"/>
    </row>
    <row r="498" spans="1:23">
      <c r="A498" s="4"/>
      <c r="B498" s="31"/>
      <c r="C498" s="31"/>
      <c r="D498" s="31"/>
      <c r="E498" s="31"/>
      <c r="F498" s="31"/>
      <c r="G498" s="31"/>
      <c r="H498" s="5"/>
      <c r="I498" s="5"/>
      <c r="J498" s="5"/>
      <c r="K498" s="5"/>
      <c r="L498" s="5"/>
      <c r="M498" s="5"/>
      <c r="N498" s="5"/>
      <c r="O498" s="5"/>
      <c r="P498" s="5"/>
      <c r="Q498" s="5"/>
      <c r="R498" s="5"/>
      <c r="S498" s="5"/>
      <c r="T498" s="5"/>
      <c r="U498" s="5"/>
      <c r="V498" s="5"/>
      <c r="W498" s="5"/>
    </row>
    <row r="499" spans="1:23">
      <c r="A499" s="4"/>
      <c r="B499" s="31"/>
      <c r="C499" s="31"/>
      <c r="D499" s="31"/>
      <c r="E499" s="31"/>
      <c r="F499" s="31"/>
      <c r="G499" s="31"/>
      <c r="H499" s="5"/>
      <c r="I499" s="5"/>
      <c r="J499" s="5"/>
      <c r="K499" s="5"/>
      <c r="L499" s="5"/>
      <c r="M499" s="5"/>
      <c r="N499" s="5"/>
      <c r="O499" s="5"/>
      <c r="P499" s="5"/>
      <c r="Q499" s="5"/>
      <c r="R499" s="5"/>
      <c r="S499" s="5"/>
      <c r="T499" s="5"/>
      <c r="U499" s="5"/>
      <c r="V499" s="5"/>
      <c r="W499" s="5"/>
    </row>
    <row r="500" spans="1:23">
      <c r="A500" s="4"/>
      <c r="B500" s="31"/>
      <c r="C500" s="31"/>
      <c r="D500" s="31"/>
      <c r="E500" s="31"/>
      <c r="F500" s="31"/>
      <c r="G500" s="31"/>
      <c r="H500" s="5"/>
      <c r="I500" s="5"/>
      <c r="J500" s="5"/>
      <c r="K500" s="5"/>
      <c r="L500" s="5"/>
      <c r="M500" s="5"/>
      <c r="N500" s="5"/>
      <c r="O500" s="5"/>
      <c r="P500" s="5"/>
      <c r="Q500" s="5"/>
      <c r="R500" s="5"/>
      <c r="S500" s="5"/>
      <c r="T500" s="5"/>
      <c r="U500" s="5"/>
      <c r="V500" s="5"/>
      <c r="W500" s="5"/>
    </row>
    <row r="501" spans="1:23">
      <c r="A501" s="4"/>
      <c r="B501" s="31"/>
      <c r="C501" s="31"/>
      <c r="D501" s="31"/>
      <c r="E501" s="31"/>
      <c r="F501" s="31"/>
      <c r="G501" s="31"/>
      <c r="H501" s="5"/>
      <c r="I501" s="5"/>
      <c r="J501" s="5"/>
      <c r="K501" s="5"/>
      <c r="L501" s="5"/>
      <c r="M501" s="5"/>
      <c r="N501" s="5"/>
      <c r="O501" s="5"/>
      <c r="P501" s="5"/>
      <c r="Q501" s="5"/>
      <c r="R501" s="5"/>
      <c r="S501" s="5"/>
      <c r="T501" s="5"/>
      <c r="U501" s="5"/>
      <c r="V501" s="5"/>
      <c r="W501" s="5"/>
    </row>
    <row r="502" spans="1:23">
      <c r="A502" s="4"/>
      <c r="B502" s="31"/>
      <c r="C502" s="31"/>
      <c r="D502" s="31"/>
      <c r="E502" s="31"/>
      <c r="F502" s="31"/>
      <c r="G502" s="31"/>
      <c r="H502" s="5"/>
      <c r="I502" s="5"/>
      <c r="J502" s="5"/>
      <c r="K502" s="5"/>
      <c r="L502" s="5"/>
      <c r="M502" s="5"/>
      <c r="N502" s="5"/>
      <c r="O502" s="5"/>
      <c r="P502" s="5"/>
      <c r="Q502" s="5"/>
      <c r="R502" s="5"/>
      <c r="S502" s="5"/>
      <c r="T502" s="5"/>
      <c r="U502" s="5"/>
      <c r="V502" s="5"/>
      <c r="W502" s="5"/>
    </row>
    <row r="503" spans="1:23">
      <c r="A503" s="4"/>
      <c r="B503" s="31"/>
      <c r="C503" s="31"/>
      <c r="D503" s="31"/>
      <c r="E503" s="31"/>
      <c r="F503" s="31"/>
      <c r="G503" s="31"/>
      <c r="H503" s="5"/>
      <c r="I503" s="5"/>
      <c r="J503" s="5"/>
      <c r="K503" s="5"/>
      <c r="L503" s="5"/>
      <c r="M503" s="5"/>
      <c r="N503" s="5"/>
      <c r="O503" s="5"/>
      <c r="P503" s="5"/>
      <c r="Q503" s="5"/>
      <c r="R503" s="5"/>
      <c r="S503" s="5"/>
      <c r="T503" s="5"/>
      <c r="U503" s="5"/>
      <c r="V503" s="5"/>
      <c r="W503" s="5"/>
    </row>
    <row r="504" spans="1:23">
      <c r="A504" s="4"/>
      <c r="B504" s="31"/>
      <c r="C504" s="31"/>
      <c r="D504" s="31"/>
      <c r="E504" s="31"/>
      <c r="F504" s="31"/>
      <c r="G504" s="31"/>
      <c r="H504" s="5"/>
      <c r="I504" s="5"/>
      <c r="J504" s="5"/>
      <c r="K504" s="5"/>
      <c r="L504" s="5"/>
      <c r="M504" s="5"/>
      <c r="N504" s="5"/>
      <c r="O504" s="5"/>
      <c r="P504" s="5"/>
      <c r="Q504" s="5"/>
      <c r="R504" s="5"/>
      <c r="S504" s="5"/>
      <c r="T504" s="5"/>
      <c r="U504" s="5"/>
      <c r="V504" s="5"/>
      <c r="W504" s="5"/>
    </row>
    <row r="505" spans="1:23">
      <c r="A505" s="4"/>
      <c r="B505" s="31"/>
      <c r="C505" s="31"/>
      <c r="D505" s="31"/>
      <c r="E505" s="31"/>
      <c r="F505" s="31"/>
      <c r="G505" s="31"/>
      <c r="H505" s="5"/>
      <c r="I505" s="5"/>
      <c r="J505" s="5"/>
      <c r="K505" s="5"/>
      <c r="L505" s="5"/>
      <c r="M505" s="5"/>
      <c r="N505" s="5"/>
      <c r="O505" s="5"/>
      <c r="P505" s="5"/>
      <c r="Q505" s="5"/>
      <c r="R505" s="5"/>
      <c r="S505" s="5"/>
      <c r="T505" s="5"/>
      <c r="U505" s="5"/>
      <c r="V505" s="5"/>
      <c r="W505" s="5"/>
    </row>
    <row r="506" spans="1:23">
      <c r="A506" s="4"/>
      <c r="B506" s="31"/>
      <c r="C506" s="31"/>
      <c r="D506" s="31"/>
      <c r="E506" s="31"/>
      <c r="F506" s="31"/>
      <c r="G506" s="31"/>
      <c r="H506" s="5"/>
      <c r="I506" s="5"/>
      <c r="J506" s="5"/>
      <c r="K506" s="5"/>
      <c r="L506" s="5"/>
      <c r="M506" s="5"/>
      <c r="N506" s="5"/>
      <c r="O506" s="5"/>
      <c r="P506" s="5"/>
      <c r="Q506" s="5"/>
      <c r="R506" s="5"/>
      <c r="S506" s="5"/>
      <c r="T506" s="5"/>
      <c r="U506" s="5"/>
      <c r="V506" s="5"/>
      <c r="W506" s="5"/>
    </row>
    <row r="507" spans="1:23">
      <c r="A507" s="4"/>
      <c r="B507" s="31"/>
      <c r="C507" s="31"/>
      <c r="D507" s="31"/>
      <c r="E507" s="31"/>
      <c r="F507" s="31"/>
      <c r="G507" s="31"/>
      <c r="H507" s="5"/>
      <c r="I507" s="5"/>
      <c r="J507" s="5"/>
      <c r="K507" s="5"/>
      <c r="L507" s="5"/>
      <c r="M507" s="5"/>
      <c r="N507" s="5"/>
      <c r="O507" s="5"/>
      <c r="P507" s="5"/>
      <c r="Q507" s="5"/>
      <c r="R507" s="5"/>
      <c r="S507" s="5"/>
      <c r="T507" s="5"/>
      <c r="U507" s="5"/>
      <c r="V507" s="5"/>
      <c r="W507" s="5"/>
    </row>
    <row r="508" spans="1:23">
      <c r="A508" s="4"/>
      <c r="B508" s="31"/>
      <c r="C508" s="31"/>
      <c r="D508" s="31"/>
      <c r="E508" s="31"/>
      <c r="F508" s="31"/>
      <c r="G508" s="31"/>
      <c r="H508" s="5"/>
      <c r="I508" s="5"/>
      <c r="J508" s="5"/>
      <c r="K508" s="5"/>
      <c r="L508" s="5"/>
      <c r="M508" s="5"/>
      <c r="N508" s="5"/>
      <c r="O508" s="5"/>
      <c r="P508" s="5"/>
      <c r="Q508" s="5"/>
      <c r="R508" s="5"/>
      <c r="S508" s="5"/>
      <c r="T508" s="5"/>
      <c r="U508" s="5"/>
      <c r="V508" s="5"/>
      <c r="W508" s="5"/>
    </row>
    <row r="509" spans="1:23">
      <c r="A509" s="4"/>
      <c r="B509" s="31"/>
      <c r="C509" s="31"/>
      <c r="D509" s="31"/>
      <c r="E509" s="31"/>
      <c r="F509" s="31"/>
      <c r="G509" s="31"/>
      <c r="H509" s="5"/>
      <c r="I509" s="5"/>
      <c r="J509" s="5"/>
      <c r="K509" s="5"/>
      <c r="L509" s="5"/>
      <c r="M509" s="5"/>
      <c r="N509" s="5"/>
      <c r="O509" s="5"/>
      <c r="P509" s="5"/>
      <c r="Q509" s="5"/>
      <c r="R509" s="5"/>
      <c r="S509" s="5"/>
      <c r="T509" s="5"/>
      <c r="U509" s="5"/>
      <c r="V509" s="5"/>
      <c r="W509" s="5"/>
    </row>
    <row r="510" spans="1:23">
      <c r="A510" s="4"/>
      <c r="B510" s="31"/>
      <c r="C510" s="31"/>
      <c r="D510" s="31"/>
      <c r="E510" s="31"/>
      <c r="F510" s="31"/>
      <c r="G510" s="31"/>
      <c r="H510" s="5"/>
      <c r="I510" s="5"/>
      <c r="J510" s="5"/>
      <c r="K510" s="5"/>
      <c r="L510" s="5"/>
      <c r="M510" s="5"/>
      <c r="N510" s="5"/>
      <c r="O510" s="5"/>
      <c r="P510" s="5"/>
      <c r="Q510" s="5"/>
      <c r="R510" s="5"/>
      <c r="S510" s="5"/>
      <c r="T510" s="5"/>
      <c r="U510" s="5"/>
      <c r="V510" s="5"/>
      <c r="W510" s="5"/>
    </row>
    <row r="511" spans="1:23">
      <c r="A511" s="4"/>
      <c r="B511" s="31"/>
      <c r="C511" s="31"/>
      <c r="D511" s="31"/>
      <c r="E511" s="31"/>
      <c r="F511" s="31"/>
      <c r="G511" s="31"/>
      <c r="H511" s="5"/>
      <c r="I511" s="5"/>
      <c r="J511" s="5"/>
      <c r="K511" s="5"/>
      <c r="L511" s="5"/>
      <c r="M511" s="5"/>
      <c r="N511" s="5"/>
      <c r="O511" s="5"/>
      <c r="P511" s="5"/>
      <c r="Q511" s="5"/>
      <c r="R511" s="5"/>
      <c r="S511" s="5"/>
      <c r="T511" s="5"/>
      <c r="U511" s="5"/>
      <c r="V511" s="5"/>
      <c r="W511" s="5"/>
    </row>
    <row r="512" spans="1:23">
      <c r="A512" s="4"/>
      <c r="B512" s="31"/>
      <c r="C512" s="31"/>
      <c r="D512" s="31"/>
      <c r="E512" s="31"/>
      <c r="F512" s="31"/>
      <c r="G512" s="31"/>
      <c r="H512" s="5"/>
      <c r="I512" s="5"/>
      <c r="J512" s="5"/>
      <c r="K512" s="5"/>
      <c r="L512" s="5"/>
      <c r="M512" s="5"/>
      <c r="N512" s="5"/>
      <c r="O512" s="5"/>
      <c r="P512" s="5"/>
      <c r="Q512" s="5"/>
      <c r="R512" s="5"/>
      <c r="S512" s="5"/>
      <c r="T512" s="5"/>
      <c r="U512" s="5"/>
      <c r="V512" s="5"/>
      <c r="W512" s="5"/>
    </row>
    <row r="513" spans="1:23">
      <c r="A513" s="4"/>
      <c r="B513" s="31"/>
      <c r="C513" s="31"/>
      <c r="D513" s="31"/>
      <c r="E513" s="31"/>
      <c r="F513" s="31"/>
      <c r="G513" s="31"/>
      <c r="H513" s="5"/>
      <c r="I513" s="5"/>
      <c r="J513" s="5"/>
      <c r="K513" s="5"/>
      <c r="L513" s="5"/>
      <c r="M513" s="5"/>
      <c r="N513" s="5"/>
      <c r="O513" s="5"/>
      <c r="P513" s="5"/>
      <c r="Q513" s="5"/>
      <c r="R513" s="5"/>
      <c r="S513" s="5"/>
      <c r="T513" s="5"/>
      <c r="U513" s="5"/>
      <c r="V513" s="5"/>
      <c r="W513" s="5"/>
    </row>
    <row r="514" spans="1:23">
      <c r="A514" s="4"/>
      <c r="B514" s="31"/>
      <c r="C514" s="31"/>
      <c r="D514" s="31"/>
      <c r="E514" s="31"/>
      <c r="F514" s="31"/>
      <c r="G514" s="31"/>
      <c r="H514" s="5"/>
      <c r="I514" s="5"/>
      <c r="J514" s="5"/>
      <c r="K514" s="5"/>
      <c r="L514" s="5"/>
      <c r="M514" s="5"/>
      <c r="N514" s="5"/>
      <c r="O514" s="5"/>
      <c r="P514" s="5"/>
      <c r="Q514" s="5"/>
      <c r="R514" s="5"/>
      <c r="S514" s="5"/>
      <c r="T514" s="5"/>
      <c r="U514" s="5"/>
      <c r="V514" s="5"/>
      <c r="W514" s="5"/>
    </row>
    <row r="515" spans="1:23">
      <c r="A515" s="4"/>
      <c r="B515" s="31"/>
      <c r="C515" s="31"/>
      <c r="D515" s="31"/>
      <c r="E515" s="31"/>
      <c r="F515" s="31"/>
      <c r="G515" s="31"/>
      <c r="H515" s="5"/>
      <c r="I515" s="5"/>
      <c r="J515" s="5"/>
      <c r="K515" s="5"/>
      <c r="L515" s="5"/>
      <c r="M515" s="5"/>
      <c r="N515" s="5"/>
      <c r="O515" s="5"/>
      <c r="P515" s="5"/>
      <c r="Q515" s="5"/>
      <c r="R515" s="5"/>
      <c r="S515" s="5"/>
      <c r="T515" s="5"/>
      <c r="U515" s="5"/>
      <c r="V515" s="5"/>
      <c r="W515" s="5"/>
    </row>
    <row r="516" spans="1:23">
      <c r="A516" s="4"/>
      <c r="B516" s="31"/>
      <c r="C516" s="31"/>
      <c r="D516" s="31"/>
      <c r="E516" s="31"/>
      <c r="F516" s="31"/>
      <c r="G516" s="31"/>
      <c r="H516" s="5"/>
      <c r="I516" s="5"/>
      <c r="J516" s="5"/>
      <c r="K516" s="5"/>
      <c r="L516" s="5"/>
      <c r="M516" s="5"/>
      <c r="N516" s="5"/>
      <c r="O516" s="5"/>
      <c r="P516" s="5"/>
      <c r="Q516" s="5"/>
      <c r="R516" s="5"/>
      <c r="S516" s="5"/>
      <c r="T516" s="5"/>
      <c r="U516" s="5"/>
      <c r="V516" s="5"/>
      <c r="W516" s="5"/>
    </row>
    <row r="517" spans="1:23">
      <c r="A517" s="4"/>
      <c r="B517" s="31"/>
      <c r="C517" s="31"/>
      <c r="D517" s="31"/>
      <c r="E517" s="31"/>
      <c r="F517" s="31"/>
      <c r="G517" s="31"/>
      <c r="H517" s="5"/>
      <c r="I517" s="5"/>
      <c r="J517" s="5"/>
      <c r="K517" s="5"/>
      <c r="L517" s="5"/>
      <c r="M517" s="5"/>
      <c r="N517" s="5"/>
      <c r="O517" s="5"/>
      <c r="P517" s="5"/>
      <c r="Q517" s="5"/>
      <c r="R517" s="5"/>
      <c r="S517" s="5"/>
      <c r="T517" s="5"/>
      <c r="U517" s="5"/>
      <c r="V517" s="5"/>
      <c r="W517" s="5"/>
    </row>
    <row r="518" spans="1:23">
      <c r="A518" s="4"/>
      <c r="B518" s="31"/>
      <c r="C518" s="31"/>
      <c r="D518" s="31"/>
      <c r="E518" s="31"/>
      <c r="F518" s="31"/>
      <c r="G518" s="31"/>
      <c r="H518" s="5"/>
      <c r="I518" s="5"/>
      <c r="J518" s="5"/>
      <c r="K518" s="5"/>
      <c r="L518" s="5"/>
      <c r="M518" s="5"/>
      <c r="N518" s="5"/>
      <c r="O518" s="5"/>
      <c r="P518" s="5"/>
      <c r="Q518" s="5"/>
      <c r="R518" s="5"/>
      <c r="S518" s="5"/>
      <c r="T518" s="5"/>
      <c r="U518" s="5"/>
      <c r="V518" s="5"/>
      <c r="W518" s="5"/>
    </row>
    <row r="519" spans="1:23">
      <c r="A519" s="4"/>
      <c r="B519" s="31"/>
      <c r="C519" s="31"/>
      <c r="D519" s="31"/>
      <c r="E519" s="31"/>
      <c r="F519" s="31"/>
      <c r="G519" s="31"/>
      <c r="H519" s="5"/>
      <c r="I519" s="5"/>
      <c r="J519" s="5"/>
      <c r="K519" s="5"/>
      <c r="L519" s="5"/>
      <c r="M519" s="5"/>
      <c r="N519" s="5"/>
      <c r="O519" s="5"/>
      <c r="P519" s="5"/>
      <c r="Q519" s="5"/>
      <c r="R519" s="5"/>
      <c r="S519" s="5"/>
      <c r="T519" s="5"/>
      <c r="U519" s="5"/>
      <c r="V519" s="5"/>
      <c r="W519" s="5"/>
    </row>
    <row r="520" spans="1:23">
      <c r="A520" s="4"/>
      <c r="B520" s="31"/>
      <c r="C520" s="31"/>
      <c r="D520" s="31"/>
      <c r="E520" s="31"/>
      <c r="F520" s="31"/>
      <c r="G520" s="31"/>
      <c r="H520" s="5"/>
      <c r="I520" s="5"/>
      <c r="J520" s="5"/>
      <c r="K520" s="5"/>
      <c r="L520" s="5"/>
      <c r="M520" s="5"/>
      <c r="N520" s="5"/>
      <c r="O520" s="5"/>
      <c r="P520" s="5"/>
      <c r="Q520" s="5"/>
      <c r="R520" s="5"/>
      <c r="S520" s="5"/>
      <c r="T520" s="5"/>
      <c r="U520" s="5"/>
      <c r="V520" s="5"/>
      <c r="W520" s="5"/>
    </row>
    <row r="521" spans="1:23">
      <c r="A521" s="4"/>
      <c r="B521" s="31"/>
      <c r="C521" s="31"/>
      <c r="D521" s="31"/>
      <c r="E521" s="31"/>
      <c r="F521" s="31"/>
      <c r="G521" s="31"/>
      <c r="H521" s="5"/>
      <c r="I521" s="5"/>
      <c r="J521" s="5"/>
      <c r="K521" s="5"/>
      <c r="L521" s="5"/>
      <c r="M521" s="5"/>
      <c r="N521" s="5"/>
      <c r="O521" s="5"/>
      <c r="P521" s="5"/>
      <c r="Q521" s="5"/>
      <c r="R521" s="5"/>
      <c r="S521" s="5"/>
      <c r="T521" s="5"/>
      <c r="U521" s="5"/>
      <c r="V521" s="5"/>
      <c r="W521" s="5"/>
    </row>
    <row r="522" spans="1:23">
      <c r="A522" s="4"/>
      <c r="B522" s="31"/>
      <c r="C522" s="31"/>
      <c r="D522" s="31"/>
      <c r="E522" s="31"/>
      <c r="F522" s="31"/>
      <c r="G522" s="31"/>
      <c r="H522" s="5"/>
      <c r="I522" s="5"/>
      <c r="J522" s="5"/>
      <c r="K522" s="5"/>
      <c r="L522" s="5"/>
      <c r="M522" s="5"/>
      <c r="N522" s="5"/>
      <c r="O522" s="5"/>
      <c r="P522" s="5"/>
      <c r="Q522" s="5"/>
      <c r="R522" s="5"/>
      <c r="S522" s="5"/>
      <c r="T522" s="5"/>
      <c r="U522" s="5"/>
      <c r="V522" s="5"/>
      <c r="W522" s="5"/>
    </row>
    <row r="523" spans="1:23">
      <c r="A523" s="4"/>
      <c r="B523" s="31"/>
      <c r="C523" s="31"/>
      <c r="D523" s="31"/>
      <c r="E523" s="31"/>
      <c r="F523" s="31"/>
      <c r="G523" s="31"/>
      <c r="H523" s="5"/>
      <c r="I523" s="5"/>
      <c r="J523" s="5"/>
      <c r="K523" s="5"/>
      <c r="L523" s="5"/>
      <c r="M523" s="5"/>
      <c r="N523" s="5"/>
      <c r="O523" s="5"/>
      <c r="P523" s="5"/>
      <c r="Q523" s="5"/>
      <c r="R523" s="5"/>
      <c r="S523" s="5"/>
      <c r="T523" s="5"/>
      <c r="U523" s="5"/>
      <c r="V523" s="5"/>
      <c r="W523" s="5"/>
    </row>
    <row r="524" spans="1:23">
      <c r="A524" s="4"/>
      <c r="B524" s="31"/>
      <c r="C524" s="31"/>
      <c r="D524" s="31"/>
      <c r="E524" s="31"/>
      <c r="F524" s="31"/>
      <c r="G524" s="31"/>
      <c r="H524" s="5"/>
      <c r="I524" s="5"/>
      <c r="J524" s="5"/>
      <c r="K524" s="5"/>
      <c r="L524" s="5"/>
      <c r="M524" s="5"/>
      <c r="N524" s="5"/>
      <c r="O524" s="5"/>
      <c r="P524" s="5"/>
      <c r="Q524" s="5"/>
      <c r="R524" s="5"/>
      <c r="S524" s="5"/>
      <c r="T524" s="5"/>
      <c r="U524" s="5"/>
      <c r="V524" s="5"/>
      <c r="W524" s="5"/>
    </row>
    <row r="525" spans="1:23">
      <c r="A525" s="4"/>
      <c r="B525" s="31"/>
      <c r="C525" s="31"/>
      <c r="D525" s="31"/>
      <c r="E525" s="31"/>
      <c r="F525" s="31"/>
      <c r="G525" s="31"/>
      <c r="H525" s="5"/>
      <c r="I525" s="5"/>
      <c r="J525" s="5"/>
      <c r="K525" s="5"/>
      <c r="L525" s="5"/>
      <c r="M525" s="5"/>
      <c r="N525" s="5"/>
      <c r="O525" s="5"/>
      <c r="P525" s="5"/>
      <c r="Q525" s="5"/>
      <c r="R525" s="5"/>
      <c r="S525" s="5"/>
      <c r="T525" s="5"/>
      <c r="U525" s="5"/>
      <c r="V525" s="5"/>
      <c r="W525" s="5"/>
    </row>
    <row r="526" spans="1:23">
      <c r="A526" s="4"/>
      <c r="B526" s="31"/>
      <c r="C526" s="31"/>
      <c r="D526" s="31"/>
      <c r="E526" s="31"/>
      <c r="F526" s="31"/>
      <c r="G526" s="31"/>
      <c r="H526" s="5"/>
      <c r="I526" s="5"/>
      <c r="J526" s="5"/>
      <c r="K526" s="5"/>
      <c r="L526" s="5"/>
      <c r="M526" s="5"/>
      <c r="N526" s="5"/>
      <c r="O526" s="5"/>
      <c r="P526" s="5"/>
      <c r="Q526" s="5"/>
      <c r="R526" s="5"/>
      <c r="S526" s="5"/>
      <c r="T526" s="5"/>
      <c r="U526" s="5"/>
      <c r="V526" s="5"/>
      <c r="W526" s="5"/>
    </row>
    <row r="527" spans="1:23">
      <c r="A527" s="4"/>
      <c r="B527" s="31"/>
      <c r="C527" s="31"/>
      <c r="D527" s="31"/>
      <c r="E527" s="31"/>
      <c r="F527" s="31"/>
      <c r="G527" s="31"/>
      <c r="H527" s="5"/>
      <c r="I527" s="5"/>
      <c r="J527" s="5"/>
      <c r="K527" s="5"/>
      <c r="L527" s="5"/>
      <c r="M527" s="5"/>
      <c r="N527" s="5"/>
      <c r="O527" s="5"/>
      <c r="P527" s="5"/>
      <c r="Q527" s="5"/>
      <c r="R527" s="5"/>
      <c r="S527" s="5"/>
      <c r="T527" s="5"/>
      <c r="U527" s="5"/>
      <c r="V527" s="5"/>
      <c r="W527" s="5"/>
    </row>
    <row r="528" spans="1:23">
      <c r="A528" s="4"/>
      <c r="B528" s="31"/>
      <c r="C528" s="31"/>
      <c r="D528" s="31"/>
      <c r="E528" s="31"/>
      <c r="F528" s="31"/>
      <c r="G528" s="31"/>
      <c r="H528" s="5"/>
      <c r="I528" s="5"/>
      <c r="J528" s="5"/>
      <c r="K528" s="5"/>
      <c r="L528" s="5"/>
      <c r="M528" s="5"/>
      <c r="N528" s="5"/>
      <c r="O528" s="5"/>
      <c r="P528" s="5"/>
      <c r="Q528" s="5"/>
      <c r="R528" s="5"/>
      <c r="S528" s="5"/>
      <c r="T528" s="5"/>
      <c r="U528" s="5"/>
      <c r="V528" s="5"/>
      <c r="W528" s="5"/>
    </row>
    <row r="529" spans="1:23">
      <c r="A529" s="4"/>
      <c r="B529" s="31"/>
      <c r="C529" s="31"/>
      <c r="D529" s="31"/>
      <c r="E529" s="31"/>
      <c r="F529" s="31"/>
      <c r="G529" s="31"/>
      <c r="H529" s="5"/>
      <c r="I529" s="5"/>
      <c r="J529" s="5"/>
      <c r="K529" s="5"/>
      <c r="L529" s="5"/>
      <c r="M529" s="5"/>
      <c r="N529" s="5"/>
      <c r="O529" s="5"/>
      <c r="P529" s="5"/>
      <c r="Q529" s="5"/>
      <c r="R529" s="5"/>
      <c r="S529" s="5"/>
      <c r="T529" s="5"/>
      <c r="U529" s="5"/>
      <c r="V529" s="5"/>
      <c r="W529" s="5"/>
    </row>
    <row r="530" spans="1:23">
      <c r="A530" s="4"/>
      <c r="B530" s="31"/>
      <c r="C530" s="31"/>
      <c r="D530" s="31"/>
      <c r="E530" s="31"/>
      <c r="F530" s="31"/>
      <c r="G530" s="31"/>
      <c r="H530" s="5"/>
      <c r="I530" s="5"/>
      <c r="J530" s="5"/>
      <c r="K530" s="5"/>
      <c r="L530" s="5"/>
      <c r="M530" s="5"/>
      <c r="N530" s="5"/>
      <c r="O530" s="5"/>
      <c r="P530" s="5"/>
      <c r="Q530" s="5"/>
      <c r="R530" s="5"/>
      <c r="S530" s="5"/>
      <c r="T530" s="5"/>
      <c r="U530" s="5"/>
      <c r="V530" s="5"/>
      <c r="W530" s="5"/>
    </row>
    <row r="531" spans="1:23">
      <c r="A531" s="4"/>
      <c r="B531" s="31"/>
      <c r="C531" s="31"/>
      <c r="D531" s="31"/>
      <c r="E531" s="31"/>
      <c r="F531" s="31"/>
      <c r="G531" s="31"/>
      <c r="H531" s="5"/>
      <c r="I531" s="5"/>
      <c r="J531" s="5"/>
      <c r="K531" s="5"/>
      <c r="L531" s="5"/>
      <c r="M531" s="5"/>
      <c r="N531" s="5"/>
      <c r="O531" s="5"/>
      <c r="P531" s="5"/>
      <c r="Q531" s="5"/>
      <c r="R531" s="5"/>
      <c r="S531" s="5"/>
      <c r="T531" s="5"/>
      <c r="U531" s="5"/>
      <c r="V531" s="5"/>
      <c r="W531" s="5"/>
    </row>
    <row r="532" spans="1:23">
      <c r="A532" s="4"/>
      <c r="B532" s="31"/>
      <c r="C532" s="31"/>
      <c r="D532" s="31"/>
      <c r="E532" s="31"/>
      <c r="F532" s="31"/>
      <c r="G532" s="31"/>
      <c r="H532" s="5"/>
      <c r="I532" s="5"/>
      <c r="J532" s="5"/>
      <c r="K532" s="5"/>
      <c r="L532" s="5"/>
      <c r="M532" s="5"/>
      <c r="N532" s="5"/>
      <c r="O532" s="5"/>
      <c r="P532" s="5"/>
      <c r="Q532" s="5"/>
      <c r="R532" s="5"/>
      <c r="S532" s="5"/>
      <c r="T532" s="5"/>
      <c r="U532" s="5"/>
      <c r="V532" s="5"/>
      <c r="W532" s="5"/>
    </row>
    <row r="533" spans="1:23">
      <c r="A533" s="4"/>
      <c r="B533" s="31"/>
      <c r="C533" s="31"/>
      <c r="D533" s="31"/>
      <c r="E533" s="31"/>
      <c r="F533" s="31"/>
      <c r="G533" s="31"/>
      <c r="H533" s="5"/>
      <c r="I533" s="5"/>
      <c r="J533" s="5"/>
      <c r="K533" s="5"/>
      <c r="L533" s="5"/>
      <c r="M533" s="5"/>
      <c r="N533" s="5"/>
      <c r="O533" s="5"/>
      <c r="P533" s="5"/>
      <c r="Q533" s="5"/>
      <c r="R533" s="5"/>
      <c r="S533" s="5"/>
      <c r="T533" s="5"/>
      <c r="U533" s="5"/>
      <c r="V533" s="5"/>
      <c r="W533" s="5"/>
    </row>
    <row r="534" spans="1:23">
      <c r="A534" s="4"/>
      <c r="B534" s="31"/>
      <c r="C534" s="31"/>
      <c r="D534" s="31"/>
      <c r="E534" s="31"/>
      <c r="F534" s="31"/>
      <c r="G534" s="31"/>
      <c r="H534" s="5"/>
      <c r="I534" s="5"/>
      <c r="J534" s="5"/>
      <c r="K534" s="5"/>
      <c r="L534" s="5"/>
      <c r="M534" s="5"/>
      <c r="N534" s="5"/>
      <c r="O534" s="5"/>
      <c r="P534" s="5"/>
      <c r="Q534" s="5"/>
      <c r="R534" s="5"/>
      <c r="S534" s="5"/>
      <c r="T534" s="5"/>
      <c r="U534" s="5"/>
      <c r="V534" s="5"/>
      <c r="W534" s="5"/>
    </row>
    <row r="535" spans="1:23">
      <c r="A535" s="4"/>
      <c r="B535" s="31"/>
      <c r="C535" s="31"/>
      <c r="D535" s="31"/>
      <c r="E535" s="31"/>
      <c r="F535" s="31"/>
      <c r="G535" s="31"/>
      <c r="H535" s="5"/>
      <c r="I535" s="5"/>
      <c r="J535" s="5"/>
      <c r="K535" s="5"/>
      <c r="L535" s="5"/>
      <c r="M535" s="5"/>
      <c r="N535" s="5"/>
      <c r="O535" s="5"/>
      <c r="P535" s="5"/>
      <c r="Q535" s="5"/>
      <c r="R535" s="5"/>
      <c r="S535" s="5"/>
      <c r="T535" s="5"/>
      <c r="U535" s="5"/>
      <c r="V535" s="5"/>
      <c r="W535" s="5"/>
    </row>
    <row r="536" spans="1:23">
      <c r="A536" s="4"/>
      <c r="B536" s="31"/>
      <c r="C536" s="31"/>
      <c r="D536" s="31"/>
      <c r="E536" s="31"/>
      <c r="F536" s="31"/>
      <c r="G536" s="31"/>
      <c r="H536" s="5"/>
      <c r="I536" s="5"/>
      <c r="J536" s="5"/>
      <c r="K536" s="5"/>
      <c r="L536" s="5"/>
      <c r="M536" s="5"/>
      <c r="N536" s="5"/>
      <c r="O536" s="5"/>
      <c r="P536" s="5"/>
      <c r="Q536" s="5"/>
      <c r="R536" s="5"/>
      <c r="S536" s="5"/>
      <c r="T536" s="5"/>
      <c r="U536" s="5"/>
      <c r="V536" s="5"/>
      <c r="W536" s="5"/>
    </row>
    <row r="537" spans="1:23">
      <c r="A537" s="4"/>
      <c r="B537" s="31"/>
      <c r="C537" s="31"/>
      <c r="D537" s="31"/>
      <c r="E537" s="31"/>
      <c r="F537" s="31"/>
      <c r="G537" s="31"/>
      <c r="H537" s="5"/>
      <c r="I537" s="5"/>
      <c r="J537" s="5"/>
      <c r="K537" s="5"/>
      <c r="L537" s="5"/>
      <c r="M537" s="5"/>
      <c r="N537" s="5"/>
      <c r="O537" s="5"/>
      <c r="P537" s="5"/>
      <c r="Q537" s="5"/>
      <c r="R537" s="5"/>
      <c r="S537" s="5"/>
      <c r="T537" s="5"/>
      <c r="U537" s="5"/>
      <c r="V537" s="5"/>
      <c r="W537" s="5"/>
    </row>
    <row r="538" spans="1:23">
      <c r="A538" s="4"/>
      <c r="B538" s="31"/>
      <c r="C538" s="31"/>
      <c r="D538" s="31"/>
      <c r="E538" s="31"/>
      <c r="F538" s="31"/>
      <c r="G538" s="31"/>
      <c r="H538" s="5"/>
      <c r="I538" s="5"/>
      <c r="J538" s="5"/>
      <c r="K538" s="5"/>
      <c r="L538" s="5"/>
      <c r="M538" s="5"/>
      <c r="N538" s="5"/>
      <c r="O538" s="5"/>
      <c r="P538" s="5"/>
      <c r="Q538" s="5"/>
      <c r="R538" s="5"/>
      <c r="S538" s="5"/>
      <c r="T538" s="5"/>
      <c r="U538" s="5"/>
      <c r="V538" s="5"/>
      <c r="W538" s="5"/>
    </row>
    <row r="539" spans="1:23">
      <c r="A539" s="4"/>
      <c r="B539" s="31"/>
      <c r="C539" s="31"/>
      <c r="D539" s="31"/>
      <c r="E539" s="31"/>
      <c r="F539" s="31"/>
      <c r="G539" s="31"/>
      <c r="H539" s="5"/>
      <c r="I539" s="5"/>
      <c r="J539" s="5"/>
      <c r="K539" s="5"/>
      <c r="L539" s="5"/>
      <c r="M539" s="5"/>
      <c r="N539" s="5"/>
      <c r="O539" s="5"/>
      <c r="P539" s="5"/>
      <c r="Q539" s="5"/>
      <c r="R539" s="5"/>
      <c r="S539" s="5"/>
      <c r="T539" s="5"/>
      <c r="U539" s="5"/>
      <c r="V539" s="5"/>
      <c r="W539" s="5"/>
    </row>
    <row r="540" spans="1:23">
      <c r="A540" s="4"/>
      <c r="B540" s="31"/>
      <c r="C540" s="31"/>
      <c r="D540" s="31"/>
      <c r="E540" s="31"/>
      <c r="F540" s="31"/>
      <c r="G540" s="31"/>
      <c r="H540" s="5"/>
      <c r="I540" s="5"/>
      <c r="J540" s="5"/>
      <c r="K540" s="5"/>
      <c r="L540" s="5"/>
      <c r="M540" s="5"/>
      <c r="N540" s="5"/>
      <c r="O540" s="5"/>
      <c r="P540" s="5"/>
      <c r="Q540" s="5"/>
      <c r="R540" s="5"/>
      <c r="S540" s="5"/>
      <c r="T540" s="5"/>
      <c r="U540" s="5"/>
      <c r="V540" s="5"/>
      <c r="W540" s="5"/>
    </row>
    <row r="541" spans="1:23">
      <c r="A541" s="4"/>
      <c r="B541" s="31"/>
      <c r="C541" s="31"/>
      <c r="D541" s="31"/>
      <c r="E541" s="31"/>
      <c r="F541" s="31"/>
      <c r="G541" s="31"/>
      <c r="H541" s="5"/>
      <c r="I541" s="5"/>
      <c r="J541" s="5"/>
      <c r="K541" s="5"/>
      <c r="L541" s="5"/>
      <c r="M541" s="5"/>
      <c r="N541" s="5"/>
      <c r="O541" s="5"/>
      <c r="P541" s="5"/>
      <c r="Q541" s="5"/>
      <c r="R541" s="5"/>
      <c r="S541" s="5"/>
      <c r="T541" s="5"/>
      <c r="U541" s="5"/>
      <c r="V541" s="5"/>
      <c r="W541" s="5"/>
    </row>
    <row r="542" spans="1:23">
      <c r="A542" s="4"/>
      <c r="B542" s="31"/>
      <c r="C542" s="31"/>
      <c r="D542" s="31"/>
      <c r="E542" s="31"/>
      <c r="F542" s="31"/>
      <c r="G542" s="31"/>
      <c r="H542" s="5"/>
      <c r="I542" s="5"/>
      <c r="J542" s="5"/>
      <c r="K542" s="5"/>
      <c r="L542" s="5"/>
      <c r="M542" s="5"/>
      <c r="N542" s="5"/>
      <c r="O542" s="5"/>
      <c r="P542" s="5"/>
      <c r="Q542" s="5"/>
      <c r="R542" s="5"/>
      <c r="S542" s="5"/>
      <c r="T542" s="5"/>
      <c r="U542" s="5"/>
      <c r="V542" s="5"/>
      <c r="W542" s="5"/>
    </row>
    <row r="543" spans="1:23">
      <c r="A543" s="4"/>
      <c r="B543" s="31"/>
      <c r="C543" s="31"/>
      <c r="D543" s="31"/>
      <c r="E543" s="31"/>
      <c r="F543" s="31"/>
      <c r="G543" s="31"/>
      <c r="H543" s="5"/>
      <c r="I543" s="5"/>
      <c r="J543" s="5"/>
      <c r="K543" s="5"/>
      <c r="L543" s="5"/>
      <c r="M543" s="5"/>
      <c r="N543" s="5"/>
      <c r="O543" s="5"/>
      <c r="P543" s="5"/>
      <c r="Q543" s="5"/>
      <c r="R543" s="5"/>
      <c r="S543" s="5"/>
      <c r="T543" s="5"/>
      <c r="U543" s="5"/>
      <c r="V543" s="5"/>
      <c r="W543" s="5"/>
    </row>
    <row r="544" spans="1:23">
      <c r="A544" s="4"/>
      <c r="B544" s="31"/>
      <c r="C544" s="31"/>
      <c r="D544" s="31"/>
      <c r="E544" s="31"/>
      <c r="F544" s="31"/>
      <c r="G544" s="31"/>
      <c r="H544" s="5"/>
      <c r="I544" s="5"/>
      <c r="J544" s="5"/>
      <c r="K544" s="5"/>
      <c r="L544" s="5"/>
      <c r="M544" s="5"/>
      <c r="N544" s="5"/>
      <c r="O544" s="5"/>
      <c r="P544" s="5"/>
      <c r="Q544" s="5"/>
      <c r="R544" s="5"/>
      <c r="S544" s="5"/>
      <c r="T544" s="5"/>
      <c r="U544" s="5"/>
      <c r="V544" s="5"/>
      <c r="W544" s="5"/>
    </row>
    <row r="545" spans="1:23">
      <c r="A545" s="4"/>
      <c r="B545" s="31"/>
      <c r="C545" s="31"/>
      <c r="D545" s="31"/>
      <c r="E545" s="31"/>
      <c r="F545" s="31"/>
      <c r="G545" s="31"/>
      <c r="H545" s="5"/>
      <c r="I545" s="5"/>
      <c r="J545" s="5"/>
      <c r="K545" s="5"/>
      <c r="L545" s="5"/>
      <c r="M545" s="5"/>
      <c r="N545" s="5"/>
      <c r="O545" s="5"/>
      <c r="P545" s="5"/>
      <c r="Q545" s="5"/>
      <c r="R545" s="5"/>
      <c r="S545" s="5"/>
      <c r="T545" s="5"/>
      <c r="U545" s="5"/>
      <c r="V545" s="5"/>
      <c r="W545" s="5"/>
    </row>
    <row r="546" spans="1:23">
      <c r="A546" s="4"/>
      <c r="B546" s="31"/>
      <c r="C546" s="31"/>
      <c r="D546" s="31"/>
      <c r="E546" s="31"/>
      <c r="F546" s="31"/>
      <c r="G546" s="31"/>
      <c r="H546" s="5"/>
      <c r="I546" s="5"/>
      <c r="J546" s="5"/>
      <c r="K546" s="5"/>
      <c r="L546" s="5"/>
      <c r="M546" s="5"/>
      <c r="N546" s="5"/>
      <c r="O546" s="5"/>
      <c r="P546" s="5"/>
      <c r="Q546" s="5"/>
      <c r="R546" s="5"/>
      <c r="S546" s="5"/>
      <c r="T546" s="5"/>
      <c r="U546" s="5"/>
      <c r="V546" s="5"/>
      <c r="W546" s="5"/>
    </row>
    <row r="547" spans="1:23">
      <c r="A547" s="4"/>
      <c r="B547" s="31"/>
      <c r="C547" s="31"/>
      <c r="D547" s="31"/>
      <c r="E547" s="31"/>
      <c r="F547" s="31"/>
      <c r="G547" s="31"/>
      <c r="H547" s="5"/>
      <c r="I547" s="5"/>
      <c r="J547" s="5"/>
      <c r="K547" s="5"/>
      <c r="L547" s="5"/>
      <c r="M547" s="5"/>
      <c r="N547" s="5"/>
      <c r="O547" s="5"/>
      <c r="P547" s="5"/>
      <c r="Q547" s="5"/>
      <c r="R547" s="5"/>
      <c r="S547" s="5"/>
      <c r="T547" s="5"/>
      <c r="U547" s="5"/>
      <c r="V547" s="5"/>
      <c r="W547" s="5"/>
    </row>
    <row r="548" spans="1:23">
      <c r="A548" s="4"/>
      <c r="B548" s="31"/>
      <c r="C548" s="31"/>
      <c r="D548" s="31"/>
      <c r="E548" s="31"/>
      <c r="F548" s="31"/>
      <c r="G548" s="31"/>
      <c r="H548" s="5"/>
      <c r="I548" s="5"/>
      <c r="J548" s="5"/>
      <c r="K548" s="5"/>
      <c r="L548" s="5"/>
      <c r="M548" s="5"/>
      <c r="N548" s="5"/>
      <c r="O548" s="5"/>
      <c r="P548" s="5"/>
      <c r="Q548" s="5"/>
      <c r="R548" s="5"/>
      <c r="S548" s="5"/>
      <c r="T548" s="5"/>
      <c r="U548" s="5"/>
      <c r="V548" s="5"/>
      <c r="W548" s="5"/>
    </row>
    <row r="549" spans="1:23">
      <c r="A549" s="4"/>
      <c r="B549" s="31"/>
      <c r="C549" s="31"/>
      <c r="D549" s="31"/>
      <c r="E549" s="31"/>
      <c r="F549" s="31"/>
      <c r="G549" s="31"/>
      <c r="H549" s="5"/>
      <c r="I549" s="5"/>
      <c r="J549" s="5"/>
      <c r="K549" s="5"/>
      <c r="L549" s="5"/>
      <c r="M549" s="5"/>
      <c r="N549" s="5"/>
      <c r="O549" s="5"/>
      <c r="P549" s="5"/>
      <c r="Q549" s="5"/>
      <c r="R549" s="5"/>
      <c r="S549" s="5"/>
      <c r="T549" s="5"/>
      <c r="U549" s="5"/>
      <c r="V549" s="5"/>
      <c r="W549" s="5"/>
    </row>
    <row r="550" spans="1:23">
      <c r="A550" s="4"/>
      <c r="B550" s="31"/>
      <c r="C550" s="31"/>
      <c r="D550" s="31"/>
      <c r="E550" s="31"/>
      <c r="F550" s="31"/>
      <c r="G550" s="31"/>
      <c r="H550" s="5"/>
      <c r="I550" s="5"/>
      <c r="J550" s="5"/>
      <c r="K550" s="5"/>
      <c r="L550" s="5"/>
      <c r="M550" s="5"/>
      <c r="N550" s="5"/>
      <c r="O550" s="5"/>
      <c r="P550" s="5"/>
      <c r="Q550" s="5"/>
      <c r="R550" s="5"/>
      <c r="S550" s="5"/>
      <c r="T550" s="5"/>
      <c r="U550" s="5"/>
      <c r="V550" s="5"/>
      <c r="W550" s="5"/>
    </row>
    <row r="551" spans="1:23">
      <c r="A551" s="4"/>
      <c r="B551" s="31"/>
      <c r="C551" s="31"/>
      <c r="D551" s="31"/>
      <c r="E551" s="31"/>
      <c r="F551" s="31"/>
      <c r="G551" s="31"/>
      <c r="H551" s="5"/>
      <c r="I551" s="5"/>
      <c r="J551" s="5"/>
      <c r="K551" s="5"/>
      <c r="L551" s="5"/>
      <c r="M551" s="5"/>
      <c r="N551" s="5"/>
      <c r="O551" s="5"/>
      <c r="P551" s="5"/>
      <c r="Q551" s="5"/>
      <c r="R551" s="5"/>
      <c r="S551" s="5"/>
      <c r="T551" s="5"/>
      <c r="U551" s="5"/>
      <c r="V551" s="5"/>
      <c r="W551" s="5"/>
    </row>
    <row r="552" spans="1:23">
      <c r="A552" s="4"/>
      <c r="B552" s="31"/>
      <c r="C552" s="31"/>
      <c r="D552" s="31"/>
      <c r="E552" s="31"/>
      <c r="F552" s="31"/>
      <c r="G552" s="31"/>
      <c r="H552" s="5"/>
      <c r="I552" s="5"/>
      <c r="J552" s="5"/>
      <c r="K552" s="5"/>
      <c r="L552" s="5"/>
      <c r="M552" s="5"/>
      <c r="N552" s="5"/>
      <c r="O552" s="5"/>
      <c r="P552" s="5"/>
      <c r="Q552" s="5"/>
      <c r="R552" s="5"/>
      <c r="S552" s="5"/>
      <c r="T552" s="5"/>
      <c r="U552" s="5"/>
      <c r="V552" s="5"/>
      <c r="W552" s="5"/>
    </row>
    <row r="553" spans="1:23">
      <c r="A553" s="4"/>
      <c r="B553" s="31"/>
      <c r="C553" s="31"/>
      <c r="D553" s="31"/>
      <c r="E553" s="31"/>
      <c r="F553" s="31"/>
      <c r="G553" s="31"/>
      <c r="H553" s="5"/>
      <c r="I553" s="5"/>
      <c r="J553" s="5"/>
      <c r="K553" s="5"/>
      <c r="L553" s="5"/>
      <c r="M553" s="5"/>
      <c r="N553" s="5"/>
      <c r="O553" s="5"/>
      <c r="P553" s="5"/>
      <c r="Q553" s="5"/>
      <c r="R553" s="5"/>
      <c r="S553" s="5"/>
      <c r="T553" s="5"/>
      <c r="U553" s="5"/>
      <c r="V553" s="5"/>
      <c r="W553" s="5"/>
    </row>
    <row r="554" spans="1:23">
      <c r="A554" s="4"/>
      <c r="B554" s="31"/>
      <c r="C554" s="31"/>
      <c r="D554" s="31"/>
      <c r="E554" s="31"/>
      <c r="F554" s="31"/>
      <c r="G554" s="31"/>
      <c r="H554" s="5"/>
      <c r="I554" s="5"/>
      <c r="J554" s="5"/>
      <c r="K554" s="5"/>
      <c r="L554" s="5"/>
      <c r="M554" s="5"/>
      <c r="N554" s="5"/>
      <c r="O554" s="5"/>
      <c r="P554" s="5"/>
      <c r="Q554" s="5"/>
      <c r="R554" s="5"/>
      <c r="S554" s="5"/>
      <c r="T554" s="5"/>
      <c r="U554" s="5"/>
      <c r="V554" s="5"/>
      <c r="W554" s="5"/>
    </row>
    <row r="555" spans="1:23">
      <c r="A555" s="4"/>
      <c r="B555" s="31"/>
      <c r="C555" s="31"/>
      <c r="D555" s="31"/>
      <c r="E555" s="31"/>
      <c r="F555" s="31"/>
      <c r="G555" s="31"/>
      <c r="H555" s="5"/>
      <c r="I555" s="5"/>
      <c r="J555" s="5"/>
      <c r="K555" s="5"/>
      <c r="L555" s="5"/>
      <c r="M555" s="5"/>
      <c r="N555" s="5"/>
      <c r="O555" s="5"/>
      <c r="P555" s="5"/>
      <c r="Q555" s="5"/>
      <c r="R555" s="5"/>
      <c r="S555" s="5"/>
      <c r="T555" s="5"/>
      <c r="U555" s="5"/>
      <c r="V555" s="5"/>
      <c r="W555" s="5"/>
    </row>
    <row r="556" spans="1:23">
      <c r="A556" s="4"/>
      <c r="B556" s="31"/>
      <c r="C556" s="31"/>
      <c r="D556" s="31"/>
      <c r="E556" s="31"/>
      <c r="F556" s="31"/>
      <c r="G556" s="31"/>
      <c r="H556" s="5"/>
      <c r="I556" s="5"/>
      <c r="J556" s="5"/>
      <c r="K556" s="5"/>
      <c r="L556" s="5"/>
      <c r="M556" s="5"/>
      <c r="N556" s="5"/>
      <c r="O556" s="5"/>
      <c r="P556" s="5"/>
      <c r="Q556" s="5"/>
      <c r="R556" s="5"/>
      <c r="S556" s="5"/>
      <c r="T556" s="5"/>
      <c r="U556" s="5"/>
      <c r="V556" s="5"/>
      <c r="W556" s="5"/>
    </row>
    <row r="557" spans="1:23">
      <c r="A557" s="4"/>
      <c r="B557" s="31"/>
      <c r="C557" s="31"/>
      <c r="D557" s="31"/>
      <c r="E557" s="31"/>
      <c r="F557" s="31"/>
      <c r="G557" s="31"/>
      <c r="H557" s="5"/>
      <c r="I557" s="5"/>
      <c r="J557" s="5"/>
      <c r="K557" s="5"/>
      <c r="L557" s="5"/>
      <c r="M557" s="5"/>
      <c r="N557" s="5"/>
      <c r="O557" s="5"/>
      <c r="P557" s="5"/>
      <c r="Q557" s="5"/>
      <c r="R557" s="5"/>
      <c r="S557" s="5"/>
      <c r="T557" s="5"/>
      <c r="U557" s="5"/>
      <c r="V557" s="5"/>
      <c r="W557" s="5"/>
    </row>
    <row r="558" spans="1:23">
      <c r="A558" s="4"/>
      <c r="B558" s="31"/>
      <c r="C558" s="31"/>
      <c r="D558" s="31"/>
      <c r="E558" s="31"/>
      <c r="F558" s="31"/>
      <c r="G558" s="31"/>
      <c r="H558" s="5"/>
      <c r="I558" s="5"/>
      <c r="J558" s="5"/>
      <c r="K558" s="5"/>
      <c r="L558" s="5"/>
      <c r="M558" s="5"/>
      <c r="N558" s="5"/>
      <c r="O558" s="5"/>
      <c r="P558" s="5"/>
      <c r="Q558" s="5"/>
      <c r="R558" s="5"/>
      <c r="S558" s="5"/>
      <c r="T558" s="5"/>
      <c r="U558" s="5"/>
      <c r="V558" s="5"/>
      <c r="W558" s="5"/>
    </row>
    <row r="559" spans="1:23">
      <c r="A559" s="4"/>
      <c r="B559" s="31"/>
      <c r="C559" s="31"/>
      <c r="D559" s="31"/>
      <c r="E559" s="31"/>
      <c r="F559" s="31"/>
      <c r="G559" s="31"/>
      <c r="H559" s="5"/>
      <c r="I559" s="5"/>
      <c r="J559" s="5"/>
      <c r="K559" s="5"/>
      <c r="L559" s="5"/>
      <c r="M559" s="5"/>
      <c r="N559" s="5"/>
      <c r="O559" s="5"/>
      <c r="P559" s="5"/>
      <c r="Q559" s="5"/>
      <c r="R559" s="5"/>
      <c r="S559" s="5"/>
      <c r="T559" s="5"/>
      <c r="U559" s="5"/>
      <c r="V559" s="5"/>
      <c r="W559" s="5"/>
    </row>
    <row r="560" spans="1:23">
      <c r="A560" s="4"/>
      <c r="B560" s="31"/>
      <c r="C560" s="31"/>
      <c r="D560" s="31"/>
      <c r="E560" s="31"/>
      <c r="F560" s="31"/>
      <c r="G560" s="31"/>
      <c r="H560" s="5"/>
      <c r="I560" s="5"/>
      <c r="J560" s="5"/>
      <c r="K560" s="5"/>
      <c r="L560" s="5"/>
      <c r="M560" s="5"/>
      <c r="N560" s="5"/>
      <c r="O560" s="5"/>
      <c r="P560" s="5"/>
      <c r="Q560" s="5"/>
      <c r="R560" s="5"/>
      <c r="S560" s="5"/>
      <c r="T560" s="5"/>
      <c r="U560" s="5"/>
      <c r="V560" s="5"/>
      <c r="W560" s="5"/>
    </row>
    <row r="561" spans="1:23">
      <c r="A561" s="4"/>
      <c r="B561" s="31"/>
      <c r="C561" s="31"/>
      <c r="D561" s="31"/>
      <c r="E561" s="31"/>
      <c r="F561" s="31"/>
      <c r="G561" s="31"/>
      <c r="H561" s="5"/>
      <c r="I561" s="5"/>
      <c r="J561" s="5"/>
      <c r="K561" s="5"/>
      <c r="L561" s="5"/>
      <c r="M561" s="5"/>
      <c r="N561" s="5"/>
      <c r="O561" s="5"/>
      <c r="P561" s="5"/>
      <c r="Q561" s="5"/>
      <c r="R561" s="5"/>
      <c r="S561" s="5"/>
      <c r="T561" s="5"/>
      <c r="U561" s="5"/>
      <c r="V561" s="5"/>
      <c r="W561" s="5"/>
    </row>
    <row r="562" spans="1:23">
      <c r="A562" s="4"/>
      <c r="B562" s="31"/>
      <c r="C562" s="31"/>
      <c r="D562" s="31"/>
      <c r="E562" s="31"/>
      <c r="F562" s="31"/>
      <c r="G562" s="31"/>
      <c r="H562" s="5"/>
      <c r="I562" s="5"/>
      <c r="J562" s="5"/>
      <c r="K562" s="5"/>
      <c r="L562" s="5"/>
      <c r="M562" s="5"/>
      <c r="N562" s="5"/>
      <c r="O562" s="5"/>
      <c r="P562" s="5"/>
      <c r="Q562" s="5"/>
      <c r="R562" s="5"/>
      <c r="S562" s="5"/>
      <c r="T562" s="5"/>
      <c r="U562" s="5"/>
      <c r="V562" s="5"/>
      <c r="W562" s="5"/>
    </row>
    <row r="563" spans="1:23">
      <c r="A563" s="4"/>
      <c r="B563" s="31"/>
      <c r="C563" s="31"/>
      <c r="D563" s="31"/>
      <c r="E563" s="31"/>
      <c r="F563" s="31"/>
      <c r="G563" s="31"/>
      <c r="H563" s="5"/>
      <c r="I563" s="5"/>
      <c r="J563" s="5"/>
      <c r="K563" s="5"/>
      <c r="L563" s="5"/>
      <c r="M563" s="5"/>
      <c r="N563" s="5"/>
      <c r="O563" s="5"/>
      <c r="P563" s="5"/>
      <c r="Q563" s="5"/>
      <c r="R563" s="5"/>
      <c r="S563" s="5"/>
      <c r="T563" s="5"/>
      <c r="U563" s="5"/>
      <c r="V563" s="5"/>
      <c r="W563" s="5"/>
    </row>
    <row r="564" spans="1:23">
      <c r="A564" s="4"/>
      <c r="B564" s="31"/>
      <c r="C564" s="31"/>
      <c r="D564" s="31"/>
      <c r="E564" s="31"/>
      <c r="F564" s="31"/>
      <c r="G564" s="31"/>
      <c r="H564" s="5"/>
      <c r="I564" s="5"/>
      <c r="J564" s="5"/>
      <c r="K564" s="5"/>
      <c r="L564" s="5"/>
      <c r="M564" s="5"/>
      <c r="N564" s="5"/>
      <c r="O564" s="5"/>
      <c r="P564" s="5"/>
      <c r="Q564" s="5"/>
      <c r="R564" s="5"/>
      <c r="S564" s="5"/>
      <c r="T564" s="5"/>
      <c r="U564" s="5"/>
      <c r="V564" s="5"/>
      <c r="W564" s="5"/>
    </row>
    <row r="565" spans="1:23">
      <c r="A565" s="4"/>
      <c r="B565" s="31"/>
      <c r="C565" s="31"/>
      <c r="D565" s="31"/>
      <c r="E565" s="31"/>
      <c r="F565" s="31"/>
      <c r="G565" s="31"/>
      <c r="H565" s="5"/>
      <c r="I565" s="5"/>
      <c r="J565" s="5"/>
      <c r="K565" s="5"/>
      <c r="L565" s="5"/>
      <c r="M565" s="5"/>
      <c r="N565" s="5"/>
      <c r="O565" s="5"/>
      <c r="P565" s="5"/>
      <c r="Q565" s="5"/>
      <c r="R565" s="5"/>
      <c r="S565" s="5"/>
      <c r="T565" s="5"/>
      <c r="U565" s="5"/>
      <c r="V565" s="5"/>
      <c r="W565" s="5"/>
    </row>
    <row r="566" spans="1:23">
      <c r="A566" s="4"/>
      <c r="B566" s="31"/>
      <c r="C566" s="31"/>
      <c r="D566" s="31"/>
      <c r="E566" s="31"/>
      <c r="F566" s="31"/>
      <c r="G566" s="31"/>
      <c r="H566" s="5"/>
      <c r="I566" s="5"/>
      <c r="J566" s="5"/>
      <c r="K566" s="5"/>
      <c r="L566" s="5"/>
      <c r="M566" s="5"/>
      <c r="N566" s="5"/>
      <c r="O566" s="5"/>
      <c r="P566" s="5"/>
      <c r="Q566" s="5"/>
      <c r="R566" s="5"/>
      <c r="S566" s="5"/>
      <c r="T566" s="5"/>
      <c r="U566" s="5"/>
      <c r="V566" s="5"/>
      <c r="W566" s="5"/>
    </row>
    <row r="567" spans="1:23">
      <c r="A567" s="4"/>
      <c r="B567" s="31"/>
      <c r="C567" s="31"/>
      <c r="D567" s="31"/>
      <c r="E567" s="31"/>
      <c r="F567" s="31"/>
      <c r="G567" s="31"/>
      <c r="H567" s="5"/>
      <c r="I567" s="5"/>
      <c r="J567" s="5"/>
      <c r="K567" s="5"/>
      <c r="L567" s="5"/>
      <c r="M567" s="5"/>
      <c r="N567" s="5"/>
      <c r="O567" s="5"/>
      <c r="P567" s="5"/>
      <c r="Q567" s="5"/>
      <c r="R567" s="5"/>
      <c r="S567" s="5"/>
      <c r="T567" s="5"/>
      <c r="U567" s="5"/>
      <c r="V567" s="5"/>
      <c r="W567" s="5"/>
    </row>
    <row r="568" spans="1:23">
      <c r="A568" s="4"/>
      <c r="B568" s="31"/>
      <c r="C568" s="31"/>
      <c r="D568" s="31"/>
      <c r="E568" s="31"/>
      <c r="F568" s="31"/>
      <c r="G568" s="31"/>
      <c r="H568" s="5"/>
      <c r="I568" s="5"/>
      <c r="J568" s="5"/>
      <c r="K568" s="5"/>
      <c r="L568" s="5"/>
      <c r="M568" s="5"/>
      <c r="N568" s="5"/>
      <c r="O568" s="5"/>
      <c r="P568" s="5"/>
      <c r="Q568" s="5"/>
      <c r="R568" s="5"/>
      <c r="S568" s="5"/>
      <c r="T568" s="5"/>
      <c r="U568" s="5"/>
      <c r="V568" s="5"/>
      <c r="W568" s="5"/>
    </row>
    <row r="569" spans="1:23">
      <c r="A569" s="4"/>
      <c r="B569" s="31"/>
      <c r="C569" s="31"/>
      <c r="D569" s="31"/>
      <c r="E569" s="31"/>
      <c r="F569" s="31"/>
      <c r="G569" s="31"/>
      <c r="H569" s="5"/>
      <c r="I569" s="5"/>
      <c r="J569" s="5"/>
      <c r="K569" s="5"/>
      <c r="L569" s="5"/>
      <c r="M569" s="5"/>
      <c r="N569" s="5"/>
      <c r="O569" s="5"/>
      <c r="P569" s="5"/>
      <c r="Q569" s="5"/>
      <c r="R569" s="5"/>
      <c r="S569" s="5"/>
      <c r="T569" s="5"/>
      <c r="U569" s="5"/>
      <c r="V569" s="5"/>
      <c r="W569" s="5"/>
    </row>
    <row r="570" spans="1:23">
      <c r="A570" s="4"/>
      <c r="B570" s="31"/>
      <c r="C570" s="31"/>
      <c r="D570" s="31"/>
      <c r="E570" s="31"/>
      <c r="F570" s="31"/>
      <c r="G570" s="31"/>
      <c r="H570" s="5"/>
      <c r="I570" s="5"/>
      <c r="J570" s="5"/>
      <c r="K570" s="5"/>
      <c r="L570" s="5"/>
      <c r="M570" s="5"/>
      <c r="N570" s="5"/>
      <c r="O570" s="5"/>
      <c r="P570" s="5"/>
      <c r="Q570" s="5"/>
      <c r="R570" s="5"/>
      <c r="S570" s="5"/>
      <c r="T570" s="5"/>
      <c r="U570" s="5"/>
      <c r="V570" s="5"/>
      <c r="W570" s="5"/>
    </row>
    <row r="571" spans="1:23">
      <c r="A571" s="4"/>
      <c r="B571" s="31"/>
      <c r="C571" s="31"/>
      <c r="D571" s="31"/>
      <c r="E571" s="31"/>
      <c r="F571" s="31"/>
      <c r="G571" s="31"/>
      <c r="H571" s="5"/>
      <c r="I571" s="5"/>
      <c r="J571" s="5"/>
      <c r="K571" s="5"/>
      <c r="L571" s="5"/>
      <c r="M571" s="5"/>
      <c r="N571" s="5"/>
      <c r="O571" s="5"/>
      <c r="P571" s="5"/>
      <c r="Q571" s="5"/>
      <c r="R571" s="5"/>
      <c r="S571" s="5"/>
      <c r="T571" s="5"/>
      <c r="U571" s="5"/>
      <c r="V571" s="5"/>
      <c r="W571" s="5"/>
    </row>
    <row r="572" spans="1:23">
      <c r="A572" s="4"/>
      <c r="B572" s="31"/>
      <c r="C572" s="31"/>
      <c r="D572" s="31"/>
      <c r="E572" s="31"/>
      <c r="F572" s="31"/>
      <c r="G572" s="31"/>
      <c r="H572" s="5"/>
      <c r="I572" s="5"/>
      <c r="J572" s="5"/>
      <c r="K572" s="5"/>
      <c r="L572" s="5"/>
      <c r="M572" s="5"/>
      <c r="N572" s="5"/>
      <c r="O572" s="5"/>
      <c r="P572" s="5"/>
      <c r="Q572" s="5"/>
      <c r="R572" s="5"/>
      <c r="S572" s="5"/>
      <c r="T572" s="5"/>
      <c r="U572" s="5"/>
      <c r="V572" s="5"/>
      <c r="W572" s="5"/>
    </row>
    <row r="573" spans="1:23">
      <c r="A573" s="4"/>
      <c r="B573" s="31"/>
      <c r="C573" s="31"/>
      <c r="D573" s="31"/>
      <c r="E573" s="31"/>
      <c r="F573" s="31"/>
      <c r="G573" s="31"/>
      <c r="H573" s="5"/>
      <c r="I573" s="5"/>
      <c r="J573" s="5"/>
      <c r="K573" s="5"/>
      <c r="L573" s="5"/>
      <c r="M573" s="5"/>
      <c r="N573" s="5"/>
      <c r="O573" s="5"/>
      <c r="P573" s="5"/>
      <c r="Q573" s="5"/>
      <c r="R573" s="5"/>
      <c r="S573" s="5"/>
      <c r="T573" s="5"/>
      <c r="U573" s="5"/>
      <c r="V573" s="5"/>
      <c r="W573" s="5"/>
    </row>
    <row r="574" spans="1:23">
      <c r="A574" s="4"/>
      <c r="B574" s="31"/>
      <c r="C574" s="31"/>
      <c r="D574" s="31"/>
      <c r="E574" s="31"/>
      <c r="F574" s="31"/>
      <c r="G574" s="31"/>
      <c r="H574" s="5"/>
      <c r="I574" s="5"/>
      <c r="J574" s="5"/>
      <c r="K574" s="5"/>
      <c r="L574" s="5"/>
      <c r="M574" s="5"/>
      <c r="N574" s="5"/>
      <c r="O574" s="5"/>
      <c r="P574" s="5"/>
      <c r="Q574" s="5"/>
      <c r="R574" s="5"/>
      <c r="S574" s="5"/>
      <c r="T574" s="5"/>
      <c r="U574" s="5"/>
      <c r="V574" s="5"/>
      <c r="W574" s="5"/>
    </row>
    <row r="575" spans="1:23">
      <c r="A575" s="4"/>
      <c r="B575" s="31"/>
      <c r="C575" s="31"/>
      <c r="D575" s="31"/>
      <c r="E575" s="31"/>
      <c r="F575" s="31"/>
      <c r="G575" s="31"/>
      <c r="H575" s="5"/>
      <c r="I575" s="5"/>
      <c r="J575" s="5"/>
      <c r="K575" s="5"/>
      <c r="L575" s="5"/>
      <c r="M575" s="5"/>
      <c r="N575" s="5"/>
      <c r="O575" s="5"/>
      <c r="P575" s="5"/>
      <c r="Q575" s="5"/>
      <c r="R575" s="5"/>
      <c r="S575" s="5"/>
      <c r="T575" s="5"/>
      <c r="U575" s="5"/>
      <c r="V575" s="5"/>
      <c r="W575" s="5"/>
    </row>
    <row r="576" spans="1:23">
      <c r="A576" s="4"/>
      <c r="B576" s="31"/>
      <c r="C576" s="31"/>
      <c r="D576" s="31"/>
      <c r="E576" s="31"/>
      <c r="F576" s="31"/>
      <c r="G576" s="31"/>
      <c r="H576" s="5"/>
      <c r="I576" s="5"/>
      <c r="J576" s="5"/>
      <c r="K576" s="5"/>
      <c r="L576" s="5"/>
      <c r="M576" s="5"/>
      <c r="N576" s="5"/>
      <c r="O576" s="5"/>
      <c r="P576" s="5"/>
      <c r="Q576" s="5"/>
      <c r="R576" s="5"/>
      <c r="S576" s="5"/>
      <c r="T576" s="5"/>
      <c r="U576" s="5"/>
      <c r="V576" s="5"/>
      <c r="W576" s="5"/>
    </row>
    <row r="577" spans="1:23">
      <c r="A577" s="4"/>
      <c r="B577" s="31"/>
      <c r="C577" s="31"/>
      <c r="D577" s="31"/>
      <c r="E577" s="31"/>
      <c r="F577" s="31"/>
      <c r="G577" s="31"/>
      <c r="H577" s="5"/>
      <c r="I577" s="5"/>
      <c r="J577" s="5"/>
      <c r="K577" s="5"/>
      <c r="L577" s="5"/>
      <c r="M577" s="5"/>
      <c r="N577" s="5"/>
      <c r="O577" s="5"/>
      <c r="P577" s="5"/>
      <c r="Q577" s="5"/>
      <c r="R577" s="5"/>
      <c r="S577" s="5"/>
      <c r="T577" s="5"/>
      <c r="U577" s="5"/>
      <c r="V577" s="5"/>
      <c r="W577" s="5"/>
    </row>
    <row r="578" spans="1:23">
      <c r="A578" s="4"/>
      <c r="B578" s="31"/>
      <c r="C578" s="31"/>
      <c r="D578" s="31"/>
      <c r="E578" s="31"/>
      <c r="F578" s="31"/>
      <c r="G578" s="31"/>
      <c r="H578" s="5"/>
      <c r="I578" s="5"/>
      <c r="J578" s="5"/>
      <c r="K578" s="5"/>
      <c r="L578" s="5"/>
      <c r="M578" s="5"/>
      <c r="N578" s="5"/>
      <c r="O578" s="5"/>
      <c r="P578" s="5"/>
      <c r="Q578" s="5"/>
      <c r="R578" s="5"/>
      <c r="S578" s="5"/>
      <c r="T578" s="5"/>
      <c r="U578" s="5"/>
      <c r="V578" s="5"/>
      <c r="W578" s="5"/>
    </row>
    <row r="579" spans="1:23">
      <c r="A579" s="4"/>
      <c r="B579" s="31"/>
      <c r="C579" s="31"/>
      <c r="D579" s="31"/>
      <c r="E579" s="31"/>
      <c r="F579" s="31"/>
      <c r="G579" s="31"/>
      <c r="H579" s="5"/>
      <c r="I579" s="5"/>
      <c r="J579" s="5"/>
      <c r="K579" s="5"/>
      <c r="L579" s="5"/>
      <c r="M579" s="5"/>
      <c r="N579" s="5"/>
      <c r="O579" s="5"/>
      <c r="P579" s="5"/>
      <c r="Q579" s="5"/>
      <c r="R579" s="5"/>
      <c r="S579" s="5"/>
      <c r="T579" s="5"/>
      <c r="U579" s="5"/>
      <c r="V579" s="5"/>
      <c r="W579" s="5"/>
    </row>
    <row r="580" spans="1:23">
      <c r="A580" s="4"/>
      <c r="B580" s="31"/>
      <c r="C580" s="31"/>
      <c r="D580" s="31"/>
      <c r="E580" s="31"/>
      <c r="F580" s="31"/>
      <c r="G580" s="31"/>
      <c r="H580" s="5"/>
      <c r="I580" s="5"/>
      <c r="J580" s="5"/>
      <c r="K580" s="5"/>
      <c r="L580" s="5"/>
      <c r="M580" s="5"/>
      <c r="N580" s="5"/>
      <c r="O580" s="5"/>
      <c r="P580" s="5"/>
      <c r="Q580" s="5"/>
      <c r="R580" s="5"/>
      <c r="S580" s="5"/>
      <c r="T580" s="5"/>
      <c r="U580" s="5"/>
      <c r="V580" s="5"/>
      <c r="W580" s="5"/>
    </row>
    <row r="581" spans="1:23">
      <c r="A581" s="4"/>
      <c r="B581" s="31"/>
      <c r="C581" s="31"/>
      <c r="D581" s="31"/>
      <c r="E581" s="31"/>
      <c r="F581" s="31"/>
      <c r="G581" s="31"/>
      <c r="H581" s="5"/>
      <c r="I581" s="5"/>
      <c r="J581" s="5"/>
      <c r="K581" s="5"/>
      <c r="L581" s="5"/>
      <c r="M581" s="5"/>
      <c r="N581" s="5"/>
      <c r="O581" s="5"/>
      <c r="P581" s="5"/>
      <c r="Q581" s="5"/>
      <c r="R581" s="5"/>
      <c r="S581" s="5"/>
      <c r="T581" s="5"/>
      <c r="U581" s="5"/>
      <c r="V581" s="5"/>
      <c r="W581" s="5"/>
    </row>
    <row r="582" spans="1:23">
      <c r="A582" s="4"/>
      <c r="B582" s="31"/>
      <c r="C582" s="31"/>
      <c r="D582" s="31"/>
      <c r="E582" s="31"/>
      <c r="F582" s="31"/>
      <c r="G582" s="31"/>
      <c r="H582" s="5"/>
      <c r="I582" s="5"/>
      <c r="J582" s="5"/>
      <c r="K582" s="5"/>
      <c r="L582" s="5"/>
      <c r="M582" s="5"/>
      <c r="N582" s="5"/>
      <c r="O582" s="5"/>
      <c r="P582" s="5"/>
      <c r="Q582" s="5"/>
      <c r="R582" s="5"/>
      <c r="S582" s="5"/>
      <c r="T582" s="5"/>
      <c r="U582" s="5"/>
      <c r="V582" s="5"/>
      <c r="W582" s="5"/>
    </row>
    <row r="583" spans="1:23">
      <c r="A583" s="4"/>
      <c r="B583" s="31"/>
      <c r="C583" s="31"/>
      <c r="D583" s="31"/>
      <c r="E583" s="31"/>
      <c r="F583" s="31"/>
      <c r="G583" s="31"/>
      <c r="H583" s="5"/>
      <c r="I583" s="5"/>
      <c r="J583" s="5"/>
      <c r="K583" s="5"/>
      <c r="L583" s="5"/>
      <c r="M583" s="5"/>
      <c r="N583" s="5"/>
      <c r="O583" s="5"/>
      <c r="P583" s="5"/>
      <c r="Q583" s="5"/>
      <c r="R583" s="5"/>
      <c r="S583" s="5"/>
      <c r="T583" s="5"/>
      <c r="U583" s="5"/>
      <c r="V583" s="5"/>
      <c r="W583" s="5"/>
    </row>
    <row r="584" spans="1:23">
      <c r="A584" s="4"/>
      <c r="B584" s="31"/>
      <c r="C584" s="31"/>
      <c r="D584" s="31"/>
      <c r="E584" s="31"/>
      <c r="F584" s="31"/>
      <c r="G584" s="31"/>
      <c r="H584" s="5"/>
      <c r="I584" s="5"/>
      <c r="J584" s="5"/>
      <c r="K584" s="5"/>
      <c r="L584" s="5"/>
      <c r="M584" s="5"/>
      <c r="N584" s="5"/>
      <c r="O584" s="5"/>
      <c r="P584" s="5"/>
      <c r="Q584" s="5"/>
      <c r="R584" s="5"/>
      <c r="S584" s="5"/>
      <c r="T584" s="5"/>
      <c r="U584" s="5"/>
      <c r="V584" s="5"/>
      <c r="W584" s="5"/>
    </row>
    <row r="585" spans="1:23">
      <c r="A585" s="4"/>
      <c r="B585" s="31"/>
      <c r="C585" s="31"/>
      <c r="D585" s="31"/>
      <c r="E585" s="31"/>
      <c r="F585" s="31"/>
      <c r="G585" s="31"/>
      <c r="H585" s="5"/>
      <c r="I585" s="5"/>
      <c r="J585" s="5"/>
      <c r="K585" s="5"/>
      <c r="L585" s="5"/>
      <c r="M585" s="5"/>
      <c r="N585" s="5"/>
      <c r="O585" s="5"/>
      <c r="P585" s="5"/>
      <c r="Q585" s="5"/>
      <c r="R585" s="5"/>
      <c r="S585" s="5"/>
      <c r="T585" s="5"/>
      <c r="U585" s="5"/>
      <c r="V585" s="5"/>
      <c r="W585" s="5"/>
    </row>
    <row r="586" spans="1:23">
      <c r="A586" s="4"/>
      <c r="B586" s="31"/>
      <c r="C586" s="31"/>
      <c r="D586" s="31"/>
      <c r="E586" s="31"/>
      <c r="F586" s="31"/>
      <c r="G586" s="31"/>
      <c r="H586" s="5"/>
      <c r="I586" s="5"/>
      <c r="J586" s="5"/>
      <c r="K586" s="5"/>
      <c r="L586" s="5"/>
      <c r="M586" s="5"/>
      <c r="N586" s="5"/>
      <c r="O586" s="5"/>
      <c r="P586" s="5"/>
      <c r="Q586" s="5"/>
      <c r="R586" s="5"/>
      <c r="S586" s="5"/>
      <c r="T586" s="5"/>
      <c r="U586" s="5"/>
      <c r="V586" s="5"/>
      <c r="W586" s="5"/>
    </row>
    <row r="587" spans="1:23">
      <c r="A587" s="4"/>
      <c r="B587" s="31"/>
      <c r="C587" s="31"/>
      <c r="D587" s="31"/>
      <c r="E587" s="31"/>
      <c r="F587" s="31"/>
      <c r="G587" s="31"/>
      <c r="H587" s="5"/>
      <c r="I587" s="5"/>
      <c r="J587" s="5"/>
      <c r="K587" s="5"/>
      <c r="L587" s="5"/>
      <c r="M587" s="5"/>
      <c r="N587" s="5"/>
      <c r="O587" s="5"/>
      <c r="P587" s="5"/>
      <c r="Q587" s="5"/>
      <c r="R587" s="5"/>
      <c r="S587" s="5"/>
      <c r="T587" s="5"/>
      <c r="U587" s="5"/>
      <c r="V587" s="5"/>
      <c r="W587" s="5"/>
    </row>
    <row r="588" spans="1:23">
      <c r="A588" s="4"/>
      <c r="B588" s="31"/>
      <c r="C588" s="31"/>
      <c r="D588" s="31"/>
      <c r="E588" s="31"/>
      <c r="F588" s="31"/>
      <c r="G588" s="31"/>
      <c r="H588" s="5"/>
      <c r="I588" s="5"/>
      <c r="J588" s="5"/>
      <c r="K588" s="5"/>
      <c r="L588" s="5"/>
      <c r="M588" s="5"/>
      <c r="N588" s="5"/>
      <c r="O588" s="5"/>
      <c r="P588" s="5"/>
      <c r="Q588" s="5"/>
      <c r="R588" s="5"/>
      <c r="S588" s="5"/>
      <c r="T588" s="5"/>
      <c r="U588" s="5"/>
      <c r="V588" s="5"/>
      <c r="W588" s="5"/>
    </row>
    <row r="589" spans="1:23">
      <c r="A589" s="4"/>
      <c r="B589" s="31"/>
      <c r="C589" s="31"/>
      <c r="D589" s="31"/>
      <c r="E589" s="31"/>
      <c r="F589" s="31"/>
      <c r="G589" s="31"/>
      <c r="H589" s="5"/>
      <c r="I589" s="5"/>
      <c r="J589" s="5"/>
      <c r="K589" s="5"/>
      <c r="L589" s="5"/>
      <c r="M589" s="5"/>
      <c r="N589" s="5"/>
      <c r="O589" s="5"/>
      <c r="P589" s="5"/>
      <c r="Q589" s="5"/>
      <c r="R589" s="5"/>
      <c r="S589" s="5"/>
      <c r="T589" s="5"/>
      <c r="U589" s="5"/>
      <c r="V589" s="5"/>
      <c r="W589" s="5"/>
    </row>
    <row r="590" spans="1:23">
      <c r="A590" s="4"/>
      <c r="B590" s="31"/>
      <c r="C590" s="31"/>
      <c r="D590" s="31"/>
      <c r="E590" s="31"/>
      <c r="F590" s="31"/>
      <c r="G590" s="31"/>
      <c r="H590" s="5"/>
      <c r="I590" s="5"/>
      <c r="J590" s="5"/>
      <c r="K590" s="5"/>
      <c r="L590" s="5"/>
      <c r="M590" s="5"/>
      <c r="N590" s="5"/>
      <c r="O590" s="5"/>
      <c r="P590" s="5"/>
      <c r="Q590" s="5"/>
      <c r="R590" s="5"/>
      <c r="S590" s="5"/>
      <c r="T590" s="5"/>
      <c r="U590" s="5"/>
      <c r="V590" s="5"/>
      <c r="W590" s="5"/>
    </row>
    <row r="591" spans="1:23">
      <c r="A591" s="4"/>
      <c r="B591" s="31"/>
      <c r="C591" s="31"/>
      <c r="D591" s="31"/>
      <c r="E591" s="31"/>
      <c r="F591" s="31"/>
      <c r="G591" s="31"/>
      <c r="H591" s="5"/>
      <c r="I591" s="5"/>
      <c r="J591" s="5"/>
      <c r="K591" s="5"/>
      <c r="L591" s="5"/>
      <c r="M591" s="5"/>
      <c r="N591" s="5"/>
      <c r="O591" s="5"/>
      <c r="P591" s="5"/>
      <c r="Q591" s="5"/>
      <c r="R591" s="5"/>
      <c r="S591" s="5"/>
      <c r="T591" s="5"/>
      <c r="U591" s="5"/>
      <c r="V591" s="5"/>
      <c r="W591" s="5"/>
    </row>
    <row r="592" spans="1:23">
      <c r="A592" s="4"/>
      <c r="B592" s="31"/>
      <c r="C592" s="31"/>
      <c r="D592" s="31"/>
      <c r="E592" s="31"/>
      <c r="F592" s="31"/>
      <c r="G592" s="31"/>
      <c r="H592" s="5"/>
      <c r="I592" s="5"/>
      <c r="J592" s="5"/>
      <c r="K592" s="5"/>
      <c r="L592" s="5"/>
      <c r="M592" s="5"/>
      <c r="N592" s="5"/>
      <c r="O592" s="5"/>
      <c r="P592" s="5"/>
      <c r="Q592" s="5"/>
      <c r="R592" s="5"/>
      <c r="S592" s="5"/>
      <c r="T592" s="5"/>
      <c r="U592" s="5"/>
      <c r="V592" s="5"/>
      <c r="W592" s="5"/>
    </row>
    <row r="593" spans="1:23">
      <c r="A593" s="4"/>
      <c r="B593" s="31"/>
      <c r="C593" s="31"/>
      <c r="D593" s="31"/>
      <c r="E593" s="31"/>
      <c r="F593" s="31"/>
      <c r="G593" s="31"/>
      <c r="H593" s="5"/>
      <c r="I593" s="5"/>
      <c r="J593" s="5"/>
      <c r="K593" s="5"/>
      <c r="L593" s="5"/>
      <c r="M593" s="5"/>
      <c r="N593" s="5"/>
      <c r="O593" s="5"/>
      <c r="P593" s="5"/>
      <c r="Q593" s="5"/>
      <c r="R593" s="5"/>
      <c r="S593" s="5"/>
      <c r="T593" s="5"/>
      <c r="U593" s="5"/>
      <c r="V593" s="5"/>
      <c r="W593" s="5"/>
    </row>
    <row r="594" spans="1:23">
      <c r="A594" s="4"/>
      <c r="B594" s="31"/>
      <c r="C594" s="31"/>
      <c r="D594" s="31"/>
      <c r="E594" s="31"/>
      <c r="F594" s="31"/>
      <c r="G594" s="31"/>
      <c r="H594" s="5"/>
      <c r="I594" s="5"/>
      <c r="J594" s="5"/>
      <c r="K594" s="5"/>
      <c r="L594" s="5"/>
      <c r="M594" s="5"/>
      <c r="N594" s="5"/>
      <c r="O594" s="5"/>
      <c r="P594" s="5"/>
      <c r="Q594" s="5"/>
      <c r="R594" s="5"/>
      <c r="S594" s="5"/>
      <c r="T594" s="5"/>
      <c r="U594" s="5"/>
      <c r="V594" s="5"/>
      <c r="W594" s="5"/>
    </row>
    <row r="595" spans="1:23">
      <c r="A595" s="4"/>
      <c r="B595" s="31"/>
      <c r="C595" s="31"/>
      <c r="D595" s="31"/>
      <c r="E595" s="31"/>
      <c r="F595" s="31"/>
      <c r="G595" s="31"/>
      <c r="H595" s="5"/>
      <c r="I595" s="5"/>
      <c r="J595" s="5"/>
      <c r="K595" s="5"/>
      <c r="L595" s="5"/>
      <c r="M595" s="5"/>
      <c r="N595" s="5"/>
      <c r="O595" s="5"/>
      <c r="P595" s="5"/>
      <c r="Q595" s="5"/>
      <c r="R595" s="5"/>
      <c r="S595" s="5"/>
      <c r="T595" s="5"/>
      <c r="U595" s="5"/>
      <c r="V595" s="5"/>
      <c r="W595" s="5"/>
    </row>
    <row r="596" spans="1:23">
      <c r="A596" s="4"/>
      <c r="B596" s="31"/>
      <c r="C596" s="31"/>
      <c r="D596" s="31"/>
      <c r="E596" s="31"/>
      <c r="F596" s="31"/>
      <c r="G596" s="31"/>
      <c r="H596" s="5"/>
      <c r="I596" s="5"/>
      <c r="J596" s="5"/>
      <c r="K596" s="5"/>
      <c r="L596" s="5"/>
      <c r="M596" s="5"/>
      <c r="N596" s="5"/>
      <c r="O596" s="5"/>
      <c r="P596" s="5"/>
      <c r="Q596" s="5"/>
      <c r="R596" s="5"/>
      <c r="S596" s="5"/>
      <c r="T596" s="5"/>
      <c r="U596" s="5"/>
      <c r="V596" s="5"/>
      <c r="W596" s="5"/>
    </row>
    <row r="597" spans="1:23">
      <c r="A597" s="4"/>
      <c r="B597" s="31"/>
      <c r="C597" s="31"/>
      <c r="D597" s="31"/>
      <c r="E597" s="31"/>
      <c r="F597" s="31"/>
      <c r="G597" s="31"/>
      <c r="H597" s="5"/>
      <c r="I597" s="5"/>
      <c r="J597" s="5"/>
      <c r="K597" s="5"/>
      <c r="L597" s="5"/>
      <c r="M597" s="5"/>
      <c r="N597" s="5"/>
      <c r="O597" s="5"/>
      <c r="P597" s="5"/>
      <c r="Q597" s="5"/>
      <c r="R597" s="5"/>
      <c r="S597" s="5"/>
      <c r="T597" s="5"/>
      <c r="U597" s="5"/>
      <c r="V597" s="5"/>
      <c r="W597" s="5"/>
    </row>
    <row r="598" spans="1:23">
      <c r="A598" s="4"/>
      <c r="B598" s="31"/>
      <c r="C598" s="31"/>
      <c r="D598" s="31"/>
      <c r="E598" s="31"/>
      <c r="F598" s="31"/>
      <c r="G598" s="31"/>
      <c r="H598" s="5"/>
      <c r="I598" s="5"/>
      <c r="J598" s="5"/>
      <c r="K598" s="5"/>
      <c r="L598" s="5"/>
      <c r="M598" s="5"/>
      <c r="N598" s="5"/>
      <c r="O598" s="5"/>
      <c r="P598" s="5"/>
      <c r="Q598" s="5"/>
      <c r="R598" s="5"/>
      <c r="S598" s="5"/>
      <c r="T598" s="5"/>
      <c r="U598" s="5"/>
      <c r="V598" s="5"/>
      <c r="W598" s="5"/>
    </row>
    <row r="599" spans="1:23">
      <c r="A599" s="4"/>
      <c r="B599" s="31"/>
      <c r="C599" s="31"/>
      <c r="D599" s="31"/>
      <c r="E599" s="31"/>
      <c r="F599" s="31"/>
      <c r="G599" s="31"/>
      <c r="H599" s="5"/>
      <c r="I599" s="5"/>
      <c r="J599" s="5"/>
      <c r="K599" s="5"/>
      <c r="L599" s="5"/>
      <c r="M599" s="5"/>
      <c r="N599" s="5"/>
      <c r="O599" s="5"/>
      <c r="P599" s="5"/>
      <c r="Q599" s="5"/>
      <c r="R599" s="5"/>
      <c r="S599" s="5"/>
      <c r="T599" s="5"/>
      <c r="U599" s="5"/>
      <c r="V599" s="5"/>
      <c r="W599" s="5"/>
    </row>
    <row r="600" spans="1:23">
      <c r="A600" s="4"/>
      <c r="B600" s="31"/>
      <c r="C600" s="31"/>
      <c r="D600" s="31"/>
      <c r="E600" s="31"/>
      <c r="F600" s="31"/>
      <c r="G600" s="31"/>
      <c r="H600" s="5"/>
      <c r="I600" s="5"/>
      <c r="J600" s="5"/>
      <c r="K600" s="5"/>
      <c r="L600" s="5"/>
      <c r="M600" s="5"/>
      <c r="N600" s="5"/>
      <c r="O600" s="5"/>
      <c r="P600" s="5"/>
      <c r="Q600" s="5"/>
      <c r="R600" s="5"/>
      <c r="S600" s="5"/>
      <c r="T600" s="5"/>
      <c r="U600" s="5"/>
      <c r="V600" s="5"/>
      <c r="W600" s="5"/>
    </row>
    <row r="601" spans="1:23">
      <c r="A601" s="4"/>
      <c r="B601" s="31"/>
      <c r="C601" s="31"/>
      <c r="D601" s="31"/>
      <c r="E601" s="31"/>
      <c r="F601" s="31"/>
      <c r="G601" s="31"/>
      <c r="H601" s="5"/>
      <c r="I601" s="5"/>
      <c r="J601" s="5"/>
      <c r="K601" s="5"/>
      <c r="L601" s="5"/>
      <c r="M601" s="5"/>
      <c r="N601" s="5"/>
      <c r="O601" s="5"/>
      <c r="P601" s="5"/>
      <c r="Q601" s="5"/>
      <c r="R601" s="5"/>
      <c r="S601" s="5"/>
      <c r="T601" s="5"/>
      <c r="U601" s="5"/>
      <c r="V601" s="5"/>
      <c r="W601" s="5"/>
    </row>
    <row r="602" spans="1:23">
      <c r="A602" s="4"/>
      <c r="B602" s="31"/>
      <c r="C602" s="31"/>
      <c r="D602" s="31"/>
      <c r="E602" s="31"/>
      <c r="F602" s="31"/>
      <c r="G602" s="31"/>
      <c r="H602" s="5"/>
      <c r="I602" s="5"/>
      <c r="J602" s="5"/>
      <c r="K602" s="5"/>
      <c r="L602" s="5"/>
      <c r="M602" s="5"/>
      <c r="N602" s="5"/>
      <c r="O602" s="5"/>
      <c r="P602" s="5"/>
      <c r="Q602" s="5"/>
      <c r="R602" s="5"/>
      <c r="S602" s="5"/>
      <c r="T602" s="5"/>
      <c r="U602" s="5"/>
      <c r="V602" s="5"/>
      <c r="W602" s="5"/>
    </row>
    <row r="603" spans="1:23">
      <c r="A603" s="4"/>
      <c r="B603" s="31"/>
      <c r="C603" s="31"/>
      <c r="D603" s="31"/>
      <c r="E603" s="31"/>
      <c r="F603" s="31"/>
      <c r="G603" s="31"/>
      <c r="H603" s="5"/>
      <c r="I603" s="5"/>
      <c r="J603" s="5"/>
      <c r="K603" s="5"/>
      <c r="L603" s="5"/>
      <c r="M603" s="5"/>
      <c r="N603" s="5"/>
      <c r="O603" s="5"/>
      <c r="P603" s="5"/>
      <c r="Q603" s="5"/>
      <c r="R603" s="5"/>
      <c r="S603" s="5"/>
      <c r="T603" s="5"/>
      <c r="U603" s="5"/>
      <c r="V603" s="5"/>
      <c r="W603" s="5"/>
    </row>
    <row r="604" spans="1:23">
      <c r="A604" s="4"/>
      <c r="B604" s="31"/>
      <c r="C604" s="31"/>
      <c r="D604" s="31"/>
      <c r="E604" s="31"/>
      <c r="F604" s="31"/>
      <c r="G604" s="31"/>
      <c r="H604" s="5"/>
      <c r="I604" s="5"/>
      <c r="J604" s="5"/>
      <c r="K604" s="5"/>
      <c r="L604" s="5"/>
      <c r="M604" s="5"/>
      <c r="N604" s="5"/>
      <c r="O604" s="5"/>
      <c r="P604" s="5"/>
      <c r="Q604" s="5"/>
      <c r="R604" s="5"/>
      <c r="S604" s="5"/>
      <c r="T604" s="5"/>
      <c r="U604" s="5"/>
      <c r="V604" s="5"/>
      <c r="W604" s="5"/>
    </row>
    <row r="605" spans="1:23">
      <c r="A605" s="4"/>
      <c r="B605" s="31"/>
      <c r="C605" s="31"/>
      <c r="D605" s="31"/>
      <c r="E605" s="31"/>
      <c r="F605" s="31"/>
      <c r="G605" s="31"/>
      <c r="H605" s="5"/>
      <c r="I605" s="5"/>
      <c r="J605" s="5"/>
      <c r="K605" s="5"/>
      <c r="L605" s="5"/>
      <c r="M605" s="5"/>
      <c r="N605" s="5"/>
      <c r="O605" s="5"/>
      <c r="P605" s="5"/>
      <c r="Q605" s="5"/>
      <c r="R605" s="5"/>
      <c r="S605" s="5"/>
      <c r="T605" s="5"/>
      <c r="U605" s="5"/>
      <c r="V605" s="5"/>
      <c r="W605" s="5"/>
    </row>
    <row r="606" spans="1:23">
      <c r="A606" s="4"/>
      <c r="B606" s="31"/>
      <c r="C606" s="31"/>
      <c r="D606" s="31"/>
      <c r="E606" s="31"/>
      <c r="F606" s="31"/>
      <c r="G606" s="31"/>
      <c r="H606" s="5"/>
      <c r="I606" s="5"/>
      <c r="J606" s="5"/>
      <c r="K606" s="5"/>
      <c r="L606" s="5"/>
      <c r="M606" s="5"/>
      <c r="N606" s="5"/>
      <c r="O606" s="5"/>
      <c r="P606" s="5"/>
      <c r="Q606" s="5"/>
      <c r="R606" s="5"/>
      <c r="S606" s="5"/>
      <c r="T606" s="5"/>
      <c r="U606" s="5"/>
      <c r="V606" s="5"/>
      <c r="W606" s="5"/>
    </row>
    <row r="607" spans="1:23">
      <c r="A607" s="4"/>
      <c r="B607" s="31"/>
      <c r="C607" s="31"/>
      <c r="D607" s="31"/>
      <c r="E607" s="31"/>
      <c r="F607" s="31"/>
      <c r="G607" s="31"/>
      <c r="H607" s="5"/>
      <c r="I607" s="5"/>
      <c r="J607" s="5"/>
      <c r="K607" s="5"/>
      <c r="L607" s="5"/>
      <c r="M607" s="5"/>
      <c r="N607" s="5"/>
      <c r="O607" s="5"/>
      <c r="P607" s="5"/>
      <c r="Q607" s="5"/>
      <c r="R607" s="5"/>
      <c r="S607" s="5"/>
      <c r="T607" s="5"/>
      <c r="U607" s="5"/>
      <c r="V607" s="5"/>
      <c r="W607" s="5"/>
    </row>
    <row r="608" spans="1:23">
      <c r="A608" s="4"/>
      <c r="B608" s="31"/>
      <c r="C608" s="31"/>
      <c r="D608" s="31"/>
      <c r="E608" s="31"/>
      <c r="F608" s="31"/>
      <c r="G608" s="31"/>
      <c r="H608" s="5"/>
      <c r="I608" s="5"/>
      <c r="J608" s="5"/>
      <c r="K608" s="5"/>
      <c r="L608" s="5"/>
      <c r="M608" s="5"/>
      <c r="N608" s="5"/>
      <c r="O608" s="5"/>
      <c r="P608" s="5"/>
      <c r="Q608" s="5"/>
      <c r="R608" s="5"/>
      <c r="S608" s="5"/>
      <c r="T608" s="5"/>
      <c r="U608" s="5"/>
      <c r="V608" s="5"/>
      <c r="W608" s="5"/>
    </row>
    <row r="609" spans="1:23">
      <c r="A609" s="4"/>
      <c r="B609" s="31"/>
      <c r="C609" s="31"/>
      <c r="D609" s="31"/>
      <c r="E609" s="31"/>
      <c r="F609" s="31"/>
      <c r="G609" s="31"/>
      <c r="H609" s="5"/>
      <c r="I609" s="5"/>
      <c r="J609" s="5"/>
      <c r="K609" s="5"/>
      <c r="L609" s="5"/>
      <c r="M609" s="5"/>
      <c r="N609" s="5"/>
      <c r="O609" s="5"/>
      <c r="P609" s="5"/>
      <c r="Q609" s="5"/>
      <c r="R609" s="5"/>
      <c r="S609" s="5"/>
      <c r="T609" s="5"/>
      <c r="U609" s="5"/>
      <c r="V609" s="5"/>
      <c r="W609" s="5"/>
    </row>
    <row r="610" spans="1:23">
      <c r="A610" s="4"/>
      <c r="B610" s="31"/>
      <c r="C610" s="31"/>
      <c r="D610" s="31"/>
      <c r="E610" s="31"/>
      <c r="F610" s="31"/>
      <c r="G610" s="31"/>
      <c r="H610" s="5"/>
      <c r="I610" s="5"/>
      <c r="J610" s="5"/>
      <c r="K610" s="5"/>
      <c r="L610" s="5"/>
      <c r="M610" s="5"/>
      <c r="N610" s="5"/>
      <c r="O610" s="5"/>
      <c r="P610" s="5"/>
      <c r="Q610" s="5"/>
      <c r="R610" s="5"/>
      <c r="S610" s="5"/>
      <c r="T610" s="5"/>
      <c r="U610" s="5"/>
      <c r="V610" s="5"/>
      <c r="W610" s="5"/>
    </row>
    <row r="611" spans="1:23">
      <c r="A611" s="4"/>
      <c r="B611" s="31"/>
      <c r="C611" s="31"/>
      <c r="D611" s="31"/>
      <c r="E611" s="31"/>
      <c r="F611" s="31"/>
      <c r="G611" s="31"/>
      <c r="H611" s="5"/>
      <c r="I611" s="5"/>
      <c r="J611" s="5"/>
      <c r="K611" s="5"/>
      <c r="L611" s="5"/>
      <c r="M611" s="5"/>
      <c r="N611" s="5"/>
      <c r="O611" s="5"/>
      <c r="P611" s="5"/>
      <c r="Q611" s="5"/>
      <c r="R611" s="5"/>
      <c r="S611" s="5"/>
      <c r="T611" s="5"/>
      <c r="U611" s="5"/>
      <c r="V611" s="5"/>
      <c r="W611" s="5"/>
    </row>
    <row r="612" spans="1:23">
      <c r="A612" s="4"/>
      <c r="B612" s="31"/>
      <c r="C612" s="31"/>
      <c r="D612" s="31"/>
      <c r="E612" s="31"/>
      <c r="F612" s="31"/>
      <c r="G612" s="31"/>
      <c r="H612" s="5"/>
      <c r="I612" s="5"/>
      <c r="J612" s="5"/>
      <c r="K612" s="5"/>
      <c r="L612" s="5"/>
      <c r="M612" s="5"/>
      <c r="N612" s="5"/>
      <c r="O612" s="5"/>
      <c r="P612" s="5"/>
      <c r="Q612" s="5"/>
      <c r="R612" s="5"/>
      <c r="S612" s="5"/>
      <c r="T612" s="5"/>
      <c r="U612" s="5"/>
      <c r="V612" s="5"/>
      <c r="W612" s="5"/>
    </row>
    <row r="613" spans="1:23">
      <c r="A613" s="4"/>
      <c r="B613" s="31"/>
      <c r="C613" s="31"/>
      <c r="D613" s="31"/>
      <c r="E613" s="31"/>
      <c r="F613" s="31"/>
      <c r="G613" s="31"/>
      <c r="H613" s="5"/>
      <c r="I613" s="5"/>
      <c r="J613" s="5"/>
      <c r="K613" s="5"/>
      <c r="L613" s="5"/>
      <c r="M613" s="5"/>
      <c r="N613" s="5"/>
      <c r="O613" s="5"/>
      <c r="P613" s="5"/>
      <c r="Q613" s="5"/>
      <c r="R613" s="5"/>
      <c r="S613" s="5"/>
      <c r="T613" s="5"/>
      <c r="U613" s="5"/>
      <c r="V613" s="5"/>
      <c r="W613" s="5"/>
    </row>
    <row r="614" spans="1:23">
      <c r="A614" s="4"/>
      <c r="B614" s="31"/>
      <c r="C614" s="31"/>
      <c r="D614" s="31"/>
      <c r="E614" s="31"/>
      <c r="F614" s="31"/>
      <c r="G614" s="31"/>
      <c r="H614" s="5"/>
      <c r="I614" s="5"/>
      <c r="J614" s="5"/>
      <c r="K614" s="5"/>
      <c r="L614" s="5"/>
      <c r="M614" s="5"/>
      <c r="N614" s="5"/>
      <c r="O614" s="5"/>
      <c r="P614" s="5"/>
      <c r="Q614" s="5"/>
      <c r="R614" s="5"/>
      <c r="S614" s="5"/>
      <c r="T614" s="5"/>
      <c r="U614" s="5"/>
      <c r="V614" s="5"/>
      <c r="W614" s="5"/>
    </row>
    <row r="615" spans="1:23">
      <c r="A615" s="4"/>
      <c r="B615" s="31"/>
      <c r="C615" s="31"/>
      <c r="D615" s="31"/>
      <c r="E615" s="31"/>
      <c r="F615" s="31"/>
      <c r="G615" s="31"/>
      <c r="H615" s="5"/>
      <c r="I615" s="5"/>
      <c r="J615" s="5"/>
      <c r="K615" s="5"/>
      <c r="L615" s="5"/>
      <c r="M615" s="5"/>
      <c r="N615" s="5"/>
      <c r="O615" s="5"/>
      <c r="P615" s="5"/>
      <c r="Q615" s="5"/>
      <c r="R615" s="5"/>
      <c r="S615" s="5"/>
      <c r="T615" s="5"/>
      <c r="U615" s="5"/>
      <c r="V615" s="5"/>
      <c r="W615" s="5"/>
    </row>
    <row r="616" spans="1:23">
      <c r="A616" s="4"/>
      <c r="B616" s="31"/>
      <c r="C616" s="31"/>
      <c r="D616" s="31"/>
      <c r="E616" s="31"/>
      <c r="F616" s="31"/>
      <c r="G616" s="31"/>
      <c r="H616" s="5"/>
      <c r="I616" s="5"/>
      <c r="J616" s="5"/>
      <c r="K616" s="5"/>
      <c r="L616" s="5"/>
      <c r="M616" s="5"/>
      <c r="N616" s="5"/>
      <c r="O616" s="5"/>
      <c r="P616" s="5"/>
      <c r="Q616" s="5"/>
      <c r="R616" s="5"/>
      <c r="S616" s="5"/>
      <c r="T616" s="5"/>
      <c r="U616" s="5"/>
      <c r="V616" s="5"/>
      <c r="W616" s="5"/>
    </row>
    <row r="617" spans="1:23">
      <c r="A617" s="4"/>
      <c r="B617" s="31"/>
      <c r="C617" s="31"/>
      <c r="D617" s="31"/>
      <c r="E617" s="31"/>
      <c r="F617" s="31"/>
      <c r="G617" s="31"/>
      <c r="H617" s="5"/>
      <c r="I617" s="5"/>
      <c r="J617" s="5"/>
      <c r="K617" s="5"/>
      <c r="L617" s="5"/>
      <c r="M617" s="5"/>
      <c r="N617" s="5"/>
      <c r="O617" s="5"/>
      <c r="P617" s="5"/>
      <c r="Q617" s="5"/>
      <c r="R617" s="5"/>
      <c r="S617" s="5"/>
      <c r="T617" s="5"/>
      <c r="U617" s="5"/>
      <c r="V617" s="5"/>
      <c r="W617" s="5"/>
    </row>
    <row r="618" spans="1:23">
      <c r="A618" s="4"/>
      <c r="B618" s="31"/>
      <c r="C618" s="31"/>
      <c r="D618" s="31"/>
      <c r="E618" s="31"/>
      <c r="F618" s="31"/>
      <c r="G618" s="31"/>
      <c r="H618" s="5"/>
      <c r="I618" s="5"/>
      <c r="J618" s="5"/>
      <c r="K618" s="5"/>
      <c r="L618" s="5"/>
      <c r="M618" s="5"/>
      <c r="N618" s="5"/>
      <c r="O618" s="5"/>
      <c r="P618" s="5"/>
      <c r="Q618" s="5"/>
      <c r="R618" s="5"/>
      <c r="S618" s="5"/>
      <c r="T618" s="5"/>
      <c r="U618" s="5"/>
      <c r="V618" s="5"/>
      <c r="W618" s="5"/>
    </row>
    <row r="619" spans="1:23">
      <c r="A619" s="4"/>
      <c r="B619" s="31"/>
      <c r="C619" s="31"/>
      <c r="D619" s="31"/>
      <c r="E619" s="31"/>
      <c r="F619" s="31"/>
      <c r="G619" s="31"/>
      <c r="H619" s="5"/>
      <c r="I619" s="5"/>
      <c r="J619" s="5"/>
      <c r="K619" s="5"/>
      <c r="L619" s="5"/>
      <c r="M619" s="5"/>
      <c r="N619" s="5"/>
      <c r="O619" s="5"/>
      <c r="P619" s="5"/>
      <c r="Q619" s="5"/>
      <c r="R619" s="5"/>
      <c r="S619" s="5"/>
      <c r="T619" s="5"/>
      <c r="U619" s="5"/>
      <c r="V619" s="5"/>
      <c r="W619" s="5"/>
    </row>
    <row r="620" spans="1:23">
      <c r="A620" s="4"/>
      <c r="B620" s="31"/>
      <c r="C620" s="31"/>
      <c r="D620" s="31"/>
      <c r="E620" s="31"/>
      <c r="F620" s="31"/>
      <c r="G620" s="31"/>
      <c r="H620" s="5"/>
      <c r="I620" s="5"/>
      <c r="J620" s="5"/>
      <c r="K620" s="5"/>
      <c r="L620" s="5"/>
      <c r="M620" s="5"/>
      <c r="N620" s="5"/>
      <c r="O620" s="5"/>
      <c r="P620" s="5"/>
      <c r="Q620" s="5"/>
      <c r="R620" s="5"/>
      <c r="S620" s="5"/>
      <c r="T620" s="5"/>
      <c r="U620" s="5"/>
      <c r="V620" s="5"/>
      <c r="W620" s="5"/>
    </row>
    <row r="621" spans="1:23">
      <c r="A621" s="4"/>
      <c r="B621" s="31"/>
      <c r="C621" s="31"/>
      <c r="D621" s="31"/>
      <c r="E621" s="31"/>
      <c r="F621" s="31"/>
      <c r="G621" s="31"/>
      <c r="H621" s="5"/>
      <c r="I621" s="5"/>
      <c r="J621" s="5"/>
      <c r="K621" s="5"/>
      <c r="L621" s="5"/>
      <c r="M621" s="5"/>
      <c r="N621" s="5"/>
      <c r="O621" s="5"/>
      <c r="P621" s="5"/>
      <c r="Q621" s="5"/>
      <c r="R621" s="5"/>
      <c r="S621" s="5"/>
      <c r="T621" s="5"/>
      <c r="U621" s="5"/>
      <c r="V621" s="5"/>
      <c r="W621" s="5"/>
    </row>
    <row r="622" spans="1:23">
      <c r="A622" s="4"/>
      <c r="B622" s="31"/>
      <c r="C622" s="31"/>
      <c r="D622" s="31"/>
      <c r="E622" s="31"/>
      <c r="F622" s="31"/>
      <c r="G622" s="31"/>
      <c r="H622" s="5"/>
      <c r="I622" s="5"/>
      <c r="J622" s="5"/>
      <c r="K622" s="5"/>
      <c r="L622" s="5"/>
      <c r="M622" s="5"/>
      <c r="N622" s="5"/>
      <c r="O622" s="5"/>
      <c r="P622" s="5"/>
      <c r="Q622" s="5"/>
      <c r="R622" s="5"/>
      <c r="S622" s="5"/>
      <c r="T622" s="5"/>
      <c r="U622" s="5"/>
      <c r="V622" s="5"/>
      <c r="W622" s="5"/>
    </row>
    <row r="623" spans="1:23">
      <c r="A623" s="4"/>
      <c r="B623" s="31"/>
      <c r="C623" s="31"/>
      <c r="D623" s="31"/>
      <c r="E623" s="31"/>
      <c r="F623" s="31"/>
      <c r="G623" s="31"/>
      <c r="H623" s="5"/>
      <c r="I623" s="5"/>
      <c r="J623" s="5"/>
      <c r="K623" s="5"/>
      <c r="L623" s="5"/>
      <c r="M623" s="5"/>
      <c r="N623" s="5"/>
      <c r="O623" s="5"/>
      <c r="P623" s="5"/>
      <c r="Q623" s="5"/>
      <c r="R623" s="5"/>
      <c r="S623" s="5"/>
      <c r="T623" s="5"/>
      <c r="U623" s="5"/>
      <c r="V623" s="5"/>
      <c r="W623" s="5"/>
    </row>
    <row r="624" spans="1:23">
      <c r="A624" s="4"/>
      <c r="B624" s="31"/>
      <c r="C624" s="31"/>
      <c r="D624" s="31"/>
      <c r="E624" s="31"/>
      <c r="F624" s="31"/>
      <c r="G624" s="31"/>
      <c r="H624" s="5"/>
      <c r="I624" s="5"/>
      <c r="J624" s="5"/>
      <c r="K624" s="5"/>
      <c r="L624" s="5"/>
      <c r="M624" s="5"/>
      <c r="N624" s="5"/>
      <c r="O624" s="5"/>
      <c r="P624" s="5"/>
      <c r="Q624" s="5"/>
      <c r="R624" s="5"/>
      <c r="S624" s="5"/>
      <c r="T624" s="5"/>
      <c r="U624" s="5"/>
      <c r="V624" s="5"/>
      <c r="W624" s="5"/>
    </row>
    <row r="625" spans="1:23">
      <c r="A625" s="4"/>
      <c r="B625" s="31"/>
      <c r="C625" s="31"/>
      <c r="D625" s="31"/>
      <c r="E625" s="31"/>
      <c r="F625" s="31"/>
      <c r="G625" s="31"/>
      <c r="H625" s="5"/>
      <c r="I625" s="5"/>
      <c r="J625" s="5"/>
      <c r="K625" s="5"/>
      <c r="L625" s="5"/>
      <c r="M625" s="5"/>
      <c r="N625" s="5"/>
      <c r="O625" s="5"/>
      <c r="P625" s="5"/>
      <c r="Q625" s="5"/>
      <c r="R625" s="5"/>
      <c r="S625" s="5"/>
      <c r="T625" s="5"/>
      <c r="U625" s="5"/>
      <c r="V625" s="5"/>
      <c r="W625" s="5"/>
    </row>
    <row r="626" spans="1:23">
      <c r="A626" s="4"/>
      <c r="B626" s="31"/>
      <c r="C626" s="31"/>
      <c r="D626" s="31"/>
      <c r="E626" s="31"/>
      <c r="F626" s="31"/>
      <c r="G626" s="31"/>
      <c r="H626" s="5"/>
      <c r="I626" s="5"/>
      <c r="J626" s="5"/>
      <c r="K626" s="5"/>
      <c r="L626" s="5"/>
      <c r="M626" s="5"/>
      <c r="N626" s="5"/>
      <c r="O626" s="5"/>
      <c r="P626" s="5"/>
      <c r="Q626" s="5"/>
      <c r="R626" s="5"/>
      <c r="S626" s="5"/>
      <c r="T626" s="5"/>
      <c r="U626" s="5"/>
      <c r="V626" s="5"/>
      <c r="W626" s="5"/>
    </row>
    <row r="627" spans="1:23">
      <c r="A627" s="4"/>
      <c r="B627" s="31"/>
      <c r="C627" s="31"/>
      <c r="D627" s="31"/>
      <c r="E627" s="31"/>
      <c r="F627" s="31"/>
      <c r="G627" s="31"/>
      <c r="H627" s="5"/>
      <c r="I627" s="5"/>
      <c r="J627" s="5"/>
      <c r="K627" s="5"/>
      <c r="L627" s="5"/>
      <c r="M627" s="5"/>
      <c r="N627" s="5"/>
      <c r="O627" s="5"/>
      <c r="P627" s="5"/>
      <c r="Q627" s="5"/>
      <c r="R627" s="5"/>
      <c r="S627" s="5"/>
      <c r="T627" s="5"/>
      <c r="U627" s="5"/>
      <c r="V627" s="5"/>
      <c r="W627" s="5"/>
    </row>
    <row r="628" spans="1:23">
      <c r="A628" s="4"/>
      <c r="B628" s="31"/>
      <c r="C628" s="31"/>
      <c r="D628" s="31"/>
      <c r="E628" s="31"/>
      <c r="F628" s="31"/>
      <c r="G628" s="31"/>
      <c r="H628" s="5"/>
      <c r="I628" s="5"/>
      <c r="J628" s="5"/>
      <c r="K628" s="5"/>
      <c r="L628" s="5"/>
      <c r="M628" s="5"/>
      <c r="N628" s="5"/>
      <c r="O628" s="5"/>
      <c r="P628" s="5"/>
      <c r="Q628" s="5"/>
      <c r="R628" s="5"/>
      <c r="S628" s="5"/>
      <c r="T628" s="5"/>
      <c r="U628" s="5"/>
      <c r="V628" s="5"/>
      <c r="W628" s="5"/>
    </row>
    <row r="629" spans="1:23">
      <c r="A629" s="4"/>
      <c r="B629" s="31"/>
      <c r="C629" s="31"/>
      <c r="D629" s="31"/>
      <c r="E629" s="31"/>
      <c r="F629" s="31"/>
      <c r="G629" s="31"/>
      <c r="H629" s="5"/>
      <c r="I629" s="5"/>
      <c r="J629" s="5"/>
      <c r="K629" s="5"/>
      <c r="L629" s="5"/>
      <c r="M629" s="5"/>
      <c r="N629" s="5"/>
      <c r="O629" s="5"/>
      <c r="P629" s="5"/>
      <c r="Q629" s="5"/>
      <c r="R629" s="5"/>
      <c r="S629" s="5"/>
      <c r="T629" s="5"/>
      <c r="U629" s="5"/>
      <c r="V629" s="5"/>
      <c r="W629" s="5"/>
    </row>
    <row r="630" spans="1:23">
      <c r="A630" s="4"/>
      <c r="B630" s="31"/>
      <c r="C630" s="31"/>
      <c r="D630" s="31"/>
      <c r="E630" s="31"/>
      <c r="F630" s="31"/>
      <c r="G630" s="31"/>
      <c r="H630" s="5"/>
      <c r="I630" s="5"/>
      <c r="J630" s="5"/>
      <c r="K630" s="5"/>
      <c r="L630" s="5"/>
      <c r="M630" s="5"/>
      <c r="N630" s="5"/>
      <c r="O630" s="5"/>
      <c r="P630" s="5"/>
      <c r="Q630" s="5"/>
      <c r="R630" s="5"/>
      <c r="S630" s="5"/>
      <c r="T630" s="5"/>
      <c r="U630" s="5"/>
      <c r="V630" s="5"/>
      <c r="W630" s="5"/>
    </row>
    <row r="631" spans="1:23">
      <c r="A631" s="4"/>
      <c r="B631" s="31"/>
      <c r="C631" s="31"/>
      <c r="D631" s="31"/>
      <c r="E631" s="31"/>
      <c r="F631" s="31"/>
      <c r="G631" s="31"/>
      <c r="H631" s="5"/>
      <c r="I631" s="5"/>
      <c r="J631" s="5"/>
      <c r="K631" s="5"/>
      <c r="L631" s="5"/>
      <c r="M631" s="5"/>
      <c r="N631" s="5"/>
      <c r="O631" s="5"/>
      <c r="P631" s="5"/>
      <c r="Q631" s="5"/>
      <c r="R631" s="5"/>
      <c r="S631" s="5"/>
      <c r="T631" s="5"/>
      <c r="U631" s="5"/>
      <c r="V631" s="5"/>
      <c r="W631" s="5"/>
    </row>
    <row r="632" spans="1:23">
      <c r="A632" s="4"/>
      <c r="B632" s="31"/>
      <c r="C632" s="31"/>
      <c r="D632" s="31"/>
      <c r="E632" s="31"/>
      <c r="F632" s="31"/>
      <c r="G632" s="31"/>
      <c r="H632" s="5"/>
      <c r="I632" s="5"/>
      <c r="J632" s="5"/>
      <c r="K632" s="5"/>
      <c r="L632" s="5"/>
      <c r="M632" s="5"/>
      <c r="N632" s="5"/>
      <c r="O632" s="5"/>
      <c r="P632" s="5"/>
      <c r="Q632" s="5"/>
      <c r="R632" s="5"/>
      <c r="S632" s="5"/>
      <c r="T632" s="5"/>
      <c r="U632" s="5"/>
      <c r="V632" s="5"/>
      <c r="W632" s="5"/>
    </row>
    <row r="633" spans="1:23">
      <c r="A633" s="4"/>
      <c r="B633" s="31"/>
      <c r="C633" s="31"/>
      <c r="D633" s="31"/>
      <c r="E633" s="31"/>
      <c r="F633" s="31"/>
      <c r="G633" s="31"/>
      <c r="H633" s="5"/>
      <c r="I633" s="5"/>
      <c r="J633" s="5"/>
      <c r="K633" s="5"/>
      <c r="L633" s="5"/>
      <c r="M633" s="5"/>
      <c r="N633" s="5"/>
      <c r="O633" s="5"/>
      <c r="P633" s="5"/>
      <c r="Q633" s="5"/>
      <c r="R633" s="5"/>
      <c r="S633" s="5"/>
      <c r="T633" s="5"/>
      <c r="U633" s="5"/>
      <c r="V633" s="5"/>
      <c r="W633" s="5"/>
    </row>
    <row r="634" spans="1:23">
      <c r="A634" s="4"/>
      <c r="B634" s="31"/>
      <c r="C634" s="31"/>
      <c r="D634" s="31"/>
      <c r="E634" s="31"/>
      <c r="F634" s="31"/>
      <c r="G634" s="31"/>
      <c r="H634" s="5"/>
      <c r="I634" s="5"/>
      <c r="J634" s="5"/>
      <c r="K634" s="5"/>
      <c r="L634" s="5"/>
      <c r="M634" s="5"/>
      <c r="N634" s="5"/>
      <c r="O634" s="5"/>
      <c r="P634" s="5"/>
      <c r="Q634" s="5"/>
      <c r="R634" s="5"/>
      <c r="S634" s="5"/>
      <c r="T634" s="5"/>
      <c r="U634" s="5"/>
      <c r="V634" s="5"/>
      <c r="W634" s="5"/>
    </row>
    <row r="635" spans="1:23">
      <c r="A635" s="4"/>
      <c r="B635" s="31"/>
      <c r="C635" s="31"/>
      <c r="D635" s="31"/>
      <c r="E635" s="31"/>
      <c r="F635" s="31"/>
      <c r="G635" s="31"/>
      <c r="H635" s="5"/>
      <c r="I635" s="5"/>
      <c r="J635" s="5"/>
      <c r="K635" s="5"/>
      <c r="L635" s="5"/>
      <c r="M635" s="5"/>
      <c r="N635" s="5"/>
      <c r="O635" s="5"/>
      <c r="P635" s="5"/>
      <c r="Q635" s="5"/>
      <c r="R635" s="5"/>
      <c r="S635" s="5"/>
      <c r="T635" s="5"/>
      <c r="U635" s="5"/>
      <c r="V635" s="5"/>
      <c r="W635" s="5"/>
    </row>
    <row r="636" spans="1:23">
      <c r="A636" s="4"/>
      <c r="B636" s="31"/>
      <c r="C636" s="31"/>
      <c r="D636" s="31"/>
      <c r="E636" s="31"/>
      <c r="F636" s="31"/>
      <c r="G636" s="31"/>
      <c r="H636" s="5"/>
      <c r="I636" s="5"/>
      <c r="J636" s="5"/>
      <c r="K636" s="5"/>
      <c r="L636" s="5"/>
      <c r="M636" s="5"/>
      <c r="N636" s="5"/>
      <c r="O636" s="5"/>
      <c r="P636" s="5"/>
      <c r="Q636" s="5"/>
      <c r="R636" s="5"/>
      <c r="S636" s="5"/>
      <c r="T636" s="5"/>
      <c r="U636" s="5"/>
      <c r="V636" s="5"/>
      <c r="W636" s="5"/>
    </row>
    <row r="637" spans="1:23">
      <c r="A637" s="4"/>
      <c r="B637" s="31"/>
      <c r="C637" s="31"/>
      <c r="D637" s="31"/>
      <c r="E637" s="31"/>
      <c r="F637" s="31"/>
      <c r="G637" s="31"/>
      <c r="H637" s="5"/>
      <c r="I637" s="5"/>
      <c r="J637" s="5"/>
      <c r="K637" s="5"/>
      <c r="L637" s="5"/>
      <c r="M637" s="5"/>
      <c r="N637" s="5"/>
      <c r="O637" s="5"/>
      <c r="P637" s="5"/>
      <c r="Q637" s="5"/>
      <c r="R637" s="5"/>
      <c r="S637" s="5"/>
      <c r="T637" s="5"/>
      <c r="U637" s="5"/>
      <c r="V637" s="5"/>
      <c r="W637" s="5"/>
    </row>
    <row r="638" spans="1:23">
      <c r="A638" s="4"/>
      <c r="B638" s="31"/>
      <c r="C638" s="31"/>
      <c r="D638" s="31"/>
      <c r="E638" s="31"/>
      <c r="F638" s="31"/>
      <c r="G638" s="31"/>
      <c r="H638" s="5"/>
      <c r="I638" s="5"/>
      <c r="J638" s="5"/>
      <c r="K638" s="5"/>
      <c r="L638" s="5"/>
      <c r="M638" s="5"/>
      <c r="N638" s="5"/>
      <c r="O638" s="5"/>
      <c r="P638" s="5"/>
      <c r="Q638" s="5"/>
      <c r="R638" s="5"/>
      <c r="S638" s="5"/>
      <c r="T638" s="5"/>
      <c r="U638" s="5"/>
      <c r="V638" s="5"/>
      <c r="W638" s="5"/>
    </row>
    <row r="639" spans="1:23">
      <c r="A639" s="4"/>
      <c r="B639" s="31"/>
      <c r="C639" s="31"/>
      <c r="D639" s="31"/>
      <c r="E639" s="31"/>
      <c r="F639" s="31"/>
      <c r="G639" s="31"/>
      <c r="H639" s="5"/>
      <c r="I639" s="5"/>
      <c r="J639" s="5"/>
      <c r="K639" s="5"/>
      <c r="L639" s="5"/>
      <c r="M639" s="5"/>
      <c r="N639" s="5"/>
      <c r="O639" s="5"/>
      <c r="P639" s="5"/>
      <c r="Q639" s="5"/>
      <c r="R639" s="5"/>
      <c r="S639" s="5"/>
      <c r="T639" s="5"/>
      <c r="U639" s="5"/>
      <c r="V639" s="5"/>
      <c r="W639" s="5"/>
    </row>
    <row r="640" spans="1:23">
      <c r="A640" s="4"/>
      <c r="B640" s="31"/>
      <c r="C640" s="31"/>
      <c r="D640" s="31"/>
      <c r="E640" s="31"/>
      <c r="F640" s="31"/>
      <c r="G640" s="31"/>
      <c r="H640" s="5"/>
      <c r="I640" s="5"/>
      <c r="J640" s="5"/>
      <c r="K640" s="5"/>
      <c r="L640" s="5"/>
      <c r="M640" s="5"/>
      <c r="N640" s="5"/>
      <c r="O640" s="5"/>
      <c r="P640" s="5"/>
      <c r="Q640" s="5"/>
      <c r="R640" s="5"/>
      <c r="S640" s="5"/>
      <c r="T640" s="5"/>
      <c r="U640" s="5"/>
      <c r="V640" s="5"/>
      <c r="W640" s="5"/>
    </row>
    <row r="641" spans="1:23">
      <c r="A641" s="4"/>
      <c r="B641" s="31"/>
      <c r="C641" s="31"/>
      <c r="D641" s="31"/>
      <c r="E641" s="31"/>
      <c r="F641" s="31"/>
      <c r="G641" s="31"/>
      <c r="H641" s="5"/>
      <c r="I641" s="5"/>
      <c r="J641" s="5"/>
      <c r="K641" s="5"/>
      <c r="L641" s="5"/>
      <c r="M641" s="5"/>
      <c r="N641" s="5"/>
      <c r="O641" s="5"/>
      <c r="P641" s="5"/>
      <c r="Q641" s="5"/>
      <c r="R641" s="5"/>
      <c r="S641" s="5"/>
      <c r="T641" s="5"/>
      <c r="U641" s="5"/>
      <c r="V641" s="5"/>
      <c r="W641" s="5"/>
    </row>
    <row r="642" spans="1:23">
      <c r="A642" s="4"/>
      <c r="B642" s="31"/>
      <c r="C642" s="31"/>
      <c r="D642" s="31"/>
      <c r="E642" s="31"/>
      <c r="F642" s="31"/>
      <c r="G642" s="31"/>
      <c r="H642" s="5"/>
      <c r="I642" s="5"/>
      <c r="J642" s="5"/>
      <c r="K642" s="5"/>
      <c r="L642" s="5"/>
      <c r="M642" s="5"/>
      <c r="N642" s="5"/>
      <c r="O642" s="5"/>
      <c r="P642" s="5"/>
      <c r="Q642" s="5"/>
      <c r="R642" s="5"/>
      <c r="S642" s="5"/>
      <c r="T642" s="5"/>
      <c r="U642" s="5"/>
      <c r="V642" s="5"/>
      <c r="W642" s="5"/>
    </row>
    <row r="643" spans="1:23">
      <c r="A643" s="4"/>
      <c r="B643" s="31"/>
      <c r="C643" s="31"/>
      <c r="D643" s="31"/>
      <c r="E643" s="31"/>
      <c r="F643" s="31"/>
      <c r="G643" s="31"/>
      <c r="H643" s="5"/>
      <c r="I643" s="5"/>
      <c r="J643" s="5"/>
      <c r="K643" s="5"/>
      <c r="L643" s="5"/>
      <c r="M643" s="5"/>
      <c r="N643" s="5"/>
      <c r="O643" s="5"/>
      <c r="P643" s="5"/>
      <c r="Q643" s="5"/>
      <c r="R643" s="5"/>
      <c r="S643" s="5"/>
      <c r="T643" s="5"/>
      <c r="U643" s="5"/>
      <c r="V643" s="5"/>
      <c r="W643" s="5"/>
    </row>
    <row r="644" spans="1:23">
      <c r="A644" s="4"/>
      <c r="B644" s="31"/>
      <c r="C644" s="31"/>
      <c r="D644" s="31"/>
      <c r="E644" s="31"/>
      <c r="F644" s="31"/>
      <c r="G644" s="31"/>
      <c r="H644" s="5"/>
      <c r="I644" s="5"/>
      <c r="J644" s="5"/>
      <c r="K644" s="5"/>
      <c r="L644" s="5"/>
      <c r="M644" s="5"/>
      <c r="N644" s="5"/>
      <c r="O644" s="5"/>
      <c r="P644" s="5"/>
      <c r="Q644" s="5"/>
      <c r="R644" s="5"/>
      <c r="S644" s="5"/>
      <c r="T644" s="5"/>
      <c r="U644" s="5"/>
      <c r="V644" s="5"/>
      <c r="W644" s="5"/>
    </row>
    <row r="645" spans="1:23">
      <c r="A645" s="4"/>
      <c r="B645" s="31"/>
      <c r="C645" s="31"/>
      <c r="D645" s="31"/>
      <c r="E645" s="31"/>
      <c r="F645" s="31"/>
      <c r="G645" s="31"/>
      <c r="H645" s="5"/>
      <c r="I645" s="5"/>
      <c r="J645" s="5"/>
      <c r="K645" s="5"/>
      <c r="L645" s="5"/>
      <c r="M645" s="5"/>
      <c r="N645" s="5"/>
      <c r="O645" s="5"/>
      <c r="P645" s="5"/>
      <c r="Q645" s="5"/>
      <c r="R645" s="5"/>
      <c r="S645" s="5"/>
      <c r="T645" s="5"/>
      <c r="U645" s="5"/>
      <c r="V645" s="5"/>
      <c r="W645" s="5"/>
    </row>
    <row r="646" spans="1:23">
      <c r="A646" s="4"/>
      <c r="B646" s="31"/>
      <c r="C646" s="31"/>
      <c r="D646" s="31"/>
      <c r="E646" s="31"/>
      <c r="F646" s="31"/>
      <c r="G646" s="31"/>
      <c r="H646" s="5"/>
      <c r="I646" s="5"/>
      <c r="J646" s="5"/>
      <c r="K646" s="5"/>
      <c r="L646" s="5"/>
      <c r="M646" s="5"/>
      <c r="N646" s="5"/>
      <c r="O646" s="5"/>
      <c r="P646" s="5"/>
      <c r="Q646" s="5"/>
      <c r="R646" s="5"/>
      <c r="S646" s="5"/>
      <c r="T646" s="5"/>
      <c r="U646" s="5"/>
      <c r="V646" s="5"/>
      <c r="W646" s="5"/>
    </row>
    <row r="647" spans="1:23">
      <c r="A647" s="4"/>
      <c r="B647" s="31"/>
      <c r="C647" s="31"/>
      <c r="D647" s="31"/>
      <c r="E647" s="31"/>
      <c r="F647" s="31"/>
      <c r="G647" s="31"/>
      <c r="H647" s="5"/>
      <c r="I647" s="5"/>
      <c r="J647" s="5"/>
      <c r="K647" s="5"/>
      <c r="L647" s="5"/>
      <c r="M647" s="5"/>
      <c r="N647" s="5"/>
      <c r="O647" s="5"/>
      <c r="P647" s="5"/>
      <c r="Q647" s="5"/>
      <c r="R647" s="5"/>
      <c r="S647" s="5"/>
      <c r="T647" s="5"/>
      <c r="U647" s="5"/>
      <c r="V647" s="5"/>
      <c r="W647" s="5"/>
    </row>
    <row r="648" spans="1:23">
      <c r="A648" s="4"/>
      <c r="B648" s="31"/>
      <c r="C648" s="31"/>
      <c r="D648" s="31"/>
      <c r="E648" s="31"/>
      <c r="F648" s="31"/>
      <c r="G648" s="31"/>
      <c r="H648" s="5"/>
      <c r="I648" s="5"/>
      <c r="J648" s="5"/>
      <c r="K648" s="5"/>
      <c r="L648" s="5"/>
      <c r="M648" s="5"/>
      <c r="N648" s="5"/>
      <c r="O648" s="5"/>
      <c r="P648" s="5"/>
      <c r="Q648" s="5"/>
      <c r="R648" s="5"/>
      <c r="S648" s="5"/>
      <c r="T648" s="5"/>
      <c r="U648" s="5"/>
      <c r="V648" s="5"/>
      <c r="W648" s="5"/>
    </row>
    <row r="649" spans="1:23">
      <c r="A649" s="4"/>
      <c r="B649" s="31"/>
      <c r="C649" s="31"/>
      <c r="D649" s="31"/>
      <c r="E649" s="31"/>
      <c r="F649" s="31"/>
      <c r="G649" s="31"/>
      <c r="H649" s="5"/>
      <c r="I649" s="5"/>
      <c r="J649" s="5"/>
      <c r="K649" s="5"/>
      <c r="L649" s="5"/>
      <c r="M649" s="5"/>
      <c r="N649" s="5"/>
      <c r="O649" s="5"/>
      <c r="P649" s="5"/>
      <c r="Q649" s="5"/>
      <c r="R649" s="5"/>
      <c r="S649" s="5"/>
      <c r="T649" s="5"/>
      <c r="U649" s="5"/>
      <c r="V649" s="5"/>
      <c r="W649" s="5"/>
    </row>
    <row r="650" spans="1:23">
      <c r="A650" s="4"/>
      <c r="B650" s="31"/>
      <c r="C650" s="31"/>
      <c r="D650" s="31"/>
      <c r="E650" s="31"/>
      <c r="F650" s="31"/>
      <c r="G650" s="31"/>
      <c r="H650" s="5"/>
      <c r="I650" s="5"/>
      <c r="J650" s="5"/>
      <c r="K650" s="5"/>
      <c r="L650" s="5"/>
      <c r="M650" s="5"/>
      <c r="N650" s="5"/>
      <c r="O650" s="5"/>
      <c r="P650" s="5"/>
      <c r="Q650" s="5"/>
      <c r="R650" s="5"/>
      <c r="S650" s="5"/>
      <c r="T650" s="5"/>
      <c r="U650" s="5"/>
      <c r="V650" s="5"/>
      <c r="W650" s="5"/>
    </row>
    <row r="651" spans="1:23">
      <c r="A651" s="4"/>
      <c r="B651" s="31"/>
      <c r="C651" s="31"/>
      <c r="D651" s="31"/>
      <c r="E651" s="31"/>
      <c r="F651" s="31"/>
      <c r="G651" s="31"/>
      <c r="H651" s="5"/>
      <c r="I651" s="5"/>
      <c r="J651" s="5"/>
      <c r="K651" s="5"/>
      <c r="L651" s="5"/>
      <c r="M651" s="5"/>
      <c r="N651" s="5"/>
      <c r="O651" s="5"/>
      <c r="P651" s="5"/>
      <c r="Q651" s="5"/>
      <c r="R651" s="5"/>
      <c r="S651" s="5"/>
      <c r="T651" s="5"/>
      <c r="U651" s="5"/>
      <c r="V651" s="5"/>
      <c r="W651" s="5"/>
    </row>
    <row r="652" spans="1:23">
      <c r="A652" s="4"/>
      <c r="B652" s="31"/>
      <c r="C652" s="31"/>
      <c r="D652" s="31"/>
      <c r="E652" s="31"/>
      <c r="F652" s="31"/>
      <c r="G652" s="31"/>
      <c r="H652" s="5"/>
      <c r="I652" s="5"/>
      <c r="J652" s="5"/>
      <c r="K652" s="5"/>
      <c r="L652" s="5"/>
      <c r="M652" s="5"/>
      <c r="N652" s="5"/>
      <c r="O652" s="5"/>
      <c r="P652" s="5"/>
      <c r="Q652" s="5"/>
      <c r="R652" s="5"/>
      <c r="S652" s="5"/>
      <c r="T652" s="5"/>
      <c r="U652" s="5"/>
      <c r="V652" s="5"/>
      <c r="W652" s="5"/>
    </row>
    <row r="653" spans="1:23">
      <c r="A653" s="4"/>
      <c r="B653" s="31"/>
      <c r="C653" s="31"/>
      <c r="D653" s="31"/>
      <c r="E653" s="31"/>
      <c r="F653" s="31"/>
      <c r="G653" s="31"/>
      <c r="H653" s="5"/>
      <c r="I653" s="5"/>
      <c r="J653" s="5"/>
      <c r="K653" s="5"/>
      <c r="L653" s="5"/>
      <c r="M653" s="5"/>
      <c r="N653" s="5"/>
      <c r="O653" s="5"/>
      <c r="P653" s="5"/>
      <c r="Q653" s="5"/>
      <c r="R653" s="5"/>
      <c r="S653" s="5"/>
      <c r="T653" s="5"/>
      <c r="U653" s="5"/>
      <c r="V653" s="5"/>
      <c r="W653" s="5"/>
    </row>
    <row r="654" spans="1:23">
      <c r="A654" s="4"/>
      <c r="B654" s="31"/>
      <c r="C654" s="31"/>
      <c r="D654" s="31"/>
      <c r="E654" s="31"/>
      <c r="F654" s="31"/>
      <c r="G654" s="31"/>
      <c r="H654" s="5"/>
      <c r="I654" s="5"/>
      <c r="J654" s="5"/>
      <c r="K654" s="5"/>
      <c r="L654" s="5"/>
      <c r="M654" s="5"/>
      <c r="N654" s="5"/>
      <c r="O654" s="5"/>
      <c r="P654" s="5"/>
      <c r="Q654" s="5"/>
      <c r="R654" s="5"/>
      <c r="S654" s="5"/>
      <c r="T654" s="5"/>
      <c r="U654" s="5"/>
      <c r="V654" s="5"/>
      <c r="W654" s="5"/>
    </row>
    <row r="655" spans="1:23">
      <c r="A655" s="4"/>
      <c r="B655" s="31"/>
      <c r="C655" s="31"/>
      <c r="D655" s="31"/>
      <c r="E655" s="31"/>
      <c r="F655" s="31"/>
      <c r="G655" s="31"/>
      <c r="H655" s="5"/>
      <c r="I655" s="5"/>
      <c r="J655" s="5"/>
      <c r="K655" s="5"/>
      <c r="L655" s="5"/>
      <c r="M655" s="5"/>
      <c r="N655" s="5"/>
      <c r="O655" s="5"/>
      <c r="P655" s="5"/>
      <c r="Q655" s="5"/>
      <c r="R655" s="5"/>
      <c r="S655" s="5"/>
      <c r="T655" s="5"/>
      <c r="U655" s="5"/>
      <c r="V655" s="5"/>
      <c r="W655" s="5"/>
    </row>
    <row r="656" spans="1:23">
      <c r="A656" s="4"/>
      <c r="B656" s="31"/>
      <c r="C656" s="31"/>
      <c r="D656" s="31"/>
      <c r="E656" s="31"/>
      <c r="F656" s="31"/>
      <c r="G656" s="31"/>
      <c r="H656" s="5"/>
      <c r="I656" s="5"/>
      <c r="J656" s="5"/>
      <c r="K656" s="5"/>
      <c r="L656" s="5"/>
      <c r="M656" s="5"/>
      <c r="N656" s="5"/>
      <c r="O656" s="5"/>
      <c r="P656" s="5"/>
      <c r="Q656" s="5"/>
      <c r="R656" s="5"/>
      <c r="S656" s="5"/>
      <c r="T656" s="5"/>
      <c r="U656" s="5"/>
      <c r="V656" s="5"/>
      <c r="W656" s="5"/>
    </row>
    <row r="657" spans="1:23">
      <c r="A657" s="4"/>
      <c r="B657" s="31"/>
      <c r="C657" s="31"/>
      <c r="D657" s="31"/>
      <c r="E657" s="31"/>
      <c r="F657" s="31"/>
      <c r="G657" s="31"/>
      <c r="H657" s="5"/>
      <c r="I657" s="5"/>
      <c r="J657" s="5"/>
      <c r="K657" s="5"/>
      <c r="L657" s="5"/>
      <c r="M657" s="5"/>
      <c r="N657" s="5"/>
      <c r="O657" s="5"/>
      <c r="P657" s="5"/>
      <c r="Q657" s="5"/>
      <c r="R657" s="5"/>
      <c r="S657" s="5"/>
      <c r="T657" s="5"/>
      <c r="U657" s="5"/>
      <c r="V657" s="5"/>
      <c r="W657" s="5"/>
    </row>
    <row r="658" spans="1:23">
      <c r="A658" s="4"/>
      <c r="B658" s="31"/>
      <c r="C658" s="31"/>
      <c r="D658" s="31"/>
      <c r="E658" s="31"/>
      <c r="F658" s="31"/>
      <c r="G658" s="31"/>
      <c r="H658" s="5"/>
      <c r="I658" s="5"/>
      <c r="J658" s="5"/>
      <c r="K658" s="5"/>
      <c r="L658" s="5"/>
      <c r="M658" s="5"/>
      <c r="N658" s="5"/>
      <c r="O658" s="5"/>
      <c r="P658" s="5"/>
      <c r="Q658" s="5"/>
      <c r="R658" s="5"/>
      <c r="S658" s="5"/>
      <c r="T658" s="5"/>
      <c r="U658" s="5"/>
      <c r="V658" s="5"/>
      <c r="W658" s="5"/>
    </row>
    <row r="659" spans="1:23">
      <c r="A659" s="4"/>
      <c r="B659" s="31"/>
      <c r="C659" s="31"/>
      <c r="D659" s="31"/>
      <c r="E659" s="31"/>
      <c r="F659" s="31"/>
      <c r="G659" s="31"/>
      <c r="H659" s="5"/>
      <c r="I659" s="5"/>
      <c r="J659" s="5"/>
      <c r="K659" s="5"/>
      <c r="L659" s="5"/>
      <c r="M659" s="5"/>
      <c r="N659" s="5"/>
      <c r="O659" s="5"/>
      <c r="P659" s="5"/>
      <c r="Q659" s="5"/>
      <c r="R659" s="5"/>
      <c r="S659" s="5"/>
      <c r="T659" s="5"/>
      <c r="U659" s="5"/>
      <c r="V659" s="5"/>
      <c r="W659" s="5"/>
    </row>
    <row r="660" spans="1:23">
      <c r="A660" s="4"/>
      <c r="B660" s="31"/>
      <c r="C660" s="31"/>
      <c r="D660" s="31"/>
      <c r="E660" s="31"/>
      <c r="F660" s="31"/>
      <c r="G660" s="31"/>
      <c r="H660" s="5"/>
      <c r="I660" s="5"/>
      <c r="J660" s="5"/>
      <c r="K660" s="5"/>
      <c r="L660" s="5"/>
      <c r="M660" s="5"/>
      <c r="N660" s="5"/>
      <c r="O660" s="5"/>
      <c r="P660" s="5"/>
      <c r="Q660" s="5"/>
      <c r="R660" s="5"/>
      <c r="S660" s="5"/>
      <c r="T660" s="5"/>
      <c r="U660" s="5"/>
      <c r="V660" s="5"/>
      <c r="W660" s="5"/>
    </row>
    <row r="661" spans="1:23">
      <c r="A661" s="4"/>
      <c r="B661" s="31"/>
      <c r="C661" s="31"/>
      <c r="D661" s="31"/>
      <c r="E661" s="31"/>
      <c r="F661" s="31"/>
      <c r="G661" s="31"/>
      <c r="H661" s="5"/>
      <c r="I661" s="5"/>
      <c r="J661" s="5"/>
      <c r="K661" s="5"/>
      <c r="L661" s="5"/>
      <c r="M661" s="5"/>
      <c r="N661" s="5"/>
      <c r="O661" s="5"/>
      <c r="P661" s="5"/>
      <c r="Q661" s="5"/>
      <c r="R661" s="5"/>
      <c r="S661" s="5"/>
      <c r="T661" s="5"/>
      <c r="U661" s="5"/>
      <c r="V661" s="5"/>
      <c r="W661" s="5"/>
    </row>
    <row r="662" spans="1:23">
      <c r="A662" s="4"/>
      <c r="B662" s="31"/>
      <c r="C662" s="31"/>
      <c r="D662" s="31"/>
      <c r="E662" s="31"/>
      <c r="F662" s="31"/>
      <c r="G662" s="31"/>
      <c r="H662" s="5"/>
      <c r="I662" s="5"/>
      <c r="J662" s="5"/>
      <c r="K662" s="5"/>
      <c r="L662" s="5"/>
      <c r="M662" s="5"/>
      <c r="N662" s="5"/>
      <c r="O662" s="5"/>
      <c r="P662" s="5"/>
      <c r="Q662" s="5"/>
      <c r="R662" s="5"/>
      <c r="S662" s="5"/>
      <c r="T662" s="5"/>
      <c r="U662" s="5"/>
      <c r="V662" s="5"/>
      <c r="W662" s="5"/>
    </row>
    <row r="663" spans="1:23">
      <c r="A663" s="4"/>
      <c r="B663" s="31"/>
      <c r="C663" s="31"/>
      <c r="D663" s="31"/>
      <c r="E663" s="31"/>
      <c r="F663" s="31"/>
      <c r="G663" s="31"/>
      <c r="H663" s="5"/>
      <c r="I663" s="5"/>
      <c r="J663" s="5"/>
      <c r="K663" s="5"/>
      <c r="L663" s="5"/>
      <c r="M663" s="5"/>
      <c r="N663" s="5"/>
      <c r="O663" s="5"/>
      <c r="P663" s="5"/>
      <c r="Q663" s="5"/>
      <c r="R663" s="5"/>
      <c r="S663" s="5"/>
      <c r="T663" s="5"/>
      <c r="U663" s="5"/>
      <c r="V663" s="5"/>
      <c r="W663" s="5"/>
    </row>
    <row r="664" spans="1:23">
      <c r="A664" s="4"/>
      <c r="B664" s="31"/>
      <c r="C664" s="31"/>
      <c r="D664" s="31"/>
      <c r="E664" s="31"/>
      <c r="F664" s="31"/>
      <c r="G664" s="31"/>
      <c r="H664" s="5"/>
      <c r="I664" s="5"/>
      <c r="J664" s="5"/>
      <c r="K664" s="5"/>
      <c r="L664" s="5"/>
      <c r="M664" s="5"/>
      <c r="N664" s="5"/>
      <c r="O664" s="5"/>
      <c r="P664" s="5"/>
      <c r="Q664" s="5"/>
      <c r="R664" s="5"/>
      <c r="S664" s="5"/>
      <c r="T664" s="5"/>
      <c r="U664" s="5"/>
      <c r="V664" s="5"/>
      <c r="W664" s="5"/>
    </row>
    <row r="665" spans="1:23">
      <c r="A665" s="4"/>
      <c r="B665" s="31"/>
      <c r="C665" s="31"/>
      <c r="D665" s="31"/>
      <c r="E665" s="31"/>
      <c r="F665" s="31"/>
      <c r="G665" s="31"/>
      <c r="H665" s="5"/>
      <c r="I665" s="5"/>
      <c r="J665" s="5"/>
      <c r="K665" s="5"/>
      <c r="L665" s="5"/>
      <c r="M665" s="5"/>
      <c r="N665" s="5"/>
      <c r="O665" s="5"/>
      <c r="P665" s="5"/>
      <c r="Q665" s="5"/>
      <c r="R665" s="5"/>
      <c r="S665" s="5"/>
      <c r="T665" s="5"/>
      <c r="U665" s="5"/>
      <c r="V665" s="5"/>
      <c r="W665" s="5"/>
    </row>
    <row r="666" spans="1:23">
      <c r="A666" s="4"/>
      <c r="B666" s="31"/>
      <c r="C666" s="31"/>
      <c r="D666" s="31"/>
      <c r="E666" s="31"/>
      <c r="F666" s="31"/>
      <c r="G666" s="31"/>
      <c r="H666" s="5"/>
      <c r="I666" s="5"/>
      <c r="J666" s="5"/>
      <c r="K666" s="5"/>
      <c r="L666" s="5"/>
      <c r="M666" s="5"/>
      <c r="N666" s="5"/>
      <c r="O666" s="5"/>
      <c r="P666" s="5"/>
      <c r="Q666" s="5"/>
      <c r="R666" s="5"/>
      <c r="S666" s="5"/>
      <c r="T666" s="5"/>
      <c r="U666" s="5"/>
      <c r="V666" s="5"/>
      <c r="W666" s="5"/>
    </row>
    <row r="667" spans="1:23">
      <c r="A667" s="4"/>
      <c r="B667" s="31"/>
      <c r="C667" s="31"/>
      <c r="D667" s="31"/>
      <c r="E667" s="31"/>
      <c r="F667" s="31"/>
      <c r="G667" s="31"/>
      <c r="H667" s="5"/>
      <c r="I667" s="5"/>
      <c r="J667" s="5"/>
      <c r="K667" s="5"/>
      <c r="L667" s="5"/>
      <c r="M667" s="5"/>
      <c r="N667" s="5"/>
      <c r="O667" s="5"/>
      <c r="P667" s="5"/>
      <c r="Q667" s="5"/>
      <c r="R667" s="5"/>
      <c r="S667" s="5"/>
      <c r="T667" s="5"/>
      <c r="U667" s="5"/>
      <c r="V667" s="5"/>
      <c r="W667" s="5"/>
    </row>
    <row r="668" spans="1:23">
      <c r="A668" s="4"/>
      <c r="B668" s="31"/>
      <c r="C668" s="31"/>
      <c r="D668" s="31"/>
      <c r="E668" s="31"/>
      <c r="F668" s="31"/>
      <c r="G668" s="31"/>
      <c r="H668" s="5"/>
      <c r="I668" s="5"/>
      <c r="J668" s="5"/>
      <c r="K668" s="5"/>
      <c r="L668" s="5"/>
      <c r="M668" s="5"/>
      <c r="N668" s="5"/>
      <c r="O668" s="5"/>
      <c r="P668" s="5"/>
      <c r="Q668" s="5"/>
      <c r="R668" s="5"/>
      <c r="S668" s="5"/>
      <c r="T668" s="5"/>
      <c r="U668" s="5"/>
      <c r="V668" s="5"/>
      <c r="W668" s="5"/>
    </row>
    <row r="669" spans="1:23">
      <c r="A669" s="4"/>
      <c r="B669" s="31"/>
      <c r="C669" s="31"/>
      <c r="D669" s="31"/>
      <c r="E669" s="31"/>
      <c r="F669" s="31"/>
      <c r="G669" s="31"/>
      <c r="H669" s="5"/>
      <c r="I669" s="5"/>
      <c r="J669" s="5"/>
      <c r="K669" s="5"/>
      <c r="L669" s="5"/>
      <c r="M669" s="5"/>
      <c r="N669" s="5"/>
      <c r="O669" s="5"/>
      <c r="P669" s="5"/>
      <c r="Q669" s="5"/>
      <c r="R669" s="5"/>
      <c r="S669" s="5"/>
      <c r="T669" s="5"/>
      <c r="U669" s="5"/>
      <c r="V669" s="5"/>
      <c r="W669" s="5"/>
    </row>
    <row r="670" spans="1:23">
      <c r="A670" s="4"/>
      <c r="B670" s="31"/>
      <c r="C670" s="31"/>
      <c r="D670" s="31"/>
      <c r="E670" s="31"/>
      <c r="F670" s="31"/>
      <c r="G670" s="31"/>
      <c r="H670" s="5"/>
      <c r="I670" s="5"/>
      <c r="J670" s="5"/>
      <c r="K670" s="5"/>
      <c r="L670" s="5"/>
      <c r="M670" s="5"/>
      <c r="N670" s="5"/>
      <c r="O670" s="5"/>
      <c r="P670" s="5"/>
      <c r="Q670" s="5"/>
      <c r="R670" s="5"/>
      <c r="S670" s="5"/>
      <c r="T670" s="5"/>
      <c r="U670" s="5"/>
      <c r="V670" s="5"/>
      <c r="W670" s="5"/>
    </row>
    <row r="671" spans="1:23">
      <c r="A671" s="4"/>
      <c r="B671" s="31"/>
      <c r="C671" s="31"/>
      <c r="D671" s="31"/>
      <c r="E671" s="31"/>
      <c r="F671" s="31"/>
      <c r="G671" s="31"/>
      <c r="H671" s="5"/>
      <c r="I671" s="5"/>
      <c r="J671" s="5"/>
      <c r="K671" s="5"/>
      <c r="L671" s="5"/>
      <c r="M671" s="5"/>
      <c r="N671" s="5"/>
      <c r="O671" s="5"/>
      <c r="P671" s="5"/>
      <c r="Q671" s="5"/>
      <c r="R671" s="5"/>
      <c r="S671" s="5"/>
      <c r="T671" s="5"/>
      <c r="U671" s="5"/>
      <c r="V671" s="5"/>
      <c r="W671" s="5"/>
    </row>
    <row r="672" spans="1:23">
      <c r="A672" s="4"/>
      <c r="B672" s="31"/>
      <c r="C672" s="31"/>
      <c r="D672" s="31"/>
      <c r="E672" s="31"/>
      <c r="F672" s="31"/>
      <c r="G672" s="31"/>
      <c r="H672" s="5"/>
      <c r="I672" s="5"/>
      <c r="J672" s="5"/>
      <c r="K672" s="5"/>
      <c r="L672" s="5"/>
      <c r="M672" s="5"/>
      <c r="N672" s="5"/>
      <c r="O672" s="5"/>
      <c r="P672" s="5"/>
      <c r="Q672" s="5"/>
      <c r="R672" s="5"/>
      <c r="S672" s="5"/>
      <c r="T672" s="5"/>
      <c r="U672" s="5"/>
      <c r="V672" s="5"/>
      <c r="W672" s="5"/>
    </row>
    <row r="673" spans="1:23">
      <c r="A673" s="4"/>
      <c r="B673" s="31"/>
      <c r="C673" s="31"/>
      <c r="D673" s="31"/>
      <c r="E673" s="31"/>
      <c r="F673" s="31"/>
      <c r="G673" s="31"/>
      <c r="H673" s="5"/>
      <c r="I673" s="5"/>
      <c r="J673" s="5"/>
      <c r="K673" s="5"/>
      <c r="L673" s="5"/>
      <c r="M673" s="5"/>
      <c r="N673" s="5"/>
      <c r="O673" s="5"/>
      <c r="P673" s="5"/>
      <c r="Q673" s="5"/>
      <c r="R673" s="5"/>
      <c r="S673" s="5"/>
      <c r="T673" s="5"/>
      <c r="U673" s="5"/>
      <c r="V673" s="5"/>
      <c r="W673" s="5"/>
    </row>
    <row r="674" spans="1:23">
      <c r="A674" s="4"/>
      <c r="B674" s="31"/>
      <c r="C674" s="31"/>
      <c r="D674" s="31"/>
      <c r="E674" s="31"/>
      <c r="F674" s="31"/>
      <c r="G674" s="31"/>
      <c r="H674" s="5"/>
      <c r="I674" s="5"/>
      <c r="J674" s="5"/>
      <c r="K674" s="5"/>
      <c r="L674" s="5"/>
      <c r="M674" s="5"/>
      <c r="N674" s="5"/>
      <c r="O674" s="5"/>
      <c r="P674" s="5"/>
      <c r="Q674" s="5"/>
      <c r="R674" s="5"/>
      <c r="S674" s="5"/>
      <c r="T674" s="5"/>
      <c r="U674" s="5"/>
      <c r="V674" s="5"/>
      <c r="W674" s="5"/>
    </row>
    <row r="675" spans="1:23">
      <c r="A675" s="4"/>
      <c r="B675" s="31"/>
      <c r="C675" s="31"/>
      <c r="D675" s="31"/>
      <c r="E675" s="31"/>
      <c r="F675" s="31"/>
      <c r="G675" s="31"/>
      <c r="H675" s="5"/>
      <c r="I675" s="5"/>
      <c r="J675" s="5"/>
      <c r="K675" s="5"/>
      <c r="L675" s="5"/>
      <c r="M675" s="5"/>
      <c r="N675" s="5"/>
      <c r="O675" s="5"/>
      <c r="P675" s="5"/>
      <c r="Q675" s="5"/>
      <c r="R675" s="5"/>
      <c r="S675" s="5"/>
      <c r="T675" s="5"/>
      <c r="U675" s="5"/>
      <c r="V675" s="5"/>
      <c r="W675" s="5"/>
    </row>
    <row r="676" spans="1:23">
      <c r="A676" s="4"/>
      <c r="B676" s="31"/>
      <c r="C676" s="31"/>
      <c r="D676" s="31"/>
      <c r="E676" s="31"/>
      <c r="F676" s="31"/>
      <c r="G676" s="31"/>
      <c r="H676" s="5"/>
      <c r="I676" s="5"/>
      <c r="J676" s="5"/>
      <c r="K676" s="5"/>
      <c r="L676" s="5"/>
      <c r="M676" s="5"/>
      <c r="N676" s="5"/>
      <c r="O676" s="5"/>
      <c r="P676" s="5"/>
      <c r="Q676" s="5"/>
      <c r="R676" s="5"/>
      <c r="S676" s="5"/>
      <c r="T676" s="5"/>
      <c r="U676" s="5"/>
      <c r="V676" s="5"/>
      <c r="W676" s="5"/>
    </row>
    <row r="677" spans="1:23">
      <c r="A677" s="4"/>
      <c r="B677" s="31"/>
      <c r="C677" s="31"/>
      <c r="D677" s="31"/>
      <c r="E677" s="31"/>
      <c r="F677" s="31"/>
      <c r="G677" s="31"/>
      <c r="H677" s="5"/>
      <c r="I677" s="5"/>
      <c r="J677" s="5"/>
      <c r="K677" s="5"/>
      <c r="L677" s="5"/>
      <c r="M677" s="5"/>
      <c r="N677" s="5"/>
      <c r="O677" s="5"/>
      <c r="P677" s="5"/>
      <c r="Q677" s="5"/>
      <c r="R677" s="5"/>
      <c r="S677" s="5"/>
      <c r="T677" s="5"/>
      <c r="U677" s="5"/>
      <c r="V677" s="5"/>
      <c r="W677" s="5"/>
    </row>
    <row r="678" spans="1:23">
      <c r="A678" s="4"/>
      <c r="B678" s="31"/>
      <c r="C678" s="31"/>
      <c r="D678" s="31"/>
      <c r="E678" s="31"/>
      <c r="F678" s="31"/>
      <c r="G678" s="31"/>
      <c r="H678" s="5"/>
      <c r="I678" s="5"/>
      <c r="J678" s="5"/>
      <c r="K678" s="5"/>
      <c r="L678" s="5"/>
      <c r="M678" s="5"/>
      <c r="N678" s="5"/>
      <c r="O678" s="5"/>
      <c r="P678" s="5"/>
      <c r="Q678" s="5"/>
      <c r="R678" s="5"/>
      <c r="S678" s="5"/>
      <c r="T678" s="5"/>
      <c r="U678" s="5"/>
      <c r="V678" s="5"/>
      <c r="W678" s="5"/>
    </row>
    <row r="679" spans="1:23">
      <c r="A679" s="4"/>
      <c r="B679" s="31"/>
      <c r="C679" s="31"/>
      <c r="D679" s="31"/>
      <c r="E679" s="31"/>
      <c r="F679" s="31"/>
      <c r="G679" s="31"/>
      <c r="H679" s="5"/>
      <c r="I679" s="5"/>
      <c r="J679" s="5"/>
      <c r="K679" s="5"/>
      <c r="L679" s="5"/>
      <c r="M679" s="5"/>
      <c r="N679" s="5"/>
      <c r="O679" s="5"/>
      <c r="P679" s="5"/>
      <c r="Q679" s="5"/>
      <c r="R679" s="5"/>
      <c r="S679" s="5"/>
      <c r="T679" s="5"/>
      <c r="U679" s="5"/>
      <c r="V679" s="5"/>
      <c r="W679" s="5"/>
    </row>
    <row r="680" spans="1:23">
      <c r="A680" s="4"/>
      <c r="B680" s="31"/>
      <c r="C680" s="31"/>
      <c r="D680" s="31"/>
      <c r="E680" s="31"/>
      <c r="F680" s="31"/>
      <c r="G680" s="31"/>
      <c r="H680" s="5"/>
      <c r="I680" s="5"/>
      <c r="J680" s="5"/>
      <c r="K680" s="5"/>
      <c r="L680" s="5"/>
      <c r="M680" s="5"/>
      <c r="N680" s="5"/>
      <c r="O680" s="5"/>
      <c r="P680" s="5"/>
      <c r="Q680" s="5"/>
      <c r="R680" s="5"/>
      <c r="S680" s="5"/>
      <c r="T680" s="5"/>
      <c r="U680" s="5"/>
      <c r="V680" s="5"/>
      <c r="W680" s="5"/>
    </row>
    <row r="681" spans="1:23">
      <c r="A681" s="4"/>
      <c r="B681" s="31"/>
      <c r="C681" s="31"/>
      <c r="D681" s="31"/>
      <c r="E681" s="31"/>
      <c r="F681" s="31"/>
      <c r="G681" s="31"/>
      <c r="H681" s="5"/>
      <c r="I681" s="5"/>
      <c r="J681" s="5"/>
      <c r="K681" s="5"/>
      <c r="L681" s="5"/>
      <c r="M681" s="5"/>
      <c r="N681" s="5"/>
      <c r="O681" s="5"/>
      <c r="P681" s="5"/>
      <c r="Q681" s="5"/>
      <c r="R681" s="5"/>
      <c r="S681" s="5"/>
      <c r="T681" s="5"/>
      <c r="U681" s="5"/>
      <c r="V681" s="5"/>
      <c r="W681" s="5"/>
    </row>
    <row r="682" spans="1:23">
      <c r="A682" s="4"/>
      <c r="B682" s="31"/>
      <c r="C682" s="31"/>
      <c r="D682" s="31"/>
      <c r="E682" s="31"/>
      <c r="F682" s="31"/>
      <c r="G682" s="31"/>
      <c r="H682" s="5"/>
      <c r="I682" s="5"/>
      <c r="J682" s="5"/>
      <c r="K682" s="5"/>
      <c r="L682" s="5"/>
      <c r="M682" s="5"/>
      <c r="N682" s="5"/>
      <c r="O682" s="5"/>
      <c r="P682" s="5"/>
      <c r="Q682" s="5"/>
      <c r="R682" s="5"/>
      <c r="S682" s="5"/>
      <c r="T682" s="5"/>
      <c r="U682" s="5"/>
      <c r="V682" s="5"/>
      <c r="W682" s="5"/>
    </row>
    <row r="683" spans="1:23">
      <c r="A683" s="4"/>
      <c r="B683" s="31"/>
      <c r="C683" s="31"/>
      <c r="D683" s="31"/>
      <c r="E683" s="31"/>
      <c r="F683" s="31"/>
      <c r="G683" s="31"/>
      <c r="H683" s="5"/>
      <c r="I683" s="5"/>
      <c r="J683" s="5"/>
      <c r="K683" s="5"/>
      <c r="L683" s="5"/>
      <c r="M683" s="5"/>
      <c r="N683" s="5"/>
      <c r="O683" s="5"/>
      <c r="P683" s="5"/>
      <c r="Q683" s="5"/>
      <c r="R683" s="5"/>
      <c r="S683" s="5"/>
      <c r="T683" s="5"/>
      <c r="U683" s="5"/>
      <c r="V683" s="5"/>
      <c r="W683" s="5"/>
    </row>
    <row r="684" spans="1:23">
      <c r="A684" s="4"/>
      <c r="B684" s="31"/>
      <c r="C684" s="31"/>
      <c r="D684" s="31"/>
      <c r="E684" s="31"/>
      <c r="F684" s="31"/>
      <c r="G684" s="31"/>
      <c r="H684" s="5"/>
      <c r="I684" s="5"/>
      <c r="J684" s="5"/>
      <c r="K684" s="5"/>
      <c r="L684" s="5"/>
      <c r="M684" s="5"/>
      <c r="N684" s="5"/>
      <c r="O684" s="5"/>
      <c r="P684" s="5"/>
      <c r="Q684" s="5"/>
      <c r="R684" s="5"/>
      <c r="S684" s="5"/>
      <c r="T684" s="5"/>
      <c r="U684" s="5"/>
      <c r="V684" s="5"/>
      <c r="W684" s="5"/>
    </row>
    <row r="685" spans="1:23">
      <c r="A685" s="4"/>
      <c r="B685" s="31"/>
      <c r="C685" s="31"/>
      <c r="D685" s="31"/>
      <c r="E685" s="31"/>
      <c r="F685" s="31"/>
      <c r="G685" s="31"/>
      <c r="H685" s="5"/>
      <c r="I685" s="5"/>
      <c r="J685" s="5"/>
      <c r="K685" s="5"/>
      <c r="L685" s="5"/>
      <c r="M685" s="5"/>
      <c r="N685" s="5"/>
      <c r="O685" s="5"/>
      <c r="P685" s="5"/>
      <c r="Q685" s="5"/>
      <c r="R685" s="5"/>
      <c r="S685" s="5"/>
      <c r="T685" s="5"/>
      <c r="U685" s="5"/>
      <c r="V685" s="5"/>
      <c r="W685" s="5"/>
    </row>
    <row r="686" spans="1:23">
      <c r="A686" s="4"/>
      <c r="B686" s="31"/>
      <c r="C686" s="31"/>
      <c r="D686" s="31"/>
      <c r="E686" s="31"/>
      <c r="F686" s="31"/>
      <c r="G686" s="31"/>
      <c r="H686" s="5"/>
      <c r="I686" s="5"/>
      <c r="J686" s="5"/>
      <c r="K686" s="5"/>
      <c r="L686" s="5"/>
      <c r="M686" s="5"/>
      <c r="N686" s="5"/>
      <c r="O686" s="5"/>
      <c r="P686" s="5"/>
      <c r="Q686" s="5"/>
      <c r="R686" s="5"/>
      <c r="S686" s="5"/>
      <c r="T686" s="5"/>
      <c r="U686" s="5"/>
      <c r="V686" s="5"/>
      <c r="W686" s="5"/>
    </row>
    <row r="687" spans="1:23">
      <c r="A687" s="4"/>
      <c r="B687" s="31"/>
      <c r="C687" s="31"/>
      <c r="D687" s="31"/>
      <c r="E687" s="31"/>
      <c r="F687" s="31"/>
      <c r="G687" s="31"/>
      <c r="H687" s="5"/>
      <c r="I687" s="5"/>
      <c r="J687" s="5"/>
      <c r="K687" s="5"/>
      <c r="L687" s="5"/>
      <c r="M687" s="5"/>
      <c r="N687" s="5"/>
      <c r="O687" s="5"/>
      <c r="P687" s="5"/>
      <c r="Q687" s="5"/>
      <c r="R687" s="5"/>
      <c r="S687" s="5"/>
      <c r="T687" s="5"/>
      <c r="U687" s="5"/>
      <c r="V687" s="5"/>
      <c r="W687" s="5"/>
    </row>
    <row r="688" spans="1:23">
      <c r="A688" s="4"/>
      <c r="B688" s="31"/>
      <c r="C688" s="31"/>
      <c r="D688" s="31"/>
      <c r="E688" s="31"/>
      <c r="F688" s="31"/>
      <c r="G688" s="31"/>
      <c r="H688" s="5"/>
      <c r="I688" s="5"/>
      <c r="J688" s="5"/>
      <c r="K688" s="5"/>
      <c r="L688" s="5"/>
      <c r="M688" s="5"/>
      <c r="N688" s="5"/>
      <c r="O688" s="5"/>
      <c r="P688" s="5"/>
      <c r="Q688" s="5"/>
      <c r="R688" s="5"/>
      <c r="S688" s="5"/>
      <c r="T688" s="5"/>
      <c r="U688" s="5"/>
      <c r="V688" s="5"/>
      <c r="W688" s="5"/>
    </row>
    <row r="689" spans="1:23">
      <c r="A689" s="4"/>
      <c r="B689" s="31"/>
      <c r="C689" s="31"/>
      <c r="D689" s="31"/>
      <c r="E689" s="31"/>
      <c r="F689" s="31"/>
      <c r="G689" s="31"/>
      <c r="H689" s="5"/>
      <c r="I689" s="5"/>
      <c r="J689" s="5"/>
      <c r="K689" s="5"/>
      <c r="L689" s="5"/>
      <c r="M689" s="5"/>
      <c r="N689" s="5"/>
      <c r="O689" s="5"/>
      <c r="P689" s="5"/>
      <c r="Q689" s="5"/>
      <c r="R689" s="5"/>
      <c r="S689" s="5"/>
      <c r="T689" s="5"/>
      <c r="U689" s="5"/>
      <c r="V689" s="5"/>
      <c r="W689" s="5"/>
    </row>
    <row r="690" spans="1:23">
      <c r="A690" s="4"/>
      <c r="B690" s="31"/>
      <c r="C690" s="31"/>
      <c r="D690" s="31"/>
      <c r="E690" s="31"/>
      <c r="F690" s="31"/>
      <c r="G690" s="31"/>
      <c r="H690" s="5"/>
      <c r="I690" s="5"/>
      <c r="J690" s="5"/>
      <c r="K690" s="5"/>
      <c r="L690" s="5"/>
      <c r="M690" s="5"/>
      <c r="N690" s="5"/>
      <c r="O690" s="5"/>
      <c r="P690" s="5"/>
      <c r="Q690" s="5"/>
      <c r="R690" s="5"/>
      <c r="S690" s="5"/>
      <c r="T690" s="5"/>
      <c r="U690" s="5"/>
      <c r="V690" s="5"/>
      <c r="W690" s="5"/>
    </row>
    <row r="691" spans="1:23">
      <c r="A691" s="4"/>
      <c r="B691" s="31"/>
      <c r="C691" s="31"/>
      <c r="D691" s="31"/>
      <c r="E691" s="31"/>
      <c r="F691" s="31"/>
      <c r="G691" s="31"/>
      <c r="H691" s="5"/>
      <c r="I691" s="5"/>
      <c r="J691" s="5"/>
      <c r="K691" s="5"/>
      <c r="L691" s="5"/>
      <c r="M691" s="5"/>
      <c r="N691" s="5"/>
      <c r="O691" s="5"/>
      <c r="P691" s="5"/>
      <c r="Q691" s="5"/>
      <c r="R691" s="5"/>
      <c r="S691" s="5"/>
      <c r="T691" s="5"/>
      <c r="U691" s="5"/>
      <c r="V691" s="5"/>
      <c r="W691" s="5"/>
    </row>
    <row r="692" spans="1:23">
      <c r="A692" s="4"/>
      <c r="B692" s="31"/>
      <c r="C692" s="31"/>
      <c r="D692" s="31"/>
      <c r="E692" s="31"/>
      <c r="F692" s="31"/>
      <c r="G692" s="31"/>
      <c r="H692" s="5"/>
      <c r="I692" s="5"/>
      <c r="J692" s="5"/>
      <c r="K692" s="5"/>
      <c r="L692" s="5"/>
      <c r="M692" s="5"/>
      <c r="N692" s="5"/>
      <c r="O692" s="5"/>
      <c r="P692" s="5"/>
      <c r="Q692" s="5"/>
      <c r="R692" s="5"/>
      <c r="S692" s="5"/>
      <c r="T692" s="5"/>
      <c r="U692" s="5"/>
      <c r="V692" s="5"/>
      <c r="W692" s="5"/>
    </row>
    <row r="693" spans="1:23">
      <c r="A693" s="4"/>
      <c r="B693" s="31"/>
      <c r="C693" s="31"/>
      <c r="D693" s="31"/>
      <c r="E693" s="31"/>
      <c r="F693" s="31"/>
      <c r="G693" s="31"/>
      <c r="H693" s="5"/>
      <c r="I693" s="5"/>
      <c r="J693" s="5"/>
      <c r="K693" s="5"/>
      <c r="L693" s="5"/>
      <c r="M693" s="5"/>
      <c r="N693" s="5"/>
      <c r="O693" s="5"/>
      <c r="P693" s="5"/>
      <c r="Q693" s="5"/>
      <c r="R693" s="5"/>
      <c r="S693" s="5"/>
      <c r="T693" s="5"/>
      <c r="U693" s="5"/>
      <c r="V693" s="5"/>
      <c r="W693" s="5"/>
    </row>
    <row r="694" spans="1:23">
      <c r="A694" s="4"/>
      <c r="B694" s="31"/>
      <c r="C694" s="31"/>
      <c r="D694" s="31"/>
      <c r="E694" s="31"/>
      <c r="F694" s="31"/>
      <c r="G694" s="31"/>
      <c r="H694" s="5"/>
      <c r="I694" s="5"/>
      <c r="J694" s="5"/>
      <c r="K694" s="5"/>
      <c r="L694" s="5"/>
      <c r="M694" s="5"/>
      <c r="N694" s="5"/>
      <c r="O694" s="5"/>
      <c r="P694" s="5"/>
      <c r="Q694" s="5"/>
      <c r="R694" s="5"/>
      <c r="S694" s="5"/>
      <c r="T694" s="5"/>
      <c r="U694" s="5"/>
      <c r="V694" s="5"/>
      <c r="W694" s="5"/>
    </row>
    <row r="695" spans="1:23">
      <c r="A695" s="4"/>
      <c r="B695" s="31"/>
      <c r="C695" s="31"/>
      <c r="D695" s="31"/>
      <c r="E695" s="31"/>
      <c r="F695" s="31"/>
      <c r="G695" s="31"/>
      <c r="H695" s="5"/>
      <c r="I695" s="5"/>
      <c r="J695" s="5"/>
      <c r="K695" s="5"/>
      <c r="L695" s="5"/>
      <c r="M695" s="5"/>
      <c r="N695" s="5"/>
      <c r="O695" s="5"/>
      <c r="P695" s="5"/>
      <c r="Q695" s="5"/>
      <c r="R695" s="5"/>
      <c r="S695" s="5"/>
      <c r="T695" s="5"/>
      <c r="U695" s="5"/>
      <c r="V695" s="5"/>
      <c r="W695" s="5"/>
    </row>
    <row r="696" spans="1:23">
      <c r="A696" s="4"/>
      <c r="B696" s="31"/>
      <c r="C696" s="31"/>
      <c r="D696" s="31"/>
      <c r="E696" s="31"/>
      <c r="F696" s="31"/>
      <c r="G696" s="31"/>
      <c r="H696" s="5"/>
      <c r="I696" s="5"/>
      <c r="J696" s="5"/>
      <c r="K696" s="5"/>
      <c r="L696" s="5"/>
      <c r="M696" s="5"/>
      <c r="N696" s="5"/>
      <c r="O696" s="5"/>
      <c r="P696" s="5"/>
      <c r="Q696" s="5"/>
      <c r="R696" s="5"/>
      <c r="S696" s="5"/>
      <c r="T696" s="5"/>
      <c r="U696" s="5"/>
      <c r="V696" s="5"/>
      <c r="W696" s="5"/>
    </row>
    <row r="697" spans="1:23">
      <c r="A697" s="4"/>
      <c r="B697" s="31"/>
      <c r="C697" s="31"/>
      <c r="D697" s="31"/>
      <c r="E697" s="31"/>
      <c r="F697" s="31"/>
      <c r="G697" s="31"/>
      <c r="H697" s="5"/>
      <c r="I697" s="5"/>
      <c r="J697" s="5"/>
      <c r="K697" s="5"/>
      <c r="L697" s="5"/>
      <c r="M697" s="5"/>
      <c r="N697" s="5"/>
      <c r="O697" s="5"/>
      <c r="P697" s="5"/>
      <c r="Q697" s="5"/>
      <c r="R697" s="5"/>
      <c r="S697" s="5"/>
      <c r="T697" s="5"/>
      <c r="U697" s="5"/>
      <c r="V697" s="5"/>
      <c r="W697" s="5"/>
    </row>
    <row r="698" spans="1:23">
      <c r="A698" s="4"/>
      <c r="B698" s="31"/>
      <c r="C698" s="31"/>
      <c r="D698" s="31"/>
      <c r="E698" s="31"/>
      <c r="F698" s="31"/>
      <c r="G698" s="31"/>
      <c r="H698" s="5"/>
      <c r="I698" s="5"/>
      <c r="J698" s="5"/>
      <c r="K698" s="5"/>
      <c r="L698" s="5"/>
      <c r="M698" s="5"/>
      <c r="N698" s="5"/>
      <c r="O698" s="5"/>
      <c r="P698" s="5"/>
      <c r="Q698" s="5"/>
      <c r="R698" s="5"/>
      <c r="S698" s="5"/>
      <c r="T698" s="5"/>
      <c r="U698" s="5"/>
      <c r="V698" s="5"/>
      <c r="W698" s="5"/>
    </row>
    <row r="699" spans="1:23">
      <c r="A699" s="4"/>
      <c r="B699" s="31"/>
      <c r="C699" s="31"/>
      <c r="D699" s="31"/>
      <c r="E699" s="31"/>
      <c r="F699" s="31"/>
      <c r="G699" s="31"/>
      <c r="H699" s="5"/>
      <c r="I699" s="5"/>
      <c r="J699" s="5"/>
      <c r="K699" s="5"/>
      <c r="L699" s="5"/>
      <c r="M699" s="5"/>
      <c r="N699" s="5"/>
      <c r="O699" s="5"/>
      <c r="P699" s="5"/>
      <c r="Q699" s="5"/>
      <c r="R699" s="5"/>
      <c r="S699" s="5"/>
      <c r="T699" s="5"/>
      <c r="U699" s="5"/>
      <c r="V699" s="5"/>
      <c r="W699" s="5"/>
    </row>
    <row r="700" spans="1:23">
      <c r="A700" s="4"/>
      <c r="B700" s="31"/>
      <c r="C700" s="31"/>
      <c r="D700" s="31"/>
      <c r="E700" s="31"/>
      <c r="F700" s="31"/>
      <c r="G700" s="31"/>
      <c r="H700" s="5"/>
      <c r="I700" s="5"/>
      <c r="J700" s="5"/>
      <c r="K700" s="5"/>
      <c r="L700" s="5"/>
      <c r="M700" s="5"/>
      <c r="N700" s="5"/>
      <c r="O700" s="5"/>
      <c r="P700" s="5"/>
      <c r="Q700" s="5"/>
      <c r="R700" s="5"/>
      <c r="S700" s="5"/>
      <c r="T700" s="5"/>
      <c r="U700" s="5"/>
      <c r="V700" s="5"/>
      <c r="W700" s="5"/>
    </row>
    <row r="701" spans="1:23">
      <c r="A701" s="4"/>
      <c r="B701" s="31"/>
      <c r="C701" s="31"/>
      <c r="D701" s="31"/>
      <c r="E701" s="31"/>
      <c r="F701" s="31"/>
      <c r="G701" s="31"/>
      <c r="H701" s="5"/>
      <c r="I701" s="5"/>
      <c r="J701" s="5"/>
      <c r="K701" s="5"/>
      <c r="L701" s="5"/>
      <c r="M701" s="5"/>
      <c r="N701" s="5"/>
      <c r="O701" s="5"/>
      <c r="P701" s="5"/>
      <c r="Q701" s="5"/>
      <c r="R701" s="5"/>
      <c r="S701" s="5"/>
      <c r="T701" s="5"/>
      <c r="U701" s="5"/>
      <c r="V701" s="5"/>
      <c r="W701" s="5"/>
    </row>
    <row r="702" spans="1:23">
      <c r="A702" s="4"/>
      <c r="B702" s="31"/>
      <c r="C702" s="31"/>
      <c r="D702" s="31"/>
      <c r="E702" s="31"/>
      <c r="F702" s="31"/>
      <c r="G702" s="31"/>
      <c r="H702" s="5"/>
      <c r="I702" s="5"/>
      <c r="J702" s="5"/>
      <c r="K702" s="5"/>
      <c r="L702" s="5"/>
      <c r="M702" s="5"/>
      <c r="N702" s="5"/>
      <c r="O702" s="5"/>
      <c r="P702" s="5"/>
      <c r="Q702" s="5"/>
      <c r="R702" s="5"/>
      <c r="S702" s="5"/>
      <c r="T702" s="5"/>
      <c r="U702" s="5"/>
      <c r="V702" s="5"/>
      <c r="W702" s="5"/>
    </row>
    <row r="703" spans="1:23">
      <c r="A703" s="4"/>
      <c r="B703" s="31"/>
      <c r="C703" s="31"/>
      <c r="D703" s="31"/>
      <c r="E703" s="31"/>
      <c r="F703" s="31"/>
      <c r="G703" s="31"/>
      <c r="H703" s="5"/>
      <c r="I703" s="5"/>
      <c r="J703" s="5"/>
      <c r="K703" s="5"/>
      <c r="L703" s="5"/>
      <c r="M703" s="5"/>
      <c r="N703" s="5"/>
      <c r="O703" s="5"/>
      <c r="P703" s="5"/>
      <c r="Q703" s="5"/>
      <c r="R703" s="5"/>
      <c r="S703" s="5"/>
      <c r="T703" s="5"/>
      <c r="U703" s="5"/>
      <c r="V703" s="5"/>
      <c r="W703" s="5"/>
    </row>
    <row r="704" spans="1:23">
      <c r="A704" s="4"/>
      <c r="B704" s="31"/>
      <c r="C704" s="31"/>
      <c r="D704" s="31"/>
      <c r="E704" s="31"/>
      <c r="F704" s="31"/>
      <c r="G704" s="31"/>
      <c r="H704" s="5"/>
      <c r="I704" s="5"/>
      <c r="J704" s="5"/>
      <c r="K704" s="5"/>
      <c r="L704" s="5"/>
      <c r="M704" s="5"/>
      <c r="N704" s="5"/>
      <c r="O704" s="5"/>
      <c r="P704" s="5"/>
      <c r="Q704" s="5"/>
      <c r="R704" s="5"/>
      <c r="S704" s="5"/>
      <c r="T704" s="5"/>
      <c r="U704" s="5"/>
      <c r="V704" s="5"/>
      <c r="W704" s="5"/>
    </row>
    <row r="705" spans="1:23">
      <c r="A705" s="4"/>
      <c r="B705" s="31"/>
      <c r="C705" s="31"/>
      <c r="D705" s="31"/>
      <c r="E705" s="31"/>
      <c r="F705" s="31"/>
      <c r="G705" s="31"/>
      <c r="H705" s="5"/>
      <c r="I705" s="5"/>
      <c r="J705" s="5"/>
      <c r="K705" s="5"/>
      <c r="L705" s="5"/>
      <c r="M705" s="5"/>
      <c r="N705" s="5"/>
      <c r="O705" s="5"/>
      <c r="P705" s="5"/>
      <c r="Q705" s="5"/>
      <c r="R705" s="5"/>
      <c r="S705" s="5"/>
      <c r="T705" s="5"/>
      <c r="U705" s="5"/>
      <c r="V705" s="5"/>
      <c r="W705" s="5"/>
    </row>
    <row r="706" spans="1:23">
      <c r="A706" s="4"/>
      <c r="B706" s="31"/>
      <c r="C706" s="31"/>
      <c r="D706" s="31"/>
      <c r="E706" s="31"/>
      <c r="F706" s="31"/>
      <c r="G706" s="31"/>
      <c r="H706" s="5"/>
      <c r="I706" s="5"/>
      <c r="J706" s="5"/>
      <c r="K706" s="5"/>
      <c r="L706" s="5"/>
      <c r="M706" s="5"/>
      <c r="N706" s="5"/>
      <c r="O706" s="5"/>
      <c r="P706" s="5"/>
      <c r="Q706" s="5"/>
      <c r="R706" s="5"/>
      <c r="S706" s="5"/>
      <c r="T706" s="5"/>
      <c r="U706" s="5"/>
      <c r="V706" s="5"/>
      <c r="W706" s="5"/>
    </row>
    <row r="707" spans="1:23">
      <c r="A707" s="4"/>
      <c r="B707" s="31"/>
      <c r="C707" s="31"/>
      <c r="D707" s="31"/>
      <c r="E707" s="31"/>
      <c r="F707" s="31"/>
      <c r="G707" s="31"/>
      <c r="H707" s="5"/>
      <c r="I707" s="5"/>
      <c r="J707" s="5"/>
      <c r="K707" s="5"/>
      <c r="L707" s="5"/>
      <c r="M707" s="5"/>
      <c r="N707" s="5"/>
      <c r="O707" s="5"/>
      <c r="P707" s="5"/>
      <c r="Q707" s="5"/>
      <c r="R707" s="5"/>
      <c r="S707" s="5"/>
      <c r="T707" s="5"/>
      <c r="U707" s="5"/>
      <c r="V707" s="5"/>
      <c r="W707" s="5"/>
    </row>
    <row r="708" spans="1:23">
      <c r="A708" s="4"/>
      <c r="B708" s="31"/>
      <c r="C708" s="31"/>
      <c r="D708" s="31"/>
      <c r="E708" s="31"/>
      <c r="F708" s="31"/>
      <c r="G708" s="31"/>
      <c r="H708" s="5"/>
      <c r="I708" s="5"/>
      <c r="J708" s="5"/>
      <c r="K708" s="5"/>
      <c r="L708" s="5"/>
      <c r="M708" s="5"/>
      <c r="N708" s="5"/>
      <c r="O708" s="5"/>
      <c r="P708" s="5"/>
      <c r="Q708" s="5"/>
      <c r="R708" s="5"/>
      <c r="S708" s="5"/>
      <c r="T708" s="5"/>
      <c r="U708" s="5"/>
      <c r="V708" s="5"/>
      <c r="W708" s="5"/>
    </row>
    <row r="709" spans="1:23">
      <c r="A709" s="4"/>
      <c r="B709" s="31"/>
      <c r="C709" s="31"/>
      <c r="D709" s="31"/>
      <c r="E709" s="31"/>
      <c r="F709" s="31"/>
      <c r="G709" s="31"/>
      <c r="H709" s="5"/>
      <c r="I709" s="5"/>
      <c r="J709" s="5"/>
      <c r="K709" s="5"/>
      <c r="L709" s="5"/>
      <c r="M709" s="5"/>
      <c r="N709" s="5"/>
      <c r="O709" s="5"/>
      <c r="P709" s="5"/>
      <c r="Q709" s="5"/>
      <c r="R709" s="5"/>
      <c r="S709" s="5"/>
      <c r="T709" s="5"/>
      <c r="U709" s="5"/>
      <c r="V709" s="5"/>
      <c r="W709" s="5"/>
    </row>
    <row r="710" spans="1:23">
      <c r="A710" s="4"/>
      <c r="B710" s="31"/>
      <c r="C710" s="31"/>
      <c r="D710" s="31"/>
      <c r="E710" s="31"/>
      <c r="F710" s="31"/>
      <c r="G710" s="31"/>
      <c r="H710" s="5"/>
      <c r="I710" s="5"/>
      <c r="J710" s="5"/>
      <c r="K710" s="5"/>
      <c r="L710" s="5"/>
      <c r="M710" s="5"/>
      <c r="N710" s="5"/>
      <c r="O710" s="5"/>
      <c r="P710" s="5"/>
      <c r="Q710" s="5"/>
      <c r="R710" s="5"/>
      <c r="S710" s="5"/>
      <c r="T710" s="5"/>
      <c r="U710" s="5"/>
      <c r="V710" s="5"/>
      <c r="W710" s="5"/>
    </row>
    <row r="711" spans="1:23">
      <c r="A711" s="4"/>
      <c r="B711" s="31"/>
      <c r="C711" s="31"/>
      <c r="D711" s="31"/>
      <c r="E711" s="31"/>
      <c r="F711" s="31"/>
      <c r="G711" s="31"/>
      <c r="H711" s="5"/>
      <c r="I711" s="5"/>
      <c r="J711" s="5"/>
      <c r="K711" s="5"/>
      <c r="L711" s="5"/>
      <c r="M711" s="5"/>
      <c r="N711" s="5"/>
      <c r="O711" s="5"/>
      <c r="P711" s="5"/>
      <c r="Q711" s="5"/>
      <c r="R711" s="5"/>
      <c r="S711" s="5"/>
      <c r="T711" s="5"/>
      <c r="U711" s="5"/>
      <c r="V711" s="5"/>
      <c r="W711" s="5"/>
    </row>
    <row r="712" spans="1:23">
      <c r="A712" s="4"/>
      <c r="B712" s="31"/>
      <c r="C712" s="31"/>
      <c r="D712" s="31"/>
      <c r="E712" s="31"/>
      <c r="F712" s="31"/>
      <c r="G712" s="31"/>
      <c r="H712" s="5"/>
      <c r="I712" s="5"/>
      <c r="J712" s="5"/>
      <c r="K712" s="5"/>
      <c r="L712" s="5"/>
      <c r="M712" s="5"/>
      <c r="N712" s="5"/>
      <c r="O712" s="5"/>
      <c r="P712" s="5"/>
      <c r="Q712" s="5"/>
      <c r="R712" s="5"/>
      <c r="S712" s="5"/>
      <c r="T712" s="5"/>
      <c r="U712" s="5"/>
      <c r="V712" s="5"/>
      <c r="W712" s="5"/>
    </row>
    <row r="713" spans="1:23">
      <c r="A713" s="4"/>
      <c r="B713" s="31"/>
      <c r="C713" s="31"/>
      <c r="D713" s="31"/>
      <c r="E713" s="31"/>
      <c r="F713" s="31"/>
      <c r="G713" s="31"/>
      <c r="H713" s="5"/>
      <c r="I713" s="5"/>
      <c r="J713" s="5"/>
      <c r="K713" s="5"/>
      <c r="L713" s="5"/>
      <c r="M713" s="5"/>
      <c r="N713" s="5"/>
      <c r="O713" s="5"/>
      <c r="P713" s="5"/>
      <c r="Q713" s="5"/>
      <c r="R713" s="5"/>
      <c r="S713" s="5"/>
      <c r="T713" s="5"/>
      <c r="U713" s="5"/>
      <c r="V713" s="5"/>
      <c r="W713" s="5"/>
    </row>
    <row r="714" spans="1:23">
      <c r="A714" s="4"/>
      <c r="B714" s="31"/>
      <c r="C714" s="31"/>
      <c r="D714" s="31"/>
      <c r="E714" s="31"/>
      <c r="F714" s="31"/>
      <c r="G714" s="31"/>
      <c r="H714" s="5"/>
      <c r="I714" s="5"/>
      <c r="J714" s="5"/>
      <c r="K714" s="5"/>
      <c r="L714" s="5"/>
      <c r="M714" s="5"/>
      <c r="N714" s="5"/>
      <c r="O714" s="5"/>
      <c r="P714" s="5"/>
      <c r="Q714" s="5"/>
      <c r="R714" s="5"/>
      <c r="S714" s="5"/>
      <c r="T714" s="5"/>
      <c r="U714" s="5"/>
      <c r="V714" s="5"/>
      <c r="W714" s="5"/>
    </row>
    <row r="715" spans="1:23">
      <c r="A715" s="4"/>
      <c r="B715" s="31"/>
      <c r="C715" s="31"/>
      <c r="D715" s="31"/>
      <c r="E715" s="31"/>
      <c r="F715" s="31"/>
      <c r="G715" s="31"/>
      <c r="H715" s="5"/>
      <c r="I715" s="5"/>
      <c r="J715" s="5"/>
      <c r="K715" s="5"/>
      <c r="L715" s="5"/>
      <c r="M715" s="5"/>
      <c r="N715" s="5"/>
      <c r="O715" s="5"/>
      <c r="P715" s="5"/>
      <c r="Q715" s="5"/>
      <c r="R715" s="5"/>
      <c r="S715" s="5"/>
      <c r="T715" s="5"/>
      <c r="U715" s="5"/>
      <c r="V715" s="5"/>
      <c r="W715" s="5"/>
    </row>
    <row r="716" spans="1:23">
      <c r="A716" s="4"/>
      <c r="B716" s="31"/>
      <c r="C716" s="31"/>
      <c r="D716" s="31"/>
      <c r="E716" s="31"/>
      <c r="F716" s="31"/>
      <c r="G716" s="31"/>
      <c r="H716" s="5"/>
      <c r="I716" s="5"/>
      <c r="J716" s="5"/>
      <c r="K716" s="5"/>
      <c r="L716" s="5"/>
      <c r="M716" s="5"/>
      <c r="N716" s="5"/>
      <c r="O716" s="5"/>
      <c r="P716" s="5"/>
      <c r="Q716" s="5"/>
      <c r="R716" s="5"/>
      <c r="S716" s="5"/>
      <c r="T716" s="5"/>
      <c r="U716" s="5"/>
      <c r="V716" s="5"/>
      <c r="W716" s="5"/>
    </row>
    <row r="717" spans="1:23">
      <c r="A717" s="4"/>
      <c r="B717" s="31"/>
      <c r="C717" s="31"/>
      <c r="D717" s="31"/>
      <c r="E717" s="31"/>
      <c r="F717" s="31"/>
      <c r="G717" s="31"/>
      <c r="H717" s="5"/>
      <c r="I717" s="5"/>
      <c r="J717" s="5"/>
      <c r="K717" s="5"/>
      <c r="L717" s="5"/>
      <c r="M717" s="5"/>
      <c r="N717" s="5"/>
      <c r="O717" s="5"/>
      <c r="P717" s="5"/>
      <c r="Q717" s="5"/>
      <c r="R717" s="5"/>
      <c r="S717" s="5"/>
      <c r="T717" s="5"/>
      <c r="U717" s="5"/>
      <c r="V717" s="5"/>
      <c r="W717" s="5"/>
    </row>
    <row r="718" spans="1:23">
      <c r="A718" s="4"/>
      <c r="B718" s="31"/>
      <c r="C718" s="31"/>
      <c r="D718" s="31"/>
      <c r="E718" s="31"/>
      <c r="F718" s="31"/>
      <c r="G718" s="31"/>
      <c r="H718" s="5"/>
      <c r="I718" s="5"/>
      <c r="J718" s="5"/>
      <c r="K718" s="5"/>
      <c r="L718" s="5"/>
      <c r="M718" s="5"/>
      <c r="N718" s="5"/>
      <c r="O718" s="5"/>
      <c r="P718" s="5"/>
      <c r="Q718" s="5"/>
      <c r="R718" s="5"/>
      <c r="S718" s="5"/>
      <c r="T718" s="5"/>
      <c r="U718" s="5"/>
      <c r="V718" s="5"/>
      <c r="W718" s="5"/>
    </row>
    <row r="719" spans="1:23">
      <c r="A719" s="4"/>
      <c r="B719" s="31"/>
      <c r="C719" s="31"/>
      <c r="D719" s="31"/>
      <c r="E719" s="31"/>
      <c r="F719" s="31"/>
      <c r="G719" s="31"/>
      <c r="H719" s="5"/>
      <c r="I719" s="5"/>
      <c r="J719" s="5"/>
      <c r="K719" s="5"/>
      <c r="L719" s="5"/>
      <c r="M719" s="5"/>
      <c r="N719" s="5"/>
      <c r="O719" s="5"/>
      <c r="P719" s="5"/>
      <c r="Q719" s="5"/>
      <c r="R719" s="5"/>
      <c r="S719" s="5"/>
      <c r="T719" s="5"/>
      <c r="U719" s="5"/>
      <c r="V719" s="5"/>
      <c r="W719" s="5"/>
    </row>
    <row r="720" spans="1:23">
      <c r="A720" s="4"/>
      <c r="B720" s="31"/>
      <c r="C720" s="31"/>
      <c r="D720" s="31"/>
      <c r="E720" s="31"/>
      <c r="F720" s="31"/>
      <c r="G720" s="31"/>
      <c r="H720" s="5"/>
      <c r="I720" s="5"/>
      <c r="J720" s="5"/>
      <c r="K720" s="5"/>
      <c r="L720" s="5"/>
      <c r="M720" s="5"/>
      <c r="N720" s="5"/>
      <c r="O720" s="5"/>
      <c r="P720" s="5"/>
      <c r="Q720" s="5"/>
      <c r="R720" s="5"/>
      <c r="S720" s="5"/>
      <c r="T720" s="5"/>
      <c r="U720" s="5"/>
      <c r="V720" s="5"/>
      <c r="W720" s="5"/>
    </row>
    <row r="721" spans="1:23">
      <c r="A721" s="4"/>
      <c r="B721" s="31"/>
      <c r="C721" s="31"/>
      <c r="D721" s="31"/>
      <c r="E721" s="31"/>
      <c r="F721" s="31"/>
      <c r="G721" s="31"/>
      <c r="H721" s="5"/>
      <c r="I721" s="5"/>
      <c r="J721" s="5"/>
      <c r="K721" s="5"/>
      <c r="L721" s="5"/>
      <c r="M721" s="5"/>
      <c r="N721" s="5"/>
      <c r="O721" s="5"/>
      <c r="P721" s="5"/>
      <c r="Q721" s="5"/>
      <c r="R721" s="5"/>
      <c r="S721" s="5"/>
      <c r="T721" s="5"/>
      <c r="U721" s="5"/>
      <c r="V721" s="5"/>
      <c r="W721" s="5"/>
    </row>
    <row r="722" spans="1:23">
      <c r="A722" s="4"/>
      <c r="B722" s="31"/>
      <c r="C722" s="31"/>
      <c r="D722" s="31"/>
      <c r="E722" s="31"/>
      <c r="F722" s="31"/>
      <c r="G722" s="31"/>
      <c r="H722" s="5"/>
      <c r="I722" s="5"/>
      <c r="J722" s="5"/>
      <c r="K722" s="5"/>
      <c r="L722" s="5"/>
      <c r="M722" s="5"/>
      <c r="N722" s="5"/>
      <c r="O722" s="5"/>
      <c r="P722" s="5"/>
      <c r="Q722" s="5"/>
      <c r="R722" s="5"/>
      <c r="S722" s="5"/>
      <c r="T722" s="5"/>
      <c r="U722" s="5"/>
      <c r="V722" s="5"/>
      <c r="W722" s="5"/>
    </row>
    <row r="723" spans="1:23">
      <c r="A723" s="4"/>
      <c r="B723" s="31"/>
      <c r="C723" s="31"/>
      <c r="D723" s="31"/>
      <c r="E723" s="31"/>
      <c r="F723" s="31"/>
      <c r="G723" s="31"/>
      <c r="H723" s="5"/>
      <c r="I723" s="5"/>
      <c r="J723" s="5"/>
      <c r="K723" s="5"/>
      <c r="L723" s="5"/>
      <c r="M723" s="5"/>
      <c r="N723" s="5"/>
      <c r="O723" s="5"/>
      <c r="P723" s="5"/>
      <c r="Q723" s="5"/>
      <c r="R723" s="5"/>
      <c r="S723" s="5"/>
      <c r="T723" s="5"/>
      <c r="U723" s="5"/>
      <c r="V723" s="5"/>
      <c r="W723" s="5"/>
    </row>
    <row r="724" spans="1:23">
      <c r="A724" s="4"/>
      <c r="B724" s="31"/>
      <c r="C724" s="31"/>
      <c r="D724" s="31"/>
      <c r="E724" s="31"/>
      <c r="F724" s="31"/>
      <c r="G724" s="31"/>
      <c r="H724" s="5"/>
      <c r="I724" s="5"/>
      <c r="J724" s="5"/>
      <c r="K724" s="5"/>
      <c r="L724" s="5"/>
      <c r="M724" s="5"/>
      <c r="N724" s="5"/>
      <c r="O724" s="5"/>
      <c r="P724" s="5"/>
      <c r="Q724" s="5"/>
      <c r="R724" s="5"/>
      <c r="S724" s="5"/>
      <c r="T724" s="5"/>
      <c r="U724" s="5"/>
      <c r="V724" s="5"/>
      <c r="W724" s="5"/>
    </row>
    <row r="725" spans="1:23">
      <c r="A725" s="4"/>
      <c r="B725" s="31"/>
      <c r="C725" s="31"/>
      <c r="D725" s="31"/>
      <c r="E725" s="31"/>
      <c r="F725" s="31"/>
      <c r="G725" s="31"/>
      <c r="H725" s="5"/>
      <c r="I725" s="5"/>
      <c r="J725" s="5"/>
      <c r="K725" s="5"/>
      <c r="L725" s="5"/>
      <c r="M725" s="5"/>
      <c r="N725" s="5"/>
      <c r="O725" s="5"/>
      <c r="P725" s="5"/>
      <c r="Q725" s="5"/>
      <c r="R725" s="5"/>
      <c r="S725" s="5"/>
      <c r="T725" s="5"/>
      <c r="U725" s="5"/>
      <c r="V725" s="5"/>
      <c r="W725" s="5"/>
    </row>
    <row r="726" spans="1:23">
      <c r="A726" s="4"/>
      <c r="B726" s="31"/>
      <c r="C726" s="31"/>
      <c r="D726" s="31"/>
      <c r="E726" s="31"/>
      <c r="F726" s="31"/>
      <c r="G726" s="31"/>
      <c r="H726" s="5"/>
      <c r="I726" s="5"/>
      <c r="J726" s="5"/>
      <c r="K726" s="5"/>
      <c r="L726" s="5"/>
      <c r="M726" s="5"/>
      <c r="N726" s="5"/>
      <c r="O726" s="5"/>
      <c r="P726" s="5"/>
      <c r="Q726" s="5"/>
      <c r="R726" s="5"/>
      <c r="S726" s="5"/>
      <c r="T726" s="5"/>
      <c r="U726" s="5"/>
      <c r="V726" s="5"/>
      <c r="W726" s="5"/>
    </row>
    <row r="727" spans="1:23">
      <c r="A727" s="4"/>
      <c r="B727" s="31"/>
      <c r="C727" s="31"/>
      <c r="D727" s="31"/>
      <c r="E727" s="31"/>
      <c r="F727" s="31"/>
      <c r="G727" s="31"/>
      <c r="H727" s="5"/>
      <c r="I727" s="5"/>
      <c r="J727" s="5"/>
      <c r="K727" s="5"/>
      <c r="L727" s="5"/>
      <c r="M727" s="5"/>
      <c r="N727" s="5"/>
      <c r="O727" s="5"/>
      <c r="P727" s="5"/>
      <c r="Q727" s="5"/>
      <c r="R727" s="5"/>
      <c r="S727" s="5"/>
      <c r="T727" s="5"/>
      <c r="U727" s="5"/>
      <c r="V727" s="5"/>
      <c r="W727" s="5"/>
    </row>
    <row r="728" spans="1:23">
      <c r="A728" s="4"/>
      <c r="B728" s="31"/>
      <c r="C728" s="31"/>
      <c r="D728" s="31"/>
      <c r="E728" s="31"/>
      <c r="F728" s="31"/>
      <c r="G728" s="31"/>
      <c r="H728" s="5"/>
      <c r="I728" s="5"/>
      <c r="J728" s="5"/>
      <c r="K728" s="5"/>
      <c r="L728" s="5"/>
      <c r="M728" s="5"/>
      <c r="N728" s="5"/>
      <c r="O728" s="5"/>
      <c r="P728" s="5"/>
      <c r="Q728" s="5"/>
      <c r="R728" s="5"/>
      <c r="S728" s="5"/>
      <c r="T728" s="5"/>
      <c r="U728" s="5"/>
      <c r="V728" s="5"/>
      <c r="W728" s="5"/>
    </row>
    <row r="729" spans="1:23">
      <c r="A729" s="4"/>
      <c r="B729" s="31"/>
      <c r="C729" s="31"/>
      <c r="D729" s="31"/>
      <c r="E729" s="31"/>
      <c r="F729" s="31"/>
      <c r="G729" s="31"/>
      <c r="H729" s="5"/>
      <c r="I729" s="5"/>
      <c r="J729" s="5"/>
      <c r="K729" s="5"/>
      <c r="L729" s="5"/>
      <c r="M729" s="5"/>
      <c r="N729" s="5"/>
      <c r="O729" s="5"/>
      <c r="P729" s="5"/>
      <c r="Q729" s="5"/>
      <c r="R729" s="5"/>
      <c r="S729" s="5"/>
      <c r="T729" s="5"/>
      <c r="U729" s="5"/>
      <c r="V729" s="5"/>
      <c r="W729" s="5"/>
    </row>
    <row r="730" spans="1:23">
      <c r="A730" s="4"/>
      <c r="B730" s="31"/>
      <c r="C730" s="31"/>
      <c r="D730" s="31"/>
      <c r="E730" s="31"/>
      <c r="F730" s="31"/>
      <c r="G730" s="31"/>
      <c r="H730" s="5"/>
      <c r="I730" s="5"/>
      <c r="J730" s="5"/>
      <c r="K730" s="5"/>
      <c r="L730" s="5"/>
      <c r="M730" s="5"/>
      <c r="N730" s="5"/>
      <c r="O730" s="5"/>
      <c r="P730" s="5"/>
      <c r="Q730" s="5"/>
      <c r="R730" s="5"/>
      <c r="S730" s="5"/>
      <c r="T730" s="5"/>
      <c r="U730" s="5"/>
      <c r="V730" s="5"/>
      <c r="W730" s="5"/>
    </row>
    <row r="731" spans="1:23">
      <c r="A731" s="4"/>
      <c r="B731" s="31"/>
      <c r="C731" s="31"/>
      <c r="D731" s="31"/>
      <c r="E731" s="31"/>
      <c r="F731" s="31"/>
      <c r="G731" s="31"/>
      <c r="H731" s="5"/>
      <c r="I731" s="5"/>
      <c r="J731" s="5"/>
      <c r="K731" s="5"/>
      <c r="L731" s="5"/>
      <c r="M731" s="5"/>
      <c r="N731" s="5"/>
      <c r="O731" s="5"/>
      <c r="P731" s="5"/>
      <c r="Q731" s="5"/>
      <c r="R731" s="5"/>
      <c r="S731" s="5"/>
      <c r="T731" s="5"/>
      <c r="U731" s="5"/>
      <c r="V731" s="5"/>
      <c r="W731" s="5"/>
    </row>
    <row r="732" spans="1:23">
      <c r="A732" s="4"/>
      <c r="B732" s="31"/>
      <c r="C732" s="31"/>
      <c r="D732" s="31"/>
      <c r="E732" s="31"/>
      <c r="F732" s="31"/>
      <c r="G732" s="31"/>
      <c r="H732" s="5"/>
      <c r="I732" s="5"/>
      <c r="J732" s="5"/>
      <c r="K732" s="5"/>
      <c r="L732" s="5"/>
      <c r="M732" s="5"/>
      <c r="N732" s="5"/>
      <c r="O732" s="5"/>
      <c r="P732" s="5"/>
      <c r="Q732" s="5"/>
      <c r="R732" s="5"/>
      <c r="S732" s="5"/>
      <c r="T732" s="5"/>
      <c r="U732" s="5"/>
      <c r="V732" s="5"/>
      <c r="W732" s="5"/>
    </row>
    <row r="733" spans="1:23">
      <c r="A733" s="4"/>
      <c r="B733" s="31"/>
      <c r="C733" s="31"/>
      <c r="D733" s="31"/>
      <c r="E733" s="31"/>
      <c r="F733" s="31"/>
      <c r="G733" s="31"/>
      <c r="H733" s="5"/>
      <c r="I733" s="5"/>
      <c r="J733" s="5"/>
      <c r="K733" s="5"/>
      <c r="L733" s="5"/>
      <c r="M733" s="5"/>
      <c r="N733" s="5"/>
      <c r="O733" s="5"/>
      <c r="P733" s="5"/>
      <c r="Q733" s="5"/>
      <c r="R733" s="5"/>
      <c r="S733" s="5"/>
      <c r="T733" s="5"/>
      <c r="U733" s="5"/>
      <c r="V733" s="5"/>
      <c r="W733" s="5"/>
    </row>
    <row r="734" spans="1:23">
      <c r="A734" s="4"/>
      <c r="B734" s="31"/>
      <c r="C734" s="31"/>
      <c r="D734" s="31"/>
      <c r="E734" s="31"/>
      <c r="F734" s="31"/>
      <c r="G734" s="31"/>
      <c r="H734" s="5"/>
      <c r="I734" s="5"/>
      <c r="J734" s="5"/>
      <c r="K734" s="5"/>
      <c r="L734" s="5"/>
      <c r="M734" s="5"/>
      <c r="N734" s="5"/>
      <c r="O734" s="5"/>
      <c r="P734" s="5"/>
      <c r="Q734" s="5"/>
      <c r="R734" s="5"/>
      <c r="S734" s="5"/>
      <c r="T734" s="5"/>
      <c r="U734" s="5"/>
      <c r="V734" s="5"/>
      <c r="W734" s="5"/>
    </row>
    <row r="735" spans="1:23">
      <c r="A735" s="4"/>
      <c r="B735" s="31"/>
      <c r="C735" s="31"/>
      <c r="D735" s="31"/>
      <c r="E735" s="31"/>
      <c r="F735" s="31"/>
      <c r="G735" s="31"/>
      <c r="H735" s="5"/>
      <c r="I735" s="5"/>
      <c r="J735" s="5"/>
      <c r="K735" s="5"/>
      <c r="L735" s="5"/>
      <c r="M735" s="5"/>
      <c r="N735" s="5"/>
      <c r="O735" s="5"/>
      <c r="P735" s="5"/>
      <c r="Q735" s="5"/>
      <c r="R735" s="5"/>
      <c r="S735" s="5"/>
      <c r="T735" s="5"/>
      <c r="U735" s="5"/>
      <c r="V735" s="5"/>
      <c r="W735" s="5"/>
    </row>
    <row r="736" spans="1:23">
      <c r="A736" s="4"/>
      <c r="B736" s="31"/>
      <c r="C736" s="31"/>
      <c r="D736" s="31"/>
      <c r="E736" s="31"/>
      <c r="F736" s="31"/>
      <c r="G736" s="31"/>
      <c r="H736" s="5"/>
      <c r="I736" s="5"/>
      <c r="J736" s="5"/>
      <c r="K736" s="5"/>
      <c r="L736" s="5"/>
      <c r="M736" s="5"/>
      <c r="N736" s="5"/>
      <c r="O736" s="5"/>
      <c r="P736" s="5"/>
      <c r="Q736" s="5"/>
      <c r="R736" s="5"/>
      <c r="S736" s="5"/>
      <c r="T736" s="5"/>
      <c r="U736" s="5"/>
      <c r="V736" s="5"/>
      <c r="W736" s="5"/>
    </row>
    <row r="737" spans="1:23">
      <c r="A737" s="4"/>
      <c r="B737" s="31"/>
      <c r="C737" s="31"/>
      <c r="D737" s="31"/>
      <c r="E737" s="31"/>
      <c r="F737" s="31"/>
      <c r="G737" s="31"/>
      <c r="H737" s="5"/>
      <c r="I737" s="5"/>
      <c r="J737" s="5"/>
      <c r="K737" s="5"/>
      <c r="L737" s="5"/>
      <c r="M737" s="5"/>
      <c r="N737" s="5"/>
      <c r="O737" s="5"/>
      <c r="P737" s="5"/>
      <c r="Q737" s="5"/>
      <c r="R737" s="5"/>
      <c r="S737" s="5"/>
      <c r="T737" s="5"/>
      <c r="U737" s="5"/>
      <c r="V737" s="5"/>
      <c r="W737" s="5"/>
    </row>
    <row r="738" spans="1:23">
      <c r="A738" s="4"/>
      <c r="B738" s="31"/>
      <c r="C738" s="31"/>
      <c r="D738" s="31"/>
      <c r="E738" s="31"/>
      <c r="F738" s="31"/>
      <c r="G738" s="31"/>
      <c r="H738" s="5"/>
      <c r="I738" s="5"/>
      <c r="J738" s="5"/>
      <c r="K738" s="5"/>
      <c r="L738" s="5"/>
      <c r="M738" s="5"/>
      <c r="N738" s="5"/>
      <c r="O738" s="5"/>
      <c r="P738" s="5"/>
      <c r="Q738" s="5"/>
      <c r="R738" s="5"/>
      <c r="S738" s="5"/>
      <c r="T738" s="5"/>
      <c r="U738" s="5"/>
      <c r="V738" s="5"/>
      <c r="W738" s="5"/>
    </row>
    <row r="739" spans="1:23">
      <c r="A739" s="4"/>
      <c r="B739" s="31"/>
      <c r="C739" s="31"/>
      <c r="D739" s="31"/>
      <c r="E739" s="31"/>
      <c r="F739" s="31"/>
      <c r="G739" s="31"/>
      <c r="H739" s="5"/>
      <c r="I739" s="5"/>
      <c r="J739" s="5"/>
      <c r="K739" s="5"/>
      <c r="L739" s="5"/>
      <c r="M739" s="5"/>
      <c r="N739" s="5"/>
      <c r="O739" s="5"/>
      <c r="P739" s="5"/>
      <c r="Q739" s="5"/>
      <c r="R739" s="5"/>
      <c r="S739" s="5"/>
      <c r="T739" s="5"/>
      <c r="U739" s="5"/>
      <c r="V739" s="5"/>
      <c r="W739" s="5"/>
    </row>
    <row r="740" spans="1:23">
      <c r="A740" s="4"/>
      <c r="B740" s="31"/>
      <c r="C740" s="31"/>
      <c r="D740" s="31"/>
      <c r="E740" s="31"/>
      <c r="F740" s="31"/>
      <c r="G740" s="31"/>
      <c r="H740" s="5"/>
      <c r="I740" s="5"/>
      <c r="J740" s="5"/>
      <c r="K740" s="5"/>
      <c r="L740" s="5"/>
      <c r="M740" s="5"/>
      <c r="N740" s="5"/>
      <c r="O740" s="5"/>
      <c r="P740" s="5"/>
      <c r="Q740" s="5"/>
      <c r="R740" s="5"/>
      <c r="S740" s="5"/>
      <c r="T740" s="5"/>
      <c r="U740" s="5"/>
      <c r="V740" s="5"/>
      <c r="W740" s="5"/>
    </row>
    <row r="741" spans="1:23">
      <c r="A741" s="4"/>
      <c r="B741" s="31"/>
      <c r="C741" s="31"/>
      <c r="D741" s="31"/>
      <c r="E741" s="31"/>
      <c r="F741" s="31"/>
      <c r="G741" s="31"/>
      <c r="H741" s="5"/>
      <c r="I741" s="5"/>
      <c r="J741" s="5"/>
      <c r="K741" s="5"/>
      <c r="L741" s="5"/>
      <c r="M741" s="5"/>
      <c r="N741" s="5"/>
      <c r="O741" s="5"/>
      <c r="P741" s="5"/>
      <c r="Q741" s="5"/>
      <c r="R741" s="5"/>
      <c r="S741" s="5"/>
      <c r="T741" s="5"/>
      <c r="U741" s="5"/>
      <c r="V741" s="5"/>
      <c r="W741" s="5"/>
    </row>
    <row r="742" spans="1:23">
      <c r="A742" s="4"/>
      <c r="B742" s="31"/>
      <c r="C742" s="31"/>
      <c r="D742" s="31"/>
      <c r="E742" s="31"/>
      <c r="F742" s="31"/>
      <c r="G742" s="31"/>
      <c r="H742" s="5"/>
      <c r="I742" s="5"/>
      <c r="J742" s="5"/>
      <c r="K742" s="5"/>
      <c r="L742" s="5"/>
      <c r="M742" s="5"/>
      <c r="N742" s="5"/>
      <c r="O742" s="5"/>
      <c r="P742" s="5"/>
      <c r="Q742" s="5"/>
      <c r="R742" s="5"/>
      <c r="S742" s="5"/>
      <c r="T742" s="5"/>
      <c r="U742" s="5"/>
      <c r="V742" s="5"/>
      <c r="W742" s="5"/>
    </row>
    <row r="743" spans="1:23">
      <c r="A743" s="4"/>
      <c r="B743" s="31"/>
      <c r="C743" s="31"/>
      <c r="D743" s="31"/>
      <c r="E743" s="31"/>
      <c r="F743" s="31"/>
      <c r="G743" s="31"/>
      <c r="H743" s="5"/>
      <c r="I743" s="5"/>
      <c r="J743" s="5"/>
      <c r="K743" s="5"/>
      <c r="L743" s="5"/>
      <c r="M743" s="5"/>
      <c r="N743" s="5"/>
      <c r="O743" s="5"/>
      <c r="P743" s="5"/>
      <c r="Q743" s="5"/>
      <c r="R743" s="5"/>
      <c r="S743" s="5"/>
      <c r="T743" s="5"/>
      <c r="U743" s="5"/>
      <c r="V743" s="5"/>
      <c r="W743" s="5"/>
    </row>
    <row r="744" spans="1:23">
      <c r="A744" s="4"/>
      <c r="B744" s="31"/>
      <c r="C744" s="31"/>
      <c r="D744" s="31"/>
      <c r="E744" s="31"/>
      <c r="F744" s="31"/>
      <c r="G744" s="31"/>
      <c r="H744" s="5"/>
      <c r="I744" s="5"/>
      <c r="J744" s="5"/>
      <c r="K744" s="5"/>
      <c r="L744" s="5"/>
      <c r="M744" s="5"/>
      <c r="N744" s="5"/>
      <c r="O744" s="5"/>
      <c r="P744" s="5"/>
      <c r="Q744" s="5"/>
      <c r="R744" s="5"/>
      <c r="S744" s="5"/>
      <c r="T744" s="5"/>
      <c r="U744" s="5"/>
      <c r="V744" s="5"/>
      <c r="W744" s="5"/>
    </row>
    <row r="745" spans="1:23">
      <c r="A745" s="4"/>
      <c r="B745" s="31"/>
      <c r="C745" s="31"/>
      <c r="D745" s="31"/>
      <c r="E745" s="31"/>
      <c r="F745" s="31"/>
      <c r="G745" s="31"/>
      <c r="H745" s="5"/>
      <c r="I745" s="5"/>
      <c r="J745" s="5"/>
      <c r="K745" s="5"/>
      <c r="L745" s="5"/>
      <c r="M745" s="5"/>
      <c r="N745" s="5"/>
      <c r="O745" s="5"/>
      <c r="P745" s="5"/>
      <c r="Q745" s="5"/>
      <c r="R745" s="5"/>
      <c r="S745" s="5"/>
      <c r="T745" s="5"/>
      <c r="U745" s="5"/>
      <c r="V745" s="5"/>
      <c r="W745" s="5"/>
    </row>
    <row r="746" spans="1:23">
      <c r="A746" s="4"/>
      <c r="B746" s="31"/>
      <c r="C746" s="31"/>
      <c r="D746" s="31"/>
      <c r="E746" s="31"/>
      <c r="F746" s="31"/>
      <c r="G746" s="31"/>
      <c r="H746" s="5"/>
      <c r="I746" s="5"/>
      <c r="J746" s="5"/>
      <c r="K746" s="5"/>
      <c r="L746" s="5"/>
      <c r="M746" s="5"/>
      <c r="N746" s="5"/>
      <c r="O746" s="5"/>
      <c r="P746" s="5"/>
      <c r="Q746" s="5"/>
      <c r="R746" s="5"/>
      <c r="S746" s="5"/>
      <c r="T746" s="5"/>
      <c r="U746" s="5"/>
      <c r="V746" s="5"/>
      <c r="W746" s="5"/>
    </row>
    <row r="747" spans="1:23">
      <c r="A747" s="4"/>
      <c r="B747" s="31"/>
      <c r="C747" s="31"/>
      <c r="D747" s="31"/>
      <c r="E747" s="31"/>
      <c r="F747" s="31"/>
      <c r="G747" s="31"/>
      <c r="H747" s="5"/>
      <c r="I747" s="5"/>
      <c r="J747" s="5"/>
      <c r="K747" s="5"/>
      <c r="L747" s="5"/>
      <c r="M747" s="5"/>
      <c r="N747" s="5"/>
      <c r="O747" s="5"/>
      <c r="P747" s="5"/>
      <c r="Q747" s="5"/>
      <c r="R747" s="5"/>
      <c r="S747" s="5"/>
      <c r="T747" s="5"/>
      <c r="U747" s="5"/>
      <c r="V747" s="5"/>
      <c r="W747" s="5"/>
    </row>
    <row r="748" spans="1:23">
      <c r="A748" s="4"/>
      <c r="B748" s="31"/>
      <c r="C748" s="31"/>
      <c r="D748" s="31"/>
      <c r="E748" s="31"/>
      <c r="F748" s="31"/>
      <c r="G748" s="31"/>
      <c r="H748" s="5"/>
      <c r="I748" s="5"/>
      <c r="J748" s="5"/>
      <c r="K748" s="5"/>
      <c r="L748" s="5"/>
      <c r="M748" s="5"/>
      <c r="N748" s="5"/>
      <c r="O748" s="5"/>
      <c r="P748" s="5"/>
      <c r="Q748" s="5"/>
      <c r="R748" s="5"/>
      <c r="S748" s="5"/>
      <c r="T748" s="5"/>
      <c r="U748" s="5"/>
      <c r="V748" s="5"/>
      <c r="W748" s="5"/>
    </row>
    <row r="749" spans="1:23">
      <c r="A749" s="4"/>
      <c r="B749" s="31"/>
      <c r="C749" s="31"/>
      <c r="D749" s="31"/>
      <c r="E749" s="31"/>
      <c r="F749" s="31"/>
      <c r="G749" s="31"/>
      <c r="H749" s="5"/>
      <c r="I749" s="5"/>
      <c r="J749" s="5"/>
      <c r="K749" s="5"/>
      <c r="L749" s="5"/>
      <c r="M749" s="5"/>
      <c r="N749" s="5"/>
      <c r="O749" s="5"/>
      <c r="P749" s="5"/>
      <c r="Q749" s="5"/>
      <c r="R749" s="5"/>
      <c r="S749" s="5"/>
      <c r="T749" s="5"/>
      <c r="U749" s="5"/>
      <c r="V749" s="5"/>
      <c r="W749" s="5"/>
    </row>
    <row r="750" spans="1:23">
      <c r="A750" s="4"/>
      <c r="B750" s="31"/>
      <c r="C750" s="31"/>
      <c r="D750" s="31"/>
      <c r="E750" s="31"/>
      <c r="F750" s="31"/>
      <c r="G750" s="31"/>
      <c r="H750" s="5"/>
      <c r="I750" s="5"/>
      <c r="J750" s="5"/>
      <c r="K750" s="5"/>
      <c r="L750" s="5"/>
      <c r="M750" s="5"/>
      <c r="N750" s="5"/>
      <c r="O750" s="5"/>
      <c r="P750" s="5"/>
      <c r="Q750" s="5"/>
      <c r="R750" s="5"/>
      <c r="S750" s="5"/>
      <c r="T750" s="5"/>
      <c r="U750" s="5"/>
      <c r="V750" s="5"/>
      <c r="W750" s="5"/>
    </row>
    <row r="751" spans="1:23">
      <c r="A751" s="4"/>
      <c r="B751" s="31"/>
      <c r="C751" s="31"/>
      <c r="D751" s="31"/>
      <c r="E751" s="31"/>
      <c r="F751" s="31"/>
      <c r="G751" s="31"/>
      <c r="H751" s="5"/>
      <c r="I751" s="5"/>
      <c r="J751" s="5"/>
      <c r="K751" s="5"/>
      <c r="L751" s="5"/>
      <c r="M751" s="5"/>
      <c r="N751" s="5"/>
      <c r="O751" s="5"/>
      <c r="P751" s="5"/>
      <c r="Q751" s="5"/>
      <c r="R751" s="5"/>
      <c r="S751" s="5"/>
      <c r="T751" s="5"/>
      <c r="U751" s="5"/>
      <c r="V751" s="5"/>
      <c r="W751" s="5"/>
    </row>
    <row r="752" spans="1:23">
      <c r="A752" s="4"/>
      <c r="B752" s="31"/>
      <c r="C752" s="31"/>
      <c r="D752" s="31"/>
      <c r="E752" s="31"/>
      <c r="F752" s="31"/>
      <c r="G752" s="31"/>
      <c r="H752" s="5"/>
      <c r="I752" s="5"/>
      <c r="J752" s="5"/>
      <c r="K752" s="5"/>
      <c r="L752" s="5"/>
      <c r="M752" s="5"/>
      <c r="N752" s="5"/>
      <c r="O752" s="5"/>
      <c r="P752" s="5"/>
      <c r="Q752" s="5"/>
      <c r="R752" s="5"/>
      <c r="S752" s="5"/>
      <c r="T752" s="5"/>
      <c r="U752" s="5"/>
      <c r="V752" s="5"/>
      <c r="W752" s="5"/>
    </row>
    <row r="753" spans="1:23">
      <c r="A753" s="4"/>
      <c r="B753" s="31"/>
      <c r="C753" s="31"/>
      <c r="D753" s="31"/>
      <c r="E753" s="31"/>
      <c r="F753" s="31"/>
      <c r="G753" s="31"/>
      <c r="H753" s="5"/>
      <c r="I753" s="5"/>
      <c r="J753" s="5"/>
      <c r="K753" s="5"/>
      <c r="L753" s="5"/>
      <c r="M753" s="5"/>
      <c r="N753" s="5"/>
      <c r="O753" s="5"/>
      <c r="P753" s="5"/>
      <c r="Q753" s="5"/>
      <c r="R753" s="5"/>
      <c r="S753" s="5"/>
      <c r="T753" s="5"/>
      <c r="U753" s="5"/>
      <c r="V753" s="5"/>
      <c r="W753" s="5"/>
    </row>
    <row r="754" spans="1:23">
      <c r="A754" s="4"/>
      <c r="B754" s="31"/>
      <c r="C754" s="31"/>
      <c r="D754" s="31"/>
      <c r="E754" s="31"/>
      <c r="F754" s="31"/>
      <c r="G754" s="31"/>
      <c r="H754" s="5"/>
      <c r="I754" s="5"/>
      <c r="J754" s="5"/>
      <c r="K754" s="5"/>
      <c r="L754" s="5"/>
      <c r="M754" s="5"/>
      <c r="N754" s="5"/>
      <c r="O754" s="5"/>
      <c r="P754" s="5"/>
      <c r="Q754" s="5"/>
      <c r="R754" s="5"/>
      <c r="S754" s="5"/>
      <c r="T754" s="5"/>
      <c r="U754" s="5"/>
      <c r="V754" s="5"/>
      <c r="W754" s="5"/>
    </row>
    <row r="755" spans="1:23">
      <c r="A755" s="4"/>
      <c r="B755" s="31"/>
      <c r="C755" s="31"/>
      <c r="D755" s="31"/>
      <c r="E755" s="31"/>
      <c r="F755" s="31"/>
      <c r="G755" s="31"/>
      <c r="H755" s="5"/>
      <c r="I755" s="5"/>
      <c r="J755" s="5"/>
      <c r="K755" s="5"/>
      <c r="L755" s="5"/>
      <c r="M755" s="5"/>
      <c r="N755" s="5"/>
      <c r="O755" s="5"/>
      <c r="P755" s="5"/>
      <c r="Q755" s="5"/>
      <c r="R755" s="5"/>
      <c r="S755" s="5"/>
      <c r="T755" s="5"/>
      <c r="U755" s="5"/>
      <c r="V755" s="5"/>
      <c r="W755" s="5"/>
    </row>
    <row r="756" spans="1:23">
      <c r="A756" s="4"/>
      <c r="B756" s="31"/>
      <c r="C756" s="31"/>
      <c r="D756" s="31"/>
      <c r="E756" s="31"/>
      <c r="F756" s="31"/>
      <c r="G756" s="31"/>
      <c r="H756" s="5"/>
      <c r="I756" s="5"/>
      <c r="J756" s="5"/>
      <c r="K756" s="5"/>
      <c r="L756" s="5"/>
      <c r="M756" s="5"/>
      <c r="N756" s="5"/>
      <c r="O756" s="5"/>
      <c r="P756" s="5"/>
      <c r="Q756" s="5"/>
      <c r="R756" s="5"/>
      <c r="S756" s="5"/>
      <c r="T756" s="5"/>
      <c r="U756" s="5"/>
      <c r="V756" s="5"/>
      <c r="W756" s="5"/>
    </row>
    <row r="757" spans="1:23">
      <c r="A757" s="4"/>
      <c r="B757" s="31"/>
      <c r="C757" s="31"/>
      <c r="D757" s="31"/>
      <c r="E757" s="31"/>
      <c r="F757" s="31"/>
      <c r="G757" s="31"/>
      <c r="H757" s="5"/>
      <c r="I757" s="5"/>
      <c r="J757" s="5"/>
      <c r="K757" s="5"/>
      <c r="L757" s="5"/>
      <c r="M757" s="5"/>
      <c r="N757" s="5"/>
      <c r="O757" s="5"/>
      <c r="P757" s="5"/>
      <c r="Q757" s="5"/>
      <c r="R757" s="5"/>
      <c r="S757" s="5"/>
      <c r="T757" s="5"/>
      <c r="U757" s="5"/>
      <c r="V757" s="5"/>
      <c r="W757" s="5"/>
    </row>
    <row r="758" spans="1:23">
      <c r="A758" s="4"/>
      <c r="B758" s="31"/>
      <c r="C758" s="31"/>
      <c r="D758" s="31"/>
      <c r="E758" s="31"/>
      <c r="F758" s="31"/>
      <c r="G758" s="31"/>
      <c r="H758" s="5"/>
      <c r="I758" s="5"/>
      <c r="J758" s="5"/>
      <c r="K758" s="5"/>
      <c r="L758" s="5"/>
      <c r="M758" s="5"/>
      <c r="N758" s="5"/>
      <c r="O758" s="5"/>
      <c r="P758" s="5"/>
      <c r="Q758" s="5"/>
      <c r="R758" s="5"/>
      <c r="S758" s="5"/>
      <c r="T758" s="5"/>
      <c r="U758" s="5"/>
      <c r="V758" s="5"/>
      <c r="W758" s="5"/>
    </row>
    <row r="759" spans="1:23">
      <c r="A759" s="4"/>
      <c r="B759" s="31"/>
      <c r="C759" s="31"/>
      <c r="D759" s="31"/>
      <c r="E759" s="31"/>
      <c r="F759" s="31"/>
      <c r="G759" s="31"/>
      <c r="H759" s="5"/>
      <c r="I759" s="5"/>
      <c r="J759" s="5"/>
      <c r="K759" s="5"/>
      <c r="L759" s="5"/>
      <c r="M759" s="5"/>
      <c r="N759" s="5"/>
      <c r="O759" s="5"/>
      <c r="P759" s="5"/>
      <c r="Q759" s="5"/>
      <c r="R759" s="5"/>
      <c r="S759" s="5"/>
      <c r="T759" s="5"/>
      <c r="U759" s="5"/>
      <c r="V759" s="5"/>
      <c r="W759" s="5"/>
    </row>
    <row r="760" spans="1:23">
      <c r="A760" s="4"/>
      <c r="B760" s="31"/>
      <c r="C760" s="31"/>
      <c r="D760" s="31"/>
      <c r="E760" s="31"/>
      <c r="F760" s="31"/>
      <c r="G760" s="31"/>
      <c r="H760" s="5"/>
      <c r="I760" s="5"/>
      <c r="J760" s="5"/>
      <c r="K760" s="5"/>
      <c r="L760" s="5"/>
      <c r="M760" s="5"/>
      <c r="N760" s="5"/>
      <c r="O760" s="5"/>
      <c r="P760" s="5"/>
      <c r="Q760" s="5"/>
      <c r="R760" s="5"/>
      <c r="S760" s="5"/>
      <c r="T760" s="5"/>
      <c r="U760" s="5"/>
      <c r="V760" s="5"/>
      <c r="W760" s="5"/>
    </row>
    <row r="761" spans="1:23">
      <c r="A761" s="4"/>
      <c r="B761" s="31"/>
      <c r="C761" s="31"/>
      <c r="D761" s="31"/>
      <c r="E761" s="31"/>
      <c r="F761" s="31"/>
      <c r="G761" s="31"/>
      <c r="H761" s="5"/>
      <c r="I761" s="5"/>
      <c r="J761" s="5"/>
      <c r="K761" s="5"/>
      <c r="L761" s="5"/>
      <c r="M761" s="5"/>
      <c r="N761" s="5"/>
      <c r="O761" s="5"/>
      <c r="P761" s="5"/>
      <c r="Q761" s="5"/>
      <c r="R761" s="5"/>
      <c r="S761" s="5"/>
      <c r="T761" s="5"/>
      <c r="U761" s="5"/>
      <c r="V761" s="5"/>
      <c r="W761" s="5"/>
    </row>
    <row r="762" spans="1:23">
      <c r="A762" s="4"/>
      <c r="B762" s="31"/>
      <c r="C762" s="31"/>
      <c r="D762" s="31"/>
      <c r="E762" s="31"/>
      <c r="F762" s="31"/>
      <c r="G762" s="31"/>
      <c r="H762" s="5"/>
      <c r="I762" s="5"/>
      <c r="J762" s="5"/>
      <c r="K762" s="5"/>
      <c r="L762" s="5"/>
      <c r="M762" s="5"/>
      <c r="N762" s="5"/>
      <c r="O762" s="5"/>
      <c r="P762" s="5"/>
      <c r="Q762" s="5"/>
      <c r="R762" s="5"/>
      <c r="S762" s="5"/>
      <c r="T762" s="5"/>
      <c r="U762" s="5"/>
      <c r="V762" s="5"/>
      <c r="W762" s="5"/>
    </row>
    <row r="763" spans="1:23">
      <c r="A763" s="4"/>
      <c r="B763" s="31"/>
      <c r="C763" s="31"/>
      <c r="D763" s="31"/>
      <c r="E763" s="31"/>
      <c r="F763" s="31"/>
      <c r="G763" s="31"/>
      <c r="H763" s="5"/>
      <c r="I763" s="5"/>
      <c r="J763" s="5"/>
      <c r="K763" s="5"/>
      <c r="L763" s="5"/>
      <c r="M763" s="5"/>
      <c r="N763" s="5"/>
      <c r="O763" s="5"/>
      <c r="P763" s="5"/>
      <c r="Q763" s="5"/>
      <c r="R763" s="5"/>
      <c r="S763" s="5"/>
      <c r="T763" s="5"/>
      <c r="U763" s="5"/>
      <c r="V763" s="5"/>
      <c r="W763" s="5"/>
    </row>
    <row r="764" spans="1:23">
      <c r="A764" s="4"/>
      <c r="B764" s="31"/>
      <c r="C764" s="31"/>
      <c r="D764" s="31"/>
      <c r="E764" s="31"/>
      <c r="F764" s="31"/>
      <c r="G764" s="31"/>
      <c r="H764" s="5"/>
      <c r="I764" s="5"/>
      <c r="J764" s="5"/>
      <c r="K764" s="5"/>
      <c r="L764" s="5"/>
      <c r="M764" s="5"/>
      <c r="N764" s="5"/>
      <c r="O764" s="5"/>
      <c r="P764" s="5"/>
      <c r="Q764" s="5"/>
      <c r="R764" s="5"/>
      <c r="S764" s="5"/>
      <c r="T764" s="5"/>
      <c r="U764" s="5"/>
      <c r="V764" s="5"/>
      <c r="W764" s="5"/>
    </row>
    <row r="765" spans="1:23">
      <c r="A765" s="4"/>
      <c r="B765" s="31"/>
      <c r="C765" s="31"/>
      <c r="D765" s="31"/>
      <c r="E765" s="31"/>
      <c r="F765" s="31"/>
      <c r="G765" s="31"/>
      <c r="H765" s="5"/>
      <c r="I765" s="5"/>
      <c r="J765" s="5"/>
      <c r="K765" s="5"/>
      <c r="L765" s="5"/>
      <c r="M765" s="5"/>
      <c r="N765" s="5"/>
      <c r="O765" s="5"/>
      <c r="P765" s="5"/>
      <c r="Q765" s="5"/>
      <c r="R765" s="5"/>
      <c r="S765" s="5"/>
      <c r="T765" s="5"/>
      <c r="U765" s="5"/>
      <c r="V765" s="5"/>
      <c r="W765" s="5"/>
    </row>
    <row r="766" spans="1:23">
      <c r="A766" s="4"/>
      <c r="B766" s="31"/>
      <c r="C766" s="31"/>
      <c r="D766" s="31"/>
      <c r="E766" s="31"/>
      <c r="F766" s="31"/>
      <c r="G766" s="31"/>
      <c r="H766" s="5"/>
      <c r="I766" s="5"/>
      <c r="J766" s="5"/>
      <c r="K766" s="5"/>
      <c r="L766" s="5"/>
      <c r="M766" s="5"/>
      <c r="N766" s="5"/>
      <c r="O766" s="5"/>
      <c r="P766" s="5"/>
      <c r="Q766" s="5"/>
      <c r="R766" s="5"/>
      <c r="S766" s="5"/>
      <c r="T766" s="5"/>
      <c r="U766" s="5"/>
      <c r="V766" s="5"/>
      <c r="W766" s="5"/>
    </row>
    <row r="767" spans="1:23">
      <c r="A767" s="4"/>
      <c r="B767" s="31"/>
      <c r="C767" s="31"/>
      <c r="D767" s="31"/>
      <c r="E767" s="31"/>
      <c r="F767" s="31"/>
      <c r="G767" s="31"/>
      <c r="H767" s="5"/>
      <c r="I767" s="5"/>
      <c r="J767" s="5"/>
      <c r="K767" s="5"/>
      <c r="L767" s="5"/>
      <c r="M767" s="5"/>
      <c r="N767" s="5"/>
      <c r="O767" s="5"/>
      <c r="P767" s="5"/>
      <c r="Q767" s="5"/>
      <c r="R767" s="5"/>
      <c r="S767" s="5"/>
      <c r="T767" s="5"/>
      <c r="U767" s="5"/>
      <c r="V767" s="5"/>
      <c r="W767" s="5"/>
    </row>
    <row r="768" spans="1:23">
      <c r="A768" s="4"/>
      <c r="B768" s="31"/>
      <c r="C768" s="31"/>
      <c r="D768" s="31"/>
      <c r="E768" s="31"/>
      <c r="F768" s="31"/>
      <c r="G768" s="31"/>
      <c r="H768" s="5"/>
      <c r="I768" s="5"/>
      <c r="J768" s="5"/>
      <c r="K768" s="5"/>
      <c r="L768" s="5"/>
      <c r="M768" s="5"/>
      <c r="N768" s="5"/>
      <c r="O768" s="5"/>
      <c r="P768" s="5"/>
      <c r="Q768" s="5"/>
      <c r="R768" s="5"/>
      <c r="S768" s="5"/>
      <c r="T768" s="5"/>
      <c r="U768" s="5"/>
      <c r="V768" s="5"/>
      <c r="W768" s="5"/>
    </row>
    <row r="769" spans="1:23">
      <c r="A769" s="4"/>
      <c r="B769" s="31"/>
      <c r="C769" s="31"/>
      <c r="D769" s="31"/>
      <c r="E769" s="31"/>
      <c r="F769" s="31"/>
      <c r="G769" s="31"/>
      <c r="H769" s="5"/>
      <c r="I769" s="5"/>
      <c r="J769" s="5"/>
      <c r="K769" s="5"/>
      <c r="L769" s="5"/>
      <c r="M769" s="5"/>
      <c r="N769" s="5"/>
      <c r="O769" s="5"/>
      <c r="P769" s="5"/>
      <c r="Q769" s="5"/>
      <c r="R769" s="5"/>
      <c r="S769" s="5"/>
      <c r="T769" s="5"/>
      <c r="U769" s="5"/>
      <c r="V769" s="5"/>
      <c r="W769" s="5"/>
    </row>
    <row r="770" spans="1:23">
      <c r="A770" s="4"/>
      <c r="B770" s="31"/>
      <c r="C770" s="31"/>
      <c r="D770" s="31"/>
      <c r="E770" s="31"/>
      <c r="F770" s="31"/>
      <c r="G770" s="31"/>
      <c r="H770" s="5"/>
      <c r="I770" s="5"/>
      <c r="J770" s="5"/>
      <c r="K770" s="5"/>
      <c r="L770" s="5"/>
      <c r="M770" s="5"/>
      <c r="N770" s="5"/>
      <c r="O770" s="5"/>
      <c r="P770" s="5"/>
      <c r="Q770" s="5"/>
      <c r="R770" s="5"/>
      <c r="S770" s="5"/>
      <c r="T770" s="5"/>
      <c r="U770" s="5"/>
      <c r="V770" s="5"/>
      <c r="W770" s="5"/>
    </row>
    <row r="771" spans="1:23">
      <c r="A771" s="4"/>
      <c r="B771" s="31"/>
      <c r="C771" s="31"/>
      <c r="D771" s="31"/>
      <c r="E771" s="31"/>
      <c r="F771" s="31"/>
      <c r="G771" s="31"/>
      <c r="H771" s="5"/>
      <c r="I771" s="5"/>
      <c r="J771" s="5"/>
      <c r="K771" s="5"/>
      <c r="L771" s="5"/>
      <c r="M771" s="5"/>
      <c r="N771" s="5"/>
      <c r="O771" s="5"/>
      <c r="P771" s="5"/>
      <c r="Q771" s="5"/>
      <c r="R771" s="5"/>
      <c r="S771" s="5"/>
      <c r="T771" s="5"/>
      <c r="U771" s="5"/>
      <c r="V771" s="5"/>
      <c r="W771" s="5"/>
    </row>
    <row r="772" spans="1:23">
      <c r="A772" s="4"/>
      <c r="B772" s="31"/>
      <c r="C772" s="31"/>
      <c r="D772" s="31"/>
      <c r="E772" s="31"/>
      <c r="F772" s="31"/>
      <c r="G772" s="31"/>
      <c r="H772" s="5"/>
      <c r="I772" s="5"/>
      <c r="J772" s="5"/>
      <c r="K772" s="5"/>
      <c r="L772" s="5"/>
      <c r="M772" s="5"/>
      <c r="N772" s="5"/>
      <c r="O772" s="5"/>
      <c r="P772" s="5"/>
      <c r="Q772" s="5"/>
      <c r="R772" s="5"/>
      <c r="S772" s="5"/>
      <c r="T772" s="5"/>
      <c r="U772" s="5"/>
      <c r="V772" s="5"/>
      <c r="W772" s="5"/>
    </row>
    <row r="773" spans="1:23">
      <c r="A773" s="4"/>
      <c r="B773" s="31"/>
      <c r="C773" s="31"/>
      <c r="D773" s="31"/>
      <c r="E773" s="31"/>
      <c r="F773" s="31"/>
      <c r="G773" s="31"/>
      <c r="H773" s="5"/>
      <c r="I773" s="5"/>
      <c r="J773" s="5"/>
      <c r="K773" s="5"/>
      <c r="L773" s="5"/>
      <c r="M773" s="5"/>
      <c r="N773" s="5"/>
      <c r="O773" s="5"/>
      <c r="P773" s="5"/>
      <c r="Q773" s="5"/>
      <c r="R773" s="5"/>
      <c r="S773" s="5"/>
      <c r="T773" s="5"/>
      <c r="U773" s="5"/>
      <c r="V773" s="5"/>
      <c r="W773" s="5"/>
    </row>
    <row r="774" spans="1:23">
      <c r="A774" s="4"/>
      <c r="B774" s="31"/>
      <c r="C774" s="31"/>
      <c r="D774" s="31"/>
      <c r="E774" s="31"/>
      <c r="F774" s="31"/>
      <c r="G774" s="31"/>
      <c r="H774" s="5"/>
      <c r="I774" s="5"/>
      <c r="J774" s="5"/>
      <c r="K774" s="5"/>
      <c r="L774" s="5"/>
      <c r="M774" s="5"/>
      <c r="N774" s="5"/>
      <c r="O774" s="5"/>
      <c r="P774" s="5"/>
      <c r="Q774" s="5"/>
      <c r="R774" s="5"/>
      <c r="S774" s="5"/>
      <c r="T774" s="5"/>
      <c r="U774" s="5"/>
      <c r="V774" s="5"/>
      <c r="W774" s="5"/>
    </row>
    <row r="775" spans="1:23">
      <c r="A775" s="4"/>
      <c r="B775" s="31"/>
      <c r="C775" s="31"/>
      <c r="D775" s="31"/>
      <c r="E775" s="31"/>
      <c r="F775" s="31"/>
      <c r="G775" s="31"/>
      <c r="H775" s="5"/>
      <c r="I775" s="5"/>
      <c r="J775" s="5"/>
      <c r="K775" s="5"/>
      <c r="L775" s="5"/>
      <c r="M775" s="5"/>
      <c r="N775" s="5"/>
      <c r="O775" s="5"/>
      <c r="P775" s="5"/>
      <c r="Q775" s="5"/>
      <c r="R775" s="5"/>
      <c r="S775" s="5"/>
      <c r="T775" s="5"/>
      <c r="U775" s="5"/>
      <c r="V775" s="5"/>
      <c r="W775" s="5"/>
    </row>
    <row r="776" spans="1:23">
      <c r="A776" s="4"/>
      <c r="B776" s="31"/>
      <c r="C776" s="31"/>
      <c r="D776" s="31"/>
      <c r="E776" s="31"/>
      <c r="F776" s="31"/>
      <c r="G776" s="31"/>
      <c r="H776" s="5"/>
      <c r="I776" s="5"/>
      <c r="J776" s="5"/>
      <c r="K776" s="5"/>
      <c r="L776" s="5"/>
      <c r="M776" s="5"/>
      <c r="N776" s="5"/>
      <c r="O776" s="5"/>
      <c r="P776" s="5"/>
      <c r="Q776" s="5"/>
      <c r="R776" s="5"/>
      <c r="S776" s="5"/>
      <c r="T776" s="5"/>
      <c r="U776" s="5"/>
      <c r="V776" s="5"/>
      <c r="W776" s="5"/>
    </row>
    <row r="777" spans="1:23">
      <c r="A777" s="4"/>
      <c r="B777" s="31"/>
      <c r="C777" s="31"/>
      <c r="D777" s="31"/>
      <c r="E777" s="31"/>
      <c r="F777" s="31"/>
      <c r="G777" s="31"/>
      <c r="H777" s="5"/>
      <c r="I777" s="5"/>
      <c r="J777" s="5"/>
      <c r="K777" s="5"/>
      <c r="L777" s="5"/>
      <c r="M777" s="5"/>
      <c r="N777" s="5"/>
      <c r="O777" s="5"/>
      <c r="P777" s="5"/>
      <c r="Q777" s="5"/>
      <c r="R777" s="5"/>
      <c r="S777" s="5"/>
      <c r="T777" s="5"/>
      <c r="U777" s="5"/>
      <c r="V777" s="5"/>
      <c r="W777" s="5"/>
    </row>
    <row r="778" spans="1:23">
      <c r="A778" s="4"/>
      <c r="B778" s="31"/>
      <c r="C778" s="31"/>
      <c r="D778" s="31"/>
      <c r="E778" s="31"/>
      <c r="F778" s="31"/>
      <c r="G778" s="31"/>
      <c r="H778" s="5"/>
      <c r="I778" s="5"/>
      <c r="J778" s="5"/>
      <c r="K778" s="5"/>
      <c r="L778" s="5"/>
      <c r="M778" s="5"/>
      <c r="N778" s="5"/>
      <c r="O778" s="5"/>
      <c r="P778" s="5"/>
      <c r="Q778" s="5"/>
      <c r="R778" s="5"/>
      <c r="S778" s="5"/>
      <c r="T778" s="5"/>
      <c r="U778" s="5"/>
      <c r="V778" s="5"/>
      <c r="W778" s="5"/>
    </row>
    <row r="779" spans="1:23">
      <c r="A779" s="4"/>
      <c r="B779" s="31"/>
      <c r="C779" s="31"/>
      <c r="D779" s="31"/>
      <c r="E779" s="31"/>
      <c r="F779" s="31"/>
      <c r="G779" s="31"/>
      <c r="H779" s="5"/>
      <c r="I779" s="5"/>
      <c r="J779" s="5"/>
      <c r="K779" s="5"/>
      <c r="L779" s="5"/>
      <c r="M779" s="5"/>
      <c r="N779" s="5"/>
      <c r="O779" s="5"/>
      <c r="P779" s="5"/>
      <c r="Q779" s="5"/>
      <c r="R779" s="5"/>
      <c r="S779" s="5"/>
      <c r="T779" s="5"/>
      <c r="U779" s="5"/>
      <c r="V779" s="5"/>
      <c r="W779" s="5"/>
    </row>
    <row r="780" spans="1:23">
      <c r="A780" s="4"/>
      <c r="B780" s="31"/>
      <c r="C780" s="31"/>
      <c r="D780" s="31"/>
      <c r="E780" s="31"/>
      <c r="F780" s="31"/>
      <c r="G780" s="31"/>
      <c r="H780" s="5"/>
      <c r="I780" s="5"/>
      <c r="J780" s="5"/>
      <c r="K780" s="5"/>
      <c r="L780" s="5"/>
      <c r="M780" s="5"/>
      <c r="N780" s="5"/>
      <c r="O780" s="5"/>
      <c r="P780" s="5"/>
      <c r="Q780" s="5"/>
      <c r="R780" s="5"/>
      <c r="S780" s="5"/>
      <c r="T780" s="5"/>
      <c r="U780" s="5"/>
      <c r="V780" s="5"/>
      <c r="W780" s="5"/>
    </row>
    <row r="781" spans="1:23">
      <c r="A781" s="4"/>
      <c r="B781" s="31"/>
      <c r="C781" s="31"/>
      <c r="D781" s="31"/>
      <c r="E781" s="31"/>
      <c r="F781" s="31"/>
      <c r="G781" s="31"/>
      <c r="H781" s="5"/>
      <c r="I781" s="5"/>
      <c r="J781" s="5"/>
      <c r="K781" s="5"/>
      <c r="L781" s="5"/>
      <c r="M781" s="5"/>
      <c r="N781" s="5"/>
      <c r="O781" s="5"/>
      <c r="P781" s="5"/>
      <c r="Q781" s="5"/>
      <c r="R781" s="5"/>
      <c r="S781" s="5"/>
      <c r="T781" s="5"/>
      <c r="U781" s="5"/>
      <c r="V781" s="5"/>
      <c r="W781" s="5"/>
    </row>
    <row r="782" spans="1:23">
      <c r="A782" s="4"/>
      <c r="B782" s="31"/>
      <c r="C782" s="31"/>
      <c r="D782" s="31"/>
      <c r="E782" s="31"/>
      <c r="F782" s="31"/>
      <c r="G782" s="31"/>
      <c r="H782" s="5"/>
      <c r="I782" s="5"/>
      <c r="J782" s="5"/>
      <c r="K782" s="5"/>
      <c r="L782" s="5"/>
      <c r="M782" s="5"/>
      <c r="N782" s="5"/>
      <c r="O782" s="5"/>
      <c r="P782" s="5"/>
      <c r="Q782" s="5"/>
      <c r="R782" s="5"/>
      <c r="S782" s="5"/>
      <c r="T782" s="5"/>
      <c r="U782" s="5"/>
      <c r="V782" s="5"/>
      <c r="W782" s="5"/>
    </row>
    <row r="783" spans="1:23">
      <c r="A783" s="4"/>
      <c r="B783" s="31"/>
      <c r="C783" s="31"/>
      <c r="D783" s="31"/>
      <c r="E783" s="31"/>
      <c r="F783" s="31"/>
      <c r="G783" s="31"/>
      <c r="H783" s="5"/>
      <c r="I783" s="5"/>
      <c r="J783" s="5"/>
      <c r="K783" s="5"/>
      <c r="L783" s="5"/>
      <c r="M783" s="5"/>
      <c r="N783" s="5"/>
      <c r="O783" s="5"/>
      <c r="P783" s="5"/>
      <c r="Q783" s="5"/>
      <c r="R783" s="5"/>
      <c r="S783" s="5"/>
      <c r="T783" s="5"/>
      <c r="U783" s="5"/>
      <c r="V783" s="5"/>
      <c r="W783" s="5"/>
    </row>
    <row r="784" spans="1:23">
      <c r="A784" s="4"/>
      <c r="B784" s="31"/>
      <c r="C784" s="31"/>
      <c r="D784" s="31"/>
      <c r="E784" s="31"/>
      <c r="F784" s="31"/>
      <c r="G784" s="31"/>
      <c r="H784" s="5"/>
      <c r="I784" s="5"/>
      <c r="J784" s="5"/>
      <c r="K784" s="5"/>
      <c r="L784" s="5"/>
      <c r="M784" s="5"/>
      <c r="N784" s="5"/>
      <c r="O784" s="5"/>
      <c r="P784" s="5"/>
      <c r="Q784" s="5"/>
      <c r="R784" s="5"/>
      <c r="S784" s="5"/>
      <c r="T784" s="5"/>
      <c r="U784" s="5"/>
      <c r="V784" s="5"/>
      <c r="W784" s="5"/>
    </row>
    <row r="785" spans="1:23">
      <c r="A785" s="4"/>
      <c r="B785" s="31"/>
      <c r="C785" s="31"/>
      <c r="D785" s="31"/>
      <c r="E785" s="31"/>
      <c r="F785" s="31"/>
      <c r="G785" s="31"/>
      <c r="H785" s="5"/>
      <c r="I785" s="5"/>
      <c r="J785" s="5"/>
      <c r="K785" s="5"/>
      <c r="L785" s="5"/>
      <c r="M785" s="5"/>
      <c r="N785" s="5"/>
      <c r="O785" s="5"/>
      <c r="P785" s="5"/>
      <c r="Q785" s="5"/>
      <c r="R785" s="5"/>
      <c r="S785" s="5"/>
      <c r="T785" s="5"/>
      <c r="U785" s="5"/>
      <c r="V785" s="5"/>
      <c r="W785" s="5"/>
    </row>
    <row r="786" spans="1:23">
      <c r="A786" s="4"/>
      <c r="B786" s="31"/>
      <c r="C786" s="31"/>
      <c r="D786" s="31"/>
      <c r="E786" s="31"/>
      <c r="F786" s="31"/>
      <c r="G786" s="31"/>
      <c r="H786" s="5"/>
      <c r="I786" s="5"/>
      <c r="J786" s="5"/>
      <c r="K786" s="5"/>
      <c r="L786" s="5"/>
      <c r="M786" s="5"/>
      <c r="N786" s="5"/>
      <c r="O786" s="5"/>
      <c r="P786" s="5"/>
      <c r="Q786" s="5"/>
      <c r="R786" s="5"/>
      <c r="S786" s="5"/>
      <c r="T786" s="5"/>
      <c r="U786" s="5"/>
      <c r="V786" s="5"/>
      <c r="W786" s="5"/>
    </row>
    <row r="787" spans="1:23">
      <c r="A787" s="4"/>
      <c r="B787" s="31"/>
      <c r="C787" s="31"/>
      <c r="D787" s="31"/>
      <c r="E787" s="31"/>
      <c r="F787" s="31"/>
      <c r="G787" s="31"/>
      <c r="H787" s="5"/>
      <c r="I787" s="5"/>
      <c r="J787" s="5"/>
      <c r="K787" s="5"/>
      <c r="L787" s="5"/>
      <c r="M787" s="5"/>
      <c r="N787" s="5"/>
      <c r="O787" s="5"/>
      <c r="P787" s="5"/>
      <c r="Q787" s="5"/>
      <c r="R787" s="5"/>
      <c r="S787" s="5"/>
      <c r="T787" s="5"/>
      <c r="U787" s="5"/>
      <c r="V787" s="5"/>
      <c r="W787" s="5"/>
    </row>
    <row r="788" spans="1:23">
      <c r="A788" s="4"/>
      <c r="B788" s="31"/>
      <c r="C788" s="31"/>
      <c r="D788" s="31"/>
      <c r="E788" s="31"/>
      <c r="F788" s="31"/>
      <c r="G788" s="31"/>
      <c r="H788" s="5"/>
      <c r="I788" s="5"/>
      <c r="J788" s="5"/>
      <c r="K788" s="5"/>
      <c r="L788" s="5"/>
      <c r="M788" s="5"/>
      <c r="N788" s="5"/>
      <c r="O788" s="5"/>
      <c r="P788" s="5"/>
      <c r="Q788" s="5"/>
      <c r="R788" s="5"/>
      <c r="S788" s="5"/>
      <c r="T788" s="5"/>
      <c r="U788" s="5"/>
      <c r="V788" s="5"/>
      <c r="W788" s="5"/>
    </row>
    <row r="789" spans="1:23">
      <c r="A789" s="4"/>
      <c r="B789" s="31"/>
      <c r="C789" s="31"/>
      <c r="D789" s="31"/>
      <c r="E789" s="31"/>
      <c r="F789" s="31"/>
      <c r="G789" s="31"/>
      <c r="H789" s="5"/>
      <c r="I789" s="5"/>
      <c r="J789" s="5"/>
      <c r="K789" s="5"/>
      <c r="L789" s="5"/>
      <c r="M789" s="5"/>
      <c r="N789" s="5"/>
      <c r="O789" s="5"/>
      <c r="P789" s="5"/>
      <c r="Q789" s="5"/>
      <c r="R789" s="5"/>
      <c r="S789" s="5"/>
      <c r="T789" s="5"/>
      <c r="U789" s="5"/>
      <c r="V789" s="5"/>
      <c r="W789" s="5"/>
    </row>
    <row r="790" spans="1:23">
      <c r="A790" s="4"/>
      <c r="B790" s="31"/>
      <c r="C790" s="31"/>
      <c r="D790" s="31"/>
      <c r="E790" s="31"/>
      <c r="F790" s="31"/>
      <c r="G790" s="31"/>
      <c r="H790" s="5"/>
      <c r="I790" s="5"/>
      <c r="J790" s="5"/>
      <c r="K790" s="5"/>
      <c r="L790" s="5"/>
      <c r="M790" s="5"/>
      <c r="N790" s="5"/>
      <c r="O790" s="5"/>
      <c r="P790" s="5"/>
      <c r="Q790" s="5"/>
      <c r="R790" s="5"/>
      <c r="S790" s="5"/>
      <c r="T790" s="5"/>
      <c r="U790" s="5"/>
      <c r="V790" s="5"/>
      <c r="W790" s="5"/>
    </row>
    <row r="791" spans="1:23">
      <c r="A791" s="4"/>
      <c r="B791" s="31"/>
      <c r="C791" s="31"/>
      <c r="D791" s="31"/>
      <c r="E791" s="31"/>
      <c r="F791" s="31"/>
      <c r="G791" s="31"/>
      <c r="H791" s="5"/>
      <c r="I791" s="5"/>
      <c r="J791" s="5"/>
      <c r="K791" s="5"/>
      <c r="L791" s="5"/>
      <c r="M791" s="5"/>
      <c r="N791" s="5"/>
      <c r="O791" s="5"/>
      <c r="P791" s="5"/>
      <c r="Q791" s="5"/>
      <c r="R791" s="5"/>
      <c r="S791" s="5"/>
      <c r="T791" s="5"/>
      <c r="U791" s="5"/>
      <c r="V791" s="5"/>
      <c r="W791" s="5"/>
    </row>
    <row r="792" spans="1:23">
      <c r="A792" s="4"/>
      <c r="B792" s="31"/>
      <c r="C792" s="31"/>
      <c r="D792" s="31"/>
      <c r="E792" s="31"/>
      <c r="F792" s="31"/>
      <c r="G792" s="31"/>
      <c r="H792" s="5"/>
      <c r="I792" s="5"/>
      <c r="J792" s="5"/>
      <c r="K792" s="5"/>
      <c r="L792" s="5"/>
      <c r="M792" s="5"/>
      <c r="N792" s="5"/>
      <c r="O792" s="5"/>
      <c r="P792" s="5"/>
      <c r="Q792" s="5"/>
      <c r="R792" s="5"/>
      <c r="S792" s="5"/>
      <c r="T792" s="5"/>
      <c r="U792" s="5"/>
      <c r="V792" s="5"/>
      <c r="W792" s="5"/>
    </row>
    <row r="793" spans="1:23">
      <c r="A793" s="4"/>
      <c r="B793" s="31"/>
      <c r="C793" s="31"/>
      <c r="D793" s="31"/>
      <c r="E793" s="31"/>
      <c r="F793" s="31"/>
      <c r="G793" s="31"/>
      <c r="H793" s="5"/>
      <c r="I793" s="5"/>
      <c r="J793" s="5"/>
      <c r="K793" s="5"/>
      <c r="L793" s="5"/>
      <c r="M793" s="5"/>
      <c r="N793" s="5"/>
      <c r="O793" s="5"/>
      <c r="P793" s="5"/>
      <c r="Q793" s="5"/>
      <c r="R793" s="5"/>
      <c r="S793" s="5"/>
      <c r="T793" s="5"/>
      <c r="U793" s="5"/>
      <c r="V793" s="5"/>
      <c r="W793" s="5"/>
    </row>
    <row r="794" spans="1:23">
      <c r="A794" s="4"/>
      <c r="B794" s="31"/>
      <c r="C794" s="31"/>
      <c r="D794" s="31"/>
      <c r="E794" s="31"/>
      <c r="F794" s="31"/>
      <c r="G794" s="31"/>
      <c r="H794" s="5"/>
      <c r="I794" s="5"/>
      <c r="J794" s="5"/>
      <c r="K794" s="5"/>
      <c r="L794" s="5"/>
      <c r="M794" s="5"/>
      <c r="N794" s="5"/>
      <c r="O794" s="5"/>
      <c r="P794" s="5"/>
      <c r="Q794" s="5"/>
      <c r="R794" s="5"/>
      <c r="S794" s="5"/>
      <c r="T794" s="5"/>
      <c r="U794" s="5"/>
      <c r="V794" s="5"/>
      <c r="W794" s="5"/>
    </row>
    <row r="795" spans="1:23">
      <c r="A795" s="4"/>
      <c r="B795" s="31"/>
      <c r="C795" s="31"/>
      <c r="D795" s="31"/>
      <c r="E795" s="31"/>
      <c r="F795" s="31"/>
      <c r="G795" s="31"/>
      <c r="H795" s="5"/>
      <c r="I795" s="5"/>
      <c r="J795" s="5"/>
      <c r="K795" s="5"/>
      <c r="L795" s="5"/>
      <c r="M795" s="5"/>
      <c r="N795" s="5"/>
      <c r="O795" s="5"/>
      <c r="P795" s="5"/>
      <c r="Q795" s="5"/>
      <c r="R795" s="5"/>
      <c r="S795" s="5"/>
      <c r="T795" s="5"/>
      <c r="U795" s="5"/>
      <c r="V795" s="5"/>
      <c r="W795" s="5"/>
    </row>
    <row r="796" spans="1:23">
      <c r="A796" s="4"/>
      <c r="B796" s="31"/>
      <c r="C796" s="31"/>
      <c r="D796" s="31"/>
      <c r="E796" s="31"/>
      <c r="F796" s="31"/>
      <c r="G796" s="31"/>
      <c r="H796" s="5"/>
      <c r="I796" s="5"/>
      <c r="J796" s="5"/>
      <c r="K796" s="5"/>
      <c r="L796" s="5"/>
      <c r="M796" s="5"/>
      <c r="N796" s="5"/>
      <c r="O796" s="5"/>
      <c r="P796" s="5"/>
      <c r="Q796" s="5"/>
      <c r="R796" s="5"/>
      <c r="S796" s="5"/>
      <c r="T796" s="5"/>
      <c r="U796" s="5"/>
      <c r="V796" s="5"/>
      <c r="W796" s="5"/>
    </row>
    <row r="797" spans="1:23">
      <c r="A797" s="4"/>
      <c r="B797" s="31"/>
      <c r="C797" s="31"/>
      <c r="D797" s="31"/>
      <c r="E797" s="31"/>
      <c r="F797" s="31"/>
      <c r="G797" s="31"/>
      <c r="H797" s="5"/>
      <c r="I797" s="5"/>
      <c r="J797" s="5"/>
      <c r="K797" s="5"/>
      <c r="L797" s="5"/>
      <c r="M797" s="5"/>
      <c r="N797" s="5"/>
      <c r="O797" s="5"/>
      <c r="P797" s="5"/>
      <c r="Q797" s="5"/>
      <c r="R797" s="5"/>
      <c r="S797" s="5"/>
      <c r="T797" s="5"/>
      <c r="U797" s="5"/>
      <c r="V797" s="5"/>
      <c r="W797" s="5"/>
    </row>
    <row r="798" spans="1:23">
      <c r="A798" s="4"/>
      <c r="B798" s="31"/>
      <c r="C798" s="31"/>
      <c r="D798" s="31"/>
      <c r="E798" s="31"/>
      <c r="F798" s="31"/>
      <c r="G798" s="31"/>
      <c r="H798" s="5"/>
      <c r="I798" s="5"/>
      <c r="J798" s="5"/>
      <c r="K798" s="5"/>
      <c r="L798" s="5"/>
      <c r="M798" s="5"/>
      <c r="N798" s="5"/>
      <c r="O798" s="5"/>
      <c r="P798" s="5"/>
      <c r="Q798" s="5"/>
      <c r="R798" s="5"/>
      <c r="S798" s="5"/>
      <c r="T798" s="5"/>
      <c r="U798" s="5"/>
      <c r="V798" s="5"/>
      <c r="W798" s="5"/>
    </row>
    <row r="799" spans="1:23">
      <c r="A799" s="4"/>
      <c r="B799" s="31"/>
      <c r="C799" s="31"/>
      <c r="D799" s="31"/>
      <c r="E799" s="31"/>
      <c r="F799" s="31"/>
      <c r="G799" s="31"/>
      <c r="H799" s="5"/>
      <c r="I799" s="5"/>
      <c r="J799" s="5"/>
      <c r="K799" s="5"/>
      <c r="L799" s="5"/>
      <c r="M799" s="5"/>
      <c r="N799" s="5"/>
      <c r="O799" s="5"/>
      <c r="P799" s="5"/>
      <c r="Q799" s="5"/>
      <c r="R799" s="5"/>
      <c r="S799" s="5"/>
      <c r="T799" s="5"/>
      <c r="U799" s="5"/>
      <c r="V799" s="5"/>
      <c r="W799" s="5"/>
    </row>
    <row r="800" spans="1:23">
      <c r="A800" s="4"/>
      <c r="B800" s="31"/>
      <c r="C800" s="31"/>
      <c r="D800" s="31"/>
      <c r="E800" s="31"/>
      <c r="F800" s="31"/>
      <c r="G800" s="31"/>
      <c r="H800" s="5"/>
      <c r="I800" s="5"/>
      <c r="J800" s="5"/>
      <c r="K800" s="5"/>
      <c r="L800" s="5"/>
      <c r="M800" s="5"/>
      <c r="N800" s="5"/>
      <c r="O800" s="5"/>
      <c r="P800" s="5"/>
      <c r="Q800" s="5"/>
      <c r="R800" s="5"/>
      <c r="S800" s="5"/>
      <c r="T800" s="5"/>
      <c r="U800" s="5"/>
      <c r="V800" s="5"/>
      <c r="W800" s="5"/>
    </row>
    <row r="801" spans="1:23">
      <c r="A801" s="4"/>
      <c r="B801" s="31"/>
      <c r="C801" s="31"/>
      <c r="D801" s="31"/>
      <c r="E801" s="31"/>
      <c r="F801" s="31"/>
      <c r="G801" s="31"/>
      <c r="H801" s="5"/>
      <c r="I801" s="5"/>
      <c r="J801" s="5"/>
      <c r="K801" s="5"/>
      <c r="L801" s="5"/>
      <c r="M801" s="5"/>
      <c r="N801" s="5"/>
      <c r="O801" s="5"/>
      <c r="P801" s="5"/>
      <c r="Q801" s="5"/>
      <c r="R801" s="5"/>
      <c r="S801" s="5"/>
      <c r="T801" s="5"/>
      <c r="U801" s="5"/>
      <c r="V801" s="5"/>
      <c r="W801" s="5"/>
    </row>
    <row r="802" spans="1:23">
      <c r="A802" s="4"/>
      <c r="B802" s="31"/>
      <c r="C802" s="31"/>
      <c r="D802" s="31"/>
      <c r="E802" s="31"/>
      <c r="F802" s="31"/>
      <c r="G802" s="31"/>
      <c r="H802" s="5"/>
      <c r="I802" s="5"/>
      <c r="J802" s="5"/>
      <c r="K802" s="5"/>
      <c r="L802" s="5"/>
      <c r="M802" s="5"/>
      <c r="N802" s="5"/>
      <c r="O802" s="5"/>
      <c r="P802" s="5"/>
      <c r="Q802" s="5"/>
      <c r="R802" s="5"/>
      <c r="S802" s="5"/>
      <c r="T802" s="5"/>
      <c r="U802" s="5"/>
      <c r="V802" s="5"/>
      <c r="W802" s="5"/>
    </row>
    <row r="803" spans="1:23">
      <c r="A803" s="4"/>
      <c r="B803" s="31"/>
      <c r="C803" s="31"/>
      <c r="D803" s="31"/>
      <c r="E803" s="31"/>
      <c r="F803" s="31"/>
      <c r="G803" s="31"/>
      <c r="H803" s="5"/>
      <c r="I803" s="5"/>
      <c r="J803" s="5"/>
      <c r="K803" s="5"/>
      <c r="L803" s="5"/>
      <c r="M803" s="5"/>
      <c r="N803" s="5"/>
      <c r="O803" s="5"/>
      <c r="P803" s="5"/>
      <c r="Q803" s="5"/>
      <c r="R803" s="5"/>
      <c r="S803" s="5"/>
      <c r="T803" s="5"/>
      <c r="U803" s="5"/>
      <c r="V803" s="5"/>
      <c r="W803" s="5"/>
    </row>
    <row r="804" spans="1:23">
      <c r="A804" s="4"/>
      <c r="B804" s="31"/>
      <c r="C804" s="31"/>
      <c r="D804" s="31"/>
      <c r="E804" s="31"/>
      <c r="F804" s="31"/>
      <c r="G804" s="31"/>
      <c r="H804" s="5"/>
      <c r="I804" s="5"/>
      <c r="J804" s="5"/>
      <c r="K804" s="5"/>
      <c r="L804" s="5"/>
      <c r="M804" s="5"/>
      <c r="N804" s="5"/>
      <c r="O804" s="5"/>
      <c r="P804" s="5"/>
      <c r="Q804" s="5"/>
      <c r="R804" s="5"/>
      <c r="S804" s="5"/>
      <c r="T804" s="5"/>
      <c r="U804" s="5"/>
      <c r="V804" s="5"/>
      <c r="W804" s="5"/>
    </row>
    <row r="805" spans="1:23">
      <c r="A805" s="4"/>
      <c r="B805" s="31"/>
      <c r="C805" s="31"/>
      <c r="D805" s="31"/>
      <c r="E805" s="31"/>
      <c r="F805" s="31"/>
      <c r="G805" s="31"/>
      <c r="H805" s="5"/>
      <c r="I805" s="5"/>
      <c r="J805" s="5"/>
      <c r="K805" s="5"/>
      <c r="L805" s="5"/>
      <c r="M805" s="5"/>
      <c r="N805" s="5"/>
      <c r="O805" s="5"/>
      <c r="P805" s="5"/>
      <c r="Q805" s="5"/>
      <c r="R805" s="5"/>
      <c r="S805" s="5"/>
      <c r="T805" s="5"/>
      <c r="U805" s="5"/>
      <c r="V805" s="5"/>
      <c r="W805" s="5"/>
    </row>
    <row r="806" spans="1:23">
      <c r="A806" s="4"/>
      <c r="B806" s="31"/>
      <c r="C806" s="31"/>
      <c r="D806" s="31"/>
      <c r="E806" s="31"/>
      <c r="F806" s="31"/>
      <c r="G806" s="31"/>
      <c r="H806" s="5"/>
      <c r="I806" s="5"/>
      <c r="J806" s="5"/>
      <c r="K806" s="5"/>
      <c r="L806" s="5"/>
      <c r="M806" s="5"/>
      <c r="N806" s="5"/>
      <c r="O806" s="5"/>
      <c r="P806" s="5"/>
      <c r="Q806" s="5"/>
      <c r="R806" s="5"/>
      <c r="S806" s="5"/>
      <c r="T806" s="5"/>
      <c r="U806" s="5"/>
      <c r="V806" s="5"/>
      <c r="W806" s="5"/>
    </row>
    <row r="807" spans="1:23">
      <c r="A807" s="4"/>
      <c r="B807" s="31"/>
      <c r="C807" s="31"/>
      <c r="D807" s="31"/>
      <c r="E807" s="31"/>
      <c r="F807" s="31"/>
      <c r="G807" s="31"/>
      <c r="H807" s="5"/>
      <c r="I807" s="5"/>
      <c r="J807" s="5"/>
      <c r="K807" s="5"/>
      <c r="L807" s="5"/>
      <c r="M807" s="5"/>
      <c r="N807" s="5"/>
      <c r="O807" s="5"/>
      <c r="P807" s="5"/>
      <c r="Q807" s="5"/>
      <c r="R807" s="5"/>
      <c r="S807" s="5"/>
      <c r="T807" s="5"/>
      <c r="U807" s="5"/>
      <c r="V807" s="5"/>
      <c r="W807" s="5"/>
    </row>
    <row r="808" spans="1:23">
      <c r="A808" s="4"/>
      <c r="B808" s="31"/>
      <c r="C808" s="31"/>
      <c r="D808" s="31"/>
      <c r="E808" s="31"/>
      <c r="F808" s="31"/>
      <c r="G808" s="31"/>
      <c r="H808" s="5"/>
      <c r="I808" s="5"/>
      <c r="J808" s="5"/>
      <c r="K808" s="5"/>
      <c r="L808" s="5"/>
      <c r="M808" s="5"/>
      <c r="N808" s="5"/>
      <c r="O808" s="5"/>
      <c r="P808" s="5"/>
      <c r="Q808" s="5"/>
      <c r="R808" s="5"/>
      <c r="S808" s="5"/>
      <c r="T808" s="5"/>
      <c r="U808" s="5"/>
      <c r="V808" s="5"/>
      <c r="W808" s="5"/>
    </row>
    <row r="809" spans="1:23">
      <c r="A809" s="4"/>
      <c r="B809" s="31"/>
      <c r="C809" s="31"/>
      <c r="D809" s="31"/>
      <c r="E809" s="31"/>
      <c r="F809" s="31"/>
      <c r="G809" s="31"/>
      <c r="H809" s="5"/>
      <c r="I809" s="5"/>
      <c r="J809" s="5"/>
      <c r="K809" s="5"/>
      <c r="L809" s="5"/>
      <c r="M809" s="5"/>
      <c r="N809" s="5"/>
      <c r="O809" s="5"/>
      <c r="P809" s="5"/>
      <c r="Q809" s="5"/>
      <c r="R809" s="5"/>
      <c r="S809" s="5"/>
      <c r="T809" s="5"/>
      <c r="U809" s="5"/>
      <c r="V809" s="5"/>
      <c r="W809" s="5"/>
    </row>
    <row r="810" spans="1:23">
      <c r="A810" s="4"/>
      <c r="B810" s="31"/>
      <c r="C810" s="31"/>
      <c r="D810" s="31"/>
      <c r="E810" s="31"/>
      <c r="F810" s="31"/>
      <c r="G810" s="31"/>
      <c r="H810" s="5"/>
      <c r="I810" s="5"/>
      <c r="J810" s="5"/>
      <c r="K810" s="5"/>
      <c r="L810" s="5"/>
      <c r="M810" s="5"/>
      <c r="N810" s="5"/>
      <c r="O810" s="5"/>
      <c r="P810" s="5"/>
      <c r="Q810" s="5"/>
      <c r="R810" s="5"/>
      <c r="S810" s="5"/>
      <c r="T810" s="5"/>
      <c r="U810" s="5"/>
      <c r="V810" s="5"/>
      <c r="W810" s="5"/>
    </row>
    <row r="811" spans="1:23">
      <c r="A811" s="4"/>
      <c r="B811" s="31"/>
      <c r="C811" s="31"/>
      <c r="D811" s="31"/>
      <c r="E811" s="31"/>
      <c r="F811" s="31"/>
      <c r="G811" s="31"/>
      <c r="H811" s="5"/>
      <c r="I811" s="5"/>
      <c r="J811" s="5"/>
      <c r="K811" s="5"/>
      <c r="L811" s="5"/>
      <c r="M811" s="5"/>
      <c r="N811" s="5"/>
      <c r="O811" s="5"/>
      <c r="P811" s="5"/>
      <c r="Q811" s="5"/>
      <c r="R811" s="5"/>
      <c r="S811" s="5"/>
      <c r="T811" s="5"/>
      <c r="U811" s="5"/>
      <c r="V811" s="5"/>
      <c r="W811" s="5"/>
    </row>
    <row r="812" spans="1:23">
      <c r="A812" s="4"/>
      <c r="B812" s="31"/>
      <c r="C812" s="31"/>
      <c r="D812" s="31"/>
      <c r="E812" s="31"/>
      <c r="F812" s="31"/>
      <c r="G812" s="31"/>
      <c r="H812" s="5"/>
      <c r="I812" s="5"/>
      <c r="J812" s="5"/>
      <c r="K812" s="5"/>
      <c r="L812" s="5"/>
      <c r="M812" s="5"/>
      <c r="N812" s="5"/>
      <c r="O812" s="5"/>
      <c r="P812" s="5"/>
      <c r="Q812" s="5"/>
      <c r="R812" s="5"/>
      <c r="S812" s="5"/>
      <c r="T812" s="5"/>
      <c r="U812" s="5"/>
      <c r="V812" s="5"/>
      <c r="W812" s="5"/>
    </row>
    <row r="813" spans="1:23">
      <c r="A813" s="4"/>
      <c r="B813" s="31"/>
      <c r="C813" s="31"/>
      <c r="D813" s="31"/>
      <c r="E813" s="31"/>
      <c r="F813" s="31"/>
      <c r="G813" s="31"/>
      <c r="H813" s="5"/>
      <c r="I813" s="5"/>
      <c r="J813" s="5"/>
      <c r="K813" s="5"/>
      <c r="L813" s="5"/>
      <c r="M813" s="5"/>
      <c r="N813" s="5"/>
      <c r="O813" s="5"/>
      <c r="P813" s="5"/>
      <c r="Q813" s="5"/>
      <c r="R813" s="5"/>
      <c r="S813" s="5"/>
      <c r="T813" s="5"/>
      <c r="U813" s="5"/>
      <c r="V813" s="5"/>
      <c r="W813" s="5"/>
    </row>
    <row r="814" spans="1:23">
      <c r="A814" s="4"/>
      <c r="B814" s="31"/>
      <c r="C814" s="31"/>
      <c r="D814" s="31"/>
      <c r="E814" s="31"/>
      <c r="F814" s="31"/>
      <c r="G814" s="31"/>
      <c r="H814" s="5"/>
      <c r="I814" s="5"/>
      <c r="J814" s="5"/>
      <c r="K814" s="5"/>
      <c r="L814" s="5"/>
      <c r="M814" s="5"/>
      <c r="N814" s="5"/>
      <c r="O814" s="5"/>
      <c r="P814" s="5"/>
      <c r="Q814" s="5"/>
      <c r="R814" s="5"/>
      <c r="S814" s="5"/>
      <c r="T814" s="5"/>
      <c r="U814" s="5"/>
      <c r="V814" s="5"/>
      <c r="W814" s="5"/>
    </row>
    <row r="815" spans="1:23">
      <c r="A815" s="4"/>
      <c r="B815" s="31"/>
      <c r="C815" s="31"/>
      <c r="D815" s="31"/>
      <c r="E815" s="31"/>
      <c r="F815" s="31"/>
      <c r="G815" s="31"/>
      <c r="H815" s="5"/>
      <c r="I815" s="5"/>
      <c r="J815" s="5"/>
      <c r="K815" s="5"/>
      <c r="L815" s="5"/>
      <c r="M815" s="5"/>
      <c r="N815" s="5"/>
      <c r="O815" s="5"/>
      <c r="P815" s="5"/>
      <c r="Q815" s="5"/>
      <c r="R815" s="5"/>
      <c r="S815" s="5"/>
      <c r="T815" s="5"/>
      <c r="U815" s="5"/>
      <c r="V815" s="5"/>
      <c r="W815" s="5"/>
    </row>
    <row r="816" spans="1:23">
      <c r="A816" s="4"/>
      <c r="B816" s="31"/>
      <c r="C816" s="31"/>
      <c r="D816" s="31"/>
      <c r="E816" s="31"/>
      <c r="F816" s="31"/>
      <c r="G816" s="31"/>
      <c r="H816" s="5"/>
      <c r="I816" s="5"/>
      <c r="J816" s="5"/>
      <c r="K816" s="5"/>
      <c r="L816" s="5"/>
      <c r="M816" s="5"/>
      <c r="N816" s="5"/>
      <c r="O816" s="5"/>
      <c r="P816" s="5"/>
      <c r="Q816" s="5"/>
      <c r="R816" s="5"/>
      <c r="S816" s="5"/>
      <c r="T816" s="5"/>
      <c r="U816" s="5"/>
      <c r="V816" s="5"/>
      <c r="W816" s="5"/>
    </row>
    <row r="817" spans="1:23">
      <c r="A817" s="4"/>
      <c r="B817" s="31"/>
      <c r="C817" s="31"/>
      <c r="D817" s="31"/>
      <c r="E817" s="31"/>
      <c r="F817" s="31"/>
      <c r="G817" s="31"/>
      <c r="H817" s="5"/>
      <c r="I817" s="5"/>
      <c r="J817" s="5"/>
      <c r="K817" s="5"/>
      <c r="L817" s="5"/>
      <c r="M817" s="5"/>
      <c r="N817" s="5"/>
      <c r="O817" s="5"/>
      <c r="P817" s="5"/>
      <c r="Q817" s="5"/>
      <c r="R817" s="5"/>
      <c r="S817" s="5"/>
      <c r="T817" s="5"/>
      <c r="U817" s="5"/>
      <c r="V817" s="5"/>
      <c r="W817" s="5"/>
    </row>
    <row r="818" spans="1:23">
      <c r="A818" s="4"/>
      <c r="B818" s="31"/>
      <c r="C818" s="31"/>
      <c r="D818" s="31"/>
      <c r="E818" s="31"/>
      <c r="F818" s="31"/>
      <c r="G818" s="31"/>
      <c r="H818" s="5"/>
      <c r="I818" s="5"/>
      <c r="J818" s="5"/>
      <c r="K818" s="5"/>
      <c r="L818" s="5"/>
      <c r="M818" s="5"/>
      <c r="N818" s="5"/>
      <c r="O818" s="5"/>
      <c r="P818" s="5"/>
      <c r="Q818" s="5"/>
      <c r="R818" s="5"/>
      <c r="S818" s="5"/>
      <c r="T818" s="5"/>
      <c r="U818" s="5"/>
      <c r="V818" s="5"/>
      <c r="W818" s="5"/>
    </row>
    <row r="819" spans="1:23">
      <c r="A819" s="4"/>
      <c r="B819" s="31"/>
      <c r="C819" s="31"/>
      <c r="D819" s="31"/>
      <c r="E819" s="31"/>
      <c r="F819" s="31"/>
      <c r="G819" s="31"/>
      <c r="H819" s="5"/>
      <c r="I819" s="5"/>
      <c r="J819" s="5"/>
      <c r="K819" s="5"/>
      <c r="L819" s="5"/>
      <c r="M819" s="5"/>
      <c r="N819" s="5"/>
      <c r="O819" s="5"/>
      <c r="P819" s="5"/>
      <c r="Q819" s="5"/>
      <c r="R819" s="5"/>
      <c r="S819" s="5"/>
      <c r="T819" s="5"/>
      <c r="U819" s="5"/>
      <c r="V819" s="5"/>
      <c r="W819" s="5"/>
    </row>
    <row r="820" spans="1:23">
      <c r="A820" s="4"/>
      <c r="B820" s="31"/>
      <c r="C820" s="31"/>
      <c r="D820" s="31"/>
      <c r="E820" s="31"/>
      <c r="F820" s="31"/>
      <c r="G820" s="31"/>
      <c r="H820" s="5"/>
      <c r="I820" s="5"/>
      <c r="J820" s="5"/>
      <c r="K820" s="5"/>
      <c r="L820" s="5"/>
      <c r="M820" s="5"/>
      <c r="N820" s="5"/>
      <c r="O820" s="5"/>
      <c r="P820" s="5"/>
      <c r="Q820" s="5"/>
      <c r="R820" s="5"/>
      <c r="S820" s="5"/>
      <c r="T820" s="5"/>
      <c r="U820" s="5"/>
      <c r="V820" s="5"/>
      <c r="W820" s="5"/>
    </row>
    <row r="821" spans="1:23">
      <c r="A821" s="4"/>
      <c r="B821" s="31"/>
      <c r="C821" s="31"/>
      <c r="D821" s="31"/>
      <c r="E821" s="31"/>
      <c r="F821" s="31"/>
      <c r="G821" s="31"/>
      <c r="H821" s="5"/>
      <c r="I821" s="5"/>
      <c r="J821" s="5"/>
      <c r="K821" s="5"/>
      <c r="L821" s="5"/>
      <c r="M821" s="5"/>
      <c r="N821" s="5"/>
      <c r="O821" s="5"/>
      <c r="P821" s="5"/>
      <c r="Q821" s="5"/>
      <c r="R821" s="5"/>
      <c r="S821" s="5"/>
      <c r="T821" s="5"/>
      <c r="U821" s="5"/>
      <c r="V821" s="5"/>
      <c r="W821" s="5"/>
    </row>
    <row r="822" spans="1:23">
      <c r="A822" s="4"/>
      <c r="B822" s="31"/>
      <c r="C822" s="31"/>
      <c r="D822" s="31"/>
      <c r="E822" s="31"/>
      <c r="F822" s="31"/>
      <c r="G822" s="31"/>
      <c r="H822" s="5"/>
      <c r="I822" s="5"/>
      <c r="J822" s="5"/>
      <c r="K822" s="5"/>
      <c r="L822" s="5"/>
      <c r="M822" s="5"/>
      <c r="N822" s="5"/>
      <c r="O822" s="5"/>
      <c r="P822" s="5"/>
      <c r="Q822" s="5"/>
      <c r="R822" s="5"/>
      <c r="S822" s="5"/>
      <c r="T822" s="5"/>
      <c r="U822" s="5"/>
      <c r="V822" s="5"/>
      <c r="W822" s="5"/>
    </row>
    <row r="823" spans="1:23">
      <c r="A823" s="4"/>
      <c r="B823" s="31"/>
      <c r="C823" s="31"/>
      <c r="D823" s="31"/>
      <c r="E823" s="31"/>
      <c r="F823" s="31"/>
      <c r="G823" s="31"/>
      <c r="H823" s="5"/>
      <c r="I823" s="5"/>
      <c r="J823" s="5"/>
      <c r="K823" s="5"/>
      <c r="L823" s="5"/>
      <c r="M823" s="5"/>
      <c r="N823" s="5"/>
      <c r="O823" s="5"/>
      <c r="P823" s="5"/>
      <c r="Q823" s="5"/>
      <c r="R823" s="5"/>
      <c r="S823" s="5"/>
      <c r="T823" s="5"/>
      <c r="U823" s="5"/>
      <c r="V823" s="5"/>
      <c r="W823" s="5"/>
    </row>
    <row r="824" spans="1:23">
      <c r="A824" s="4"/>
      <c r="B824" s="31"/>
      <c r="C824" s="31"/>
      <c r="D824" s="31"/>
      <c r="E824" s="31"/>
      <c r="F824" s="31"/>
      <c r="G824" s="31"/>
      <c r="H824" s="5"/>
      <c r="I824" s="5"/>
      <c r="J824" s="5"/>
      <c r="K824" s="5"/>
      <c r="L824" s="5"/>
      <c r="M824" s="5"/>
      <c r="N824" s="5"/>
      <c r="O824" s="5"/>
      <c r="P824" s="5"/>
      <c r="Q824" s="5"/>
      <c r="R824" s="5"/>
      <c r="S824" s="5"/>
      <c r="T824" s="5"/>
      <c r="U824" s="5"/>
      <c r="V824" s="5"/>
      <c r="W824" s="5"/>
    </row>
    <row r="825" spans="1:23">
      <c r="A825" s="4"/>
      <c r="B825" s="31"/>
      <c r="C825" s="31"/>
      <c r="D825" s="31"/>
      <c r="E825" s="31"/>
      <c r="F825" s="31"/>
      <c r="G825" s="31"/>
      <c r="H825" s="5"/>
      <c r="I825" s="5"/>
      <c r="J825" s="5"/>
      <c r="K825" s="5"/>
      <c r="L825" s="5"/>
      <c r="M825" s="5"/>
      <c r="N825" s="5"/>
      <c r="O825" s="5"/>
      <c r="P825" s="5"/>
      <c r="Q825" s="5"/>
      <c r="R825" s="5"/>
      <c r="S825" s="5"/>
      <c r="T825" s="5"/>
      <c r="U825" s="5"/>
      <c r="V825" s="5"/>
      <c r="W825" s="5"/>
    </row>
    <row r="826" spans="1:23">
      <c r="A826" s="4"/>
      <c r="B826" s="31"/>
      <c r="C826" s="31"/>
      <c r="D826" s="31"/>
      <c r="E826" s="31"/>
      <c r="F826" s="31"/>
      <c r="G826" s="31"/>
      <c r="H826" s="5"/>
      <c r="I826" s="5"/>
      <c r="J826" s="5"/>
      <c r="K826" s="5"/>
      <c r="L826" s="5"/>
      <c r="M826" s="5"/>
      <c r="N826" s="5"/>
      <c r="O826" s="5"/>
      <c r="P826" s="5"/>
      <c r="Q826" s="5"/>
      <c r="R826" s="5"/>
      <c r="S826" s="5"/>
      <c r="T826" s="5"/>
      <c r="U826" s="5"/>
      <c r="V826" s="5"/>
      <c r="W826" s="5"/>
    </row>
    <row r="827" spans="1:23">
      <c r="A827" s="4"/>
      <c r="B827" s="31"/>
      <c r="C827" s="31"/>
      <c r="D827" s="31"/>
      <c r="E827" s="31"/>
      <c r="F827" s="31"/>
      <c r="G827" s="31"/>
      <c r="H827" s="5"/>
      <c r="I827" s="5"/>
      <c r="J827" s="5"/>
      <c r="K827" s="5"/>
      <c r="L827" s="5"/>
      <c r="M827" s="5"/>
      <c r="N827" s="5"/>
      <c r="O827" s="5"/>
      <c r="P827" s="5"/>
      <c r="Q827" s="5"/>
      <c r="R827" s="5"/>
      <c r="S827" s="5"/>
      <c r="T827" s="5"/>
      <c r="U827" s="5"/>
      <c r="V827" s="5"/>
      <c r="W827" s="5"/>
    </row>
    <row r="828" spans="1:23">
      <c r="A828" s="4"/>
      <c r="B828" s="31"/>
      <c r="C828" s="31"/>
      <c r="D828" s="31"/>
      <c r="E828" s="31"/>
      <c r="F828" s="31"/>
      <c r="G828" s="31"/>
      <c r="H828" s="5"/>
      <c r="I828" s="5"/>
      <c r="J828" s="5"/>
      <c r="K828" s="5"/>
      <c r="L828" s="5"/>
      <c r="M828" s="5"/>
      <c r="N828" s="5"/>
      <c r="O828" s="5"/>
      <c r="P828" s="5"/>
      <c r="Q828" s="5"/>
      <c r="R828" s="5"/>
      <c r="S828" s="5"/>
      <c r="T828" s="5"/>
      <c r="U828" s="5"/>
      <c r="V828" s="5"/>
      <c r="W828" s="5"/>
    </row>
    <row r="829" spans="1:23">
      <c r="A829" s="4"/>
      <c r="B829" s="31"/>
      <c r="C829" s="31"/>
      <c r="D829" s="31"/>
      <c r="E829" s="31"/>
      <c r="F829" s="31"/>
      <c r="G829" s="31"/>
      <c r="H829" s="5"/>
      <c r="I829" s="5"/>
      <c r="J829" s="5"/>
      <c r="K829" s="5"/>
      <c r="L829" s="5"/>
      <c r="M829" s="5"/>
      <c r="N829" s="5"/>
      <c r="O829" s="5"/>
      <c r="P829" s="5"/>
      <c r="Q829" s="5"/>
      <c r="R829" s="5"/>
      <c r="S829" s="5"/>
      <c r="T829" s="5"/>
      <c r="U829" s="5"/>
      <c r="V829" s="5"/>
      <c r="W829" s="5"/>
    </row>
    <row r="830" spans="1:23">
      <c r="A830" s="4"/>
      <c r="B830" s="31"/>
      <c r="C830" s="31"/>
      <c r="D830" s="31"/>
      <c r="E830" s="31"/>
      <c r="F830" s="31"/>
      <c r="G830" s="31"/>
      <c r="H830" s="5"/>
      <c r="I830" s="5"/>
      <c r="J830" s="5"/>
      <c r="K830" s="5"/>
      <c r="L830" s="5"/>
      <c r="M830" s="5"/>
      <c r="N830" s="5"/>
      <c r="O830" s="5"/>
      <c r="P830" s="5"/>
      <c r="Q830" s="5"/>
      <c r="R830" s="5"/>
      <c r="S830" s="5"/>
      <c r="T830" s="5"/>
      <c r="U830" s="5"/>
      <c r="V830" s="5"/>
      <c r="W830" s="5"/>
    </row>
    <row r="831" spans="1:23">
      <c r="A831" s="4"/>
      <c r="B831" s="31"/>
      <c r="C831" s="31"/>
      <c r="D831" s="31"/>
      <c r="E831" s="31"/>
      <c r="F831" s="31"/>
      <c r="G831" s="31"/>
      <c r="H831" s="5"/>
      <c r="I831" s="5"/>
      <c r="J831" s="5"/>
      <c r="K831" s="5"/>
      <c r="L831" s="5"/>
      <c r="M831" s="5"/>
      <c r="N831" s="5"/>
      <c r="O831" s="5"/>
      <c r="P831" s="5"/>
      <c r="Q831" s="5"/>
      <c r="R831" s="5"/>
      <c r="S831" s="5"/>
      <c r="T831" s="5"/>
      <c r="U831" s="5"/>
      <c r="V831" s="5"/>
      <c r="W831" s="5"/>
    </row>
    <row r="832" spans="1:23">
      <c r="A832" s="4"/>
      <c r="B832" s="31"/>
      <c r="C832" s="31"/>
      <c r="D832" s="31"/>
      <c r="E832" s="31"/>
      <c r="F832" s="31"/>
      <c r="G832" s="31"/>
      <c r="H832" s="5"/>
      <c r="I832" s="5"/>
      <c r="J832" s="5"/>
      <c r="K832" s="5"/>
      <c r="L832" s="5"/>
      <c r="M832" s="5"/>
      <c r="N832" s="5"/>
      <c r="O832" s="5"/>
      <c r="P832" s="5"/>
      <c r="Q832" s="5"/>
      <c r="R832" s="5"/>
      <c r="S832" s="5"/>
      <c r="T832" s="5"/>
      <c r="U832" s="5"/>
      <c r="V832" s="5"/>
      <c r="W832" s="5"/>
    </row>
    <row r="833" spans="1:23">
      <c r="A833" s="4"/>
      <c r="B833" s="31"/>
      <c r="C833" s="31"/>
      <c r="D833" s="31"/>
      <c r="E833" s="31"/>
      <c r="F833" s="31"/>
      <c r="G833" s="31"/>
      <c r="H833" s="5"/>
      <c r="I833" s="5"/>
      <c r="J833" s="5"/>
      <c r="K833" s="5"/>
      <c r="L833" s="5"/>
      <c r="M833" s="5"/>
      <c r="N833" s="5"/>
      <c r="O833" s="5"/>
      <c r="P833" s="5"/>
      <c r="Q833" s="5"/>
      <c r="R833" s="5"/>
      <c r="S833" s="5"/>
      <c r="T833" s="5"/>
      <c r="U833" s="5"/>
      <c r="V833" s="5"/>
      <c r="W833" s="5"/>
    </row>
    <row r="834" spans="1:23">
      <c r="A834" s="4"/>
      <c r="B834" s="31"/>
      <c r="C834" s="31"/>
      <c r="D834" s="31"/>
      <c r="E834" s="31"/>
      <c r="F834" s="31"/>
      <c r="G834" s="31"/>
      <c r="H834" s="5"/>
      <c r="I834" s="5"/>
      <c r="J834" s="5"/>
      <c r="K834" s="5"/>
      <c r="L834" s="5"/>
      <c r="M834" s="5"/>
      <c r="N834" s="5"/>
      <c r="O834" s="5"/>
      <c r="P834" s="5"/>
      <c r="Q834" s="5"/>
      <c r="R834" s="5"/>
      <c r="S834" s="5"/>
      <c r="T834" s="5"/>
      <c r="U834" s="5"/>
      <c r="V834" s="5"/>
      <c r="W834" s="5"/>
    </row>
    <row r="835" spans="1:23">
      <c r="A835" s="4"/>
      <c r="B835" s="31"/>
      <c r="C835" s="31"/>
      <c r="D835" s="31"/>
      <c r="E835" s="31"/>
      <c r="F835" s="31"/>
      <c r="G835" s="31"/>
      <c r="H835" s="5"/>
      <c r="I835" s="5"/>
      <c r="J835" s="5"/>
      <c r="K835" s="5"/>
      <c r="L835" s="5"/>
      <c r="M835" s="5"/>
      <c r="N835" s="5"/>
      <c r="O835" s="5"/>
      <c r="P835" s="5"/>
      <c r="Q835" s="5"/>
      <c r="R835" s="5"/>
      <c r="S835" s="5"/>
      <c r="T835" s="5"/>
      <c r="U835" s="5"/>
      <c r="V835" s="5"/>
      <c r="W835" s="5"/>
    </row>
    <row r="836" spans="1:23">
      <c r="A836" s="4"/>
      <c r="B836" s="31"/>
      <c r="C836" s="31"/>
      <c r="D836" s="31"/>
      <c r="E836" s="31"/>
      <c r="F836" s="31"/>
      <c r="G836" s="31"/>
      <c r="H836" s="5"/>
      <c r="I836" s="5"/>
      <c r="J836" s="5"/>
      <c r="K836" s="5"/>
      <c r="L836" s="5"/>
      <c r="M836" s="5"/>
      <c r="N836" s="5"/>
      <c r="O836" s="5"/>
      <c r="P836" s="5"/>
      <c r="Q836" s="5"/>
      <c r="R836" s="5"/>
      <c r="S836" s="5"/>
      <c r="T836" s="5"/>
      <c r="U836" s="5"/>
      <c r="V836" s="5"/>
      <c r="W836" s="5"/>
    </row>
    <row r="837" spans="1:23">
      <c r="A837" s="4"/>
      <c r="B837" s="31"/>
      <c r="C837" s="31"/>
      <c r="D837" s="31"/>
      <c r="E837" s="31"/>
      <c r="F837" s="31"/>
      <c r="G837" s="31"/>
      <c r="H837" s="5"/>
      <c r="I837" s="5"/>
      <c r="J837" s="5"/>
      <c r="K837" s="5"/>
      <c r="L837" s="5"/>
      <c r="M837" s="5"/>
      <c r="N837" s="5"/>
      <c r="O837" s="5"/>
      <c r="P837" s="5"/>
      <c r="Q837" s="5"/>
      <c r="R837" s="5"/>
      <c r="S837" s="5"/>
      <c r="T837" s="5"/>
      <c r="U837" s="5"/>
      <c r="V837" s="5"/>
      <c r="W837" s="5"/>
    </row>
    <row r="838" spans="1:23">
      <c r="A838" s="4"/>
      <c r="B838" s="31"/>
      <c r="C838" s="31"/>
      <c r="D838" s="31"/>
      <c r="E838" s="31"/>
      <c r="F838" s="31"/>
      <c r="G838" s="31"/>
      <c r="H838" s="5"/>
      <c r="I838" s="5"/>
      <c r="J838" s="5"/>
      <c r="K838" s="5"/>
      <c r="L838" s="5"/>
      <c r="M838" s="5"/>
      <c r="N838" s="5"/>
      <c r="O838" s="5"/>
      <c r="P838" s="5"/>
      <c r="Q838" s="5"/>
      <c r="R838" s="5"/>
      <c r="S838" s="5"/>
      <c r="T838" s="5"/>
      <c r="U838" s="5"/>
      <c r="V838" s="5"/>
      <c r="W838" s="5"/>
    </row>
    <row r="839" spans="1:23">
      <c r="A839" s="4"/>
      <c r="B839" s="31"/>
      <c r="C839" s="31"/>
      <c r="D839" s="31"/>
      <c r="E839" s="31"/>
      <c r="F839" s="31"/>
      <c r="G839" s="31"/>
      <c r="H839" s="5"/>
      <c r="I839" s="5"/>
      <c r="J839" s="5"/>
      <c r="K839" s="5"/>
      <c r="L839" s="5"/>
      <c r="M839" s="5"/>
      <c r="N839" s="5"/>
      <c r="O839" s="5"/>
      <c r="P839" s="5"/>
      <c r="Q839" s="5"/>
      <c r="R839" s="5"/>
      <c r="S839" s="5"/>
      <c r="T839" s="5"/>
      <c r="U839" s="5"/>
      <c r="V839" s="5"/>
      <c r="W839" s="5"/>
    </row>
    <row r="840" spans="1:23">
      <c r="A840" s="4"/>
      <c r="B840" s="31"/>
      <c r="C840" s="31"/>
      <c r="D840" s="31"/>
      <c r="E840" s="31"/>
      <c r="F840" s="31"/>
      <c r="G840" s="31"/>
      <c r="H840" s="5"/>
      <c r="I840" s="5"/>
      <c r="J840" s="5"/>
      <c r="K840" s="5"/>
      <c r="L840" s="5"/>
      <c r="M840" s="5"/>
      <c r="N840" s="5"/>
      <c r="O840" s="5"/>
      <c r="P840" s="5"/>
      <c r="Q840" s="5"/>
      <c r="R840" s="5"/>
      <c r="S840" s="5"/>
      <c r="T840" s="5"/>
      <c r="U840" s="5"/>
      <c r="V840" s="5"/>
      <c r="W840" s="5"/>
    </row>
    <row r="841" spans="1:23">
      <c r="A841" s="4"/>
      <c r="B841" s="31"/>
      <c r="C841" s="31"/>
      <c r="D841" s="31"/>
      <c r="E841" s="31"/>
      <c r="F841" s="31"/>
      <c r="G841" s="31"/>
      <c r="H841" s="5"/>
      <c r="I841" s="5"/>
      <c r="J841" s="5"/>
      <c r="K841" s="5"/>
      <c r="L841" s="5"/>
      <c r="M841" s="5"/>
      <c r="N841" s="5"/>
      <c r="O841" s="5"/>
      <c r="P841" s="5"/>
      <c r="Q841" s="5"/>
      <c r="R841" s="5"/>
      <c r="S841" s="5"/>
      <c r="T841" s="5"/>
      <c r="U841" s="5"/>
      <c r="V841" s="5"/>
      <c r="W841" s="5"/>
    </row>
    <row r="842" spans="1:23">
      <c r="A842" s="4"/>
      <c r="B842" s="31"/>
      <c r="C842" s="31"/>
      <c r="D842" s="31"/>
      <c r="E842" s="31"/>
      <c r="F842" s="31"/>
      <c r="G842" s="31"/>
      <c r="H842" s="5"/>
      <c r="I842" s="5"/>
      <c r="J842" s="5"/>
      <c r="K842" s="5"/>
      <c r="L842" s="5"/>
      <c r="M842" s="5"/>
      <c r="N842" s="5"/>
      <c r="O842" s="5"/>
      <c r="P842" s="5"/>
      <c r="Q842" s="5"/>
      <c r="R842" s="5"/>
      <c r="S842" s="5"/>
      <c r="T842" s="5"/>
      <c r="U842" s="5"/>
      <c r="V842" s="5"/>
      <c r="W842" s="5"/>
    </row>
    <row r="843" spans="1:23">
      <c r="A843" s="4"/>
      <c r="B843" s="31"/>
      <c r="C843" s="31"/>
      <c r="D843" s="31"/>
      <c r="E843" s="31"/>
      <c r="F843" s="31"/>
      <c r="G843" s="31"/>
      <c r="H843" s="5"/>
      <c r="I843" s="5"/>
      <c r="J843" s="5"/>
      <c r="K843" s="5"/>
      <c r="L843" s="5"/>
      <c r="M843" s="5"/>
      <c r="N843" s="5"/>
      <c r="O843" s="5"/>
      <c r="P843" s="5"/>
      <c r="Q843" s="5"/>
      <c r="R843" s="5"/>
      <c r="S843" s="5"/>
      <c r="T843" s="5"/>
      <c r="U843" s="5"/>
      <c r="V843" s="5"/>
      <c r="W843" s="5"/>
    </row>
    <row r="844" spans="1:23">
      <c r="A844" s="4"/>
      <c r="B844" s="31"/>
      <c r="C844" s="31"/>
      <c r="D844" s="31"/>
      <c r="E844" s="31"/>
      <c r="F844" s="31"/>
      <c r="G844" s="31"/>
      <c r="H844" s="5"/>
      <c r="I844" s="5"/>
      <c r="J844" s="5"/>
      <c r="K844" s="5"/>
      <c r="L844" s="5"/>
      <c r="M844" s="5"/>
      <c r="N844" s="5"/>
      <c r="O844" s="5"/>
      <c r="P844" s="5"/>
      <c r="Q844" s="5"/>
      <c r="R844" s="5"/>
      <c r="S844" s="5"/>
      <c r="T844" s="5"/>
      <c r="U844" s="5"/>
      <c r="V844" s="5"/>
      <c r="W844" s="5"/>
    </row>
    <row r="845" spans="1:23">
      <c r="A845" s="4"/>
      <c r="B845" s="31"/>
      <c r="C845" s="31"/>
      <c r="D845" s="31"/>
      <c r="E845" s="31"/>
      <c r="F845" s="31"/>
      <c r="G845" s="31"/>
      <c r="H845" s="5"/>
      <c r="I845" s="5"/>
      <c r="J845" s="5"/>
      <c r="K845" s="5"/>
      <c r="L845" s="5"/>
      <c r="M845" s="5"/>
      <c r="N845" s="5"/>
      <c r="O845" s="5"/>
      <c r="P845" s="5"/>
      <c r="Q845" s="5"/>
      <c r="R845" s="5"/>
      <c r="S845" s="5"/>
      <c r="T845" s="5"/>
      <c r="U845" s="5"/>
      <c r="V845" s="5"/>
      <c r="W845" s="5"/>
    </row>
    <row r="846" spans="1:23">
      <c r="A846" s="4"/>
      <c r="B846" s="31"/>
      <c r="C846" s="31"/>
      <c r="D846" s="31"/>
      <c r="E846" s="31"/>
      <c r="F846" s="31"/>
      <c r="G846" s="31"/>
      <c r="H846" s="5"/>
      <c r="I846" s="5"/>
      <c r="J846" s="5"/>
      <c r="K846" s="5"/>
      <c r="L846" s="5"/>
      <c r="M846" s="5"/>
      <c r="N846" s="5"/>
      <c r="O846" s="5"/>
      <c r="P846" s="5"/>
      <c r="Q846" s="5"/>
      <c r="R846" s="5"/>
      <c r="S846" s="5"/>
      <c r="T846" s="5"/>
      <c r="U846" s="5"/>
      <c r="V846" s="5"/>
      <c r="W846" s="5"/>
    </row>
    <row r="847" spans="1:23">
      <c r="A847" s="4"/>
      <c r="B847" s="31"/>
      <c r="C847" s="31"/>
      <c r="D847" s="31"/>
      <c r="E847" s="31"/>
      <c r="F847" s="31"/>
      <c r="G847" s="31"/>
      <c r="H847" s="5"/>
      <c r="I847" s="5"/>
      <c r="J847" s="5"/>
      <c r="K847" s="5"/>
      <c r="L847" s="5"/>
      <c r="M847" s="5"/>
      <c r="N847" s="5"/>
      <c r="O847" s="5"/>
      <c r="P847" s="5"/>
      <c r="Q847" s="5"/>
      <c r="R847" s="5"/>
      <c r="S847" s="5"/>
      <c r="T847" s="5"/>
      <c r="U847" s="5"/>
      <c r="V847" s="5"/>
      <c r="W847" s="5"/>
    </row>
    <row r="848" spans="1:23">
      <c r="A848" s="4"/>
      <c r="B848" s="31"/>
      <c r="C848" s="31"/>
      <c r="D848" s="31"/>
      <c r="E848" s="31"/>
      <c r="F848" s="31"/>
      <c r="G848" s="31"/>
      <c r="H848" s="5"/>
      <c r="I848" s="5"/>
      <c r="J848" s="5"/>
      <c r="K848" s="5"/>
      <c r="L848" s="5"/>
      <c r="M848" s="5"/>
      <c r="N848" s="5"/>
      <c r="O848" s="5"/>
      <c r="P848" s="5"/>
      <c r="Q848" s="5"/>
      <c r="R848" s="5"/>
      <c r="S848" s="5"/>
      <c r="T848" s="5"/>
      <c r="U848" s="5"/>
      <c r="V848" s="5"/>
      <c r="W848" s="5"/>
    </row>
    <row r="849" spans="1:23">
      <c r="A849" s="4"/>
      <c r="B849" s="31"/>
      <c r="C849" s="31"/>
      <c r="D849" s="31"/>
      <c r="E849" s="31"/>
      <c r="F849" s="31"/>
      <c r="G849" s="31"/>
      <c r="H849" s="5"/>
      <c r="I849" s="5"/>
      <c r="J849" s="5"/>
      <c r="K849" s="5"/>
      <c r="L849" s="5"/>
      <c r="M849" s="5"/>
      <c r="N849" s="5"/>
      <c r="O849" s="5"/>
      <c r="P849" s="5"/>
      <c r="Q849" s="5"/>
      <c r="R849" s="5"/>
      <c r="S849" s="5"/>
      <c r="T849" s="5"/>
      <c r="U849" s="5"/>
      <c r="V849" s="5"/>
      <c r="W849" s="5"/>
    </row>
    <row r="850" spans="1:23">
      <c r="A850" s="4"/>
      <c r="B850" s="31"/>
      <c r="C850" s="31"/>
      <c r="D850" s="31"/>
      <c r="E850" s="31"/>
      <c r="F850" s="31"/>
      <c r="G850" s="31"/>
      <c r="H850" s="5"/>
      <c r="I850" s="5"/>
      <c r="J850" s="5"/>
      <c r="K850" s="5"/>
      <c r="L850" s="5"/>
      <c r="M850" s="5"/>
      <c r="N850" s="5"/>
      <c r="O850" s="5"/>
      <c r="P850" s="5"/>
      <c r="Q850" s="5"/>
      <c r="R850" s="5"/>
      <c r="S850" s="5"/>
      <c r="T850" s="5"/>
      <c r="U850" s="5"/>
      <c r="V850" s="5"/>
      <c r="W850" s="5"/>
    </row>
    <row r="851" spans="1:23">
      <c r="A851" s="4"/>
      <c r="B851" s="31"/>
      <c r="C851" s="31"/>
      <c r="D851" s="31"/>
      <c r="E851" s="31"/>
      <c r="F851" s="31"/>
      <c r="G851" s="31"/>
      <c r="H851" s="5"/>
      <c r="I851" s="5"/>
      <c r="J851" s="5"/>
      <c r="K851" s="5"/>
      <c r="L851" s="5"/>
      <c r="M851" s="5"/>
      <c r="N851" s="5"/>
      <c r="O851" s="5"/>
      <c r="P851" s="5"/>
      <c r="Q851" s="5"/>
      <c r="R851" s="5"/>
      <c r="S851" s="5"/>
      <c r="T851" s="5"/>
      <c r="U851" s="5"/>
      <c r="V851" s="5"/>
      <c r="W851" s="5"/>
    </row>
    <row r="852" spans="1:23">
      <c r="A852" s="4"/>
      <c r="B852" s="31"/>
      <c r="C852" s="31"/>
      <c r="D852" s="31"/>
      <c r="E852" s="31"/>
      <c r="F852" s="31"/>
      <c r="G852" s="31"/>
      <c r="H852" s="5"/>
      <c r="I852" s="5"/>
      <c r="J852" s="5"/>
      <c r="K852" s="5"/>
      <c r="L852" s="5"/>
      <c r="M852" s="5"/>
      <c r="N852" s="5"/>
      <c r="O852" s="5"/>
      <c r="P852" s="5"/>
      <c r="Q852" s="5"/>
      <c r="R852" s="5"/>
      <c r="S852" s="5"/>
      <c r="T852" s="5"/>
      <c r="U852" s="5"/>
      <c r="V852" s="5"/>
      <c r="W852" s="5"/>
    </row>
    <row r="853" spans="1:23">
      <c r="A853" s="4"/>
      <c r="B853" s="31"/>
      <c r="C853" s="31"/>
      <c r="D853" s="31"/>
      <c r="E853" s="31"/>
      <c r="F853" s="31"/>
      <c r="G853" s="31"/>
      <c r="H853" s="5"/>
      <c r="I853" s="5"/>
      <c r="J853" s="5"/>
      <c r="K853" s="5"/>
      <c r="L853" s="5"/>
      <c r="M853" s="5"/>
      <c r="N853" s="5"/>
      <c r="O853" s="5"/>
      <c r="P853" s="5"/>
      <c r="Q853" s="5"/>
      <c r="R853" s="5"/>
      <c r="S853" s="5"/>
      <c r="T853" s="5"/>
      <c r="U853" s="5"/>
      <c r="V853" s="5"/>
      <c r="W853" s="5"/>
    </row>
    <row r="854" spans="1:23">
      <c r="A854" s="4"/>
      <c r="B854" s="31"/>
      <c r="C854" s="31"/>
      <c r="D854" s="31"/>
      <c r="E854" s="31"/>
      <c r="F854" s="31"/>
      <c r="G854" s="31"/>
      <c r="H854" s="5"/>
      <c r="I854" s="5"/>
      <c r="J854" s="5"/>
      <c r="K854" s="5"/>
      <c r="L854" s="5"/>
      <c r="M854" s="5"/>
      <c r="N854" s="5"/>
      <c r="O854" s="5"/>
      <c r="P854" s="5"/>
      <c r="Q854" s="5"/>
      <c r="R854" s="5"/>
      <c r="S854" s="5"/>
      <c r="T854" s="5"/>
      <c r="U854" s="5"/>
      <c r="V854" s="5"/>
      <c r="W854" s="5"/>
    </row>
    <row r="855" spans="1:23">
      <c r="A855" s="4"/>
      <c r="B855" s="31"/>
      <c r="C855" s="31"/>
      <c r="D855" s="31"/>
      <c r="E855" s="31"/>
      <c r="F855" s="31"/>
      <c r="G855" s="31"/>
      <c r="H855" s="5"/>
      <c r="I855" s="5"/>
      <c r="J855" s="5"/>
      <c r="K855" s="5"/>
      <c r="L855" s="5"/>
      <c r="M855" s="5"/>
      <c r="N855" s="5"/>
      <c r="O855" s="5"/>
      <c r="P855" s="5"/>
      <c r="Q855" s="5"/>
      <c r="R855" s="5"/>
      <c r="S855" s="5"/>
      <c r="T855" s="5"/>
      <c r="U855" s="5"/>
      <c r="V855" s="5"/>
      <c r="W855" s="5"/>
    </row>
    <row r="856" spans="1:23">
      <c r="A856" s="4"/>
      <c r="B856" s="31"/>
      <c r="C856" s="31"/>
      <c r="D856" s="31"/>
      <c r="E856" s="31"/>
      <c r="F856" s="31"/>
      <c r="G856" s="31"/>
      <c r="H856" s="5"/>
      <c r="I856" s="5"/>
      <c r="J856" s="5"/>
      <c r="K856" s="5"/>
      <c r="L856" s="5"/>
      <c r="M856" s="5"/>
      <c r="N856" s="5"/>
      <c r="O856" s="5"/>
      <c r="P856" s="5"/>
      <c r="Q856" s="5"/>
      <c r="R856" s="5"/>
      <c r="S856" s="5"/>
      <c r="T856" s="5"/>
      <c r="U856" s="5"/>
      <c r="V856" s="5"/>
      <c r="W856" s="5"/>
    </row>
    <row r="857" spans="1:23">
      <c r="A857" s="4"/>
      <c r="B857" s="31"/>
      <c r="C857" s="31"/>
      <c r="D857" s="31"/>
      <c r="E857" s="31"/>
      <c r="F857" s="31"/>
      <c r="G857" s="31"/>
      <c r="H857" s="5"/>
      <c r="I857" s="5"/>
      <c r="J857" s="5"/>
      <c r="K857" s="5"/>
      <c r="L857" s="5"/>
      <c r="M857" s="5"/>
      <c r="N857" s="5"/>
      <c r="O857" s="5"/>
      <c r="P857" s="5"/>
      <c r="Q857" s="5"/>
      <c r="R857" s="5"/>
      <c r="S857" s="5"/>
      <c r="T857" s="5"/>
      <c r="U857" s="5"/>
      <c r="V857" s="5"/>
      <c r="W857" s="5"/>
    </row>
    <row r="858" spans="1:23">
      <c r="A858" s="4"/>
      <c r="B858" s="31"/>
      <c r="C858" s="31"/>
      <c r="D858" s="31"/>
      <c r="E858" s="31"/>
      <c r="F858" s="31"/>
      <c r="G858" s="31"/>
      <c r="H858" s="5"/>
      <c r="I858" s="5"/>
      <c r="J858" s="5"/>
      <c r="K858" s="5"/>
      <c r="L858" s="5"/>
      <c r="M858" s="5"/>
      <c r="N858" s="5"/>
      <c r="O858" s="5"/>
      <c r="P858" s="5"/>
      <c r="Q858" s="5"/>
      <c r="R858" s="5"/>
      <c r="S858" s="5"/>
      <c r="T858" s="5"/>
      <c r="U858" s="5"/>
      <c r="V858" s="5"/>
      <c r="W858" s="5"/>
    </row>
    <row r="859" spans="1:23">
      <c r="A859" s="4"/>
      <c r="B859" s="31"/>
      <c r="C859" s="31"/>
      <c r="D859" s="31"/>
      <c r="E859" s="31"/>
      <c r="F859" s="31"/>
      <c r="G859" s="31"/>
      <c r="H859" s="5"/>
      <c r="I859" s="5"/>
      <c r="J859" s="5"/>
      <c r="K859" s="5"/>
      <c r="L859" s="5"/>
      <c r="M859" s="5"/>
      <c r="N859" s="5"/>
      <c r="O859" s="5"/>
      <c r="P859" s="5"/>
      <c r="Q859" s="5"/>
      <c r="R859" s="5"/>
      <c r="S859" s="5"/>
      <c r="T859" s="5"/>
      <c r="U859" s="5"/>
      <c r="V859" s="5"/>
      <c r="W859" s="5"/>
    </row>
    <row r="860" spans="1:23">
      <c r="A860" s="4"/>
      <c r="B860" s="31"/>
      <c r="C860" s="31"/>
      <c r="D860" s="31"/>
      <c r="E860" s="31"/>
      <c r="F860" s="31"/>
      <c r="G860" s="31"/>
      <c r="H860" s="5"/>
      <c r="I860" s="5"/>
      <c r="J860" s="5"/>
      <c r="K860" s="5"/>
      <c r="L860" s="5"/>
      <c r="M860" s="5"/>
      <c r="N860" s="5"/>
      <c r="O860" s="5"/>
      <c r="P860" s="5"/>
      <c r="Q860" s="5"/>
      <c r="R860" s="5"/>
      <c r="S860" s="5"/>
      <c r="T860" s="5"/>
      <c r="U860" s="5"/>
      <c r="V860" s="5"/>
      <c r="W860" s="5"/>
    </row>
    <row r="861" spans="1:23">
      <c r="A861" s="4"/>
      <c r="B861" s="31"/>
      <c r="C861" s="31"/>
      <c r="D861" s="31"/>
      <c r="E861" s="31"/>
      <c r="F861" s="31"/>
      <c r="G861" s="31"/>
      <c r="H861" s="5"/>
      <c r="I861" s="5"/>
      <c r="J861" s="5"/>
      <c r="K861" s="5"/>
      <c r="L861" s="5"/>
      <c r="M861" s="5"/>
      <c r="N861" s="5"/>
      <c r="O861" s="5"/>
      <c r="P861" s="5"/>
      <c r="Q861" s="5"/>
      <c r="R861" s="5"/>
      <c r="S861" s="5"/>
      <c r="T861" s="5"/>
      <c r="U861" s="5"/>
      <c r="V861" s="5"/>
      <c r="W861" s="5"/>
    </row>
    <row r="862" spans="1:23">
      <c r="A862" s="4"/>
      <c r="B862" s="31"/>
      <c r="C862" s="31"/>
      <c r="D862" s="31"/>
      <c r="E862" s="31"/>
      <c r="F862" s="31"/>
      <c r="G862" s="31"/>
      <c r="H862" s="5"/>
      <c r="I862" s="5"/>
      <c r="J862" s="5"/>
      <c r="K862" s="5"/>
      <c r="L862" s="5"/>
      <c r="M862" s="5"/>
      <c r="N862" s="5"/>
      <c r="O862" s="5"/>
      <c r="P862" s="5"/>
      <c r="Q862" s="5"/>
      <c r="R862" s="5"/>
      <c r="S862" s="5"/>
      <c r="T862" s="5"/>
      <c r="U862" s="5"/>
      <c r="V862" s="5"/>
      <c r="W862" s="5"/>
    </row>
    <row r="863" spans="1:23">
      <c r="A863" s="4"/>
      <c r="B863" s="31"/>
      <c r="C863" s="31"/>
      <c r="D863" s="31"/>
      <c r="E863" s="31"/>
      <c r="F863" s="31"/>
      <c r="G863" s="31"/>
      <c r="H863" s="5"/>
      <c r="I863" s="5"/>
      <c r="J863" s="5"/>
      <c r="K863" s="5"/>
      <c r="L863" s="5"/>
      <c r="M863" s="5"/>
      <c r="N863" s="5"/>
      <c r="O863" s="5"/>
      <c r="P863" s="5"/>
      <c r="Q863" s="5"/>
      <c r="R863" s="5"/>
      <c r="S863" s="5"/>
      <c r="T863" s="5"/>
      <c r="U863" s="5"/>
      <c r="V863" s="5"/>
      <c r="W863" s="5"/>
    </row>
    <row r="864" spans="1:23">
      <c r="A864" s="4"/>
      <c r="B864" s="31"/>
      <c r="C864" s="31"/>
      <c r="D864" s="31"/>
      <c r="E864" s="31"/>
      <c r="F864" s="31"/>
      <c r="G864" s="31"/>
      <c r="H864" s="5"/>
      <c r="I864" s="5"/>
      <c r="J864" s="5"/>
      <c r="K864" s="5"/>
      <c r="L864" s="5"/>
      <c r="M864" s="5"/>
      <c r="N864" s="5"/>
      <c r="O864" s="5"/>
      <c r="P864" s="5"/>
      <c r="Q864" s="5"/>
      <c r="R864" s="5"/>
      <c r="S864" s="5"/>
      <c r="T864" s="5"/>
      <c r="U864" s="5"/>
      <c r="V864" s="5"/>
      <c r="W864" s="5"/>
    </row>
    <row r="865" spans="1:23">
      <c r="A865" s="4"/>
      <c r="B865" s="31"/>
      <c r="C865" s="31"/>
      <c r="D865" s="31"/>
      <c r="E865" s="31"/>
      <c r="F865" s="31"/>
      <c r="G865" s="31"/>
      <c r="H865" s="5"/>
      <c r="I865" s="5"/>
      <c r="J865" s="5"/>
      <c r="K865" s="5"/>
      <c r="L865" s="5"/>
      <c r="M865" s="5"/>
      <c r="N865" s="5"/>
      <c r="O865" s="5"/>
      <c r="P865" s="5"/>
      <c r="Q865" s="5"/>
      <c r="R865" s="5"/>
      <c r="S865" s="5"/>
      <c r="T865" s="5"/>
      <c r="U865" s="5"/>
      <c r="V865" s="5"/>
      <c r="W865" s="5"/>
    </row>
    <row r="866" spans="1:23">
      <c r="A866" s="4"/>
      <c r="B866" s="31"/>
      <c r="C866" s="31"/>
      <c r="D866" s="31"/>
      <c r="E866" s="31"/>
      <c r="F866" s="31"/>
      <c r="G866" s="31"/>
      <c r="H866" s="5"/>
      <c r="I866" s="5"/>
      <c r="J866" s="5"/>
      <c r="K866" s="5"/>
      <c r="L866" s="5"/>
      <c r="M866" s="5"/>
      <c r="N866" s="5"/>
      <c r="O866" s="5"/>
      <c r="P866" s="5"/>
      <c r="Q866" s="5"/>
      <c r="R866" s="5"/>
      <c r="S866" s="5"/>
      <c r="T866" s="5"/>
      <c r="U866" s="5"/>
      <c r="V866" s="5"/>
      <c r="W866" s="5"/>
    </row>
    <row r="867" spans="1:23">
      <c r="A867" s="4"/>
      <c r="B867" s="31"/>
      <c r="C867" s="31"/>
      <c r="D867" s="31"/>
      <c r="E867" s="31"/>
      <c r="F867" s="31"/>
      <c r="G867" s="31"/>
      <c r="H867" s="5"/>
      <c r="I867" s="5"/>
      <c r="J867" s="5"/>
      <c r="K867" s="5"/>
      <c r="L867" s="5"/>
      <c r="M867" s="5"/>
      <c r="N867" s="5"/>
      <c r="O867" s="5"/>
      <c r="P867" s="5"/>
      <c r="Q867" s="5"/>
      <c r="R867" s="5"/>
      <c r="S867" s="5"/>
      <c r="T867" s="5"/>
      <c r="U867" s="5"/>
      <c r="V867" s="5"/>
      <c r="W867" s="5"/>
    </row>
    <row r="868" spans="1:23">
      <c r="A868" s="4"/>
      <c r="B868" s="31"/>
      <c r="C868" s="31"/>
      <c r="D868" s="31"/>
      <c r="E868" s="31"/>
      <c r="F868" s="31"/>
      <c r="G868" s="31"/>
      <c r="H868" s="5"/>
      <c r="I868" s="5"/>
      <c r="J868" s="5"/>
      <c r="K868" s="5"/>
      <c r="L868" s="5"/>
      <c r="M868" s="5"/>
      <c r="N868" s="5"/>
      <c r="O868" s="5"/>
      <c r="P868" s="5"/>
      <c r="Q868" s="5"/>
      <c r="R868" s="5"/>
      <c r="S868" s="5"/>
      <c r="T868" s="5"/>
      <c r="U868" s="5"/>
      <c r="V868" s="5"/>
      <c r="W868" s="5"/>
    </row>
    <row r="869" spans="1:23">
      <c r="A869" s="4"/>
      <c r="B869" s="31"/>
      <c r="C869" s="31"/>
      <c r="D869" s="31"/>
      <c r="E869" s="31"/>
      <c r="F869" s="31"/>
      <c r="G869" s="31"/>
      <c r="H869" s="5"/>
      <c r="I869" s="5"/>
      <c r="J869" s="5"/>
      <c r="K869" s="5"/>
      <c r="L869" s="5"/>
      <c r="M869" s="5"/>
      <c r="N869" s="5"/>
      <c r="O869" s="5"/>
      <c r="P869" s="5"/>
      <c r="Q869" s="5"/>
      <c r="R869" s="5"/>
      <c r="S869" s="5"/>
      <c r="T869" s="5"/>
      <c r="U869" s="5"/>
      <c r="V869" s="5"/>
      <c r="W869" s="5"/>
    </row>
    <row r="870" spans="1:23">
      <c r="A870" s="4"/>
      <c r="B870" s="31"/>
      <c r="C870" s="31"/>
      <c r="D870" s="31"/>
      <c r="E870" s="31"/>
      <c r="F870" s="31"/>
      <c r="G870" s="31"/>
      <c r="H870" s="5"/>
      <c r="I870" s="5"/>
      <c r="J870" s="5"/>
      <c r="K870" s="5"/>
      <c r="L870" s="5"/>
      <c r="M870" s="5"/>
      <c r="N870" s="5"/>
      <c r="O870" s="5"/>
      <c r="P870" s="5"/>
      <c r="Q870" s="5"/>
      <c r="R870" s="5"/>
      <c r="S870" s="5"/>
      <c r="T870" s="5"/>
      <c r="U870" s="5"/>
      <c r="V870" s="5"/>
      <c r="W870" s="5"/>
    </row>
    <row r="871" spans="1:23">
      <c r="A871" s="4"/>
      <c r="B871" s="31"/>
      <c r="C871" s="31"/>
      <c r="D871" s="31"/>
      <c r="E871" s="31"/>
      <c r="F871" s="31"/>
      <c r="G871" s="31"/>
      <c r="H871" s="5"/>
      <c r="I871" s="5"/>
      <c r="J871" s="5"/>
      <c r="K871" s="5"/>
      <c r="L871" s="5"/>
      <c r="M871" s="5"/>
      <c r="N871" s="5"/>
      <c r="O871" s="5"/>
      <c r="P871" s="5"/>
      <c r="Q871" s="5"/>
      <c r="R871" s="5"/>
      <c r="S871" s="5"/>
      <c r="T871" s="5"/>
      <c r="U871" s="5"/>
      <c r="V871" s="5"/>
      <c r="W871" s="5"/>
    </row>
    <row r="872" spans="1:23">
      <c r="A872" s="4"/>
      <c r="B872" s="31"/>
      <c r="C872" s="31"/>
      <c r="D872" s="31"/>
      <c r="E872" s="31"/>
      <c r="F872" s="31"/>
      <c r="G872" s="31"/>
      <c r="H872" s="5"/>
      <c r="I872" s="5"/>
      <c r="J872" s="5"/>
      <c r="K872" s="5"/>
      <c r="L872" s="5"/>
      <c r="M872" s="5"/>
      <c r="N872" s="5"/>
      <c r="O872" s="5"/>
      <c r="P872" s="5"/>
      <c r="Q872" s="5"/>
      <c r="R872" s="5"/>
      <c r="S872" s="5"/>
      <c r="T872" s="5"/>
      <c r="U872" s="5"/>
      <c r="V872" s="5"/>
      <c r="W872" s="5"/>
    </row>
    <row r="873" spans="1:23">
      <c r="A873" s="4"/>
      <c r="B873" s="31"/>
      <c r="C873" s="31"/>
      <c r="D873" s="31"/>
      <c r="E873" s="31"/>
      <c r="F873" s="31"/>
      <c r="G873" s="31"/>
      <c r="H873" s="5"/>
      <c r="I873" s="5"/>
      <c r="J873" s="5"/>
      <c r="K873" s="5"/>
      <c r="L873" s="5"/>
      <c r="M873" s="5"/>
      <c r="N873" s="5"/>
      <c r="O873" s="5"/>
      <c r="P873" s="5"/>
      <c r="Q873" s="5"/>
      <c r="R873" s="5"/>
      <c r="S873" s="5"/>
      <c r="T873" s="5"/>
      <c r="U873" s="5"/>
      <c r="V873" s="5"/>
      <c r="W873" s="5"/>
    </row>
    <row r="874" spans="1:23">
      <c r="A874" s="4"/>
      <c r="B874" s="31"/>
      <c r="C874" s="31"/>
      <c r="D874" s="31"/>
      <c r="E874" s="31"/>
      <c r="F874" s="31"/>
      <c r="G874" s="31"/>
      <c r="H874" s="5"/>
      <c r="I874" s="5"/>
      <c r="J874" s="5"/>
      <c r="K874" s="5"/>
      <c r="L874" s="5"/>
      <c r="M874" s="5"/>
      <c r="N874" s="5"/>
      <c r="O874" s="5"/>
      <c r="P874" s="5"/>
      <c r="Q874" s="5"/>
      <c r="R874" s="5"/>
      <c r="S874" s="5"/>
      <c r="T874" s="5"/>
      <c r="U874" s="5"/>
      <c r="V874" s="5"/>
      <c r="W874" s="5"/>
    </row>
    <row r="875" spans="1:23">
      <c r="A875" s="4"/>
      <c r="B875" s="31"/>
      <c r="C875" s="31"/>
      <c r="D875" s="31"/>
      <c r="E875" s="31"/>
      <c r="F875" s="31"/>
      <c r="G875" s="31"/>
      <c r="H875" s="5"/>
      <c r="I875" s="5"/>
      <c r="J875" s="5"/>
      <c r="K875" s="5"/>
      <c r="L875" s="5"/>
      <c r="M875" s="5"/>
      <c r="N875" s="5"/>
      <c r="O875" s="5"/>
      <c r="P875" s="5"/>
      <c r="Q875" s="5"/>
      <c r="R875" s="5"/>
      <c r="S875" s="5"/>
      <c r="T875" s="5"/>
      <c r="U875" s="5"/>
      <c r="V875" s="5"/>
      <c r="W875" s="5"/>
    </row>
    <row r="876" spans="1:23">
      <c r="A876" s="4"/>
      <c r="B876" s="31"/>
      <c r="C876" s="31"/>
      <c r="D876" s="31"/>
      <c r="E876" s="31"/>
      <c r="F876" s="31"/>
      <c r="G876" s="31"/>
      <c r="H876" s="5"/>
      <c r="I876" s="5"/>
      <c r="J876" s="5"/>
      <c r="K876" s="5"/>
      <c r="L876" s="5"/>
      <c r="M876" s="5"/>
      <c r="N876" s="5"/>
      <c r="O876" s="5"/>
      <c r="P876" s="5"/>
      <c r="Q876" s="5"/>
      <c r="R876" s="5"/>
      <c r="S876" s="5"/>
      <c r="T876" s="5"/>
      <c r="U876" s="5"/>
      <c r="V876" s="5"/>
      <c r="W876" s="5"/>
    </row>
    <row r="877" spans="1:23">
      <c r="A877" s="4"/>
      <c r="B877" s="31"/>
      <c r="C877" s="31"/>
      <c r="D877" s="31"/>
      <c r="E877" s="31"/>
      <c r="F877" s="31"/>
      <c r="G877" s="31"/>
      <c r="H877" s="5"/>
      <c r="I877" s="5"/>
      <c r="J877" s="5"/>
      <c r="K877" s="5"/>
      <c r="L877" s="5"/>
      <c r="M877" s="5"/>
      <c r="N877" s="5"/>
      <c r="O877" s="5"/>
      <c r="P877" s="5"/>
      <c r="Q877" s="5"/>
      <c r="R877" s="5"/>
      <c r="S877" s="5"/>
      <c r="T877" s="5"/>
      <c r="U877" s="5"/>
      <c r="V877" s="5"/>
      <c r="W877" s="5"/>
    </row>
    <row r="878" spans="1:23">
      <c r="A878" s="4"/>
      <c r="B878" s="31"/>
      <c r="C878" s="31"/>
      <c r="D878" s="31"/>
      <c r="E878" s="31"/>
      <c r="F878" s="31"/>
      <c r="G878" s="31"/>
      <c r="H878" s="5"/>
      <c r="I878" s="5"/>
      <c r="J878" s="5"/>
      <c r="K878" s="5"/>
      <c r="L878" s="5"/>
      <c r="M878" s="5"/>
      <c r="N878" s="5"/>
      <c r="O878" s="5"/>
      <c r="P878" s="5"/>
      <c r="Q878" s="5"/>
      <c r="R878" s="5"/>
      <c r="S878" s="5"/>
      <c r="T878" s="5"/>
      <c r="U878" s="5"/>
      <c r="V878" s="5"/>
      <c r="W878" s="5"/>
    </row>
    <row r="879" spans="1:23">
      <c r="A879" s="4"/>
      <c r="B879" s="31"/>
      <c r="C879" s="31"/>
      <c r="D879" s="31"/>
      <c r="E879" s="31"/>
      <c r="F879" s="31"/>
      <c r="G879" s="31"/>
      <c r="H879" s="5"/>
      <c r="I879" s="5"/>
      <c r="J879" s="5"/>
      <c r="K879" s="5"/>
      <c r="L879" s="5"/>
      <c r="M879" s="5"/>
      <c r="N879" s="5"/>
      <c r="O879" s="5"/>
      <c r="P879" s="5"/>
      <c r="Q879" s="5"/>
      <c r="R879" s="5"/>
      <c r="S879" s="5"/>
      <c r="T879" s="5"/>
      <c r="U879" s="5"/>
      <c r="V879" s="5"/>
      <c r="W879" s="5"/>
    </row>
    <row r="880" spans="1:23">
      <c r="A880" s="4"/>
      <c r="B880" s="31"/>
      <c r="C880" s="31"/>
      <c r="D880" s="31"/>
      <c r="E880" s="31"/>
      <c r="F880" s="31"/>
      <c r="G880" s="31"/>
      <c r="H880" s="5"/>
      <c r="I880" s="5"/>
      <c r="J880" s="5"/>
      <c r="K880" s="5"/>
      <c r="L880" s="5"/>
      <c r="M880" s="5"/>
      <c r="N880" s="5"/>
      <c r="O880" s="5"/>
      <c r="P880" s="5"/>
      <c r="Q880" s="5"/>
      <c r="R880" s="5"/>
      <c r="S880" s="5"/>
      <c r="T880" s="5"/>
      <c r="U880" s="5"/>
      <c r="V880" s="5"/>
      <c r="W880" s="5"/>
    </row>
    <row r="881" spans="1:23">
      <c r="A881" s="4"/>
      <c r="B881" s="31"/>
      <c r="C881" s="31"/>
      <c r="D881" s="31"/>
      <c r="E881" s="31"/>
      <c r="F881" s="31"/>
      <c r="G881" s="31"/>
      <c r="H881" s="5"/>
      <c r="I881" s="5"/>
      <c r="J881" s="5"/>
      <c r="K881" s="5"/>
      <c r="L881" s="5"/>
      <c r="M881" s="5"/>
      <c r="N881" s="5"/>
      <c r="O881" s="5"/>
      <c r="P881" s="5"/>
      <c r="Q881" s="5"/>
      <c r="R881" s="5"/>
      <c r="S881" s="5"/>
      <c r="T881" s="5"/>
      <c r="U881" s="5"/>
      <c r="V881" s="5"/>
      <c r="W881" s="5"/>
    </row>
    <row r="882" spans="1:23">
      <c r="A882" s="4"/>
      <c r="B882" s="31"/>
      <c r="C882" s="31"/>
      <c r="D882" s="31"/>
      <c r="E882" s="31"/>
      <c r="F882" s="31"/>
      <c r="G882" s="31"/>
      <c r="H882" s="5"/>
      <c r="I882" s="5"/>
      <c r="J882" s="5"/>
      <c r="K882" s="5"/>
      <c r="L882" s="5"/>
      <c r="M882" s="5"/>
      <c r="N882" s="5"/>
      <c r="O882" s="5"/>
      <c r="P882" s="5"/>
      <c r="Q882" s="5"/>
      <c r="R882" s="5"/>
      <c r="S882" s="5"/>
      <c r="T882" s="5"/>
      <c r="U882" s="5"/>
      <c r="V882" s="5"/>
      <c r="W882" s="5"/>
    </row>
    <row r="883" spans="1:23">
      <c r="A883" s="4"/>
      <c r="B883" s="31"/>
      <c r="C883" s="31"/>
      <c r="D883" s="31"/>
      <c r="E883" s="31"/>
      <c r="F883" s="31"/>
      <c r="G883" s="31"/>
      <c r="H883" s="5"/>
      <c r="I883" s="5"/>
      <c r="J883" s="5"/>
      <c r="K883" s="5"/>
      <c r="L883" s="5"/>
      <c r="M883" s="5"/>
      <c r="N883" s="5"/>
      <c r="O883" s="5"/>
      <c r="P883" s="5"/>
      <c r="Q883" s="5"/>
      <c r="R883" s="5"/>
      <c r="S883" s="5"/>
      <c r="T883" s="5"/>
      <c r="U883" s="5"/>
      <c r="V883" s="5"/>
      <c r="W883" s="5"/>
    </row>
    <row r="884" spans="1:23">
      <c r="A884" s="4"/>
      <c r="B884" s="31"/>
      <c r="C884" s="31"/>
      <c r="D884" s="31"/>
      <c r="E884" s="31"/>
      <c r="F884" s="31"/>
      <c r="G884" s="31"/>
      <c r="H884" s="5"/>
      <c r="I884" s="5"/>
      <c r="J884" s="5"/>
      <c r="K884" s="5"/>
      <c r="L884" s="5"/>
      <c r="M884" s="5"/>
      <c r="N884" s="5"/>
      <c r="O884" s="5"/>
      <c r="P884" s="5"/>
      <c r="Q884" s="5"/>
      <c r="R884" s="5"/>
      <c r="S884" s="5"/>
      <c r="T884" s="5"/>
      <c r="U884" s="5"/>
      <c r="V884" s="5"/>
      <c r="W884" s="5"/>
    </row>
    <row r="885" spans="1:23">
      <c r="A885" s="4"/>
      <c r="B885" s="31"/>
      <c r="C885" s="31"/>
      <c r="D885" s="31"/>
      <c r="E885" s="31"/>
      <c r="F885" s="31"/>
      <c r="G885" s="31"/>
      <c r="H885" s="5"/>
      <c r="I885" s="5"/>
      <c r="J885" s="5"/>
      <c r="K885" s="5"/>
      <c r="L885" s="5"/>
      <c r="M885" s="5"/>
      <c r="N885" s="5"/>
      <c r="O885" s="5"/>
      <c r="P885" s="5"/>
      <c r="Q885" s="5"/>
      <c r="R885" s="5"/>
      <c r="S885" s="5"/>
      <c r="T885" s="5"/>
      <c r="U885" s="5"/>
      <c r="V885" s="5"/>
      <c r="W885" s="5"/>
    </row>
    <row r="886" spans="1:23">
      <c r="A886" s="4"/>
      <c r="B886" s="31"/>
      <c r="C886" s="31"/>
      <c r="D886" s="31"/>
      <c r="E886" s="31"/>
      <c r="F886" s="31"/>
      <c r="G886" s="31"/>
      <c r="H886" s="5"/>
      <c r="I886" s="5"/>
      <c r="J886" s="5"/>
      <c r="K886" s="5"/>
      <c r="L886" s="5"/>
      <c r="M886" s="5"/>
      <c r="N886" s="5"/>
      <c r="O886" s="5"/>
      <c r="P886" s="5"/>
      <c r="Q886" s="5"/>
      <c r="R886" s="5"/>
      <c r="S886" s="5"/>
      <c r="T886" s="5"/>
      <c r="U886" s="5"/>
      <c r="V886" s="5"/>
      <c r="W886" s="5"/>
    </row>
    <row r="887" spans="1:23">
      <c r="A887" s="4"/>
      <c r="B887" s="31"/>
      <c r="C887" s="31"/>
      <c r="D887" s="31"/>
      <c r="E887" s="31"/>
      <c r="F887" s="31"/>
      <c r="G887" s="31"/>
      <c r="H887" s="5"/>
      <c r="I887" s="5"/>
      <c r="J887" s="5"/>
      <c r="K887" s="5"/>
      <c r="L887" s="5"/>
      <c r="M887" s="5"/>
      <c r="N887" s="5"/>
      <c r="O887" s="5"/>
      <c r="P887" s="5"/>
      <c r="Q887" s="5"/>
      <c r="R887" s="5"/>
      <c r="S887" s="5"/>
      <c r="T887" s="5"/>
      <c r="U887" s="5"/>
      <c r="V887" s="5"/>
      <c r="W887" s="5"/>
    </row>
    <row r="888" spans="1:23">
      <c r="A888" s="4"/>
      <c r="B888" s="31"/>
      <c r="C888" s="31"/>
      <c r="D888" s="31"/>
      <c r="E888" s="31"/>
      <c r="F888" s="31"/>
      <c r="G888" s="31"/>
      <c r="H888" s="5"/>
      <c r="I888" s="5"/>
      <c r="J888" s="5"/>
      <c r="K888" s="5"/>
      <c r="L888" s="5"/>
      <c r="M888" s="5"/>
      <c r="N888" s="5"/>
      <c r="O888" s="5"/>
      <c r="P888" s="5"/>
      <c r="Q888" s="5"/>
      <c r="R888" s="5"/>
      <c r="S888" s="5"/>
      <c r="T888" s="5"/>
      <c r="U888" s="5"/>
      <c r="V888" s="5"/>
      <c r="W888" s="5"/>
    </row>
    <row r="889" spans="1:23">
      <c r="A889" s="4"/>
      <c r="B889" s="31"/>
      <c r="C889" s="31"/>
      <c r="D889" s="31"/>
      <c r="E889" s="31"/>
      <c r="F889" s="31"/>
      <c r="G889" s="31"/>
      <c r="H889" s="5"/>
      <c r="I889" s="5"/>
      <c r="J889" s="5"/>
      <c r="K889" s="5"/>
      <c r="L889" s="5"/>
      <c r="M889" s="5"/>
      <c r="N889" s="5"/>
      <c r="O889" s="5"/>
      <c r="P889" s="5"/>
      <c r="Q889" s="5"/>
      <c r="R889" s="5"/>
      <c r="S889" s="5"/>
      <c r="T889" s="5"/>
      <c r="U889" s="5"/>
      <c r="V889" s="5"/>
      <c r="W889" s="5"/>
    </row>
    <row r="890" spans="1:23">
      <c r="A890" s="4"/>
      <c r="B890" s="31"/>
      <c r="C890" s="31"/>
      <c r="D890" s="31"/>
      <c r="E890" s="31"/>
      <c r="F890" s="31"/>
      <c r="G890" s="31"/>
      <c r="H890" s="5"/>
      <c r="I890" s="5"/>
      <c r="J890" s="5"/>
      <c r="K890" s="5"/>
      <c r="L890" s="5"/>
      <c r="M890" s="5"/>
      <c r="N890" s="5"/>
      <c r="O890" s="5"/>
      <c r="P890" s="5"/>
      <c r="Q890" s="5"/>
      <c r="R890" s="5"/>
      <c r="S890" s="5"/>
      <c r="T890" s="5"/>
      <c r="U890" s="5"/>
      <c r="V890" s="5"/>
      <c r="W890" s="5"/>
    </row>
    <row r="891" spans="1:23">
      <c r="A891" s="4"/>
      <c r="B891" s="31"/>
      <c r="C891" s="31"/>
      <c r="D891" s="31"/>
      <c r="E891" s="31"/>
      <c r="F891" s="31"/>
      <c r="G891" s="31"/>
      <c r="H891" s="5"/>
      <c r="I891" s="5"/>
      <c r="J891" s="5"/>
      <c r="K891" s="5"/>
      <c r="L891" s="5"/>
      <c r="M891" s="5"/>
      <c r="N891" s="5"/>
      <c r="O891" s="5"/>
      <c r="P891" s="5"/>
      <c r="Q891" s="5"/>
      <c r="R891" s="5"/>
      <c r="S891" s="5"/>
      <c r="T891" s="5"/>
      <c r="U891" s="5"/>
      <c r="V891" s="5"/>
      <c r="W891" s="5"/>
    </row>
    <row r="892" spans="1:23">
      <c r="A892" s="4"/>
      <c r="B892" s="31"/>
      <c r="C892" s="31"/>
      <c r="D892" s="31"/>
      <c r="E892" s="31"/>
      <c r="F892" s="31"/>
      <c r="G892" s="31"/>
      <c r="H892" s="5"/>
      <c r="I892" s="5"/>
      <c r="J892" s="5"/>
      <c r="K892" s="5"/>
      <c r="L892" s="5"/>
      <c r="M892" s="5"/>
      <c r="N892" s="5"/>
      <c r="O892" s="5"/>
      <c r="P892" s="5"/>
      <c r="Q892" s="5"/>
      <c r="R892" s="5"/>
      <c r="S892" s="5"/>
      <c r="T892" s="5"/>
      <c r="U892" s="5"/>
      <c r="V892" s="5"/>
      <c r="W892" s="5"/>
    </row>
    <row r="893" spans="1:23">
      <c r="A893" s="4"/>
      <c r="B893" s="31"/>
      <c r="C893" s="31"/>
      <c r="D893" s="31"/>
      <c r="E893" s="31"/>
      <c r="F893" s="31"/>
      <c r="G893" s="31"/>
      <c r="H893" s="5"/>
      <c r="I893" s="5"/>
      <c r="J893" s="5"/>
      <c r="K893" s="5"/>
      <c r="L893" s="5"/>
      <c r="M893" s="5"/>
      <c r="N893" s="5"/>
      <c r="O893" s="5"/>
      <c r="P893" s="5"/>
      <c r="Q893" s="5"/>
      <c r="R893" s="5"/>
      <c r="S893" s="5"/>
      <c r="T893" s="5"/>
      <c r="U893" s="5"/>
      <c r="V893" s="5"/>
      <c r="W893" s="5"/>
    </row>
    <row r="894" spans="1:23">
      <c r="A894" s="4"/>
      <c r="B894" s="31"/>
      <c r="C894" s="31"/>
      <c r="D894" s="31"/>
      <c r="E894" s="31"/>
      <c r="F894" s="31"/>
      <c r="G894" s="31"/>
      <c r="H894" s="5"/>
      <c r="I894" s="5"/>
      <c r="J894" s="5"/>
      <c r="K894" s="5"/>
      <c r="L894" s="5"/>
      <c r="M894" s="5"/>
      <c r="N894" s="5"/>
      <c r="O894" s="5"/>
      <c r="P894" s="5"/>
      <c r="Q894" s="5"/>
      <c r="R894" s="5"/>
      <c r="S894" s="5"/>
      <c r="T894" s="5"/>
      <c r="U894" s="5"/>
      <c r="V894" s="5"/>
      <c r="W894" s="5"/>
    </row>
    <row r="895" spans="1:23">
      <c r="A895" s="4"/>
      <c r="B895" s="31"/>
      <c r="C895" s="31"/>
      <c r="D895" s="31"/>
      <c r="E895" s="31"/>
      <c r="F895" s="31"/>
      <c r="G895" s="31"/>
      <c r="H895" s="5"/>
      <c r="I895" s="5"/>
      <c r="J895" s="5"/>
      <c r="K895" s="5"/>
      <c r="L895" s="5"/>
      <c r="M895" s="5"/>
      <c r="N895" s="5"/>
      <c r="O895" s="5"/>
      <c r="P895" s="5"/>
      <c r="Q895" s="5"/>
      <c r="R895" s="5"/>
      <c r="S895" s="5"/>
      <c r="T895" s="5"/>
      <c r="U895" s="5"/>
      <c r="V895" s="5"/>
      <c r="W895" s="5"/>
    </row>
    <row r="896" spans="1:23">
      <c r="A896" s="4"/>
      <c r="B896" s="31"/>
      <c r="C896" s="31"/>
      <c r="D896" s="31"/>
      <c r="E896" s="31"/>
      <c r="F896" s="31"/>
      <c r="G896" s="31"/>
      <c r="H896" s="5"/>
      <c r="I896" s="5"/>
      <c r="J896" s="5"/>
      <c r="K896" s="5"/>
      <c r="L896" s="5"/>
      <c r="M896" s="5"/>
      <c r="N896" s="5"/>
      <c r="O896" s="5"/>
      <c r="P896" s="5"/>
      <c r="Q896" s="5"/>
      <c r="R896" s="5"/>
      <c r="S896" s="5"/>
      <c r="T896" s="5"/>
      <c r="U896" s="5"/>
      <c r="V896" s="5"/>
      <c r="W896" s="5"/>
    </row>
    <row r="897" spans="1:23">
      <c r="A897" s="4"/>
      <c r="B897" s="31"/>
      <c r="C897" s="31"/>
      <c r="D897" s="31"/>
      <c r="E897" s="31"/>
      <c r="F897" s="31"/>
      <c r="G897" s="31"/>
      <c r="H897" s="5"/>
      <c r="I897" s="5"/>
      <c r="J897" s="5"/>
      <c r="K897" s="5"/>
      <c r="L897" s="5"/>
      <c r="M897" s="5"/>
      <c r="N897" s="5"/>
      <c r="O897" s="5"/>
      <c r="P897" s="5"/>
      <c r="Q897" s="5"/>
      <c r="R897" s="5"/>
      <c r="S897" s="5"/>
      <c r="T897" s="5"/>
      <c r="U897" s="5"/>
      <c r="V897" s="5"/>
      <c r="W897" s="5"/>
    </row>
    <row r="898" spans="1:23">
      <c r="A898" s="4"/>
      <c r="B898" s="31"/>
      <c r="C898" s="31"/>
      <c r="D898" s="31"/>
      <c r="E898" s="31"/>
      <c r="F898" s="31"/>
      <c r="G898" s="31"/>
      <c r="H898" s="5"/>
      <c r="I898" s="5"/>
      <c r="J898" s="5"/>
      <c r="K898" s="5"/>
      <c r="L898" s="5"/>
      <c r="M898" s="5"/>
      <c r="N898" s="5"/>
      <c r="O898" s="5"/>
      <c r="P898" s="5"/>
      <c r="Q898" s="5"/>
      <c r="R898" s="5"/>
      <c r="S898" s="5"/>
      <c r="T898" s="5"/>
      <c r="U898" s="5"/>
      <c r="V898" s="5"/>
      <c r="W898" s="5"/>
    </row>
    <row r="899" spans="1:23">
      <c r="A899" s="4"/>
      <c r="B899" s="31"/>
      <c r="C899" s="31"/>
      <c r="D899" s="31"/>
      <c r="E899" s="31"/>
      <c r="F899" s="31"/>
      <c r="G899" s="31"/>
      <c r="H899" s="5"/>
      <c r="I899" s="5"/>
      <c r="J899" s="5"/>
      <c r="K899" s="5"/>
      <c r="L899" s="5"/>
      <c r="M899" s="5"/>
      <c r="N899" s="5"/>
      <c r="O899" s="5"/>
      <c r="P899" s="5"/>
      <c r="Q899" s="5"/>
      <c r="R899" s="5"/>
      <c r="S899" s="5"/>
      <c r="T899" s="5"/>
      <c r="U899" s="5"/>
      <c r="V899" s="5"/>
      <c r="W899" s="5"/>
    </row>
    <row r="900" spans="1:23">
      <c r="A900" s="4"/>
      <c r="B900" s="31"/>
      <c r="C900" s="31"/>
      <c r="D900" s="31"/>
      <c r="E900" s="31"/>
      <c r="F900" s="31"/>
      <c r="G900" s="31"/>
      <c r="H900" s="5"/>
      <c r="I900" s="5"/>
      <c r="J900" s="5"/>
      <c r="K900" s="5"/>
      <c r="L900" s="5"/>
      <c r="M900" s="5"/>
      <c r="N900" s="5"/>
      <c r="O900" s="5"/>
      <c r="P900" s="5"/>
      <c r="Q900" s="5"/>
      <c r="R900" s="5"/>
      <c r="S900" s="5"/>
      <c r="T900" s="5"/>
      <c r="U900" s="5"/>
      <c r="V900" s="5"/>
      <c r="W900" s="5"/>
    </row>
    <row r="901" spans="1:23">
      <c r="A901" s="4"/>
      <c r="B901" s="31"/>
      <c r="C901" s="31"/>
      <c r="D901" s="31"/>
      <c r="E901" s="31"/>
      <c r="F901" s="31"/>
      <c r="G901" s="31"/>
      <c r="H901" s="5"/>
      <c r="I901" s="5"/>
      <c r="J901" s="5"/>
      <c r="K901" s="5"/>
      <c r="L901" s="5"/>
      <c r="M901" s="5"/>
      <c r="N901" s="5"/>
      <c r="O901" s="5"/>
      <c r="P901" s="5"/>
      <c r="Q901" s="5"/>
      <c r="R901" s="5"/>
      <c r="S901" s="5"/>
      <c r="T901" s="5"/>
      <c r="U901" s="5"/>
      <c r="V901" s="5"/>
      <c r="W901" s="5"/>
    </row>
    <row r="902" spans="1:23">
      <c r="A902" s="4"/>
      <c r="B902" s="31"/>
      <c r="C902" s="31"/>
      <c r="D902" s="31"/>
      <c r="E902" s="31"/>
      <c r="F902" s="31"/>
      <c r="G902" s="31"/>
      <c r="H902" s="5"/>
      <c r="I902" s="5"/>
      <c r="J902" s="5"/>
      <c r="K902" s="5"/>
      <c r="L902" s="5"/>
      <c r="M902" s="5"/>
      <c r="N902" s="5"/>
      <c r="O902" s="5"/>
      <c r="P902" s="5"/>
      <c r="Q902" s="5"/>
      <c r="R902" s="5"/>
      <c r="S902" s="5"/>
      <c r="T902" s="5"/>
      <c r="U902" s="5"/>
      <c r="V902" s="5"/>
      <c r="W902" s="5"/>
    </row>
    <row r="903" spans="1:23">
      <c r="A903" s="4"/>
      <c r="B903" s="31"/>
      <c r="C903" s="31"/>
      <c r="D903" s="31"/>
      <c r="E903" s="31"/>
      <c r="F903" s="31"/>
      <c r="G903" s="31"/>
      <c r="H903" s="5"/>
      <c r="I903" s="5"/>
      <c r="J903" s="5"/>
      <c r="K903" s="5"/>
      <c r="L903" s="5"/>
      <c r="M903" s="5"/>
      <c r="N903" s="5"/>
      <c r="O903" s="5"/>
      <c r="P903" s="5"/>
      <c r="Q903" s="5"/>
      <c r="R903" s="5"/>
      <c r="S903" s="5"/>
      <c r="T903" s="5"/>
      <c r="U903" s="5"/>
      <c r="V903" s="5"/>
      <c r="W903" s="5"/>
    </row>
    <row r="904" spans="1:23">
      <c r="A904" s="4"/>
      <c r="B904" s="31"/>
      <c r="C904" s="31"/>
      <c r="D904" s="31"/>
      <c r="E904" s="31"/>
      <c r="F904" s="31"/>
      <c r="G904" s="31"/>
      <c r="H904" s="5"/>
      <c r="I904" s="5"/>
      <c r="J904" s="5"/>
      <c r="K904" s="5"/>
      <c r="L904" s="5"/>
      <c r="M904" s="5"/>
      <c r="N904" s="5"/>
      <c r="O904" s="5"/>
      <c r="P904" s="5"/>
      <c r="Q904" s="5"/>
      <c r="R904" s="5"/>
      <c r="S904" s="5"/>
      <c r="T904" s="5"/>
      <c r="U904" s="5"/>
      <c r="V904" s="5"/>
      <c r="W904" s="5"/>
    </row>
    <row r="905" spans="1:23">
      <c r="A905" s="4"/>
      <c r="B905" s="31"/>
      <c r="C905" s="31"/>
      <c r="D905" s="31"/>
      <c r="E905" s="31"/>
      <c r="F905" s="31"/>
      <c r="G905" s="31"/>
      <c r="H905" s="5"/>
      <c r="I905" s="5"/>
      <c r="J905" s="5"/>
      <c r="K905" s="5"/>
      <c r="L905" s="5"/>
      <c r="M905" s="5"/>
      <c r="N905" s="5"/>
      <c r="O905" s="5"/>
      <c r="P905" s="5"/>
      <c r="Q905" s="5"/>
      <c r="R905" s="5"/>
      <c r="S905" s="5"/>
      <c r="T905" s="5"/>
      <c r="U905" s="5"/>
      <c r="V905" s="5"/>
      <c r="W905" s="5"/>
    </row>
    <row r="906" spans="1:23">
      <c r="A906" s="4"/>
      <c r="B906" s="31"/>
      <c r="C906" s="31"/>
      <c r="D906" s="31"/>
      <c r="E906" s="31"/>
      <c r="F906" s="31"/>
      <c r="G906" s="31"/>
      <c r="H906" s="5"/>
      <c r="I906" s="5"/>
      <c r="J906" s="5"/>
      <c r="K906" s="5"/>
      <c r="L906" s="5"/>
      <c r="M906" s="5"/>
      <c r="N906" s="5"/>
      <c r="O906" s="5"/>
      <c r="P906" s="5"/>
      <c r="Q906" s="5"/>
      <c r="R906" s="5"/>
      <c r="S906" s="5"/>
      <c r="T906" s="5"/>
      <c r="U906" s="5"/>
      <c r="V906" s="5"/>
      <c r="W906" s="5"/>
    </row>
    <row r="907" spans="1:23">
      <c r="A907" s="4"/>
      <c r="B907" s="31"/>
      <c r="C907" s="31"/>
      <c r="D907" s="31"/>
      <c r="E907" s="31"/>
      <c r="F907" s="31"/>
      <c r="G907" s="31"/>
      <c r="H907" s="5"/>
      <c r="I907" s="5"/>
      <c r="J907" s="5"/>
      <c r="K907" s="5"/>
      <c r="L907" s="5"/>
      <c r="M907" s="5"/>
      <c r="N907" s="5"/>
      <c r="O907" s="5"/>
      <c r="P907" s="5"/>
      <c r="Q907" s="5"/>
      <c r="R907" s="5"/>
      <c r="S907" s="5"/>
      <c r="T907" s="5"/>
      <c r="U907" s="5"/>
      <c r="V907" s="5"/>
      <c r="W907" s="5"/>
    </row>
    <row r="908" spans="1:23">
      <c r="A908" s="4"/>
      <c r="B908" s="31"/>
      <c r="C908" s="31"/>
      <c r="D908" s="31"/>
      <c r="E908" s="31"/>
      <c r="F908" s="31"/>
      <c r="G908" s="31"/>
      <c r="H908" s="5"/>
      <c r="I908" s="5"/>
      <c r="J908" s="5"/>
      <c r="K908" s="5"/>
      <c r="L908" s="5"/>
      <c r="M908" s="5"/>
      <c r="N908" s="5"/>
      <c r="O908" s="5"/>
      <c r="P908" s="5"/>
      <c r="Q908" s="5"/>
      <c r="R908" s="5"/>
      <c r="S908" s="5"/>
      <c r="T908" s="5"/>
      <c r="U908" s="5"/>
      <c r="V908" s="5"/>
      <c r="W908" s="5"/>
    </row>
    <row r="909" spans="1:23">
      <c r="A909" s="4"/>
      <c r="B909" s="31"/>
      <c r="C909" s="31"/>
      <c r="D909" s="31"/>
      <c r="E909" s="31"/>
      <c r="F909" s="31"/>
      <c r="G909" s="31"/>
      <c r="H909" s="5"/>
      <c r="I909" s="5"/>
      <c r="J909" s="5"/>
      <c r="K909" s="5"/>
      <c r="L909" s="5"/>
      <c r="M909" s="5"/>
      <c r="N909" s="5"/>
      <c r="O909" s="5"/>
      <c r="P909" s="5"/>
      <c r="Q909" s="5"/>
      <c r="R909" s="5"/>
      <c r="S909" s="5"/>
      <c r="T909" s="5"/>
      <c r="U909" s="5"/>
      <c r="V909" s="5"/>
      <c r="W909" s="5"/>
    </row>
    <row r="910" spans="1:23">
      <c r="A910" s="4"/>
      <c r="B910" s="31"/>
      <c r="C910" s="31"/>
      <c r="D910" s="31"/>
      <c r="E910" s="31"/>
      <c r="F910" s="31"/>
      <c r="G910" s="31"/>
      <c r="H910" s="5"/>
      <c r="I910" s="5"/>
      <c r="J910" s="5"/>
      <c r="K910" s="5"/>
      <c r="L910" s="5"/>
      <c r="M910" s="5"/>
      <c r="N910" s="5"/>
      <c r="O910" s="5"/>
      <c r="P910" s="5"/>
      <c r="Q910" s="5"/>
      <c r="R910" s="5"/>
      <c r="S910" s="5"/>
      <c r="T910" s="5"/>
      <c r="U910" s="5"/>
      <c r="V910" s="5"/>
      <c r="W910" s="5"/>
    </row>
    <row r="911" spans="1:23">
      <c r="A911" s="4"/>
      <c r="B911" s="31"/>
      <c r="C911" s="31"/>
      <c r="D911" s="31"/>
      <c r="E911" s="31"/>
      <c r="F911" s="31"/>
      <c r="G911" s="31"/>
      <c r="H911" s="5"/>
      <c r="I911" s="5"/>
      <c r="J911" s="5"/>
      <c r="K911" s="5"/>
      <c r="L911" s="5"/>
      <c r="M911" s="5"/>
      <c r="N911" s="5"/>
      <c r="O911" s="5"/>
      <c r="P911" s="5"/>
      <c r="Q911" s="5"/>
      <c r="R911" s="5"/>
      <c r="S911" s="5"/>
      <c r="T911" s="5"/>
      <c r="U911" s="5"/>
      <c r="V911" s="5"/>
      <c r="W911" s="5"/>
    </row>
    <row r="912" spans="1:23">
      <c r="A912" s="4"/>
      <c r="B912" s="31"/>
      <c r="C912" s="31"/>
      <c r="D912" s="31"/>
      <c r="E912" s="31"/>
      <c r="F912" s="31"/>
      <c r="G912" s="31"/>
      <c r="H912" s="5"/>
      <c r="I912" s="5"/>
      <c r="J912" s="5"/>
      <c r="K912" s="5"/>
      <c r="L912" s="5"/>
      <c r="M912" s="5"/>
      <c r="N912" s="5"/>
      <c r="O912" s="5"/>
      <c r="P912" s="5"/>
      <c r="Q912" s="5"/>
      <c r="R912" s="5"/>
      <c r="S912" s="5"/>
      <c r="T912" s="5"/>
      <c r="U912" s="5"/>
      <c r="V912" s="5"/>
      <c r="W912" s="5"/>
    </row>
    <row r="913" spans="1:23">
      <c r="A913" s="4"/>
      <c r="B913" s="31"/>
      <c r="C913" s="31"/>
      <c r="D913" s="31"/>
      <c r="E913" s="31"/>
      <c r="F913" s="31"/>
      <c r="G913" s="31"/>
      <c r="H913" s="5"/>
      <c r="I913" s="5"/>
      <c r="J913" s="5"/>
      <c r="K913" s="5"/>
      <c r="L913" s="5"/>
      <c r="M913" s="5"/>
      <c r="N913" s="5"/>
      <c r="O913" s="5"/>
      <c r="P913" s="5"/>
      <c r="Q913" s="5"/>
      <c r="R913" s="5"/>
      <c r="S913" s="5"/>
      <c r="T913" s="5"/>
      <c r="U913" s="5"/>
      <c r="V913" s="5"/>
      <c r="W913" s="5"/>
    </row>
    <row r="914" spans="1:23">
      <c r="A914" s="4"/>
      <c r="B914" s="31"/>
      <c r="C914" s="31"/>
      <c r="D914" s="31"/>
      <c r="E914" s="31"/>
      <c r="F914" s="31"/>
      <c r="G914" s="31"/>
      <c r="H914" s="5"/>
      <c r="I914" s="5"/>
      <c r="J914" s="5"/>
      <c r="K914" s="5"/>
      <c r="L914" s="5"/>
      <c r="M914" s="5"/>
      <c r="N914" s="5"/>
      <c r="O914" s="5"/>
      <c r="P914" s="5"/>
      <c r="Q914" s="5"/>
      <c r="R914" s="5"/>
      <c r="S914" s="5"/>
      <c r="T914" s="5"/>
      <c r="U914" s="5"/>
      <c r="V914" s="5"/>
      <c r="W914" s="5"/>
    </row>
    <row r="915" spans="1:23">
      <c r="A915" s="4"/>
      <c r="B915" s="31"/>
      <c r="C915" s="31"/>
      <c r="D915" s="31"/>
      <c r="E915" s="31"/>
      <c r="F915" s="31"/>
      <c r="G915" s="31"/>
      <c r="H915" s="5"/>
      <c r="I915" s="5"/>
      <c r="J915" s="5"/>
      <c r="K915" s="5"/>
      <c r="L915" s="5"/>
      <c r="M915" s="5"/>
      <c r="N915" s="5"/>
      <c r="O915" s="5"/>
      <c r="P915" s="5"/>
      <c r="Q915" s="5"/>
      <c r="R915" s="5"/>
      <c r="S915" s="5"/>
      <c r="T915" s="5"/>
      <c r="U915" s="5"/>
      <c r="V915" s="5"/>
      <c r="W915" s="5"/>
    </row>
    <row r="916" spans="1:23">
      <c r="A916" s="4"/>
      <c r="B916" s="31"/>
      <c r="C916" s="31"/>
      <c r="D916" s="31"/>
      <c r="E916" s="31"/>
      <c r="F916" s="31"/>
      <c r="G916" s="31"/>
      <c r="H916" s="5"/>
      <c r="I916" s="5"/>
      <c r="J916" s="5"/>
      <c r="K916" s="5"/>
      <c r="L916" s="5"/>
      <c r="M916" s="5"/>
      <c r="N916" s="5"/>
      <c r="O916" s="5"/>
      <c r="P916" s="5"/>
      <c r="Q916" s="5"/>
      <c r="R916" s="5"/>
      <c r="S916" s="5"/>
      <c r="T916" s="5"/>
      <c r="U916" s="5"/>
      <c r="V916" s="5"/>
      <c r="W916" s="5"/>
    </row>
    <row r="917" spans="1:23">
      <c r="A917" s="4"/>
      <c r="B917" s="31"/>
      <c r="C917" s="31"/>
      <c r="D917" s="31"/>
      <c r="E917" s="31"/>
      <c r="F917" s="31"/>
      <c r="G917" s="31"/>
      <c r="H917" s="5"/>
      <c r="I917" s="5"/>
      <c r="J917" s="5"/>
      <c r="K917" s="5"/>
      <c r="L917" s="5"/>
      <c r="M917" s="5"/>
      <c r="N917" s="5"/>
      <c r="O917" s="5"/>
      <c r="P917" s="5"/>
      <c r="Q917" s="5"/>
      <c r="R917" s="5"/>
      <c r="S917" s="5"/>
      <c r="T917" s="5"/>
      <c r="U917" s="5"/>
      <c r="V917" s="5"/>
      <c r="W917" s="5"/>
    </row>
    <row r="918" spans="1:23">
      <c r="A918" s="4"/>
      <c r="B918" s="31"/>
      <c r="C918" s="31"/>
      <c r="D918" s="31"/>
      <c r="E918" s="31"/>
      <c r="F918" s="31"/>
      <c r="G918" s="31"/>
      <c r="H918" s="5"/>
      <c r="I918" s="5"/>
      <c r="J918" s="5"/>
      <c r="K918" s="5"/>
      <c r="L918" s="5"/>
      <c r="M918" s="5"/>
      <c r="N918" s="5"/>
      <c r="O918" s="5"/>
      <c r="P918" s="5"/>
      <c r="Q918" s="5"/>
      <c r="R918" s="5"/>
      <c r="S918" s="5"/>
      <c r="T918" s="5"/>
      <c r="U918" s="5"/>
      <c r="V918" s="5"/>
      <c r="W918" s="5"/>
    </row>
    <row r="919" spans="1:23">
      <c r="A919" s="4"/>
      <c r="B919" s="31"/>
      <c r="C919" s="31"/>
      <c r="D919" s="31"/>
      <c r="E919" s="31"/>
      <c r="F919" s="31"/>
      <c r="G919" s="31"/>
      <c r="H919" s="5"/>
      <c r="I919" s="5"/>
      <c r="J919" s="5"/>
      <c r="K919" s="5"/>
      <c r="L919" s="5"/>
      <c r="M919" s="5"/>
      <c r="N919" s="5"/>
      <c r="O919" s="5"/>
      <c r="P919" s="5"/>
      <c r="Q919" s="5"/>
      <c r="R919" s="5"/>
      <c r="S919" s="5"/>
      <c r="T919" s="5"/>
      <c r="U919" s="5"/>
      <c r="V919" s="5"/>
      <c r="W919" s="5"/>
    </row>
    <row r="920" spans="1:23">
      <c r="A920" s="4"/>
      <c r="B920" s="31"/>
      <c r="C920" s="31"/>
      <c r="D920" s="31"/>
      <c r="E920" s="31"/>
      <c r="F920" s="31"/>
      <c r="G920" s="31"/>
      <c r="H920" s="5"/>
      <c r="I920" s="5"/>
      <c r="J920" s="5"/>
      <c r="K920" s="5"/>
      <c r="L920" s="5"/>
      <c r="M920" s="5"/>
      <c r="N920" s="5"/>
      <c r="O920" s="5"/>
      <c r="P920" s="5"/>
      <c r="Q920" s="5"/>
      <c r="R920" s="5"/>
      <c r="S920" s="5"/>
      <c r="T920" s="5"/>
      <c r="U920" s="5"/>
      <c r="V920" s="5"/>
      <c r="W920" s="5"/>
    </row>
    <row r="921" spans="1:23">
      <c r="A921" s="4"/>
      <c r="B921" s="31"/>
      <c r="C921" s="31"/>
      <c r="D921" s="31"/>
      <c r="E921" s="31"/>
      <c r="F921" s="31"/>
      <c r="G921" s="31"/>
      <c r="H921" s="5"/>
      <c r="I921" s="5"/>
      <c r="J921" s="5"/>
      <c r="K921" s="5"/>
      <c r="L921" s="5"/>
      <c r="M921" s="5"/>
      <c r="N921" s="5"/>
      <c r="O921" s="5"/>
      <c r="P921" s="5"/>
      <c r="Q921" s="5"/>
      <c r="R921" s="5"/>
      <c r="S921" s="5"/>
      <c r="T921" s="5"/>
      <c r="U921" s="5"/>
      <c r="V921" s="5"/>
      <c r="W921" s="5"/>
    </row>
    <row r="922" spans="1:23">
      <c r="A922" s="4"/>
      <c r="B922" s="31"/>
      <c r="C922" s="31"/>
      <c r="D922" s="31"/>
      <c r="E922" s="31"/>
      <c r="F922" s="31"/>
      <c r="G922" s="31"/>
      <c r="H922" s="5"/>
      <c r="I922" s="5"/>
      <c r="J922" s="5"/>
      <c r="K922" s="5"/>
      <c r="L922" s="5"/>
      <c r="M922" s="5"/>
      <c r="N922" s="5"/>
      <c r="O922" s="5"/>
      <c r="P922" s="5"/>
      <c r="Q922" s="5"/>
      <c r="R922" s="5"/>
      <c r="S922" s="5"/>
      <c r="T922" s="5"/>
      <c r="U922" s="5"/>
      <c r="V922" s="5"/>
      <c r="W922" s="5"/>
    </row>
    <row r="923" spans="1:23">
      <c r="A923" s="4"/>
      <c r="B923" s="31"/>
      <c r="C923" s="31"/>
      <c r="D923" s="31"/>
      <c r="E923" s="31"/>
      <c r="F923" s="31"/>
      <c r="G923" s="31"/>
      <c r="H923" s="5"/>
      <c r="I923" s="5"/>
      <c r="J923" s="5"/>
      <c r="K923" s="5"/>
      <c r="L923" s="5"/>
      <c r="M923" s="5"/>
      <c r="N923" s="5"/>
      <c r="O923" s="5"/>
      <c r="P923" s="5"/>
      <c r="Q923" s="5"/>
      <c r="R923" s="5"/>
      <c r="S923" s="5"/>
      <c r="T923" s="5"/>
      <c r="U923" s="5"/>
      <c r="V923" s="5"/>
      <c r="W923" s="5"/>
    </row>
    <row r="924" spans="1:23">
      <c r="A924" s="4"/>
      <c r="B924" s="31"/>
      <c r="C924" s="31"/>
      <c r="D924" s="31"/>
      <c r="E924" s="31"/>
      <c r="F924" s="31"/>
      <c r="G924" s="31"/>
      <c r="H924" s="5"/>
      <c r="I924" s="5"/>
      <c r="J924" s="5"/>
      <c r="K924" s="5"/>
      <c r="L924" s="5"/>
      <c r="M924" s="5"/>
      <c r="N924" s="5"/>
      <c r="O924" s="5"/>
      <c r="P924" s="5"/>
      <c r="Q924" s="5"/>
      <c r="R924" s="5"/>
      <c r="S924" s="5"/>
      <c r="T924" s="5"/>
      <c r="U924" s="5"/>
      <c r="V924" s="5"/>
      <c r="W924" s="5"/>
    </row>
    <row r="925" spans="1:23">
      <c r="A925" s="4"/>
      <c r="B925" s="31"/>
      <c r="C925" s="31"/>
      <c r="D925" s="31"/>
      <c r="E925" s="31"/>
      <c r="F925" s="31"/>
      <c r="G925" s="31"/>
      <c r="H925" s="5"/>
      <c r="I925" s="5"/>
      <c r="J925" s="5"/>
      <c r="K925" s="5"/>
      <c r="L925" s="5"/>
      <c r="M925" s="5"/>
      <c r="N925" s="5"/>
      <c r="O925" s="5"/>
      <c r="P925" s="5"/>
      <c r="Q925" s="5"/>
      <c r="R925" s="5"/>
      <c r="S925" s="5"/>
      <c r="T925" s="5"/>
      <c r="U925" s="5"/>
      <c r="V925" s="5"/>
      <c r="W925" s="5"/>
    </row>
    <row r="926" spans="1:23">
      <c r="A926" s="4"/>
      <c r="B926" s="31"/>
      <c r="C926" s="31"/>
      <c r="D926" s="31"/>
      <c r="E926" s="31"/>
      <c r="F926" s="31"/>
      <c r="G926" s="31"/>
      <c r="H926" s="5"/>
      <c r="I926" s="5"/>
      <c r="J926" s="5"/>
      <c r="K926" s="5"/>
      <c r="L926" s="5"/>
      <c r="M926" s="5"/>
      <c r="N926" s="5"/>
      <c r="O926" s="5"/>
      <c r="P926" s="5"/>
      <c r="Q926" s="5"/>
      <c r="R926" s="5"/>
      <c r="S926" s="5"/>
      <c r="T926" s="5"/>
      <c r="U926" s="5"/>
      <c r="V926" s="5"/>
      <c r="W926" s="5"/>
    </row>
    <row r="927" spans="1:23">
      <c r="A927" s="4"/>
      <c r="B927" s="31"/>
      <c r="C927" s="31"/>
      <c r="D927" s="31"/>
      <c r="E927" s="31"/>
      <c r="F927" s="31"/>
      <c r="G927" s="31"/>
      <c r="H927" s="5"/>
      <c r="I927" s="5"/>
      <c r="J927" s="5"/>
      <c r="K927" s="5"/>
      <c r="L927" s="5"/>
      <c r="M927" s="5"/>
      <c r="N927" s="5"/>
      <c r="O927" s="5"/>
      <c r="P927" s="5"/>
      <c r="Q927" s="5"/>
      <c r="R927" s="5"/>
      <c r="S927" s="5"/>
      <c r="T927" s="5"/>
      <c r="U927" s="5"/>
      <c r="V927" s="5"/>
      <c r="W927" s="5"/>
    </row>
    <row r="928" spans="1:23">
      <c r="A928" s="4"/>
      <c r="B928" s="31"/>
      <c r="C928" s="31"/>
      <c r="D928" s="31"/>
      <c r="E928" s="31"/>
      <c r="F928" s="31"/>
      <c r="G928" s="31"/>
      <c r="H928" s="5"/>
      <c r="I928" s="5"/>
      <c r="J928" s="5"/>
      <c r="K928" s="5"/>
      <c r="L928" s="5"/>
      <c r="M928" s="5"/>
      <c r="N928" s="5"/>
      <c r="O928" s="5"/>
      <c r="P928" s="5"/>
      <c r="Q928" s="5"/>
      <c r="R928" s="5"/>
      <c r="S928" s="5"/>
      <c r="T928" s="5"/>
      <c r="U928" s="5"/>
      <c r="V928" s="5"/>
      <c r="W928" s="5"/>
    </row>
    <row r="929" spans="1:23">
      <c r="A929" s="4"/>
      <c r="B929" s="31"/>
      <c r="C929" s="31"/>
      <c r="D929" s="31"/>
      <c r="E929" s="31"/>
      <c r="F929" s="31"/>
      <c r="G929" s="31"/>
      <c r="H929" s="5"/>
      <c r="I929" s="5"/>
      <c r="J929" s="5"/>
      <c r="K929" s="5"/>
      <c r="L929" s="5"/>
      <c r="M929" s="5"/>
      <c r="N929" s="5"/>
      <c r="O929" s="5"/>
      <c r="P929" s="5"/>
      <c r="Q929" s="5"/>
      <c r="R929" s="5"/>
      <c r="S929" s="5"/>
      <c r="T929" s="5"/>
      <c r="U929" s="5"/>
      <c r="V929" s="5"/>
      <c r="W929" s="5"/>
    </row>
    <row r="930" spans="1:23">
      <c r="A930" s="4"/>
      <c r="B930" s="31"/>
      <c r="C930" s="31"/>
      <c r="D930" s="31"/>
      <c r="E930" s="31"/>
      <c r="F930" s="31"/>
      <c r="G930" s="31"/>
      <c r="H930" s="5"/>
      <c r="I930" s="5"/>
      <c r="J930" s="5"/>
      <c r="K930" s="5"/>
      <c r="L930" s="5"/>
      <c r="M930" s="5"/>
      <c r="N930" s="5"/>
      <c r="O930" s="5"/>
      <c r="P930" s="5"/>
      <c r="Q930" s="5"/>
      <c r="R930" s="5"/>
      <c r="S930" s="5"/>
      <c r="T930" s="5"/>
      <c r="U930" s="5"/>
      <c r="V930" s="5"/>
      <c r="W930" s="5"/>
    </row>
    <row r="931" spans="1:23">
      <c r="A931" s="4"/>
      <c r="B931" s="31"/>
      <c r="C931" s="31"/>
      <c r="D931" s="31"/>
      <c r="E931" s="31"/>
      <c r="F931" s="31"/>
      <c r="G931" s="31"/>
      <c r="H931" s="5"/>
      <c r="I931" s="5"/>
      <c r="J931" s="5"/>
      <c r="K931" s="5"/>
      <c r="L931" s="5"/>
      <c r="M931" s="5"/>
      <c r="N931" s="5"/>
      <c r="O931" s="5"/>
      <c r="P931" s="5"/>
      <c r="Q931" s="5"/>
      <c r="R931" s="5"/>
      <c r="S931" s="5"/>
      <c r="T931" s="5"/>
      <c r="U931" s="5"/>
      <c r="V931" s="5"/>
      <c r="W931" s="5"/>
    </row>
    <row r="932" spans="1:23">
      <c r="A932" s="4"/>
      <c r="B932" s="31"/>
      <c r="C932" s="31"/>
      <c r="D932" s="31"/>
      <c r="E932" s="31"/>
      <c r="F932" s="31"/>
      <c r="G932" s="31"/>
      <c r="H932" s="5"/>
      <c r="I932" s="5"/>
      <c r="J932" s="5"/>
      <c r="K932" s="5"/>
      <c r="L932" s="5"/>
      <c r="M932" s="5"/>
      <c r="N932" s="5"/>
      <c r="O932" s="5"/>
      <c r="P932" s="5"/>
      <c r="Q932" s="5"/>
      <c r="R932" s="5"/>
      <c r="S932" s="5"/>
      <c r="T932" s="5"/>
      <c r="U932" s="5"/>
      <c r="V932" s="5"/>
      <c r="W932" s="5"/>
    </row>
    <row r="933" spans="1:23">
      <c r="A933" s="4"/>
      <c r="B933" s="31"/>
      <c r="C933" s="31"/>
      <c r="D933" s="31"/>
      <c r="E933" s="31"/>
      <c r="F933" s="31"/>
      <c r="G933" s="31"/>
      <c r="H933" s="5"/>
      <c r="I933" s="5"/>
      <c r="J933" s="5"/>
      <c r="K933" s="5"/>
      <c r="L933" s="5"/>
      <c r="M933" s="5"/>
      <c r="N933" s="5"/>
      <c r="O933" s="5"/>
      <c r="P933" s="5"/>
      <c r="Q933" s="5"/>
      <c r="R933" s="5"/>
      <c r="S933" s="5"/>
      <c r="T933" s="5"/>
      <c r="U933" s="5"/>
      <c r="V933" s="5"/>
      <c r="W933" s="5"/>
    </row>
    <row r="934" spans="1:23">
      <c r="A934" s="4"/>
      <c r="B934" s="31"/>
      <c r="C934" s="31"/>
      <c r="D934" s="31"/>
      <c r="E934" s="31"/>
      <c r="F934" s="31"/>
      <c r="G934" s="31"/>
      <c r="H934" s="5"/>
      <c r="I934" s="5"/>
      <c r="J934" s="5"/>
      <c r="K934" s="5"/>
      <c r="L934" s="5"/>
      <c r="M934" s="5"/>
      <c r="N934" s="5"/>
      <c r="O934" s="5"/>
      <c r="P934" s="5"/>
      <c r="Q934" s="5"/>
      <c r="R934" s="5"/>
      <c r="S934" s="5"/>
      <c r="T934" s="5"/>
      <c r="U934" s="5"/>
      <c r="V934" s="5"/>
      <c r="W934" s="5"/>
    </row>
    <row r="935" spans="1:23">
      <c r="A935" s="4"/>
      <c r="B935" s="31"/>
      <c r="C935" s="31"/>
      <c r="D935" s="31"/>
      <c r="E935" s="31"/>
      <c r="F935" s="31"/>
      <c r="G935" s="31"/>
      <c r="H935" s="5"/>
      <c r="I935" s="5"/>
      <c r="J935" s="5"/>
      <c r="K935" s="5"/>
      <c r="L935" s="5"/>
      <c r="M935" s="5"/>
      <c r="N935" s="5"/>
      <c r="O935" s="5"/>
      <c r="P935" s="5"/>
      <c r="Q935" s="5"/>
      <c r="R935" s="5"/>
      <c r="S935" s="5"/>
      <c r="T935" s="5"/>
      <c r="U935" s="5"/>
      <c r="V935" s="5"/>
      <c r="W935" s="5"/>
    </row>
    <row r="936" spans="1:23">
      <c r="A936" s="4"/>
      <c r="B936" s="31"/>
      <c r="C936" s="31"/>
      <c r="D936" s="31"/>
      <c r="E936" s="31"/>
      <c r="F936" s="31"/>
      <c r="G936" s="31"/>
      <c r="H936" s="5"/>
      <c r="I936" s="5"/>
      <c r="J936" s="5"/>
      <c r="K936" s="5"/>
      <c r="L936" s="5"/>
      <c r="M936" s="5"/>
      <c r="N936" s="5"/>
      <c r="O936" s="5"/>
      <c r="P936" s="5"/>
      <c r="Q936" s="5"/>
      <c r="R936" s="5"/>
      <c r="S936" s="5"/>
      <c r="T936" s="5"/>
      <c r="U936" s="5"/>
      <c r="V936" s="5"/>
      <c r="W936" s="5"/>
    </row>
    <row r="937" spans="1:23">
      <c r="A937" s="4"/>
      <c r="B937" s="31"/>
      <c r="C937" s="31"/>
      <c r="D937" s="31"/>
      <c r="E937" s="31"/>
      <c r="F937" s="31"/>
      <c r="G937" s="31"/>
      <c r="H937" s="5"/>
      <c r="I937" s="5"/>
      <c r="J937" s="5"/>
      <c r="K937" s="5"/>
      <c r="L937" s="5"/>
      <c r="M937" s="5"/>
      <c r="N937" s="5"/>
      <c r="O937" s="5"/>
      <c r="P937" s="5"/>
      <c r="Q937" s="5"/>
      <c r="R937" s="5"/>
      <c r="S937" s="5"/>
      <c r="T937" s="5"/>
      <c r="U937" s="5"/>
      <c r="V937" s="5"/>
      <c r="W937" s="5"/>
    </row>
    <row r="938" spans="1:23">
      <c r="A938" s="4"/>
      <c r="B938" s="31"/>
      <c r="C938" s="31"/>
      <c r="D938" s="31"/>
      <c r="E938" s="31"/>
      <c r="F938" s="31"/>
      <c r="G938" s="31"/>
      <c r="H938" s="5"/>
      <c r="I938" s="5"/>
      <c r="J938" s="5"/>
      <c r="K938" s="5"/>
      <c r="L938" s="5"/>
      <c r="M938" s="5"/>
      <c r="N938" s="5"/>
      <c r="O938" s="5"/>
      <c r="P938" s="5"/>
      <c r="Q938" s="5"/>
      <c r="R938" s="5"/>
      <c r="S938" s="5"/>
      <c r="T938" s="5"/>
      <c r="U938" s="5"/>
      <c r="V938" s="5"/>
      <c r="W938" s="5"/>
    </row>
    <row r="939" spans="1:23">
      <c r="A939" s="4"/>
      <c r="B939" s="31"/>
      <c r="C939" s="31"/>
      <c r="D939" s="31"/>
      <c r="E939" s="31"/>
      <c r="F939" s="31"/>
      <c r="G939" s="31"/>
      <c r="H939" s="5"/>
      <c r="I939" s="5"/>
      <c r="J939" s="5"/>
      <c r="K939" s="5"/>
      <c r="L939" s="5"/>
      <c r="M939" s="5"/>
      <c r="N939" s="5"/>
      <c r="O939" s="5"/>
      <c r="P939" s="5"/>
      <c r="Q939" s="5"/>
      <c r="R939" s="5"/>
      <c r="S939" s="5"/>
      <c r="T939" s="5"/>
      <c r="U939" s="5"/>
      <c r="V939" s="5"/>
      <c r="W939" s="5"/>
    </row>
    <row r="940" spans="1:23">
      <c r="A940" s="4"/>
      <c r="B940" s="31"/>
      <c r="C940" s="31"/>
      <c r="D940" s="31"/>
      <c r="E940" s="31"/>
      <c r="F940" s="31"/>
      <c r="G940" s="31"/>
      <c r="H940" s="5"/>
      <c r="I940" s="5"/>
      <c r="J940" s="5"/>
      <c r="K940" s="5"/>
      <c r="L940" s="5"/>
      <c r="M940" s="5"/>
      <c r="N940" s="5"/>
      <c r="O940" s="5"/>
      <c r="P940" s="5"/>
      <c r="Q940" s="5"/>
      <c r="R940" s="5"/>
      <c r="S940" s="5"/>
      <c r="T940" s="5"/>
      <c r="U940" s="5"/>
      <c r="V940" s="5"/>
      <c r="W940" s="5"/>
    </row>
    <row r="941" spans="1:23">
      <c r="A941" s="4"/>
      <c r="B941" s="31"/>
      <c r="C941" s="31"/>
      <c r="D941" s="31"/>
      <c r="E941" s="31"/>
      <c r="F941" s="31"/>
      <c r="G941" s="31"/>
      <c r="H941" s="5"/>
      <c r="I941" s="5"/>
      <c r="J941" s="5"/>
      <c r="K941" s="5"/>
      <c r="L941" s="5"/>
      <c r="M941" s="5"/>
      <c r="N941" s="5"/>
      <c r="O941" s="5"/>
      <c r="P941" s="5"/>
      <c r="Q941" s="5"/>
      <c r="R941" s="5"/>
      <c r="S941" s="5"/>
      <c r="T941" s="5"/>
      <c r="U941" s="5"/>
      <c r="V941" s="5"/>
      <c r="W941" s="5"/>
    </row>
    <row r="942" spans="1:23">
      <c r="A942" s="4"/>
      <c r="B942" s="31"/>
      <c r="C942" s="31"/>
      <c r="D942" s="31"/>
      <c r="E942" s="31"/>
      <c r="F942" s="31"/>
      <c r="G942" s="31"/>
      <c r="H942" s="5"/>
      <c r="I942" s="5"/>
      <c r="J942" s="5"/>
      <c r="K942" s="5"/>
      <c r="L942" s="5"/>
      <c r="M942" s="5"/>
      <c r="N942" s="5"/>
      <c r="O942" s="5"/>
      <c r="P942" s="5"/>
      <c r="Q942" s="5"/>
      <c r="R942" s="5"/>
      <c r="S942" s="5"/>
      <c r="T942" s="5"/>
      <c r="U942" s="5"/>
      <c r="V942" s="5"/>
      <c r="W942" s="5"/>
    </row>
    <row r="943" spans="1:23">
      <c r="A943" s="4"/>
      <c r="B943" s="31"/>
      <c r="C943" s="31"/>
      <c r="D943" s="31"/>
      <c r="E943" s="31"/>
      <c r="F943" s="31"/>
      <c r="G943" s="31"/>
      <c r="H943" s="5"/>
      <c r="I943" s="5"/>
      <c r="J943" s="5"/>
      <c r="K943" s="5"/>
      <c r="L943" s="5"/>
      <c r="M943" s="5"/>
      <c r="N943" s="5"/>
      <c r="O943" s="5"/>
      <c r="P943" s="5"/>
      <c r="Q943" s="5"/>
      <c r="R943" s="5"/>
      <c r="S943" s="5"/>
      <c r="T943" s="5"/>
      <c r="U943" s="5"/>
      <c r="V943" s="5"/>
      <c r="W943" s="5"/>
    </row>
    <row r="944" spans="1:23">
      <c r="A944" s="4"/>
      <c r="B944" s="31"/>
      <c r="C944" s="31"/>
      <c r="D944" s="31"/>
      <c r="E944" s="31"/>
      <c r="F944" s="31"/>
      <c r="G944" s="31"/>
      <c r="H944" s="5"/>
      <c r="I944" s="5"/>
      <c r="J944" s="5"/>
      <c r="K944" s="5"/>
      <c r="L944" s="5"/>
      <c r="M944" s="5"/>
      <c r="N944" s="5"/>
      <c r="O944" s="5"/>
      <c r="P944" s="5"/>
      <c r="Q944" s="5"/>
      <c r="R944" s="5"/>
      <c r="S944" s="5"/>
      <c r="T944" s="5"/>
      <c r="U944" s="5"/>
      <c r="V944" s="5"/>
      <c r="W944" s="5"/>
    </row>
    <row r="945" spans="1:23">
      <c r="A945" s="4"/>
      <c r="B945" s="31"/>
      <c r="C945" s="31"/>
      <c r="D945" s="31"/>
      <c r="E945" s="31"/>
      <c r="F945" s="31"/>
      <c r="G945" s="31"/>
      <c r="H945" s="5"/>
      <c r="I945" s="5"/>
      <c r="J945" s="5"/>
      <c r="K945" s="5"/>
      <c r="L945" s="5"/>
      <c r="M945" s="5"/>
      <c r="N945" s="5"/>
      <c r="O945" s="5"/>
      <c r="P945" s="5"/>
      <c r="Q945" s="5"/>
      <c r="R945" s="5"/>
      <c r="S945" s="5"/>
      <c r="T945" s="5"/>
      <c r="U945" s="5"/>
      <c r="V945" s="5"/>
      <c r="W945" s="5"/>
    </row>
    <row r="946" spans="1:23">
      <c r="A946" s="4"/>
      <c r="B946" s="31"/>
      <c r="C946" s="31"/>
      <c r="D946" s="31"/>
      <c r="E946" s="31"/>
      <c r="F946" s="31"/>
      <c r="G946" s="31"/>
      <c r="H946" s="5"/>
      <c r="I946" s="5"/>
      <c r="J946" s="5"/>
      <c r="K946" s="5"/>
      <c r="L946" s="5"/>
      <c r="M946" s="5"/>
      <c r="N946" s="5"/>
      <c r="O946" s="5"/>
      <c r="P946" s="5"/>
      <c r="Q946" s="5"/>
      <c r="R946" s="5"/>
      <c r="S946" s="5"/>
      <c r="T946" s="5"/>
      <c r="U946" s="5"/>
      <c r="V946" s="5"/>
      <c r="W946" s="5"/>
    </row>
    <row r="947" spans="1:23">
      <c r="A947" s="4"/>
      <c r="B947" s="31"/>
      <c r="C947" s="31"/>
      <c r="D947" s="31"/>
      <c r="E947" s="31"/>
      <c r="F947" s="31"/>
      <c r="G947" s="31"/>
      <c r="H947" s="5"/>
      <c r="I947" s="5"/>
      <c r="J947" s="5"/>
      <c r="K947" s="5"/>
      <c r="L947" s="5"/>
      <c r="M947" s="5"/>
      <c r="N947" s="5"/>
      <c r="O947" s="5"/>
      <c r="P947" s="5"/>
      <c r="Q947" s="5"/>
      <c r="R947" s="5"/>
      <c r="S947" s="5"/>
      <c r="T947" s="5"/>
      <c r="U947" s="5"/>
      <c r="V947" s="5"/>
      <c r="W947" s="5"/>
    </row>
    <row r="948" spans="1:23">
      <c r="A948" s="4"/>
      <c r="B948" s="31"/>
      <c r="C948" s="31"/>
      <c r="D948" s="31"/>
      <c r="E948" s="31"/>
      <c r="F948" s="31"/>
      <c r="G948" s="31"/>
      <c r="H948" s="5"/>
      <c r="I948" s="5"/>
      <c r="J948" s="5"/>
      <c r="K948" s="5"/>
      <c r="L948" s="5"/>
      <c r="M948" s="5"/>
      <c r="N948" s="5"/>
      <c r="O948" s="5"/>
      <c r="P948" s="5"/>
      <c r="Q948" s="5"/>
      <c r="R948" s="5"/>
      <c r="S948" s="5"/>
      <c r="T948" s="5"/>
      <c r="U948" s="5"/>
      <c r="V948" s="5"/>
      <c r="W948" s="5"/>
    </row>
    <row r="949" spans="1:23">
      <c r="A949" s="4"/>
      <c r="B949" s="31"/>
      <c r="C949" s="31"/>
      <c r="D949" s="31"/>
      <c r="E949" s="31"/>
      <c r="F949" s="31"/>
      <c r="G949" s="31"/>
      <c r="H949" s="5"/>
      <c r="I949" s="5"/>
      <c r="J949" s="5"/>
      <c r="K949" s="5"/>
      <c r="L949" s="5"/>
      <c r="M949" s="5"/>
      <c r="N949" s="5"/>
      <c r="O949" s="5"/>
      <c r="P949" s="5"/>
      <c r="Q949" s="5"/>
      <c r="R949" s="5"/>
      <c r="S949" s="5"/>
      <c r="T949" s="5"/>
      <c r="U949" s="5"/>
      <c r="V949" s="5"/>
      <c r="W949" s="5"/>
    </row>
    <row r="950" spans="1:23">
      <c r="A950" s="4"/>
      <c r="B950" s="31"/>
      <c r="C950" s="31"/>
      <c r="D950" s="31"/>
      <c r="E950" s="31"/>
      <c r="F950" s="31"/>
      <c r="G950" s="31"/>
      <c r="H950" s="5"/>
      <c r="I950" s="5"/>
      <c r="J950" s="5"/>
      <c r="K950" s="5"/>
      <c r="L950" s="5"/>
      <c r="M950" s="5"/>
      <c r="N950" s="5"/>
      <c r="O950" s="5"/>
      <c r="P950" s="5"/>
      <c r="Q950" s="5"/>
      <c r="R950" s="5"/>
      <c r="S950" s="5"/>
      <c r="T950" s="5"/>
      <c r="U950" s="5"/>
      <c r="V950" s="5"/>
      <c r="W950" s="5"/>
    </row>
    <row r="951" spans="1:23">
      <c r="A951" s="4"/>
      <c r="B951" s="31"/>
      <c r="C951" s="31"/>
      <c r="D951" s="31"/>
      <c r="E951" s="31"/>
      <c r="F951" s="31"/>
      <c r="G951" s="31"/>
      <c r="H951" s="5"/>
      <c r="I951" s="5"/>
      <c r="J951" s="5"/>
      <c r="K951" s="5"/>
      <c r="L951" s="5"/>
      <c r="M951" s="5"/>
      <c r="N951" s="5"/>
      <c r="O951" s="5"/>
      <c r="P951" s="5"/>
      <c r="Q951" s="5"/>
      <c r="R951" s="5"/>
      <c r="S951" s="5"/>
      <c r="T951" s="5"/>
      <c r="U951" s="5"/>
      <c r="V951" s="5"/>
      <c r="W951" s="5"/>
    </row>
    <row r="952" spans="1:23">
      <c r="A952" s="4"/>
      <c r="B952" s="31"/>
      <c r="C952" s="31"/>
      <c r="D952" s="31"/>
      <c r="E952" s="31"/>
      <c r="F952" s="31"/>
      <c r="G952" s="31"/>
      <c r="H952" s="5"/>
      <c r="I952" s="5"/>
      <c r="J952" s="5"/>
      <c r="K952" s="5"/>
      <c r="L952" s="5"/>
      <c r="M952" s="5"/>
      <c r="N952" s="5"/>
      <c r="O952" s="5"/>
      <c r="P952" s="5"/>
      <c r="Q952" s="5"/>
      <c r="R952" s="5"/>
      <c r="S952" s="5"/>
      <c r="T952" s="5"/>
      <c r="U952" s="5"/>
      <c r="V952" s="5"/>
      <c r="W952" s="5"/>
    </row>
    <row r="953" spans="1:23">
      <c r="A953" s="4"/>
      <c r="B953" s="31"/>
      <c r="C953" s="31"/>
      <c r="D953" s="31"/>
      <c r="E953" s="31"/>
      <c r="F953" s="31"/>
      <c r="G953" s="31"/>
      <c r="H953" s="5"/>
      <c r="I953" s="5"/>
      <c r="J953" s="5"/>
      <c r="K953" s="5"/>
      <c r="L953" s="5"/>
      <c r="M953" s="5"/>
      <c r="N953" s="5"/>
      <c r="O953" s="5"/>
      <c r="P953" s="5"/>
      <c r="Q953" s="5"/>
      <c r="R953" s="5"/>
      <c r="S953" s="5"/>
      <c r="T953" s="5"/>
      <c r="U953" s="5"/>
      <c r="V953" s="5"/>
      <c r="W953" s="5"/>
    </row>
    <row r="954" spans="1:23">
      <c r="A954" s="4"/>
      <c r="B954" s="31"/>
      <c r="C954" s="31"/>
      <c r="D954" s="31"/>
      <c r="E954" s="31"/>
      <c r="F954" s="31"/>
      <c r="G954" s="31"/>
      <c r="H954" s="5"/>
      <c r="I954" s="5"/>
      <c r="J954" s="5"/>
      <c r="K954" s="5"/>
      <c r="L954" s="5"/>
      <c r="M954" s="5"/>
      <c r="N954" s="5"/>
      <c r="O954" s="5"/>
      <c r="P954" s="5"/>
      <c r="Q954" s="5"/>
      <c r="R954" s="5"/>
      <c r="S954" s="5"/>
      <c r="T954" s="5"/>
      <c r="U954" s="5"/>
      <c r="V954" s="5"/>
      <c r="W954" s="5"/>
    </row>
    <row r="955" spans="1:23">
      <c r="A955" s="4"/>
      <c r="B955" s="31"/>
      <c r="C955" s="31"/>
      <c r="D955" s="31"/>
      <c r="E955" s="31"/>
      <c r="F955" s="31"/>
      <c r="G955" s="31"/>
      <c r="H955" s="5"/>
      <c r="I955" s="5"/>
      <c r="J955" s="5"/>
      <c r="K955" s="5"/>
      <c r="L955" s="5"/>
      <c r="M955" s="5"/>
      <c r="N955" s="5"/>
      <c r="O955" s="5"/>
      <c r="P955" s="5"/>
      <c r="Q955" s="5"/>
      <c r="R955" s="5"/>
      <c r="S955" s="5"/>
      <c r="T955" s="5"/>
      <c r="U955" s="5"/>
      <c r="V955" s="5"/>
      <c r="W955" s="5"/>
    </row>
    <row r="956" spans="1:23">
      <c r="A956" s="4"/>
      <c r="B956" s="31"/>
      <c r="C956" s="31"/>
      <c r="D956" s="31"/>
      <c r="E956" s="31"/>
      <c r="F956" s="31"/>
      <c r="G956" s="31"/>
      <c r="H956" s="5"/>
      <c r="I956" s="5"/>
      <c r="J956" s="5"/>
      <c r="K956" s="5"/>
      <c r="L956" s="5"/>
      <c r="M956" s="5"/>
      <c r="N956" s="5"/>
      <c r="O956" s="5"/>
      <c r="P956" s="5"/>
      <c r="Q956" s="5"/>
      <c r="R956" s="5"/>
      <c r="S956" s="5"/>
      <c r="T956" s="5"/>
      <c r="U956" s="5"/>
      <c r="V956" s="5"/>
      <c r="W956" s="5"/>
    </row>
    <row r="957" spans="1:23">
      <c r="A957" s="4"/>
      <c r="B957" s="31"/>
      <c r="C957" s="31"/>
      <c r="D957" s="31"/>
      <c r="E957" s="31"/>
      <c r="F957" s="31"/>
      <c r="G957" s="31"/>
      <c r="H957" s="5"/>
      <c r="I957" s="5"/>
      <c r="J957" s="5"/>
      <c r="K957" s="5"/>
      <c r="L957" s="5"/>
      <c r="M957" s="5"/>
      <c r="N957" s="5"/>
      <c r="O957" s="5"/>
      <c r="P957" s="5"/>
      <c r="Q957" s="5"/>
      <c r="R957" s="5"/>
      <c r="S957" s="5"/>
      <c r="T957" s="5"/>
      <c r="U957" s="5"/>
      <c r="V957" s="5"/>
      <c r="W957" s="5"/>
    </row>
    <row r="958" spans="1:23">
      <c r="A958" s="4"/>
      <c r="B958" s="31"/>
      <c r="C958" s="31"/>
      <c r="D958" s="31"/>
      <c r="E958" s="31"/>
      <c r="F958" s="31"/>
      <c r="G958" s="31"/>
      <c r="H958" s="5"/>
      <c r="I958" s="5"/>
      <c r="J958" s="5"/>
      <c r="K958" s="5"/>
      <c r="L958" s="5"/>
      <c r="M958" s="5"/>
      <c r="N958" s="5"/>
      <c r="O958" s="5"/>
      <c r="P958" s="5"/>
      <c r="Q958" s="5"/>
      <c r="R958" s="5"/>
      <c r="S958" s="5"/>
      <c r="T958" s="5"/>
      <c r="U958" s="5"/>
      <c r="V958" s="5"/>
      <c r="W958" s="5"/>
    </row>
    <row r="959" spans="1:23">
      <c r="A959" s="4"/>
      <c r="B959" s="31"/>
      <c r="C959" s="31"/>
      <c r="D959" s="31"/>
      <c r="E959" s="31"/>
      <c r="F959" s="31"/>
      <c r="G959" s="31"/>
      <c r="H959" s="5"/>
      <c r="I959" s="5"/>
      <c r="J959" s="5"/>
      <c r="K959" s="5"/>
      <c r="L959" s="5"/>
      <c r="M959" s="5"/>
      <c r="N959" s="5"/>
      <c r="O959" s="5"/>
      <c r="P959" s="5"/>
      <c r="Q959" s="5"/>
      <c r="R959" s="5"/>
      <c r="S959" s="5"/>
      <c r="T959" s="5"/>
      <c r="U959" s="5"/>
      <c r="V959" s="5"/>
      <c r="W959" s="5"/>
    </row>
    <row r="960" spans="1:23">
      <c r="A960" s="4"/>
      <c r="B960" s="31"/>
      <c r="C960" s="31"/>
      <c r="D960" s="31"/>
      <c r="E960" s="31"/>
      <c r="F960" s="31"/>
      <c r="G960" s="31"/>
      <c r="H960" s="5"/>
      <c r="I960" s="5"/>
      <c r="J960" s="5"/>
      <c r="K960" s="5"/>
      <c r="L960" s="5"/>
      <c r="M960" s="5"/>
      <c r="N960" s="5"/>
      <c r="O960" s="5"/>
      <c r="P960" s="5"/>
      <c r="Q960" s="5"/>
      <c r="R960" s="5"/>
      <c r="S960" s="5"/>
      <c r="T960" s="5"/>
      <c r="U960" s="5"/>
      <c r="V960" s="5"/>
      <c r="W960" s="5"/>
    </row>
    <row r="961" spans="1:23">
      <c r="A961" s="4"/>
      <c r="B961" s="31"/>
      <c r="C961" s="31"/>
      <c r="D961" s="31"/>
      <c r="E961" s="31"/>
      <c r="F961" s="31"/>
      <c r="G961" s="31"/>
      <c r="H961" s="5"/>
      <c r="I961" s="5"/>
      <c r="J961" s="5"/>
      <c r="K961" s="5"/>
      <c r="L961" s="5"/>
      <c r="M961" s="5"/>
      <c r="N961" s="5"/>
      <c r="O961" s="5"/>
      <c r="P961" s="5"/>
      <c r="Q961" s="5"/>
      <c r="R961" s="5"/>
      <c r="S961" s="5"/>
      <c r="T961" s="5"/>
      <c r="U961" s="5"/>
      <c r="V961" s="5"/>
      <c r="W961" s="5"/>
    </row>
    <row r="962" spans="1:23">
      <c r="A962" s="4"/>
      <c r="B962" s="31"/>
      <c r="C962" s="31"/>
      <c r="D962" s="31"/>
      <c r="E962" s="31"/>
      <c r="F962" s="31"/>
      <c r="G962" s="31"/>
      <c r="H962" s="5"/>
      <c r="I962" s="5"/>
      <c r="J962" s="5"/>
      <c r="K962" s="5"/>
      <c r="L962" s="5"/>
      <c r="M962" s="5"/>
      <c r="N962" s="5"/>
      <c r="O962" s="5"/>
      <c r="P962" s="5"/>
      <c r="Q962" s="5"/>
      <c r="R962" s="5"/>
      <c r="S962" s="5"/>
      <c r="T962" s="5"/>
      <c r="U962" s="5"/>
      <c r="V962" s="5"/>
      <c r="W962" s="5"/>
    </row>
    <row r="963" spans="1:23">
      <c r="A963" s="4"/>
      <c r="B963" s="31"/>
      <c r="C963" s="31"/>
      <c r="D963" s="31"/>
      <c r="E963" s="31"/>
      <c r="F963" s="31"/>
      <c r="G963" s="31"/>
      <c r="H963" s="5"/>
      <c r="I963" s="5"/>
      <c r="J963" s="5"/>
      <c r="K963" s="5"/>
      <c r="L963" s="5"/>
      <c r="M963" s="5"/>
      <c r="N963" s="5"/>
      <c r="O963" s="5"/>
      <c r="P963" s="5"/>
      <c r="Q963" s="5"/>
      <c r="R963" s="5"/>
      <c r="S963" s="5"/>
      <c r="T963" s="5"/>
      <c r="U963" s="5"/>
      <c r="V963" s="5"/>
      <c r="W963" s="5"/>
    </row>
    <row r="964" spans="1:23">
      <c r="A964" s="4"/>
      <c r="B964" s="31"/>
      <c r="C964" s="31"/>
      <c r="D964" s="31"/>
      <c r="E964" s="31"/>
      <c r="F964" s="31"/>
      <c r="G964" s="31"/>
      <c r="H964" s="5"/>
      <c r="I964" s="5"/>
      <c r="J964" s="5"/>
      <c r="K964" s="5"/>
      <c r="L964" s="5"/>
      <c r="M964" s="5"/>
      <c r="N964" s="5"/>
      <c r="O964" s="5"/>
      <c r="P964" s="5"/>
      <c r="Q964" s="5"/>
      <c r="R964" s="5"/>
      <c r="S964" s="5"/>
      <c r="T964" s="5"/>
      <c r="U964" s="5"/>
      <c r="V964" s="5"/>
      <c r="W964" s="5"/>
    </row>
    <row r="965" spans="1:23">
      <c r="A965" s="4"/>
      <c r="B965" s="31"/>
      <c r="C965" s="31"/>
      <c r="D965" s="31"/>
      <c r="E965" s="31"/>
      <c r="F965" s="31"/>
      <c r="G965" s="31"/>
      <c r="H965" s="5"/>
      <c r="I965" s="5"/>
      <c r="J965" s="5"/>
      <c r="K965" s="5"/>
      <c r="L965" s="5"/>
      <c r="M965" s="5"/>
      <c r="N965" s="5"/>
      <c r="O965" s="5"/>
      <c r="P965" s="5"/>
      <c r="Q965" s="5"/>
      <c r="R965" s="5"/>
      <c r="S965" s="5"/>
      <c r="T965" s="5"/>
      <c r="U965" s="5"/>
      <c r="V965" s="5"/>
      <c r="W965" s="5"/>
    </row>
    <row r="966" spans="1:23">
      <c r="A966" s="4"/>
      <c r="B966" s="31"/>
      <c r="C966" s="31"/>
      <c r="D966" s="31"/>
      <c r="E966" s="31"/>
      <c r="F966" s="31"/>
      <c r="G966" s="31"/>
      <c r="H966" s="5"/>
      <c r="I966" s="5"/>
      <c r="J966" s="5"/>
      <c r="K966" s="5"/>
      <c r="L966" s="5"/>
      <c r="M966" s="5"/>
      <c r="N966" s="5"/>
      <c r="O966" s="5"/>
      <c r="P966" s="5"/>
      <c r="Q966" s="5"/>
      <c r="R966" s="5"/>
      <c r="S966" s="5"/>
      <c r="T966" s="5"/>
      <c r="U966" s="5"/>
      <c r="V966" s="5"/>
      <c r="W966" s="5"/>
    </row>
    <row r="967" spans="1:23">
      <c r="A967" s="4"/>
      <c r="B967" s="31"/>
      <c r="C967" s="31"/>
      <c r="D967" s="31"/>
      <c r="E967" s="31"/>
      <c r="F967" s="31"/>
      <c r="G967" s="31"/>
      <c r="H967" s="5"/>
      <c r="I967" s="5"/>
      <c r="J967" s="5"/>
      <c r="K967" s="5"/>
      <c r="L967" s="5"/>
      <c r="M967" s="5"/>
      <c r="N967" s="5"/>
      <c r="O967" s="5"/>
      <c r="P967" s="5"/>
      <c r="Q967" s="5"/>
      <c r="R967" s="5"/>
      <c r="S967" s="5"/>
      <c r="T967" s="5"/>
      <c r="U967" s="5"/>
      <c r="V967" s="5"/>
      <c r="W967" s="5"/>
    </row>
    <row r="968" spans="1:23">
      <c r="A968" s="4"/>
      <c r="B968" s="31"/>
      <c r="C968" s="31"/>
      <c r="D968" s="31"/>
      <c r="E968" s="31"/>
      <c r="F968" s="31"/>
      <c r="G968" s="31"/>
      <c r="H968" s="5"/>
      <c r="I968" s="5"/>
      <c r="J968" s="5"/>
      <c r="K968" s="5"/>
      <c r="L968" s="5"/>
      <c r="M968" s="5"/>
      <c r="N968" s="5"/>
      <c r="O968" s="5"/>
      <c r="P968" s="5"/>
      <c r="Q968" s="5"/>
      <c r="R968" s="5"/>
      <c r="S968" s="5"/>
      <c r="T968" s="5"/>
      <c r="U968" s="5"/>
      <c r="V968" s="5"/>
      <c r="W968" s="5"/>
    </row>
    <row r="969" spans="1:23">
      <c r="A969" s="4"/>
      <c r="B969" s="31"/>
      <c r="C969" s="31"/>
      <c r="D969" s="31"/>
      <c r="E969" s="31"/>
      <c r="F969" s="31"/>
      <c r="G969" s="31"/>
      <c r="H969" s="5"/>
      <c r="I969" s="5"/>
      <c r="J969" s="5"/>
      <c r="K969" s="5"/>
      <c r="L969" s="5"/>
      <c r="M969" s="5"/>
      <c r="N969" s="5"/>
      <c r="O969" s="5"/>
      <c r="P969" s="5"/>
      <c r="Q969" s="5"/>
      <c r="R969" s="5"/>
      <c r="S969" s="5"/>
      <c r="T969" s="5"/>
      <c r="U969" s="5"/>
      <c r="V969" s="5"/>
      <c r="W969" s="5"/>
    </row>
    <row r="970" spans="1:23">
      <c r="A970" s="4"/>
      <c r="B970" s="31"/>
      <c r="C970" s="31"/>
      <c r="D970" s="31"/>
      <c r="E970" s="31"/>
      <c r="F970" s="31"/>
      <c r="G970" s="31"/>
      <c r="H970" s="5"/>
      <c r="I970" s="5"/>
      <c r="J970" s="5"/>
      <c r="K970" s="5"/>
      <c r="L970" s="5"/>
      <c r="M970" s="5"/>
      <c r="N970" s="5"/>
      <c r="O970" s="5"/>
      <c r="P970" s="5"/>
      <c r="Q970" s="5"/>
      <c r="R970" s="5"/>
      <c r="S970" s="5"/>
      <c r="T970" s="5"/>
      <c r="U970" s="5"/>
      <c r="V970" s="5"/>
      <c r="W970" s="5"/>
    </row>
    <row r="971" spans="1:23">
      <c r="A971" s="4"/>
      <c r="B971" s="31"/>
      <c r="C971" s="31"/>
      <c r="D971" s="31"/>
      <c r="E971" s="31"/>
      <c r="F971" s="31"/>
      <c r="G971" s="31"/>
      <c r="H971" s="5"/>
      <c r="I971" s="5"/>
      <c r="J971" s="5"/>
      <c r="K971" s="5"/>
      <c r="L971" s="5"/>
      <c r="M971" s="5"/>
      <c r="N971" s="5"/>
      <c r="O971" s="5"/>
      <c r="P971" s="5"/>
      <c r="Q971" s="5"/>
      <c r="R971" s="5"/>
      <c r="S971" s="5"/>
      <c r="T971" s="5"/>
      <c r="U971" s="5"/>
      <c r="V971" s="5"/>
      <c r="W971" s="5"/>
    </row>
    <row r="972" spans="1:23">
      <c r="A972" s="4"/>
      <c r="B972" s="31"/>
      <c r="C972" s="31"/>
      <c r="D972" s="31"/>
      <c r="E972" s="31"/>
      <c r="F972" s="31"/>
      <c r="G972" s="31"/>
      <c r="H972" s="5"/>
      <c r="I972" s="5"/>
      <c r="J972" s="5"/>
      <c r="K972" s="5"/>
      <c r="L972" s="5"/>
      <c r="M972" s="5"/>
      <c r="N972" s="5"/>
      <c r="O972" s="5"/>
      <c r="P972" s="5"/>
      <c r="Q972" s="5"/>
      <c r="R972" s="5"/>
      <c r="S972" s="5"/>
      <c r="T972" s="5"/>
      <c r="U972" s="5"/>
      <c r="V972" s="5"/>
      <c r="W972" s="5"/>
    </row>
    <row r="973" spans="1:23">
      <c r="A973" s="4"/>
      <c r="B973" s="31"/>
      <c r="C973" s="31"/>
      <c r="D973" s="31"/>
      <c r="E973" s="31"/>
      <c r="F973" s="31"/>
      <c r="G973" s="31"/>
      <c r="H973" s="5"/>
      <c r="I973" s="5"/>
      <c r="J973" s="5"/>
      <c r="K973" s="5"/>
      <c r="L973" s="5"/>
      <c r="M973" s="5"/>
      <c r="N973" s="5"/>
      <c r="O973" s="5"/>
      <c r="P973" s="5"/>
      <c r="Q973" s="5"/>
      <c r="R973" s="5"/>
      <c r="S973" s="5"/>
      <c r="T973" s="5"/>
      <c r="U973" s="5"/>
      <c r="V973" s="5"/>
      <c r="W973" s="5"/>
    </row>
    <row r="974" spans="1:23">
      <c r="A974" s="4"/>
      <c r="B974" s="31"/>
      <c r="C974" s="31"/>
      <c r="D974" s="31"/>
      <c r="E974" s="31"/>
      <c r="F974" s="31"/>
      <c r="G974" s="31"/>
      <c r="H974" s="5"/>
      <c r="I974" s="5"/>
      <c r="J974" s="5"/>
      <c r="K974" s="5"/>
      <c r="L974" s="5"/>
      <c r="M974" s="5"/>
      <c r="N974" s="5"/>
      <c r="O974" s="5"/>
      <c r="P974" s="5"/>
      <c r="Q974" s="5"/>
      <c r="R974" s="5"/>
      <c r="S974" s="5"/>
      <c r="T974" s="5"/>
      <c r="U974" s="5"/>
      <c r="V974" s="5"/>
      <c r="W974" s="5"/>
    </row>
    <row r="975" spans="1:23">
      <c r="A975" s="4"/>
      <c r="B975" s="31"/>
      <c r="C975" s="31"/>
      <c r="D975" s="31"/>
      <c r="E975" s="31"/>
      <c r="F975" s="31"/>
      <c r="G975" s="31"/>
      <c r="H975" s="5"/>
      <c r="I975" s="5"/>
      <c r="J975" s="5"/>
      <c r="K975" s="5"/>
      <c r="L975" s="5"/>
      <c r="M975" s="5"/>
      <c r="N975" s="5"/>
      <c r="O975" s="5"/>
      <c r="P975" s="5"/>
      <c r="Q975" s="5"/>
      <c r="R975" s="5"/>
      <c r="S975" s="5"/>
      <c r="T975" s="5"/>
      <c r="U975" s="5"/>
      <c r="V975" s="5"/>
      <c r="W975" s="5"/>
    </row>
    <row r="976" spans="1:23">
      <c r="A976" s="4"/>
      <c r="B976" s="31"/>
      <c r="C976" s="31"/>
      <c r="D976" s="31"/>
      <c r="E976" s="31"/>
      <c r="F976" s="31"/>
      <c r="G976" s="31"/>
      <c r="H976" s="5"/>
      <c r="I976" s="5"/>
      <c r="J976" s="5"/>
      <c r="K976" s="5"/>
      <c r="L976" s="5"/>
      <c r="M976" s="5"/>
      <c r="N976" s="5"/>
      <c r="O976" s="5"/>
      <c r="P976" s="5"/>
      <c r="Q976" s="5"/>
      <c r="R976" s="5"/>
      <c r="S976" s="5"/>
      <c r="T976" s="5"/>
      <c r="U976" s="5"/>
      <c r="V976" s="5"/>
      <c r="W976" s="5"/>
    </row>
    <row r="977" spans="1:23">
      <c r="A977" s="4"/>
      <c r="B977" s="31"/>
      <c r="C977" s="31"/>
      <c r="D977" s="31"/>
      <c r="E977" s="31"/>
      <c r="F977" s="31"/>
      <c r="G977" s="31"/>
      <c r="H977" s="5"/>
      <c r="I977" s="5"/>
      <c r="J977" s="5"/>
      <c r="K977" s="5"/>
      <c r="L977" s="5"/>
      <c r="M977" s="5"/>
      <c r="N977" s="5"/>
      <c r="O977" s="5"/>
      <c r="P977" s="5"/>
      <c r="Q977" s="5"/>
      <c r="R977" s="5"/>
      <c r="S977" s="5"/>
      <c r="T977" s="5"/>
      <c r="U977" s="5"/>
      <c r="V977" s="5"/>
      <c r="W977" s="5"/>
    </row>
    <row r="978" spans="1:23">
      <c r="A978" s="4"/>
      <c r="B978" s="31"/>
      <c r="C978" s="31"/>
      <c r="D978" s="31"/>
      <c r="E978" s="31"/>
      <c r="F978" s="31"/>
      <c r="G978" s="31"/>
      <c r="H978" s="5"/>
      <c r="I978" s="5"/>
      <c r="J978" s="5"/>
      <c r="K978" s="5"/>
      <c r="L978" s="5"/>
      <c r="M978" s="5"/>
      <c r="N978" s="5"/>
      <c r="O978" s="5"/>
      <c r="P978" s="5"/>
      <c r="Q978" s="5"/>
      <c r="R978" s="5"/>
      <c r="S978" s="5"/>
      <c r="T978" s="5"/>
      <c r="U978" s="5"/>
      <c r="V978" s="5"/>
      <c r="W978" s="5"/>
    </row>
    <row r="979" spans="1:23">
      <c r="A979" s="4"/>
      <c r="B979" s="31"/>
      <c r="C979" s="31"/>
      <c r="D979" s="31"/>
      <c r="E979" s="31"/>
      <c r="F979" s="31"/>
      <c r="G979" s="31"/>
      <c r="H979" s="5"/>
      <c r="I979" s="5"/>
      <c r="J979" s="5"/>
      <c r="K979" s="5"/>
      <c r="L979" s="5"/>
      <c r="M979" s="5"/>
      <c r="N979" s="5"/>
      <c r="O979" s="5"/>
      <c r="P979" s="5"/>
      <c r="Q979" s="5"/>
      <c r="R979" s="5"/>
      <c r="S979" s="5"/>
      <c r="T979" s="5"/>
      <c r="U979" s="5"/>
      <c r="V979" s="5"/>
      <c r="W979" s="5"/>
    </row>
    <row r="980" spans="1:23">
      <c r="A980" s="4"/>
      <c r="B980" s="31"/>
      <c r="C980" s="31"/>
      <c r="D980" s="31"/>
      <c r="E980" s="31"/>
      <c r="F980" s="31"/>
      <c r="G980" s="31"/>
      <c r="H980" s="5"/>
      <c r="I980" s="5"/>
      <c r="J980" s="5"/>
      <c r="K980" s="5"/>
      <c r="L980" s="5"/>
      <c r="M980" s="5"/>
      <c r="N980" s="5"/>
      <c r="O980" s="5"/>
      <c r="P980" s="5"/>
      <c r="Q980" s="5"/>
      <c r="R980" s="5"/>
      <c r="S980" s="5"/>
      <c r="T980" s="5"/>
      <c r="U980" s="5"/>
      <c r="V980" s="5"/>
      <c r="W980" s="5"/>
    </row>
    <row r="981" spans="1:23">
      <c r="A981" s="4"/>
      <c r="B981" s="31"/>
      <c r="C981" s="31"/>
      <c r="D981" s="31"/>
      <c r="E981" s="31"/>
      <c r="F981" s="31"/>
      <c r="G981" s="31"/>
      <c r="H981" s="5"/>
      <c r="I981" s="5"/>
      <c r="J981" s="5"/>
      <c r="K981" s="5"/>
      <c r="L981" s="5"/>
      <c r="M981" s="5"/>
      <c r="N981" s="5"/>
      <c r="O981" s="5"/>
      <c r="P981" s="5"/>
      <c r="Q981" s="5"/>
      <c r="R981" s="5"/>
      <c r="S981" s="5"/>
      <c r="T981" s="5"/>
      <c r="U981" s="5"/>
      <c r="V981" s="5"/>
      <c r="W981" s="5"/>
    </row>
    <row r="982" spans="1:23">
      <c r="A982" s="4"/>
      <c r="B982" s="31"/>
      <c r="C982" s="31"/>
      <c r="D982" s="31"/>
      <c r="E982" s="31"/>
      <c r="F982" s="31"/>
      <c r="G982" s="31"/>
      <c r="H982" s="5"/>
      <c r="I982" s="5"/>
      <c r="J982" s="5"/>
      <c r="K982" s="5"/>
      <c r="L982" s="5"/>
      <c r="M982" s="5"/>
      <c r="N982" s="5"/>
      <c r="O982" s="5"/>
      <c r="P982" s="5"/>
      <c r="Q982" s="5"/>
      <c r="R982" s="5"/>
      <c r="S982" s="5"/>
      <c r="T982" s="5"/>
      <c r="U982" s="5"/>
      <c r="V982" s="5"/>
      <c r="W982" s="5"/>
    </row>
    <row r="983" spans="1:23">
      <c r="A983" s="4"/>
      <c r="B983" s="31"/>
      <c r="C983" s="31"/>
      <c r="D983" s="31"/>
      <c r="E983" s="31"/>
      <c r="F983" s="31"/>
      <c r="G983" s="31"/>
      <c r="H983" s="5"/>
      <c r="I983" s="5"/>
      <c r="J983" s="5"/>
      <c r="K983" s="5"/>
      <c r="L983" s="5"/>
      <c r="M983" s="5"/>
      <c r="N983" s="5"/>
      <c r="O983" s="5"/>
      <c r="P983" s="5"/>
      <c r="Q983" s="5"/>
      <c r="R983" s="5"/>
      <c r="S983" s="5"/>
      <c r="T983" s="5"/>
      <c r="U983" s="5"/>
      <c r="V983" s="5"/>
      <c r="W983" s="5"/>
    </row>
    <row r="984" spans="1:23">
      <c r="A984" s="4"/>
      <c r="B984" s="31"/>
      <c r="C984" s="31"/>
      <c r="D984" s="31"/>
      <c r="E984" s="31"/>
      <c r="F984" s="31"/>
      <c r="G984" s="31"/>
      <c r="H984" s="5"/>
      <c r="I984" s="5"/>
      <c r="J984" s="5"/>
      <c r="K984" s="5"/>
      <c r="L984" s="5"/>
      <c r="M984" s="5"/>
      <c r="N984" s="5"/>
      <c r="O984" s="5"/>
      <c r="P984" s="5"/>
      <c r="Q984" s="5"/>
      <c r="R984" s="5"/>
      <c r="S984" s="5"/>
      <c r="T984" s="5"/>
      <c r="U984" s="5"/>
      <c r="V984" s="5"/>
      <c r="W984" s="5"/>
    </row>
    <row r="985" spans="1:23">
      <c r="A985" s="4"/>
      <c r="B985" s="31"/>
      <c r="C985" s="31"/>
      <c r="D985" s="31"/>
      <c r="E985" s="31"/>
      <c r="F985" s="31"/>
      <c r="G985" s="31"/>
      <c r="H985" s="5"/>
      <c r="I985" s="5"/>
      <c r="J985" s="5"/>
      <c r="K985" s="5"/>
      <c r="L985" s="5"/>
      <c r="M985" s="5"/>
      <c r="N985" s="5"/>
      <c r="O985" s="5"/>
      <c r="P985" s="5"/>
      <c r="Q985" s="5"/>
      <c r="R985" s="5"/>
      <c r="S985" s="5"/>
      <c r="T985" s="5"/>
      <c r="U985" s="5"/>
      <c r="V985" s="5"/>
      <c r="W985" s="5"/>
    </row>
    <row r="986" spans="1:23">
      <c r="A986" s="4"/>
      <c r="B986" s="31"/>
      <c r="C986" s="31"/>
      <c r="D986" s="31"/>
      <c r="E986" s="31"/>
      <c r="F986" s="31"/>
      <c r="G986" s="31"/>
      <c r="H986" s="5"/>
      <c r="I986" s="5"/>
      <c r="J986" s="5"/>
      <c r="K986" s="5"/>
      <c r="L986" s="5"/>
      <c r="M986" s="5"/>
      <c r="N986" s="5"/>
      <c r="O986" s="5"/>
      <c r="P986" s="5"/>
      <c r="Q986" s="5"/>
      <c r="R986" s="5"/>
      <c r="S986" s="5"/>
      <c r="T986" s="5"/>
      <c r="U986" s="5"/>
      <c r="V986" s="5"/>
      <c r="W986" s="5"/>
    </row>
    <row r="987" spans="1:23">
      <c r="A987" s="4"/>
      <c r="B987" s="31"/>
      <c r="C987" s="31"/>
      <c r="D987" s="31"/>
      <c r="E987" s="31"/>
      <c r="F987" s="31"/>
      <c r="G987" s="31"/>
      <c r="H987" s="5"/>
      <c r="I987" s="5"/>
      <c r="J987" s="5"/>
      <c r="K987" s="5"/>
      <c r="L987" s="5"/>
      <c r="M987" s="5"/>
      <c r="N987" s="5"/>
      <c r="O987" s="5"/>
      <c r="P987" s="5"/>
      <c r="Q987" s="5"/>
      <c r="R987" s="5"/>
      <c r="S987" s="5"/>
      <c r="T987" s="5"/>
      <c r="U987" s="5"/>
      <c r="V987" s="5"/>
      <c r="W987" s="5"/>
    </row>
    <row r="988" spans="1:23">
      <c r="A988" s="4"/>
      <c r="B988" s="31"/>
      <c r="C988" s="31"/>
      <c r="D988" s="31"/>
      <c r="E988" s="31"/>
      <c r="F988" s="31"/>
      <c r="G988" s="31"/>
      <c r="H988" s="5"/>
      <c r="I988" s="5"/>
      <c r="J988" s="5"/>
      <c r="K988" s="5"/>
      <c r="L988" s="5"/>
      <c r="M988" s="5"/>
      <c r="N988" s="5"/>
      <c r="O988" s="5"/>
      <c r="P988" s="5"/>
      <c r="Q988" s="5"/>
      <c r="R988" s="5"/>
      <c r="S988" s="5"/>
      <c r="T988" s="5"/>
      <c r="U988" s="5"/>
      <c r="V988" s="5"/>
      <c r="W988" s="5"/>
    </row>
    <row r="989" spans="1:23">
      <c r="A989" s="4"/>
      <c r="B989" s="31"/>
      <c r="C989" s="31"/>
      <c r="D989" s="31"/>
      <c r="E989" s="31"/>
      <c r="F989" s="31"/>
      <c r="G989" s="31"/>
      <c r="H989" s="5"/>
      <c r="I989" s="5"/>
      <c r="J989" s="5"/>
      <c r="K989" s="5"/>
      <c r="L989" s="5"/>
      <c r="M989" s="5"/>
      <c r="N989" s="5"/>
      <c r="O989" s="5"/>
      <c r="P989" s="5"/>
      <c r="Q989" s="5"/>
      <c r="R989" s="5"/>
      <c r="S989" s="5"/>
      <c r="T989" s="5"/>
      <c r="U989" s="5"/>
      <c r="V989" s="5"/>
      <c r="W989" s="5"/>
    </row>
    <row r="990" spans="1:23">
      <c r="A990" s="4"/>
      <c r="B990" s="31"/>
      <c r="C990" s="31"/>
      <c r="D990" s="31"/>
      <c r="E990" s="31"/>
      <c r="F990" s="31"/>
      <c r="G990" s="31"/>
      <c r="H990" s="5"/>
      <c r="I990" s="5"/>
      <c r="J990" s="5"/>
      <c r="K990" s="5"/>
      <c r="L990" s="5"/>
      <c r="M990" s="5"/>
      <c r="N990" s="5"/>
      <c r="O990" s="5"/>
      <c r="P990" s="5"/>
      <c r="Q990" s="5"/>
      <c r="R990" s="5"/>
      <c r="S990" s="5"/>
      <c r="T990" s="5"/>
      <c r="U990" s="5"/>
      <c r="V990" s="5"/>
      <c r="W990" s="5"/>
    </row>
    <row r="991" spans="1:23">
      <c r="A991" s="4"/>
      <c r="B991" s="31"/>
      <c r="C991" s="31"/>
      <c r="D991" s="31"/>
      <c r="E991" s="31"/>
      <c r="F991" s="31"/>
      <c r="G991" s="31"/>
      <c r="H991" s="5"/>
      <c r="I991" s="5"/>
      <c r="J991" s="5"/>
      <c r="K991" s="5"/>
      <c r="L991" s="5"/>
      <c r="M991" s="5"/>
      <c r="N991" s="5"/>
      <c r="O991" s="5"/>
      <c r="P991" s="5"/>
      <c r="Q991" s="5"/>
      <c r="R991" s="5"/>
      <c r="S991" s="5"/>
      <c r="T991" s="5"/>
      <c r="U991" s="5"/>
      <c r="V991" s="5"/>
      <c r="W991" s="5"/>
    </row>
    <row r="992" spans="1:23">
      <c r="A992" s="4"/>
      <c r="B992" s="31"/>
      <c r="C992" s="31"/>
      <c r="D992" s="31"/>
      <c r="E992" s="31"/>
      <c r="F992" s="31"/>
      <c r="G992" s="31"/>
      <c r="H992" s="5"/>
      <c r="I992" s="5"/>
      <c r="J992" s="5"/>
      <c r="K992" s="5"/>
      <c r="L992" s="5"/>
      <c r="M992" s="5"/>
      <c r="N992" s="5"/>
      <c r="O992" s="5"/>
      <c r="P992" s="5"/>
      <c r="Q992" s="5"/>
      <c r="R992" s="5"/>
      <c r="S992" s="5"/>
      <c r="T992" s="5"/>
      <c r="U992" s="5"/>
      <c r="V992" s="5"/>
      <c r="W992" s="5"/>
    </row>
    <row r="993" spans="1:23">
      <c r="A993" s="4"/>
      <c r="B993" s="31"/>
      <c r="C993" s="31"/>
      <c r="D993" s="31"/>
      <c r="E993" s="31"/>
      <c r="F993" s="31"/>
      <c r="G993" s="31"/>
      <c r="H993" s="5"/>
      <c r="I993" s="5"/>
      <c r="J993" s="5"/>
      <c r="K993" s="5"/>
      <c r="L993" s="5"/>
      <c r="M993" s="5"/>
      <c r="N993" s="5"/>
      <c r="O993" s="5"/>
      <c r="P993" s="5"/>
      <c r="Q993" s="5"/>
      <c r="R993" s="5"/>
      <c r="S993" s="5"/>
      <c r="T993" s="5"/>
      <c r="U993" s="5"/>
      <c r="V993" s="5"/>
      <c r="W993" s="5"/>
    </row>
    <row r="994" spans="1:23">
      <c r="A994" s="4"/>
      <c r="B994" s="31"/>
      <c r="C994" s="31"/>
      <c r="D994" s="31"/>
      <c r="E994" s="31"/>
      <c r="F994" s="31"/>
      <c r="G994" s="31"/>
      <c r="H994" s="5"/>
      <c r="I994" s="5"/>
      <c r="J994" s="5"/>
      <c r="K994" s="5"/>
      <c r="L994" s="5"/>
      <c r="M994" s="5"/>
      <c r="N994" s="5"/>
      <c r="O994" s="5"/>
      <c r="P994" s="5"/>
      <c r="Q994" s="5"/>
      <c r="R994" s="5"/>
      <c r="S994" s="5"/>
      <c r="T994" s="5"/>
      <c r="U994" s="5"/>
      <c r="V994" s="5"/>
      <c r="W994" s="5"/>
    </row>
    <row r="995" spans="1:23">
      <c r="A995" s="4"/>
      <c r="B995" s="31"/>
      <c r="C995" s="31"/>
      <c r="D995" s="31"/>
      <c r="E995" s="31"/>
      <c r="F995" s="31"/>
      <c r="G995" s="31"/>
      <c r="H995" s="5"/>
      <c r="I995" s="5"/>
      <c r="J995" s="5"/>
      <c r="K995" s="5"/>
      <c r="L995" s="5"/>
      <c r="M995" s="5"/>
      <c r="N995" s="5"/>
      <c r="O995" s="5"/>
      <c r="P995" s="5"/>
      <c r="Q995" s="5"/>
      <c r="R995" s="5"/>
      <c r="S995" s="5"/>
      <c r="T995" s="5"/>
      <c r="U995" s="5"/>
      <c r="V995" s="5"/>
      <c r="W995" s="5"/>
    </row>
    <row r="996" spans="1:23">
      <c r="A996" s="4"/>
      <c r="B996" s="31"/>
      <c r="C996" s="31"/>
      <c r="D996" s="31"/>
      <c r="E996" s="31"/>
      <c r="F996" s="31"/>
      <c r="G996" s="31"/>
      <c r="H996" s="5"/>
      <c r="I996" s="5"/>
      <c r="J996" s="5"/>
      <c r="K996" s="5"/>
      <c r="L996" s="5"/>
      <c r="M996" s="5"/>
      <c r="N996" s="5"/>
      <c r="O996" s="5"/>
      <c r="P996" s="5"/>
      <c r="Q996" s="5"/>
      <c r="R996" s="5"/>
      <c r="S996" s="5"/>
      <c r="T996" s="5"/>
      <c r="U996" s="5"/>
      <c r="V996" s="5"/>
      <c r="W996" s="5"/>
    </row>
    <row r="997" spans="1:23">
      <c r="A997" s="4"/>
      <c r="B997" s="31"/>
      <c r="C997" s="31"/>
      <c r="D997" s="31"/>
      <c r="E997" s="31"/>
      <c r="F997" s="31"/>
      <c r="G997" s="31"/>
      <c r="H997" s="5"/>
      <c r="I997" s="5"/>
      <c r="J997" s="5"/>
      <c r="K997" s="5"/>
      <c r="L997" s="5"/>
      <c r="M997" s="5"/>
      <c r="N997" s="5"/>
      <c r="O997" s="5"/>
      <c r="P997" s="5"/>
      <c r="Q997" s="5"/>
      <c r="R997" s="5"/>
      <c r="S997" s="5"/>
      <c r="T997" s="5"/>
      <c r="U997" s="5"/>
      <c r="V997" s="5"/>
      <c r="W997" s="5"/>
    </row>
    <row r="998" spans="1:23">
      <c r="A998" s="4"/>
      <c r="B998" s="31"/>
      <c r="C998" s="31"/>
      <c r="D998" s="31"/>
      <c r="E998" s="31"/>
      <c r="F998" s="31"/>
      <c r="G998" s="31"/>
      <c r="H998" s="5"/>
      <c r="I998" s="5"/>
      <c r="J998" s="5"/>
      <c r="K998" s="5"/>
      <c r="L998" s="5"/>
      <c r="M998" s="5"/>
      <c r="N998" s="5"/>
      <c r="O998" s="5"/>
      <c r="P998" s="5"/>
      <c r="Q998" s="5"/>
      <c r="R998" s="5"/>
      <c r="S998" s="5"/>
      <c r="T998" s="5"/>
      <c r="U998" s="5"/>
      <c r="V998" s="5"/>
      <c r="W998" s="5"/>
    </row>
    <row r="999" spans="1:23">
      <c r="A999" s="4"/>
      <c r="B999" s="31"/>
      <c r="C999" s="31"/>
      <c r="D999" s="31"/>
      <c r="E999" s="31"/>
      <c r="F999" s="31"/>
      <c r="G999" s="31"/>
      <c r="H999" s="5"/>
      <c r="I999" s="5"/>
      <c r="J999" s="5"/>
      <c r="K999" s="5"/>
      <c r="L999" s="5"/>
      <c r="M999" s="5"/>
      <c r="N999" s="5"/>
      <c r="O999" s="5"/>
      <c r="P999" s="5"/>
      <c r="Q999" s="5"/>
      <c r="R999" s="5"/>
      <c r="S999" s="5"/>
      <c r="T999" s="5"/>
      <c r="U999" s="5"/>
      <c r="V999" s="5"/>
      <c r="W999" s="5"/>
    </row>
    <row r="1000" spans="1:23">
      <c r="A1000" s="4"/>
      <c r="B1000" s="31"/>
      <c r="C1000" s="31"/>
      <c r="D1000" s="31"/>
      <c r="E1000" s="31"/>
      <c r="F1000" s="31"/>
      <c r="G1000" s="31"/>
      <c r="H1000" s="5"/>
      <c r="I1000" s="5"/>
      <c r="J1000" s="5"/>
      <c r="K1000" s="5"/>
      <c r="L1000" s="5"/>
      <c r="M1000" s="5"/>
      <c r="N1000" s="5"/>
      <c r="O1000" s="5"/>
      <c r="P1000" s="5"/>
      <c r="Q1000" s="5"/>
      <c r="R1000" s="5"/>
      <c r="S1000" s="5"/>
      <c r="T1000" s="5"/>
      <c r="U1000" s="5"/>
      <c r="V1000" s="5"/>
      <c r="W1000" s="5"/>
    </row>
    <row r="1001" spans="1:23">
      <c r="A1001" s="4"/>
      <c r="B1001" s="31"/>
      <c r="C1001" s="31"/>
      <c r="D1001" s="31"/>
      <c r="E1001" s="31"/>
      <c r="F1001" s="31"/>
      <c r="G1001" s="31"/>
      <c r="H1001" s="5"/>
      <c r="I1001" s="5"/>
      <c r="J1001" s="5"/>
      <c r="K1001" s="5"/>
      <c r="L1001" s="5"/>
      <c r="M1001" s="5"/>
      <c r="N1001" s="5"/>
      <c r="O1001" s="5"/>
      <c r="P1001" s="28"/>
      <c r="Q1001" s="28"/>
      <c r="R1001" s="28"/>
      <c r="S1001" s="28"/>
      <c r="T1001" s="28"/>
      <c r="U1001" s="28"/>
      <c r="V1001" s="5"/>
      <c r="W1001" s="5"/>
    </row>
    <row r="1002" spans="1:23">
      <c r="A1002" s="26" t="s">
        <v>90</v>
      </c>
      <c r="B1002" s="26" t="s">
        <v>90</v>
      </c>
      <c r="C1002" s="26" t="s">
        <v>90</v>
      </c>
      <c r="D1002" s="26" t="s">
        <v>90</v>
      </c>
      <c r="E1002" s="26" t="s">
        <v>90</v>
      </c>
      <c r="F1002" s="26" t="s">
        <v>90</v>
      </c>
      <c r="G1002" s="26" t="s">
        <v>90</v>
      </c>
      <c r="H1002" s="27" t="s">
        <v>90</v>
      </c>
      <c r="I1002" s="27" t="s">
        <v>90</v>
      </c>
      <c r="J1002" s="28"/>
      <c r="K1002" s="28"/>
      <c r="L1002" s="28"/>
      <c r="M1002" s="28"/>
      <c r="N1002" s="28"/>
      <c r="O1002" s="28"/>
      <c r="V1002" s="28"/>
      <c r="W1002" s="28"/>
    </row>
  </sheetData>
  <mergeCells count="19">
    <mergeCell ref="N30:N31"/>
    <mergeCell ref="J5:J6"/>
    <mergeCell ref="K5:K6"/>
    <mergeCell ref="L5:L6"/>
    <mergeCell ref="M5:M6"/>
    <mergeCell ref="N5:N6"/>
    <mergeCell ref="N7:N8"/>
    <mergeCell ref="P59:P60"/>
    <mergeCell ref="R59:R60"/>
    <mergeCell ref="T59:T60"/>
    <mergeCell ref="T7:T8"/>
    <mergeCell ref="P4:Q4"/>
    <mergeCell ref="Q5:U5"/>
    <mergeCell ref="Q6:U6"/>
    <mergeCell ref="P7:P8"/>
    <mergeCell ref="Q7:Q8"/>
    <mergeCell ref="R7:R8"/>
    <mergeCell ref="S7:S8"/>
    <mergeCell ref="U7:U8"/>
  </mergeCells>
  <dataValidations count="1">
    <dataValidation type="list" allowBlank="1" showInputMessage="1" showErrorMessage="1" sqref="N30:N31" xr:uid="{C001C101-C095-7A46-BCAF-C9D80195DBBF}">
      <formula1>I7:I13</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9"/>
  </sheetPr>
  <dimension ref="A1:Y1002"/>
  <sheetViews>
    <sheetView workbookViewId="0">
      <selection activeCell="C7" sqref="C7"/>
    </sheetView>
  </sheetViews>
  <sheetFormatPr baseColWidth="10" defaultColWidth="11" defaultRowHeight="16"/>
  <cols>
    <col min="1" max="1" width="10.83203125" customWidth="1"/>
    <col min="2" max="2" width="6" customWidth="1"/>
    <col min="3" max="4" width="12.6640625" customWidth="1"/>
    <col min="5" max="5" width="16" customWidth="1"/>
    <col min="6" max="7" width="4.33203125" customWidth="1"/>
    <col min="8" max="8" width="7" customWidth="1"/>
    <col min="9" max="12" width="16.6640625" customWidth="1"/>
    <col min="13" max="14" width="7.33203125" customWidth="1"/>
    <col min="15" max="15" width="22.33203125" customWidth="1"/>
    <col min="16" max="16" width="10.33203125" customWidth="1"/>
  </cols>
  <sheetData>
    <row r="1" spans="1:25" ht="23">
      <c r="A1" s="3" t="s">
        <v>183</v>
      </c>
      <c r="B1" s="2"/>
      <c r="C1" s="2"/>
      <c r="D1" s="2"/>
      <c r="E1" s="2"/>
      <c r="F1" s="2"/>
      <c r="G1" s="2"/>
      <c r="H1" s="2"/>
      <c r="I1" s="2"/>
      <c r="J1" s="2"/>
      <c r="K1" s="2"/>
      <c r="L1" s="2"/>
      <c r="M1" s="2"/>
      <c r="N1" s="2"/>
      <c r="O1" s="2"/>
      <c r="P1" s="2"/>
      <c r="Q1" s="2"/>
      <c r="R1" s="2"/>
      <c r="S1" s="2"/>
      <c r="T1" s="2"/>
      <c r="Y1" t="s">
        <v>31</v>
      </c>
    </row>
    <row r="2" spans="1:25">
      <c r="A2" s="5"/>
      <c r="B2" s="6"/>
      <c r="C2" s="6"/>
      <c r="D2" s="6"/>
      <c r="E2" s="6"/>
      <c r="F2" s="6"/>
      <c r="G2" s="6"/>
      <c r="H2" s="6"/>
      <c r="I2" s="6"/>
      <c r="J2" s="6"/>
      <c r="K2" s="6"/>
      <c r="L2" s="6"/>
      <c r="M2" s="6"/>
      <c r="N2" s="6"/>
      <c r="O2" s="6"/>
      <c r="P2" s="6"/>
      <c r="Q2" s="5"/>
      <c r="R2" s="5"/>
      <c r="S2" s="5"/>
      <c r="T2" s="5"/>
      <c r="Y2" t="s">
        <v>28</v>
      </c>
    </row>
    <row r="3" spans="1:25">
      <c r="A3" s="5"/>
      <c r="B3" s="6"/>
      <c r="C3" s="7"/>
      <c r="D3" s="7"/>
      <c r="E3" s="7"/>
      <c r="F3" s="7"/>
      <c r="G3" s="7"/>
      <c r="H3" s="7"/>
      <c r="I3" s="7"/>
      <c r="J3" s="7"/>
      <c r="K3" s="7"/>
      <c r="L3" s="7"/>
      <c r="M3" s="65"/>
      <c r="N3" s="65"/>
      <c r="O3" s="65"/>
      <c r="P3" s="65"/>
      <c r="Q3" s="5"/>
      <c r="R3" s="5"/>
      <c r="S3" s="5"/>
      <c r="T3" s="5"/>
      <c r="Y3" t="s">
        <v>10</v>
      </c>
    </row>
    <row r="4" spans="1:25" ht="17" thickBot="1">
      <c r="A4" s="5"/>
      <c r="B4" s="6"/>
      <c r="C4" s="8" t="s">
        <v>76</v>
      </c>
      <c r="D4" s="9"/>
      <c r="E4" s="10"/>
      <c r="F4" s="7"/>
      <c r="G4" s="7"/>
      <c r="H4" s="7"/>
      <c r="I4" s="168" t="s">
        <v>3</v>
      </c>
      <c r="J4" s="169"/>
      <c r="K4" s="9"/>
      <c r="L4" s="10"/>
      <c r="M4" s="65"/>
      <c r="N4" s="65"/>
      <c r="O4" s="210" t="s">
        <v>77</v>
      </c>
      <c r="P4" s="211"/>
      <c r="Q4" s="5"/>
      <c r="R4" s="5"/>
      <c r="S4" s="5"/>
      <c r="T4" s="5"/>
      <c r="Y4" t="s">
        <v>32</v>
      </c>
    </row>
    <row r="5" spans="1:25">
      <c r="A5" s="5"/>
      <c r="B5" s="6"/>
      <c r="C5" s="170" t="s">
        <v>78</v>
      </c>
      <c r="D5" s="172" t="s">
        <v>4</v>
      </c>
      <c r="E5" s="212" t="s">
        <v>120</v>
      </c>
      <c r="F5" s="7"/>
      <c r="G5" s="7"/>
      <c r="H5" s="7"/>
      <c r="I5" s="11" t="s">
        <v>54</v>
      </c>
      <c r="J5" s="66" t="s">
        <v>80</v>
      </c>
      <c r="K5" s="11" t="s">
        <v>9</v>
      </c>
      <c r="L5" s="13">
        <v>0.33</v>
      </c>
      <c r="M5" s="65"/>
      <c r="N5" s="65"/>
      <c r="O5" s="67" t="s">
        <v>3</v>
      </c>
      <c r="P5" s="148"/>
      <c r="Q5" s="5"/>
      <c r="R5" s="5"/>
      <c r="S5" s="5"/>
      <c r="T5" s="5"/>
    </row>
    <row r="6" spans="1:25" ht="17" thickBot="1">
      <c r="A6" s="5"/>
      <c r="B6" s="6"/>
      <c r="C6" s="171"/>
      <c r="D6" s="171"/>
      <c r="E6" s="213"/>
      <c r="F6" s="7"/>
      <c r="G6" s="7"/>
      <c r="H6" s="7"/>
      <c r="I6" s="11" t="s">
        <v>56</v>
      </c>
      <c r="J6" s="66" t="s">
        <v>80</v>
      </c>
      <c r="K6" s="68" t="s">
        <v>10</v>
      </c>
      <c r="L6" s="15">
        <f>L5</f>
        <v>0.33</v>
      </c>
      <c r="M6" s="65"/>
      <c r="N6" s="65"/>
      <c r="O6" s="139"/>
      <c r="P6" s="149">
        <f>D7*L5</f>
        <v>33</v>
      </c>
      <c r="Q6" s="5"/>
      <c r="R6" s="5"/>
      <c r="S6" s="5"/>
      <c r="T6" s="5"/>
    </row>
    <row r="7" spans="1:25">
      <c r="A7" s="5"/>
      <c r="B7" s="6"/>
      <c r="C7" s="69">
        <v>35</v>
      </c>
      <c r="D7" s="69">
        <v>100</v>
      </c>
      <c r="E7" s="70">
        <f>C7/D7</f>
        <v>0.35</v>
      </c>
      <c r="F7" s="7"/>
      <c r="G7" s="7"/>
      <c r="H7" s="7"/>
      <c r="I7" s="214" t="s">
        <v>79</v>
      </c>
      <c r="J7" s="215"/>
      <c r="K7" s="176" t="s">
        <v>81</v>
      </c>
      <c r="L7" s="178" t="s">
        <v>14</v>
      </c>
      <c r="M7" s="65"/>
      <c r="N7" s="65"/>
      <c r="O7" s="139"/>
      <c r="P7" s="149">
        <f>D7*(1-L5)</f>
        <v>67</v>
      </c>
      <c r="Q7" s="5"/>
      <c r="R7" s="5"/>
      <c r="S7" s="5"/>
      <c r="T7" s="5"/>
    </row>
    <row r="8" spans="1:25">
      <c r="A8" s="5"/>
      <c r="B8" s="6"/>
      <c r="C8" s="7"/>
      <c r="D8" s="17"/>
      <c r="E8" s="17"/>
      <c r="F8" s="17"/>
      <c r="G8" s="7"/>
      <c r="H8" s="7"/>
      <c r="I8" s="185"/>
      <c r="J8" s="189"/>
      <c r="K8" s="183"/>
      <c r="L8" s="216"/>
      <c r="M8" s="65"/>
      <c r="N8" s="65"/>
      <c r="O8" s="67" t="s">
        <v>16</v>
      </c>
      <c r="P8" s="150"/>
      <c r="Q8" s="5"/>
      <c r="R8" s="5"/>
      <c r="S8" s="5"/>
      <c r="T8" s="5"/>
    </row>
    <row r="9" spans="1:25">
      <c r="A9" s="5"/>
      <c r="B9" s="6"/>
      <c r="C9" s="18" t="s">
        <v>15</v>
      </c>
      <c r="D9" s="54"/>
      <c r="E9" s="20"/>
      <c r="F9" s="7"/>
      <c r="G9" s="7"/>
      <c r="H9" s="7"/>
      <c r="I9" s="207">
        <f>E7</f>
        <v>0.35</v>
      </c>
      <c r="J9" s="208"/>
      <c r="K9" s="11">
        <f>(I9-L5)/SQRT(L5*(1-L5)/D7)</f>
        <v>0.42533941005911263</v>
      </c>
      <c r="L9" s="11">
        <f>IF(K6="&lt;",_xlfn.NORM.S.DIST(K9,TRUE),IF(K6="&gt;",1-_xlfn.NORM.S.DIST(K9,TRUE),2*MIN(_xlfn.NORM.S.DIST(K9,TRUE),1-_xlfn.NORM.S.DIST(K9,TRUE))))</f>
        <v>0.67058926817556319</v>
      </c>
      <c r="M9" s="65"/>
      <c r="N9" s="65"/>
      <c r="O9" s="139"/>
      <c r="P9" s="149">
        <f>D7*I9</f>
        <v>35</v>
      </c>
      <c r="Q9" s="5"/>
      <c r="R9" s="5"/>
      <c r="S9" s="5"/>
      <c r="T9" s="5"/>
    </row>
    <row r="10" spans="1:25">
      <c r="A10" s="5"/>
      <c r="B10" s="6"/>
      <c r="C10" s="7"/>
      <c r="D10" s="7"/>
      <c r="E10" s="7"/>
      <c r="F10" s="7"/>
      <c r="G10" s="7"/>
      <c r="H10" s="7"/>
      <c r="I10" s="7"/>
      <c r="J10" s="7"/>
      <c r="K10" s="7"/>
      <c r="L10" s="7"/>
      <c r="M10" s="65"/>
      <c r="N10" s="65"/>
      <c r="O10" s="139"/>
      <c r="P10" s="149">
        <f>D7*(1-I9)</f>
        <v>65</v>
      </c>
      <c r="Q10" s="5"/>
      <c r="R10" s="5"/>
      <c r="S10" s="5"/>
      <c r="T10" s="5"/>
    </row>
    <row r="11" spans="1:25" ht="17" thickBot="1">
      <c r="A11" s="5"/>
      <c r="B11" s="6"/>
      <c r="C11" s="7"/>
      <c r="D11" s="7"/>
      <c r="E11" s="7"/>
      <c r="F11" s="7"/>
      <c r="G11" s="7"/>
      <c r="H11" s="7"/>
      <c r="I11" s="72">
        <v>0.95</v>
      </c>
      <c r="J11" s="9" t="s">
        <v>193</v>
      </c>
      <c r="K11" s="9"/>
      <c r="L11" s="10"/>
      <c r="M11" s="65"/>
      <c r="N11" s="65"/>
      <c r="O11" s="65"/>
      <c r="P11" s="65"/>
      <c r="Q11" s="5"/>
      <c r="R11" s="5"/>
      <c r="S11" s="5"/>
      <c r="T11" s="5"/>
    </row>
    <row r="12" spans="1:25">
      <c r="A12" s="5"/>
      <c r="B12" s="6"/>
      <c r="C12" s="7"/>
      <c r="D12" s="7"/>
      <c r="E12" s="7"/>
      <c r="F12" s="7"/>
      <c r="G12" s="7"/>
      <c r="H12" s="7"/>
      <c r="I12" s="172" t="s">
        <v>82</v>
      </c>
      <c r="J12" s="172" t="s">
        <v>18</v>
      </c>
      <c r="K12" s="180" t="s">
        <v>16</v>
      </c>
      <c r="L12" s="181"/>
      <c r="M12" s="65"/>
      <c r="N12" s="65"/>
      <c r="O12" s="65"/>
      <c r="P12" s="65"/>
      <c r="Q12" s="5"/>
      <c r="R12" s="5"/>
      <c r="S12" s="5"/>
      <c r="T12" s="5"/>
    </row>
    <row r="13" spans="1:25">
      <c r="A13" s="5"/>
      <c r="B13" s="6"/>
      <c r="C13" s="7"/>
      <c r="D13" s="7"/>
      <c r="E13" s="7"/>
      <c r="F13" s="7"/>
      <c r="G13" s="7"/>
      <c r="H13" s="7"/>
      <c r="I13" s="209"/>
      <c r="J13" s="209"/>
      <c r="K13" s="58" t="s">
        <v>19</v>
      </c>
      <c r="L13" s="58" t="s">
        <v>20</v>
      </c>
      <c r="M13" s="65"/>
      <c r="N13" s="65"/>
      <c r="O13" s="65"/>
      <c r="P13" s="65"/>
      <c r="Q13" s="5"/>
      <c r="R13" s="5"/>
      <c r="S13" s="5"/>
      <c r="T13" s="5"/>
    </row>
    <row r="14" spans="1:25">
      <c r="A14" s="5"/>
      <c r="B14" s="6"/>
      <c r="C14" s="7"/>
      <c r="D14" s="7"/>
      <c r="E14" s="7"/>
      <c r="F14" s="7"/>
      <c r="G14" s="7"/>
      <c r="H14" s="7"/>
      <c r="I14" s="11">
        <f>E7</f>
        <v>0.35</v>
      </c>
      <c r="J14" s="11">
        <f>-_xlfn.NORM.INV((1-I11)/2,0,1)*SQRT(I14*(1-I14)/D7)</f>
        <v>9.3484323910905665E-2</v>
      </c>
      <c r="K14" s="11">
        <f>I14-J14</f>
        <v>0.25651567608909431</v>
      </c>
      <c r="L14" s="11">
        <f>I14+J14</f>
        <v>0.44348432391090564</v>
      </c>
      <c r="M14" s="65"/>
      <c r="N14" s="65"/>
      <c r="O14" s="65"/>
      <c r="P14" s="65"/>
      <c r="Q14" s="5"/>
      <c r="R14" s="5"/>
      <c r="S14" s="5"/>
      <c r="T14" s="5"/>
    </row>
    <row r="15" spans="1:25">
      <c r="A15" s="5"/>
      <c r="B15" s="6"/>
      <c r="C15" s="7"/>
      <c r="D15" s="7"/>
      <c r="E15" s="7"/>
      <c r="F15" s="7"/>
      <c r="G15" s="7"/>
      <c r="H15" s="7"/>
      <c r="I15" s="23"/>
      <c r="J15" s="151" t="str">
        <f>"z*=±"&amp;ROUND(_xlfn.NORM.INV((1-I11)/2,0,1),3)</f>
        <v>z*=±-1.96</v>
      </c>
      <c r="K15" s="24"/>
      <c r="L15" s="25"/>
      <c r="M15" s="65"/>
      <c r="N15" s="65"/>
      <c r="O15" s="65"/>
      <c r="P15" s="65"/>
      <c r="Q15" s="5"/>
      <c r="R15" s="5"/>
      <c r="S15" s="5"/>
      <c r="T15" s="5"/>
    </row>
    <row r="16" spans="1:25">
      <c r="A16" s="5"/>
      <c r="B16" s="6"/>
      <c r="C16" s="7"/>
      <c r="D16" s="7"/>
      <c r="E16" s="7"/>
      <c r="F16" s="7"/>
      <c r="G16" s="7"/>
      <c r="H16" s="7"/>
      <c r="I16" s="7"/>
      <c r="J16" s="7"/>
      <c r="K16" s="7"/>
      <c r="L16" s="7"/>
      <c r="M16" s="65"/>
      <c r="N16" s="65"/>
      <c r="O16" s="65"/>
      <c r="P16" s="65"/>
      <c r="Q16" s="5"/>
      <c r="R16" s="5"/>
      <c r="S16" s="5"/>
      <c r="T16" s="5"/>
    </row>
    <row r="17" spans="1:20">
      <c r="A17" s="5"/>
      <c r="B17" s="6"/>
      <c r="C17" s="7"/>
      <c r="D17" s="7"/>
      <c r="E17" s="7"/>
      <c r="F17" s="7"/>
      <c r="G17" s="7"/>
      <c r="H17" s="7"/>
      <c r="I17" s="7"/>
      <c r="J17" s="7"/>
      <c r="K17" s="7"/>
      <c r="L17" s="7"/>
      <c r="M17" s="65"/>
      <c r="N17" s="65"/>
      <c r="O17" s="65"/>
      <c r="P17" s="65"/>
      <c r="Q17" s="5"/>
      <c r="R17" s="5"/>
      <c r="S17" s="5"/>
      <c r="T17" s="5"/>
    </row>
    <row r="18" spans="1:20">
      <c r="A18" s="5"/>
      <c r="B18" s="6"/>
      <c r="C18" s="7"/>
      <c r="D18" s="7"/>
      <c r="E18" s="7"/>
      <c r="F18" s="7"/>
      <c r="G18" s="7"/>
      <c r="H18" s="7"/>
      <c r="I18" s="7"/>
      <c r="J18" s="7"/>
      <c r="K18" s="7"/>
      <c r="L18" s="7"/>
      <c r="M18" s="65"/>
      <c r="N18" s="65"/>
      <c r="O18" s="65"/>
      <c r="P18" s="65"/>
      <c r="Q18" s="5"/>
      <c r="R18" s="5"/>
      <c r="S18" s="5"/>
      <c r="T18" s="5"/>
    </row>
    <row r="19" spans="1:20">
      <c r="A19" s="5"/>
      <c r="B19" s="6"/>
      <c r="C19" s="7"/>
      <c r="D19" s="7"/>
      <c r="E19" s="7"/>
      <c r="F19" s="7"/>
      <c r="G19" s="7"/>
      <c r="H19" s="7"/>
      <c r="I19" s="7"/>
      <c r="J19" s="7"/>
      <c r="K19" s="7"/>
      <c r="L19" s="7"/>
      <c r="M19" s="65"/>
      <c r="N19" s="65"/>
      <c r="O19" s="65"/>
      <c r="P19" s="65"/>
      <c r="Q19" s="5"/>
      <c r="R19" s="5"/>
      <c r="S19" s="5"/>
      <c r="T19" s="5"/>
    </row>
    <row r="20" spans="1:20">
      <c r="A20" s="5"/>
      <c r="B20" s="6"/>
      <c r="C20" s="7"/>
      <c r="D20" s="7"/>
      <c r="E20" s="7"/>
      <c r="F20" s="7"/>
      <c r="G20" s="7"/>
      <c r="H20" s="7"/>
      <c r="I20" s="7"/>
      <c r="J20" s="7"/>
      <c r="K20" s="7"/>
      <c r="L20" s="7"/>
      <c r="M20" s="65"/>
      <c r="N20" s="65"/>
      <c r="O20" s="65"/>
      <c r="P20" s="65"/>
      <c r="Q20" s="5"/>
      <c r="R20" s="5"/>
      <c r="S20" s="5"/>
      <c r="T20" s="5"/>
    </row>
    <row r="21" spans="1:20">
      <c r="A21" s="5"/>
      <c r="B21" s="6"/>
      <c r="C21" s="7"/>
      <c r="D21" s="7"/>
      <c r="E21" s="7"/>
      <c r="F21" s="7"/>
      <c r="G21" s="7"/>
      <c r="H21" s="7"/>
      <c r="I21" s="7"/>
      <c r="J21" s="7"/>
      <c r="K21" s="7"/>
      <c r="L21" s="7"/>
      <c r="M21" s="65"/>
      <c r="N21" s="65"/>
      <c r="O21" s="65"/>
      <c r="P21" s="65"/>
      <c r="Q21" s="5"/>
      <c r="R21" s="5"/>
      <c r="S21" s="5"/>
      <c r="T21" s="5"/>
    </row>
    <row r="22" spans="1:20">
      <c r="A22" s="5"/>
      <c r="B22" s="6"/>
      <c r="C22" s="7"/>
      <c r="D22" s="7"/>
      <c r="E22" s="7"/>
      <c r="F22" s="7"/>
      <c r="G22" s="7"/>
      <c r="H22" s="7"/>
      <c r="I22" s="7"/>
      <c r="J22" s="7"/>
      <c r="K22" s="7"/>
      <c r="L22" s="7"/>
      <c r="M22" s="65"/>
      <c r="N22" s="65"/>
      <c r="O22" s="65"/>
      <c r="P22" s="65"/>
      <c r="Q22" s="5"/>
      <c r="R22" s="5"/>
      <c r="S22" s="5"/>
      <c r="T22" s="5"/>
    </row>
    <row r="23" spans="1:20">
      <c r="A23" s="5"/>
      <c r="B23" s="6"/>
      <c r="C23" s="7"/>
      <c r="D23" s="7"/>
      <c r="E23" s="7"/>
      <c r="F23" s="7"/>
      <c r="G23" s="7"/>
      <c r="H23" s="7"/>
      <c r="I23" s="7"/>
      <c r="J23" s="7"/>
      <c r="K23" s="7"/>
      <c r="L23" s="7"/>
      <c r="M23" s="65"/>
      <c r="N23" s="65"/>
      <c r="O23" s="65"/>
      <c r="P23" s="65"/>
      <c r="Q23" s="5"/>
      <c r="R23" s="5"/>
      <c r="S23" s="5"/>
      <c r="T23" s="5"/>
    </row>
    <row r="24" spans="1:20">
      <c r="A24" s="5"/>
      <c r="B24" s="6"/>
      <c r="C24" s="7"/>
      <c r="D24" s="7"/>
      <c r="E24" s="7"/>
      <c r="F24" s="7"/>
      <c r="G24" s="7"/>
      <c r="H24" s="7"/>
      <c r="I24" s="7"/>
      <c r="J24" s="7"/>
      <c r="K24" s="7"/>
      <c r="L24" s="7"/>
      <c r="M24" s="65"/>
      <c r="N24" s="65"/>
      <c r="O24" s="65"/>
      <c r="P24" s="65"/>
      <c r="Q24" s="5"/>
      <c r="R24" s="5"/>
      <c r="S24" s="5"/>
      <c r="T24" s="5"/>
    </row>
    <row r="25" spans="1:20">
      <c r="A25" s="5"/>
      <c r="B25" s="6"/>
      <c r="C25" s="7"/>
      <c r="D25" s="7"/>
      <c r="E25" s="7"/>
      <c r="F25" s="7"/>
      <c r="G25" s="7"/>
      <c r="H25" s="7"/>
      <c r="I25" s="7"/>
      <c r="J25" s="7"/>
      <c r="K25" s="7"/>
      <c r="L25" s="7"/>
      <c r="M25" s="65"/>
      <c r="N25" s="65"/>
      <c r="O25" s="65"/>
      <c r="P25" s="65"/>
      <c r="Q25" s="5"/>
      <c r="R25" s="5"/>
      <c r="S25" s="5"/>
      <c r="T25" s="5"/>
    </row>
    <row r="26" spans="1:20">
      <c r="A26" s="5"/>
      <c r="B26" s="6"/>
      <c r="C26" s="73"/>
      <c r="D26" s="74"/>
      <c r="E26" s="154"/>
      <c r="F26" s="7"/>
      <c r="G26" s="7"/>
      <c r="H26" s="7"/>
      <c r="I26" s="7"/>
      <c r="J26" s="7"/>
      <c r="K26" s="7"/>
      <c r="L26" s="7"/>
      <c r="M26" s="65"/>
      <c r="N26" s="65"/>
      <c r="O26" s="65"/>
      <c r="P26" s="65"/>
      <c r="Q26" s="5"/>
      <c r="R26" s="5"/>
      <c r="S26" s="5"/>
      <c r="T26" s="5"/>
    </row>
    <row r="27" spans="1:20">
      <c r="A27" s="5"/>
      <c r="B27" s="5"/>
      <c r="C27" s="5"/>
      <c r="D27" s="5"/>
      <c r="E27" s="5"/>
      <c r="F27" s="5"/>
      <c r="G27" s="5"/>
      <c r="H27" s="5"/>
      <c r="I27" s="5"/>
      <c r="J27" s="5"/>
      <c r="K27" s="5"/>
      <c r="L27" s="5"/>
      <c r="M27" s="5"/>
      <c r="N27" s="5"/>
      <c r="O27" s="5"/>
      <c r="P27" s="5"/>
      <c r="Q27" s="5"/>
      <c r="R27" s="5"/>
      <c r="S27" s="5"/>
      <c r="T27" s="5"/>
    </row>
    <row r="28" spans="1:20">
      <c r="A28" s="5"/>
      <c r="B28" s="5"/>
      <c r="C28" s="5"/>
      <c r="D28" s="5"/>
      <c r="E28" s="5"/>
      <c r="F28" s="5"/>
      <c r="G28" s="5"/>
      <c r="H28" s="5"/>
      <c r="I28" s="5"/>
      <c r="J28" s="5"/>
      <c r="K28" s="5"/>
      <c r="L28" s="5"/>
      <c r="M28" s="5"/>
      <c r="N28" s="5"/>
      <c r="O28" s="5"/>
      <c r="P28" s="5"/>
      <c r="Q28" s="5"/>
      <c r="R28" s="5"/>
      <c r="S28" s="5"/>
      <c r="T28" s="5"/>
    </row>
    <row r="29" spans="1:20">
      <c r="A29" s="5"/>
      <c r="B29" s="5"/>
      <c r="C29" s="5"/>
      <c r="D29" s="5"/>
      <c r="E29" s="5"/>
      <c r="F29" s="5"/>
      <c r="G29" s="5"/>
      <c r="H29" s="5"/>
      <c r="I29" s="5"/>
      <c r="J29" s="5"/>
      <c r="K29" s="5"/>
      <c r="L29" s="5"/>
      <c r="M29" s="5"/>
      <c r="N29" s="5"/>
      <c r="O29" s="5"/>
      <c r="P29" s="5"/>
      <c r="Q29" s="5"/>
      <c r="R29" s="5"/>
      <c r="S29" s="5"/>
      <c r="T29" s="5"/>
    </row>
    <row r="30" spans="1:20">
      <c r="A30" s="5"/>
      <c r="B30" s="5"/>
      <c r="C30" s="5"/>
      <c r="D30" s="5"/>
      <c r="E30" s="5"/>
      <c r="F30" s="5"/>
      <c r="G30" s="5"/>
      <c r="H30" s="5"/>
      <c r="I30" s="5"/>
      <c r="J30" s="5"/>
      <c r="K30" s="5"/>
      <c r="L30" s="5"/>
      <c r="M30" s="5"/>
      <c r="N30" s="5"/>
      <c r="O30" s="5"/>
      <c r="P30" s="5"/>
      <c r="Q30" s="5"/>
      <c r="R30" s="5"/>
      <c r="S30" s="5"/>
      <c r="T30" s="5"/>
    </row>
    <row r="31" spans="1:20">
      <c r="A31" s="5"/>
      <c r="B31" s="5"/>
      <c r="C31" s="5"/>
      <c r="D31" s="5"/>
      <c r="E31" s="5"/>
      <c r="F31" s="5"/>
      <c r="G31" s="5"/>
      <c r="H31" s="5"/>
      <c r="I31" s="5"/>
      <c r="J31" s="5"/>
      <c r="K31" s="5"/>
      <c r="L31" s="5"/>
      <c r="M31" s="5"/>
      <c r="N31" s="5"/>
      <c r="O31" s="5"/>
      <c r="P31" s="5"/>
      <c r="Q31" s="5"/>
      <c r="R31" s="5"/>
      <c r="S31" s="5"/>
      <c r="T31" s="5"/>
    </row>
    <row r="32" spans="1:20">
      <c r="A32" s="5"/>
      <c r="B32" s="5"/>
      <c r="C32" s="5"/>
      <c r="D32" s="5"/>
      <c r="E32" s="5"/>
      <c r="F32" s="5"/>
      <c r="G32" s="5"/>
      <c r="H32" s="5"/>
      <c r="I32" s="5"/>
      <c r="J32" s="5"/>
      <c r="K32" s="5"/>
      <c r="L32" s="5"/>
      <c r="M32" s="5"/>
      <c r="N32" s="5"/>
      <c r="O32" s="5"/>
      <c r="P32" s="5"/>
      <c r="Q32" s="5"/>
      <c r="R32" s="5"/>
      <c r="S32" s="5"/>
      <c r="T32" s="5"/>
    </row>
    <row r="33" spans="1:20">
      <c r="A33" s="5"/>
      <c r="B33" s="5"/>
      <c r="C33" s="5"/>
      <c r="D33" s="5"/>
      <c r="E33" s="5"/>
      <c r="F33" s="5"/>
      <c r="G33" s="5"/>
      <c r="H33" s="5"/>
      <c r="I33" s="5"/>
      <c r="J33" s="5"/>
      <c r="K33" s="5"/>
      <c r="L33" s="5"/>
      <c r="M33" s="5"/>
      <c r="N33" s="5"/>
      <c r="O33" s="5"/>
      <c r="P33" s="5"/>
      <c r="Q33" s="5"/>
      <c r="R33" s="5"/>
      <c r="S33" s="5"/>
      <c r="T33" s="5"/>
    </row>
    <row r="34" spans="1:20">
      <c r="A34" s="5"/>
      <c r="B34" s="5"/>
      <c r="C34" s="5"/>
      <c r="D34" s="5"/>
      <c r="E34" s="5"/>
      <c r="F34" s="5"/>
      <c r="G34" s="5"/>
      <c r="H34" s="5"/>
      <c r="I34" s="5"/>
      <c r="J34" s="5"/>
      <c r="K34" s="5"/>
      <c r="L34" s="5"/>
      <c r="M34" s="5"/>
      <c r="N34" s="5"/>
      <c r="O34" s="5"/>
      <c r="P34" s="5"/>
      <c r="Q34" s="5"/>
      <c r="R34" s="5"/>
      <c r="S34" s="5"/>
      <c r="T34" s="5"/>
    </row>
    <row r="35" spans="1:20">
      <c r="A35" s="5"/>
      <c r="B35" s="5"/>
      <c r="C35" s="5"/>
      <c r="D35" s="5"/>
      <c r="E35" s="5"/>
      <c r="F35" s="5"/>
      <c r="G35" s="5"/>
      <c r="H35" s="5"/>
      <c r="I35" s="5"/>
      <c r="J35" s="5"/>
      <c r="K35" s="5"/>
      <c r="L35" s="5"/>
      <c r="M35" s="5"/>
      <c r="N35" s="5"/>
      <c r="O35" s="5"/>
      <c r="P35" s="5"/>
      <c r="Q35" s="5"/>
      <c r="R35" s="5"/>
      <c r="S35" s="5"/>
      <c r="T35" s="5"/>
    </row>
    <row r="36" spans="1:20">
      <c r="A36" s="5"/>
      <c r="B36" s="5"/>
      <c r="C36" s="5"/>
      <c r="D36" s="5"/>
      <c r="E36" s="5"/>
      <c r="F36" s="5"/>
      <c r="G36" s="5"/>
      <c r="H36" s="5"/>
      <c r="I36" s="5"/>
      <c r="J36" s="5"/>
      <c r="K36" s="5"/>
      <c r="L36" s="5"/>
      <c r="M36" s="5"/>
      <c r="N36" s="5"/>
      <c r="O36" s="5"/>
      <c r="P36" s="5"/>
      <c r="Q36" s="5"/>
      <c r="R36" s="5"/>
      <c r="S36" s="5"/>
      <c r="T36" s="5"/>
    </row>
    <row r="37" spans="1:20">
      <c r="A37" s="5"/>
      <c r="B37" s="5"/>
      <c r="C37" s="5"/>
      <c r="D37" s="5"/>
      <c r="E37" s="5"/>
      <c r="F37" s="5"/>
      <c r="G37" s="5"/>
      <c r="H37" s="5"/>
      <c r="I37" s="5"/>
      <c r="J37" s="5"/>
      <c r="K37" s="5"/>
      <c r="L37" s="5"/>
      <c r="M37" s="5"/>
      <c r="N37" s="5"/>
      <c r="O37" s="5"/>
      <c r="P37" s="5"/>
      <c r="Q37" s="5"/>
      <c r="R37" s="5"/>
      <c r="S37" s="5"/>
      <c r="T37" s="5"/>
    </row>
    <row r="38" spans="1:20">
      <c r="A38" s="5"/>
      <c r="B38" s="5"/>
      <c r="C38" s="5"/>
      <c r="D38" s="5"/>
      <c r="E38" s="5"/>
      <c r="F38" s="5"/>
      <c r="G38" s="5"/>
      <c r="H38" s="5"/>
      <c r="I38" s="5"/>
      <c r="J38" s="5"/>
      <c r="K38" s="5"/>
      <c r="L38" s="5"/>
      <c r="M38" s="5"/>
      <c r="N38" s="5"/>
      <c r="O38" s="5"/>
      <c r="P38" s="5"/>
      <c r="Q38" s="5"/>
      <c r="R38" s="5"/>
      <c r="S38" s="5"/>
      <c r="T38" s="5"/>
    </row>
    <row r="39" spans="1:20">
      <c r="A39" s="5"/>
      <c r="B39" s="5"/>
      <c r="C39" s="5"/>
      <c r="D39" s="5"/>
      <c r="E39" s="5"/>
      <c r="F39" s="5"/>
      <c r="G39" s="5"/>
      <c r="H39" s="5"/>
      <c r="I39" s="5"/>
      <c r="J39" s="5"/>
      <c r="K39" s="5"/>
      <c r="L39" s="5"/>
      <c r="M39" s="5"/>
      <c r="N39" s="5"/>
      <c r="O39" s="5"/>
      <c r="P39" s="5"/>
      <c r="Q39" s="5"/>
      <c r="R39" s="5"/>
      <c r="S39" s="5"/>
      <c r="T39" s="5"/>
    </row>
    <row r="40" spans="1:20">
      <c r="A40" s="5"/>
      <c r="B40" s="5"/>
      <c r="C40" s="5"/>
      <c r="D40" s="5"/>
      <c r="E40" s="5"/>
      <c r="F40" s="5"/>
      <c r="G40" s="5"/>
      <c r="H40" s="5"/>
      <c r="I40" s="5"/>
      <c r="J40" s="5"/>
      <c r="K40" s="5"/>
      <c r="L40" s="5"/>
      <c r="M40" s="5"/>
      <c r="N40" s="5"/>
      <c r="O40" s="5"/>
      <c r="P40" s="5"/>
      <c r="Q40" s="5"/>
      <c r="R40" s="5"/>
      <c r="S40" s="5"/>
      <c r="T40" s="5"/>
    </row>
    <row r="41" spans="1:20">
      <c r="A41" s="5"/>
      <c r="B41" s="5"/>
      <c r="C41" s="5"/>
      <c r="D41" s="5"/>
      <c r="E41" s="5"/>
      <c r="F41" s="5"/>
      <c r="G41" s="5"/>
      <c r="H41" s="5"/>
      <c r="I41" s="5"/>
      <c r="J41" s="5"/>
      <c r="K41" s="5"/>
      <c r="L41" s="5"/>
      <c r="M41" s="5"/>
      <c r="N41" s="5"/>
      <c r="O41" s="5"/>
      <c r="P41" s="5"/>
      <c r="Q41" s="5"/>
      <c r="R41" s="5"/>
      <c r="S41" s="5"/>
      <c r="T41" s="5"/>
    </row>
    <row r="42" spans="1:20">
      <c r="A42" s="5"/>
      <c r="B42" s="5"/>
      <c r="C42" s="5"/>
      <c r="D42" s="5"/>
      <c r="E42" s="5"/>
      <c r="F42" s="5"/>
      <c r="G42" s="5"/>
      <c r="H42" s="5"/>
      <c r="I42" s="5"/>
      <c r="J42" s="5"/>
      <c r="K42" s="5"/>
      <c r="L42" s="5"/>
      <c r="M42" s="5"/>
      <c r="N42" s="5"/>
      <c r="O42" s="5"/>
      <c r="P42" s="5"/>
      <c r="Q42" s="5"/>
      <c r="R42" s="5"/>
      <c r="S42" s="5"/>
      <c r="T42" s="5"/>
    </row>
    <row r="43" spans="1:20">
      <c r="A43" s="5"/>
      <c r="B43" s="5"/>
      <c r="C43" s="5"/>
      <c r="D43" s="5"/>
      <c r="E43" s="5"/>
      <c r="F43" s="5"/>
      <c r="G43" s="5"/>
      <c r="H43" s="5"/>
      <c r="I43" s="5"/>
      <c r="J43" s="5"/>
      <c r="K43" s="5"/>
      <c r="L43" s="5"/>
      <c r="M43" s="5"/>
      <c r="N43" s="5"/>
      <c r="O43" s="5"/>
      <c r="P43" s="5"/>
      <c r="Q43" s="5"/>
      <c r="R43" s="5"/>
      <c r="S43" s="5"/>
      <c r="T43" s="5"/>
    </row>
    <row r="44" spans="1:20">
      <c r="A44" s="5"/>
      <c r="B44" s="5"/>
      <c r="C44" s="5"/>
      <c r="D44" s="5"/>
      <c r="E44" s="5"/>
      <c r="F44" s="5"/>
      <c r="G44" s="5"/>
      <c r="H44" s="5"/>
      <c r="I44" s="5"/>
      <c r="J44" s="5"/>
      <c r="K44" s="5"/>
      <c r="L44" s="5"/>
      <c r="M44" s="5"/>
      <c r="N44" s="5"/>
      <c r="O44" s="5"/>
      <c r="P44" s="5"/>
      <c r="Q44" s="5"/>
      <c r="R44" s="5"/>
      <c r="S44" s="5"/>
      <c r="T44" s="5"/>
    </row>
    <row r="45" spans="1:20">
      <c r="A45" s="5"/>
      <c r="B45" s="5"/>
      <c r="C45" s="5"/>
      <c r="D45" s="5"/>
      <c r="E45" s="5"/>
      <c r="F45" s="5"/>
      <c r="G45" s="5"/>
      <c r="H45" s="5"/>
      <c r="I45" s="5"/>
      <c r="J45" s="5"/>
      <c r="K45" s="5"/>
      <c r="L45" s="5"/>
      <c r="M45" s="5"/>
      <c r="N45" s="5"/>
      <c r="O45" s="5"/>
      <c r="P45" s="5"/>
      <c r="Q45" s="5"/>
      <c r="R45" s="5"/>
      <c r="S45" s="5"/>
      <c r="T45" s="5"/>
    </row>
    <row r="46" spans="1:20">
      <c r="A46" s="5"/>
      <c r="B46" s="5"/>
      <c r="C46" s="5"/>
      <c r="D46" s="5"/>
      <c r="E46" s="5"/>
      <c r="F46" s="5"/>
      <c r="G46" s="5"/>
      <c r="H46" s="5"/>
      <c r="I46" s="5"/>
      <c r="J46" s="5"/>
      <c r="K46" s="5"/>
      <c r="L46" s="5"/>
      <c r="M46" s="5"/>
      <c r="N46" s="5"/>
      <c r="O46" s="5"/>
      <c r="P46" s="5"/>
      <c r="Q46" s="5"/>
      <c r="R46" s="5"/>
      <c r="S46" s="5"/>
      <c r="T46" s="5"/>
    </row>
    <row r="47" spans="1:20">
      <c r="A47" s="5"/>
      <c r="B47" s="5"/>
      <c r="C47" s="5"/>
      <c r="D47" s="5"/>
      <c r="E47" s="5"/>
      <c r="F47" s="5"/>
      <c r="G47" s="5"/>
      <c r="H47" s="5"/>
      <c r="I47" s="5"/>
      <c r="J47" s="5"/>
      <c r="K47" s="5"/>
      <c r="L47" s="5"/>
      <c r="M47" s="5"/>
      <c r="N47" s="5"/>
      <c r="O47" s="5"/>
      <c r="P47" s="5"/>
      <c r="Q47" s="5"/>
      <c r="R47" s="5"/>
      <c r="S47" s="5"/>
      <c r="T47" s="5"/>
    </row>
    <row r="48" spans="1:20">
      <c r="A48" s="5"/>
      <c r="B48" s="5"/>
      <c r="C48" s="5"/>
      <c r="D48" s="5"/>
      <c r="E48" s="5"/>
      <c r="F48" s="5"/>
      <c r="G48" s="5"/>
      <c r="H48" s="5"/>
      <c r="I48" s="5"/>
      <c r="J48" s="5"/>
      <c r="K48" s="5"/>
      <c r="L48" s="5"/>
      <c r="M48" s="5"/>
      <c r="N48" s="5"/>
      <c r="O48" s="5"/>
      <c r="P48" s="5"/>
      <c r="Q48" s="5"/>
      <c r="R48" s="5"/>
      <c r="S48" s="5"/>
      <c r="T48" s="5"/>
    </row>
    <row r="49" spans="1:20">
      <c r="A49" s="5"/>
      <c r="B49" s="5"/>
      <c r="C49" s="5"/>
      <c r="D49" s="5"/>
      <c r="E49" s="5"/>
      <c r="F49" s="5"/>
      <c r="G49" s="5"/>
      <c r="H49" s="5"/>
      <c r="I49" s="5"/>
      <c r="J49" s="5"/>
      <c r="K49" s="5"/>
      <c r="L49" s="5"/>
      <c r="M49" s="5"/>
      <c r="N49" s="5"/>
      <c r="O49" s="5"/>
      <c r="P49" s="5"/>
      <c r="Q49" s="5"/>
      <c r="R49" s="5"/>
      <c r="S49" s="5"/>
      <c r="T49" s="5"/>
    </row>
    <row r="50" spans="1:20">
      <c r="A50" s="5"/>
      <c r="B50" s="5"/>
      <c r="C50" s="5"/>
      <c r="D50" s="5"/>
      <c r="E50" s="5"/>
      <c r="F50" s="5"/>
      <c r="G50" s="5"/>
      <c r="H50" s="5"/>
      <c r="I50" s="5"/>
      <c r="J50" s="5"/>
      <c r="K50" s="5"/>
      <c r="L50" s="5"/>
      <c r="M50" s="5"/>
      <c r="N50" s="5"/>
      <c r="O50" s="5"/>
      <c r="P50" s="5"/>
      <c r="Q50" s="5"/>
      <c r="R50" s="5"/>
      <c r="S50" s="5"/>
      <c r="T50" s="5"/>
    </row>
    <row r="51" spans="1:20">
      <c r="A51" s="5"/>
      <c r="B51" s="5"/>
      <c r="C51" s="5"/>
      <c r="D51" s="5"/>
      <c r="E51" s="5"/>
      <c r="F51" s="5"/>
      <c r="G51" s="5"/>
      <c r="H51" s="5"/>
      <c r="I51" s="5"/>
      <c r="J51" s="5"/>
      <c r="K51" s="5"/>
      <c r="L51" s="5"/>
      <c r="M51" s="5"/>
      <c r="N51" s="5"/>
      <c r="O51" s="5"/>
      <c r="P51" s="5"/>
      <c r="Q51" s="5"/>
      <c r="R51" s="5"/>
      <c r="S51" s="5"/>
      <c r="T51" s="5"/>
    </row>
    <row r="52" spans="1:20">
      <c r="A52" s="5"/>
      <c r="B52" s="5"/>
      <c r="C52" s="5"/>
      <c r="D52" s="5"/>
      <c r="E52" s="5"/>
      <c r="F52" s="5"/>
      <c r="G52" s="5"/>
      <c r="H52" s="5"/>
      <c r="I52" s="5"/>
      <c r="J52" s="5"/>
      <c r="K52" s="5"/>
      <c r="L52" s="5"/>
      <c r="M52" s="5"/>
      <c r="N52" s="5"/>
      <c r="O52" s="5"/>
      <c r="P52" s="5"/>
      <c r="Q52" s="5"/>
      <c r="R52" s="5"/>
      <c r="S52" s="5"/>
      <c r="T52" s="5"/>
    </row>
    <row r="53" spans="1:20">
      <c r="A53" s="5"/>
      <c r="B53" s="5"/>
      <c r="C53" s="5"/>
      <c r="D53" s="5"/>
      <c r="E53" s="5"/>
      <c r="F53" s="5"/>
      <c r="G53" s="5"/>
      <c r="H53" s="5"/>
      <c r="I53" s="5"/>
      <c r="J53" s="5"/>
      <c r="K53" s="5"/>
      <c r="L53" s="5"/>
      <c r="M53" s="5"/>
      <c r="N53" s="5"/>
      <c r="O53" s="5"/>
      <c r="P53" s="5"/>
      <c r="Q53" s="5"/>
      <c r="R53" s="5"/>
      <c r="S53" s="5"/>
      <c r="T53" s="5"/>
    </row>
    <row r="54" spans="1:20">
      <c r="A54" s="5"/>
      <c r="B54" s="5"/>
      <c r="C54" s="5"/>
      <c r="D54" s="5"/>
      <c r="E54" s="5"/>
      <c r="F54" s="5"/>
      <c r="G54" s="5"/>
      <c r="H54" s="5"/>
      <c r="I54" s="5"/>
      <c r="J54" s="5"/>
      <c r="K54" s="5"/>
      <c r="L54" s="5"/>
      <c r="M54" s="5"/>
      <c r="N54" s="5"/>
      <c r="O54" s="5"/>
      <c r="P54" s="5"/>
      <c r="Q54" s="5"/>
      <c r="R54" s="5"/>
      <c r="S54" s="5"/>
      <c r="T54" s="5"/>
    </row>
    <row r="55" spans="1:20">
      <c r="A55" s="5"/>
      <c r="B55" s="5"/>
      <c r="C55" s="5"/>
      <c r="D55" s="5"/>
      <c r="E55" s="5"/>
      <c r="F55" s="5"/>
      <c r="G55" s="5"/>
      <c r="H55" s="5"/>
      <c r="I55" s="5"/>
      <c r="J55" s="5"/>
      <c r="K55" s="5"/>
      <c r="L55" s="5"/>
      <c r="M55" s="5"/>
      <c r="N55" s="5"/>
      <c r="O55" s="5"/>
      <c r="P55" s="5"/>
      <c r="Q55" s="5"/>
      <c r="R55" s="5"/>
      <c r="S55" s="5"/>
      <c r="T55" s="5"/>
    </row>
    <row r="56" spans="1:20">
      <c r="A56" s="5"/>
      <c r="B56" s="5"/>
      <c r="C56" s="5"/>
      <c r="D56" s="5"/>
      <c r="E56" s="5"/>
      <c r="F56" s="5"/>
      <c r="G56" s="5"/>
      <c r="H56" s="5"/>
      <c r="I56" s="5"/>
      <c r="J56" s="5"/>
      <c r="K56" s="5"/>
      <c r="L56" s="5"/>
      <c r="M56" s="5"/>
      <c r="N56" s="5"/>
      <c r="O56" s="5"/>
      <c r="P56" s="5"/>
      <c r="Q56" s="5"/>
      <c r="R56" s="5"/>
      <c r="S56" s="5"/>
      <c r="T56" s="5"/>
    </row>
    <row r="57" spans="1:20">
      <c r="A57" s="5"/>
      <c r="B57" s="5"/>
      <c r="C57" s="5"/>
      <c r="D57" s="5"/>
      <c r="E57" s="5"/>
      <c r="F57" s="5"/>
      <c r="G57" s="5"/>
      <c r="H57" s="5"/>
      <c r="I57" s="5"/>
      <c r="J57" s="5"/>
      <c r="K57" s="5"/>
      <c r="L57" s="5"/>
      <c r="M57" s="5"/>
      <c r="N57" s="5"/>
      <c r="O57" s="5"/>
      <c r="P57" s="5"/>
      <c r="Q57" s="5"/>
      <c r="R57" s="5"/>
      <c r="S57" s="5"/>
      <c r="T57" s="5"/>
    </row>
    <row r="58" spans="1:20">
      <c r="A58" s="5"/>
      <c r="B58" s="5"/>
      <c r="C58" s="5"/>
      <c r="D58" s="5"/>
      <c r="E58" s="5"/>
      <c r="F58" s="5"/>
      <c r="G58" s="5"/>
      <c r="H58" s="5"/>
      <c r="I58" s="5"/>
      <c r="J58" s="5"/>
      <c r="K58" s="5"/>
      <c r="L58" s="5"/>
      <c r="M58" s="5"/>
      <c r="N58" s="5"/>
      <c r="O58" s="5"/>
      <c r="P58" s="5"/>
      <c r="Q58" s="5"/>
      <c r="R58" s="5"/>
      <c r="S58" s="5"/>
      <c r="T58" s="5"/>
    </row>
    <row r="59" spans="1:20">
      <c r="A59" s="5"/>
      <c r="B59" s="5"/>
      <c r="C59" s="5"/>
      <c r="D59" s="5"/>
      <c r="E59" s="5"/>
      <c r="F59" s="5"/>
      <c r="G59" s="5"/>
      <c r="H59" s="5"/>
      <c r="I59" s="5"/>
      <c r="J59" s="5"/>
      <c r="K59" s="5"/>
      <c r="L59" s="5"/>
      <c r="M59" s="5"/>
      <c r="N59" s="5"/>
      <c r="O59" s="5"/>
      <c r="P59" s="5"/>
      <c r="Q59" s="5"/>
      <c r="R59" s="5"/>
      <c r="S59" s="5"/>
      <c r="T59" s="5"/>
    </row>
    <row r="60" spans="1:20">
      <c r="A60" s="5"/>
      <c r="B60" s="5"/>
      <c r="C60" s="5"/>
      <c r="D60" s="5"/>
      <c r="E60" s="5"/>
      <c r="F60" s="5"/>
      <c r="G60" s="5"/>
      <c r="H60" s="5"/>
      <c r="I60" s="5"/>
      <c r="J60" s="5"/>
      <c r="K60" s="5"/>
      <c r="L60" s="5"/>
      <c r="M60" s="5"/>
      <c r="N60" s="5"/>
      <c r="O60" s="5"/>
      <c r="P60" s="5"/>
      <c r="Q60" s="5"/>
      <c r="R60" s="5"/>
      <c r="S60" s="5"/>
      <c r="T60" s="5"/>
    </row>
    <row r="61" spans="1:20">
      <c r="A61" s="5"/>
      <c r="B61" s="5"/>
      <c r="C61" s="5"/>
      <c r="D61" s="5"/>
      <c r="E61" s="5"/>
      <c r="F61" s="5"/>
      <c r="G61" s="5"/>
      <c r="H61" s="5"/>
      <c r="I61" s="5"/>
      <c r="J61" s="5"/>
      <c r="K61" s="5"/>
      <c r="L61" s="5"/>
      <c r="M61" s="5"/>
      <c r="N61" s="5"/>
      <c r="O61" s="5"/>
      <c r="P61" s="5"/>
      <c r="Q61" s="5"/>
      <c r="R61" s="5"/>
      <c r="S61" s="5"/>
      <c r="T61" s="5"/>
    </row>
    <row r="62" spans="1:20">
      <c r="A62" s="5"/>
      <c r="B62" s="5"/>
      <c r="C62" s="5"/>
      <c r="D62" s="5"/>
      <c r="E62" s="5"/>
      <c r="F62" s="5"/>
      <c r="G62" s="5"/>
      <c r="H62" s="5"/>
      <c r="I62" s="5"/>
      <c r="J62" s="5"/>
      <c r="K62" s="5"/>
      <c r="L62" s="5"/>
      <c r="M62" s="5"/>
      <c r="N62" s="5"/>
      <c r="O62" s="5"/>
      <c r="P62" s="5"/>
      <c r="Q62" s="5"/>
      <c r="R62" s="5"/>
      <c r="S62" s="5"/>
      <c r="T62" s="5"/>
    </row>
    <row r="63" spans="1:20">
      <c r="A63" s="5"/>
      <c r="B63" s="5"/>
      <c r="C63" s="5"/>
      <c r="D63" s="5"/>
      <c r="E63" s="5"/>
      <c r="F63" s="5"/>
      <c r="G63" s="5"/>
      <c r="H63" s="5"/>
      <c r="I63" s="5"/>
      <c r="J63" s="5"/>
      <c r="K63" s="5"/>
      <c r="L63" s="5"/>
      <c r="M63" s="5"/>
      <c r="N63" s="5"/>
      <c r="O63" s="5"/>
      <c r="P63" s="5"/>
      <c r="Q63" s="5"/>
      <c r="R63" s="5"/>
      <c r="S63" s="5"/>
      <c r="T63" s="5"/>
    </row>
    <row r="64" spans="1:20">
      <c r="A64" s="5"/>
      <c r="B64" s="5"/>
      <c r="C64" s="5"/>
      <c r="D64" s="5"/>
      <c r="E64" s="5"/>
      <c r="F64" s="5"/>
      <c r="G64" s="5"/>
      <c r="H64" s="5"/>
      <c r="I64" s="5"/>
      <c r="J64" s="5"/>
      <c r="K64" s="5"/>
      <c r="L64" s="5"/>
      <c r="M64" s="5"/>
      <c r="N64" s="5"/>
      <c r="O64" s="5"/>
      <c r="P64" s="5"/>
      <c r="Q64" s="5"/>
      <c r="R64" s="5"/>
      <c r="S64" s="5"/>
      <c r="T64" s="5"/>
    </row>
    <row r="65" spans="1:20">
      <c r="A65" s="5"/>
      <c r="B65" s="5"/>
      <c r="C65" s="5"/>
      <c r="D65" s="5"/>
      <c r="E65" s="5"/>
      <c r="F65" s="5"/>
      <c r="G65" s="5"/>
      <c r="H65" s="5"/>
      <c r="I65" s="5"/>
      <c r="J65" s="5"/>
      <c r="K65" s="5"/>
      <c r="L65" s="5"/>
      <c r="M65" s="5"/>
      <c r="N65" s="5"/>
      <c r="O65" s="5"/>
      <c r="P65" s="5"/>
      <c r="Q65" s="5"/>
      <c r="R65" s="5"/>
      <c r="S65" s="5"/>
      <c r="T65" s="5"/>
    </row>
    <row r="66" spans="1:20">
      <c r="A66" s="5"/>
      <c r="B66" s="5"/>
      <c r="C66" s="5"/>
      <c r="D66" s="5"/>
      <c r="E66" s="5"/>
      <c r="F66" s="5"/>
      <c r="G66" s="5"/>
      <c r="H66" s="5"/>
      <c r="I66" s="5"/>
      <c r="J66" s="5"/>
      <c r="K66" s="5"/>
      <c r="L66" s="5"/>
      <c r="M66" s="5"/>
      <c r="N66" s="5"/>
      <c r="O66" s="5"/>
      <c r="P66" s="5"/>
      <c r="Q66" s="5"/>
      <c r="R66" s="5"/>
      <c r="S66" s="5"/>
      <c r="T66" s="5"/>
    </row>
    <row r="67" spans="1:20">
      <c r="A67" s="5"/>
      <c r="B67" s="5"/>
      <c r="C67" s="5"/>
      <c r="D67" s="5"/>
      <c r="E67" s="5"/>
      <c r="F67" s="5"/>
      <c r="G67" s="5"/>
      <c r="H67" s="5"/>
      <c r="I67" s="5"/>
      <c r="J67" s="5"/>
      <c r="K67" s="5"/>
      <c r="L67" s="5"/>
      <c r="M67" s="5"/>
      <c r="N67" s="5"/>
      <c r="O67" s="5"/>
      <c r="P67" s="5"/>
      <c r="Q67" s="5"/>
      <c r="R67" s="5"/>
      <c r="S67" s="5"/>
      <c r="T67" s="5"/>
    </row>
    <row r="68" spans="1:20">
      <c r="A68" s="5"/>
      <c r="B68" s="5"/>
      <c r="C68" s="5"/>
      <c r="D68" s="5"/>
      <c r="E68" s="5"/>
      <c r="F68" s="5"/>
      <c r="G68" s="5"/>
      <c r="H68" s="5"/>
      <c r="I68" s="5"/>
      <c r="J68" s="5"/>
      <c r="K68" s="5"/>
      <c r="L68" s="5"/>
      <c r="M68" s="5"/>
      <c r="N68" s="5"/>
      <c r="O68" s="5"/>
      <c r="P68" s="5"/>
      <c r="Q68" s="5"/>
      <c r="R68" s="5"/>
      <c r="S68" s="5"/>
      <c r="T68" s="5"/>
    </row>
    <row r="69" spans="1:20">
      <c r="A69" s="5"/>
      <c r="B69" s="5"/>
      <c r="C69" s="5"/>
      <c r="D69" s="5"/>
      <c r="E69" s="5"/>
      <c r="F69" s="5"/>
      <c r="G69" s="5"/>
      <c r="H69" s="5"/>
      <c r="I69" s="5"/>
      <c r="J69" s="5"/>
      <c r="K69" s="5"/>
      <c r="L69" s="5"/>
      <c r="M69" s="5"/>
      <c r="N69" s="5"/>
      <c r="O69" s="5"/>
      <c r="P69" s="5"/>
      <c r="Q69" s="5"/>
      <c r="R69" s="5"/>
      <c r="S69" s="5"/>
      <c r="T69" s="5"/>
    </row>
    <row r="70" spans="1:20">
      <c r="A70" s="5"/>
      <c r="B70" s="5"/>
      <c r="C70" s="5"/>
      <c r="D70" s="5"/>
      <c r="E70" s="5"/>
      <c r="F70" s="5"/>
      <c r="G70" s="5"/>
      <c r="H70" s="5"/>
      <c r="I70" s="5"/>
      <c r="J70" s="5"/>
      <c r="K70" s="5"/>
      <c r="L70" s="5"/>
      <c r="M70" s="5"/>
      <c r="N70" s="5"/>
      <c r="O70" s="5"/>
      <c r="P70" s="5"/>
      <c r="Q70" s="5"/>
      <c r="R70" s="5"/>
      <c r="S70" s="5"/>
      <c r="T70" s="5"/>
    </row>
    <row r="71" spans="1:20">
      <c r="A71" s="5"/>
      <c r="B71" s="5"/>
      <c r="C71" s="5"/>
      <c r="D71" s="5"/>
      <c r="E71" s="5"/>
      <c r="F71" s="5"/>
      <c r="G71" s="5"/>
      <c r="H71" s="5"/>
      <c r="I71" s="5"/>
      <c r="J71" s="5"/>
      <c r="K71" s="5"/>
      <c r="L71" s="5"/>
      <c r="M71" s="5"/>
      <c r="N71" s="5"/>
      <c r="O71" s="5"/>
      <c r="P71" s="5"/>
      <c r="Q71" s="5"/>
      <c r="R71" s="5"/>
      <c r="S71" s="5"/>
      <c r="T71" s="5"/>
    </row>
    <row r="72" spans="1:20">
      <c r="A72" s="5"/>
      <c r="B72" s="5"/>
      <c r="C72" s="5"/>
      <c r="D72" s="5"/>
      <c r="E72" s="5"/>
      <c r="F72" s="5"/>
      <c r="G72" s="5"/>
      <c r="H72" s="5"/>
      <c r="I72" s="5"/>
      <c r="J72" s="5"/>
      <c r="K72" s="5"/>
      <c r="L72" s="5"/>
      <c r="M72" s="5"/>
      <c r="N72" s="5"/>
      <c r="O72" s="5"/>
      <c r="P72" s="5"/>
      <c r="Q72" s="5"/>
      <c r="R72" s="5"/>
      <c r="S72" s="5"/>
      <c r="T72" s="5"/>
    </row>
    <row r="73" spans="1:20">
      <c r="A73" s="5"/>
      <c r="B73" s="5"/>
      <c r="C73" s="5"/>
      <c r="D73" s="5"/>
      <c r="E73" s="5"/>
      <c r="F73" s="5"/>
      <c r="G73" s="5"/>
      <c r="H73" s="5"/>
      <c r="I73" s="5"/>
      <c r="J73" s="5"/>
      <c r="K73" s="5"/>
      <c r="L73" s="5"/>
      <c r="M73" s="5"/>
      <c r="N73" s="5"/>
      <c r="O73" s="5"/>
      <c r="P73" s="5"/>
      <c r="Q73" s="5"/>
      <c r="R73" s="5"/>
      <c r="S73" s="5"/>
      <c r="T73" s="5"/>
    </row>
    <row r="74" spans="1:20">
      <c r="A74" s="5"/>
      <c r="B74" s="5"/>
      <c r="C74" s="5"/>
      <c r="D74" s="5"/>
      <c r="E74" s="5"/>
      <c r="F74" s="5"/>
      <c r="G74" s="5"/>
      <c r="H74" s="5"/>
      <c r="I74" s="5"/>
      <c r="J74" s="5"/>
      <c r="K74" s="5"/>
      <c r="L74" s="5"/>
      <c r="M74" s="5"/>
      <c r="N74" s="5"/>
      <c r="O74" s="5"/>
      <c r="P74" s="5"/>
      <c r="Q74" s="5"/>
      <c r="R74" s="5"/>
      <c r="S74" s="5"/>
      <c r="T74" s="5"/>
    </row>
    <row r="75" spans="1:20">
      <c r="A75" s="5"/>
      <c r="B75" s="5"/>
      <c r="C75" s="5"/>
      <c r="D75" s="5"/>
      <c r="E75" s="5"/>
      <c r="F75" s="5"/>
      <c r="G75" s="5"/>
      <c r="H75" s="5"/>
      <c r="I75" s="5"/>
      <c r="J75" s="5"/>
      <c r="K75" s="5"/>
      <c r="L75" s="5"/>
      <c r="M75" s="5"/>
      <c r="N75" s="5"/>
      <c r="O75" s="5"/>
      <c r="P75" s="5"/>
      <c r="Q75" s="5"/>
      <c r="R75" s="5"/>
      <c r="S75" s="5"/>
      <c r="T75" s="5"/>
    </row>
    <row r="76" spans="1:20">
      <c r="A76" s="5"/>
      <c r="B76" s="5"/>
      <c r="C76" s="5"/>
      <c r="D76" s="5"/>
      <c r="E76" s="5"/>
      <c r="F76" s="5"/>
      <c r="G76" s="5"/>
      <c r="H76" s="5"/>
      <c r="I76" s="5"/>
      <c r="J76" s="5"/>
      <c r="K76" s="5"/>
      <c r="L76" s="5"/>
      <c r="M76" s="5"/>
      <c r="N76" s="5"/>
      <c r="O76" s="5"/>
      <c r="P76" s="5"/>
      <c r="Q76" s="5"/>
      <c r="R76" s="5"/>
      <c r="S76" s="5"/>
      <c r="T76" s="5"/>
    </row>
    <row r="77" spans="1:20">
      <c r="A77" s="5"/>
      <c r="B77" s="5"/>
      <c r="C77" s="5"/>
      <c r="D77" s="5"/>
      <c r="E77" s="5"/>
      <c r="F77" s="5"/>
      <c r="G77" s="5"/>
      <c r="H77" s="5"/>
      <c r="I77" s="5"/>
      <c r="J77" s="5"/>
      <c r="K77" s="5"/>
      <c r="L77" s="5"/>
      <c r="M77" s="5"/>
      <c r="N77" s="5"/>
      <c r="O77" s="5"/>
      <c r="P77" s="5"/>
      <c r="Q77" s="5"/>
      <c r="R77" s="5"/>
      <c r="S77" s="5"/>
      <c r="T77" s="5"/>
    </row>
    <row r="78" spans="1:20">
      <c r="A78" s="5"/>
      <c r="B78" s="5"/>
      <c r="C78" s="5"/>
      <c r="D78" s="5"/>
      <c r="E78" s="5"/>
      <c r="F78" s="5"/>
      <c r="G78" s="5"/>
      <c r="H78" s="5"/>
      <c r="I78" s="5"/>
      <c r="J78" s="5"/>
      <c r="K78" s="5"/>
      <c r="L78" s="5"/>
      <c r="M78" s="5"/>
      <c r="N78" s="5"/>
      <c r="O78" s="5"/>
      <c r="P78" s="5"/>
      <c r="Q78" s="5"/>
      <c r="R78" s="5"/>
      <c r="S78" s="5"/>
      <c r="T78" s="5"/>
    </row>
    <row r="79" spans="1:20">
      <c r="A79" s="5"/>
      <c r="B79" s="5"/>
      <c r="C79" s="5"/>
      <c r="D79" s="5"/>
      <c r="E79" s="5"/>
      <c r="F79" s="5"/>
      <c r="G79" s="5"/>
      <c r="H79" s="5"/>
      <c r="I79" s="5"/>
      <c r="J79" s="5"/>
      <c r="K79" s="5"/>
      <c r="L79" s="5"/>
      <c r="M79" s="5"/>
      <c r="N79" s="5"/>
      <c r="O79" s="5"/>
      <c r="P79" s="5"/>
      <c r="Q79" s="5"/>
      <c r="R79" s="5"/>
      <c r="S79" s="5"/>
      <c r="T79" s="5"/>
    </row>
    <row r="80" spans="1:20">
      <c r="A80" s="5"/>
      <c r="B80" s="5"/>
      <c r="C80" s="5"/>
      <c r="D80" s="5"/>
      <c r="E80" s="5"/>
      <c r="F80" s="5"/>
      <c r="G80" s="5"/>
      <c r="H80" s="5"/>
      <c r="I80" s="5"/>
      <c r="J80" s="5"/>
      <c r="K80" s="5"/>
      <c r="L80" s="5"/>
      <c r="M80" s="5"/>
      <c r="N80" s="5"/>
      <c r="O80" s="5"/>
      <c r="P80" s="5"/>
      <c r="Q80" s="5"/>
      <c r="R80" s="5"/>
      <c r="S80" s="5"/>
      <c r="T80" s="5"/>
    </row>
    <row r="81" spans="1:20">
      <c r="A81" s="5"/>
      <c r="B81" s="5"/>
      <c r="C81" s="5"/>
      <c r="D81" s="5"/>
      <c r="E81" s="5"/>
      <c r="F81" s="5"/>
      <c r="G81" s="5"/>
      <c r="H81" s="5"/>
      <c r="I81" s="5"/>
      <c r="J81" s="5"/>
      <c r="K81" s="5"/>
      <c r="L81" s="5"/>
      <c r="M81" s="5"/>
      <c r="N81" s="5"/>
      <c r="O81" s="5"/>
      <c r="P81" s="5"/>
      <c r="Q81" s="5"/>
      <c r="R81" s="5"/>
      <c r="S81" s="5"/>
      <c r="T81" s="5"/>
    </row>
    <row r="82" spans="1:20">
      <c r="A82" s="5"/>
      <c r="B82" s="5"/>
      <c r="C82" s="5"/>
      <c r="D82" s="5"/>
      <c r="E82" s="5"/>
      <c r="F82" s="5"/>
      <c r="G82" s="5"/>
      <c r="H82" s="5"/>
      <c r="I82" s="5"/>
      <c r="J82" s="5"/>
      <c r="K82" s="5"/>
      <c r="L82" s="5"/>
      <c r="M82" s="5"/>
      <c r="N82" s="5"/>
      <c r="O82" s="5"/>
      <c r="P82" s="5"/>
      <c r="Q82" s="5"/>
      <c r="R82" s="5"/>
      <c r="S82" s="5"/>
      <c r="T82" s="5"/>
    </row>
    <row r="83" spans="1:20">
      <c r="A83" s="5"/>
      <c r="B83" s="5"/>
      <c r="C83" s="5"/>
      <c r="D83" s="5"/>
      <c r="E83" s="5"/>
      <c r="F83" s="5"/>
      <c r="G83" s="5"/>
      <c r="H83" s="5"/>
      <c r="I83" s="5"/>
      <c r="J83" s="5"/>
      <c r="K83" s="5"/>
      <c r="L83" s="5"/>
      <c r="M83" s="5"/>
      <c r="N83" s="5"/>
      <c r="O83" s="5"/>
      <c r="P83" s="5"/>
      <c r="Q83" s="5"/>
      <c r="R83" s="5"/>
      <c r="S83" s="5"/>
      <c r="T83" s="5"/>
    </row>
    <row r="84" spans="1:20">
      <c r="A84" s="5"/>
      <c r="B84" s="5"/>
      <c r="C84" s="5"/>
      <c r="D84" s="5"/>
      <c r="E84" s="5"/>
      <c r="F84" s="5"/>
      <c r="G84" s="5"/>
      <c r="H84" s="5"/>
      <c r="I84" s="5"/>
      <c r="J84" s="5"/>
      <c r="K84" s="5"/>
      <c r="L84" s="5"/>
      <c r="M84" s="5"/>
      <c r="N84" s="5"/>
      <c r="O84" s="5"/>
      <c r="P84" s="5"/>
      <c r="Q84" s="5"/>
      <c r="R84" s="5"/>
      <c r="S84" s="5"/>
      <c r="T84" s="5"/>
    </row>
    <row r="85" spans="1:20">
      <c r="A85" s="5"/>
      <c r="B85" s="5"/>
      <c r="C85" s="5"/>
      <c r="D85" s="5"/>
      <c r="E85" s="5"/>
      <c r="F85" s="5"/>
      <c r="G85" s="5"/>
      <c r="H85" s="5"/>
      <c r="I85" s="5"/>
      <c r="J85" s="5"/>
      <c r="K85" s="5"/>
      <c r="L85" s="5"/>
      <c r="M85" s="5"/>
      <c r="N85" s="5"/>
      <c r="O85" s="5"/>
      <c r="P85" s="5"/>
      <c r="Q85" s="5"/>
      <c r="R85" s="5"/>
      <c r="S85" s="5"/>
      <c r="T85" s="5"/>
    </row>
    <row r="86" spans="1:20">
      <c r="A86" s="5"/>
      <c r="B86" s="5"/>
      <c r="C86" s="5"/>
      <c r="D86" s="5"/>
      <c r="E86" s="5"/>
      <c r="F86" s="5"/>
      <c r="G86" s="5"/>
      <c r="H86" s="5"/>
      <c r="I86" s="5"/>
      <c r="J86" s="5"/>
      <c r="K86" s="5"/>
      <c r="L86" s="5"/>
      <c r="M86" s="5"/>
      <c r="N86" s="5"/>
      <c r="O86" s="5"/>
      <c r="P86" s="5"/>
      <c r="Q86" s="5"/>
      <c r="R86" s="5"/>
      <c r="S86" s="5"/>
      <c r="T86" s="5"/>
    </row>
    <row r="87" spans="1:20">
      <c r="A87" s="5"/>
      <c r="B87" s="5"/>
      <c r="C87" s="5"/>
      <c r="D87" s="5"/>
      <c r="E87" s="5"/>
      <c r="F87" s="5"/>
      <c r="G87" s="5"/>
      <c r="H87" s="5"/>
      <c r="I87" s="5"/>
      <c r="J87" s="5"/>
      <c r="K87" s="5"/>
      <c r="L87" s="5"/>
      <c r="M87" s="5"/>
      <c r="N87" s="5"/>
      <c r="O87" s="5"/>
      <c r="P87" s="5"/>
      <c r="Q87" s="5"/>
      <c r="R87" s="5"/>
      <c r="S87" s="5"/>
      <c r="T87" s="5"/>
    </row>
    <row r="88" spans="1:20">
      <c r="A88" s="5"/>
      <c r="B88" s="5"/>
      <c r="C88" s="5"/>
      <c r="D88" s="5"/>
      <c r="E88" s="5"/>
      <c r="F88" s="5"/>
      <c r="G88" s="5"/>
      <c r="H88" s="5"/>
      <c r="I88" s="5"/>
      <c r="J88" s="5"/>
      <c r="K88" s="5"/>
      <c r="L88" s="5"/>
      <c r="M88" s="5"/>
      <c r="N88" s="5"/>
      <c r="O88" s="5"/>
      <c r="P88" s="5"/>
      <c r="Q88" s="5"/>
      <c r="R88" s="5"/>
      <c r="S88" s="5"/>
      <c r="T88" s="5"/>
    </row>
    <row r="89" spans="1:20">
      <c r="A89" s="5"/>
      <c r="B89" s="5"/>
      <c r="C89" s="5"/>
      <c r="D89" s="5"/>
      <c r="E89" s="5"/>
      <c r="F89" s="5"/>
      <c r="G89" s="5"/>
      <c r="H89" s="5"/>
      <c r="I89" s="5"/>
      <c r="J89" s="5"/>
      <c r="K89" s="5"/>
      <c r="L89" s="5"/>
      <c r="M89" s="5"/>
      <c r="N89" s="5"/>
      <c r="O89" s="5"/>
      <c r="P89" s="5"/>
      <c r="Q89" s="5"/>
      <c r="R89" s="5"/>
      <c r="S89" s="5"/>
      <c r="T89" s="5"/>
    </row>
    <row r="90" spans="1:20">
      <c r="A90" s="5"/>
      <c r="B90" s="5"/>
      <c r="C90" s="5"/>
      <c r="D90" s="5"/>
      <c r="E90" s="5"/>
      <c r="F90" s="5"/>
      <c r="G90" s="5"/>
      <c r="H90" s="5"/>
      <c r="I90" s="5"/>
      <c r="J90" s="5"/>
      <c r="K90" s="5"/>
      <c r="L90" s="5"/>
      <c r="M90" s="5"/>
      <c r="N90" s="5"/>
      <c r="O90" s="5"/>
      <c r="P90" s="5"/>
      <c r="Q90" s="5"/>
      <c r="R90" s="5"/>
      <c r="S90" s="5"/>
      <c r="T90" s="5"/>
    </row>
    <row r="91" spans="1:20">
      <c r="A91" s="5"/>
      <c r="B91" s="5"/>
      <c r="C91" s="5"/>
      <c r="D91" s="5"/>
      <c r="E91" s="5"/>
      <c r="F91" s="5"/>
      <c r="G91" s="5"/>
      <c r="H91" s="5"/>
      <c r="I91" s="5"/>
      <c r="J91" s="5"/>
      <c r="K91" s="5"/>
      <c r="L91" s="5"/>
      <c r="M91" s="5"/>
      <c r="N91" s="5"/>
      <c r="O91" s="5"/>
      <c r="P91" s="5"/>
      <c r="Q91" s="5"/>
      <c r="R91" s="5"/>
      <c r="S91" s="5"/>
      <c r="T91" s="5"/>
    </row>
    <row r="92" spans="1:20">
      <c r="A92" s="5"/>
      <c r="B92" s="5"/>
      <c r="C92" s="5"/>
      <c r="D92" s="5"/>
      <c r="E92" s="5"/>
      <c r="F92" s="5"/>
      <c r="G92" s="5"/>
      <c r="H92" s="5"/>
      <c r="I92" s="5"/>
      <c r="J92" s="5"/>
      <c r="K92" s="5"/>
      <c r="L92" s="5"/>
      <c r="M92" s="5"/>
      <c r="N92" s="5"/>
      <c r="O92" s="5"/>
      <c r="P92" s="5"/>
      <c r="Q92" s="5"/>
      <c r="R92" s="5"/>
      <c r="S92" s="5"/>
      <c r="T92" s="5"/>
    </row>
    <row r="93" spans="1:20">
      <c r="A93" s="5"/>
      <c r="B93" s="5"/>
      <c r="C93" s="5"/>
      <c r="D93" s="5"/>
      <c r="E93" s="5"/>
      <c r="F93" s="5"/>
      <c r="G93" s="5"/>
      <c r="H93" s="5"/>
      <c r="I93" s="5"/>
      <c r="J93" s="5"/>
      <c r="K93" s="5"/>
      <c r="L93" s="5"/>
      <c r="M93" s="5"/>
      <c r="N93" s="5"/>
      <c r="O93" s="5"/>
      <c r="P93" s="5"/>
      <c r="Q93" s="5"/>
      <c r="R93" s="5"/>
      <c r="S93" s="5"/>
      <c r="T93" s="5"/>
    </row>
    <row r="94" spans="1:20">
      <c r="A94" s="5"/>
      <c r="B94" s="5"/>
      <c r="C94" s="5"/>
      <c r="D94" s="5"/>
      <c r="E94" s="5"/>
      <c r="F94" s="5"/>
      <c r="G94" s="5"/>
      <c r="H94" s="5"/>
      <c r="I94" s="5"/>
      <c r="J94" s="5"/>
      <c r="K94" s="5"/>
      <c r="L94" s="5"/>
      <c r="M94" s="5"/>
      <c r="N94" s="5"/>
      <c r="O94" s="5"/>
      <c r="P94" s="5"/>
      <c r="Q94" s="5"/>
      <c r="R94" s="5"/>
      <c r="S94" s="5"/>
      <c r="T94" s="5"/>
    </row>
    <row r="95" spans="1:20">
      <c r="A95" s="5"/>
      <c r="B95" s="5"/>
      <c r="C95" s="5"/>
      <c r="D95" s="5"/>
      <c r="E95" s="5"/>
      <c r="F95" s="5"/>
      <c r="G95" s="5"/>
      <c r="H95" s="5"/>
      <c r="I95" s="5"/>
      <c r="J95" s="5"/>
      <c r="K95" s="5"/>
      <c r="L95" s="5"/>
      <c r="M95" s="5"/>
      <c r="N95" s="5"/>
      <c r="O95" s="5"/>
      <c r="P95" s="5"/>
      <c r="Q95" s="5"/>
      <c r="R95" s="5"/>
      <c r="S95" s="5"/>
      <c r="T95" s="5"/>
    </row>
    <row r="96" spans="1:20">
      <c r="A96" s="5"/>
      <c r="B96" s="5"/>
      <c r="C96" s="5"/>
      <c r="D96" s="5"/>
      <c r="E96" s="5"/>
      <c r="F96" s="5"/>
      <c r="G96" s="5"/>
      <c r="H96" s="5"/>
      <c r="I96" s="5"/>
      <c r="J96" s="5"/>
      <c r="K96" s="5"/>
      <c r="L96" s="5"/>
      <c r="M96" s="5"/>
      <c r="N96" s="5"/>
      <c r="O96" s="5"/>
      <c r="P96" s="5"/>
      <c r="Q96" s="5"/>
      <c r="R96" s="5"/>
      <c r="S96" s="5"/>
      <c r="T96" s="5"/>
    </row>
    <row r="97" spans="1:20">
      <c r="A97" s="5"/>
      <c r="B97" s="5"/>
      <c r="C97" s="5"/>
      <c r="D97" s="5"/>
      <c r="E97" s="5"/>
      <c r="F97" s="5"/>
      <c r="G97" s="5"/>
      <c r="H97" s="5"/>
      <c r="I97" s="5"/>
      <c r="J97" s="5"/>
      <c r="K97" s="5"/>
      <c r="L97" s="5"/>
      <c r="M97" s="5"/>
      <c r="N97" s="5"/>
      <c r="O97" s="5"/>
      <c r="P97" s="5"/>
      <c r="Q97" s="5"/>
      <c r="R97" s="5"/>
      <c r="S97" s="5"/>
      <c r="T97" s="5"/>
    </row>
    <row r="98" spans="1:20">
      <c r="A98" s="5"/>
      <c r="B98" s="5"/>
      <c r="C98" s="5"/>
      <c r="D98" s="5"/>
      <c r="E98" s="5"/>
      <c r="F98" s="5"/>
      <c r="G98" s="5"/>
      <c r="H98" s="5"/>
      <c r="I98" s="5"/>
      <c r="J98" s="5"/>
      <c r="K98" s="5"/>
      <c r="L98" s="5"/>
      <c r="M98" s="5"/>
      <c r="N98" s="5"/>
      <c r="O98" s="5"/>
      <c r="P98" s="5"/>
      <c r="Q98" s="5"/>
      <c r="R98" s="5"/>
      <c r="S98" s="5"/>
      <c r="T98" s="5"/>
    </row>
    <row r="99" spans="1:20">
      <c r="A99" s="5"/>
      <c r="B99" s="5"/>
      <c r="C99" s="5"/>
      <c r="D99" s="5"/>
      <c r="E99" s="5"/>
      <c r="F99" s="5"/>
      <c r="G99" s="5"/>
      <c r="H99" s="5"/>
      <c r="I99" s="5"/>
      <c r="J99" s="5"/>
      <c r="K99" s="5"/>
      <c r="L99" s="5"/>
      <c r="M99" s="5"/>
      <c r="N99" s="5"/>
      <c r="O99" s="5"/>
      <c r="P99" s="5"/>
      <c r="Q99" s="5"/>
      <c r="R99" s="5"/>
      <c r="S99" s="5"/>
      <c r="T99" s="5"/>
    </row>
    <row r="100" spans="1:20">
      <c r="A100" s="5"/>
      <c r="B100" s="5"/>
      <c r="C100" s="5"/>
      <c r="D100" s="5"/>
      <c r="E100" s="5"/>
      <c r="F100" s="5"/>
      <c r="G100" s="5"/>
      <c r="H100" s="5"/>
      <c r="I100" s="5"/>
      <c r="J100" s="5"/>
      <c r="K100" s="5"/>
      <c r="L100" s="5"/>
      <c r="M100" s="5"/>
      <c r="N100" s="5"/>
      <c r="O100" s="5"/>
      <c r="P100" s="5"/>
      <c r="Q100" s="5"/>
      <c r="R100" s="5"/>
      <c r="S100" s="5"/>
      <c r="T100" s="5"/>
    </row>
    <row r="101" spans="1:20">
      <c r="A101" s="5"/>
      <c r="B101" s="5"/>
      <c r="C101" s="5"/>
      <c r="D101" s="5"/>
      <c r="E101" s="5"/>
      <c r="F101" s="5"/>
      <c r="G101" s="5"/>
      <c r="H101" s="5"/>
      <c r="I101" s="5"/>
      <c r="J101" s="5"/>
      <c r="K101" s="5"/>
      <c r="L101" s="5"/>
      <c r="M101" s="5"/>
      <c r="N101" s="5"/>
      <c r="O101" s="5"/>
      <c r="P101" s="5"/>
      <c r="Q101" s="5"/>
      <c r="R101" s="5"/>
      <c r="S101" s="5"/>
      <c r="T101" s="5"/>
    </row>
    <row r="102" spans="1:20">
      <c r="A102" s="5"/>
      <c r="B102" s="5"/>
      <c r="C102" s="5"/>
      <c r="D102" s="5"/>
      <c r="E102" s="5"/>
      <c r="F102" s="5"/>
      <c r="G102" s="5"/>
      <c r="H102" s="5"/>
      <c r="I102" s="5"/>
      <c r="J102" s="5"/>
      <c r="K102" s="5"/>
      <c r="L102" s="5"/>
      <c r="M102" s="5"/>
      <c r="N102" s="5"/>
      <c r="O102" s="5"/>
      <c r="P102" s="5"/>
      <c r="Q102" s="5"/>
      <c r="R102" s="5"/>
      <c r="S102" s="5"/>
      <c r="T102" s="5"/>
    </row>
    <row r="103" spans="1:20">
      <c r="A103" s="5"/>
      <c r="B103" s="5"/>
      <c r="C103" s="5"/>
      <c r="D103" s="5"/>
      <c r="E103" s="5"/>
      <c r="F103" s="5"/>
      <c r="G103" s="5"/>
      <c r="H103" s="5"/>
      <c r="I103" s="5"/>
      <c r="J103" s="5"/>
      <c r="K103" s="5"/>
      <c r="L103" s="5"/>
      <c r="M103" s="5"/>
      <c r="N103" s="5"/>
      <c r="O103" s="5"/>
      <c r="P103" s="5"/>
      <c r="Q103" s="5"/>
      <c r="R103" s="5"/>
      <c r="S103" s="5"/>
      <c r="T103" s="5"/>
    </row>
    <row r="104" spans="1:20">
      <c r="A104" s="5"/>
      <c r="B104" s="5"/>
      <c r="C104" s="5"/>
      <c r="D104" s="5"/>
      <c r="E104" s="5"/>
      <c r="F104" s="5"/>
      <c r="G104" s="5"/>
      <c r="H104" s="5"/>
      <c r="I104" s="5"/>
      <c r="J104" s="5"/>
      <c r="K104" s="5"/>
      <c r="L104" s="5"/>
      <c r="M104" s="5"/>
      <c r="N104" s="5"/>
      <c r="O104" s="5"/>
      <c r="P104" s="5"/>
      <c r="Q104" s="5"/>
      <c r="R104" s="5"/>
      <c r="S104" s="5"/>
      <c r="T104" s="5"/>
    </row>
    <row r="105" spans="1:20">
      <c r="A105" s="5"/>
      <c r="B105" s="5"/>
      <c r="C105" s="5"/>
      <c r="D105" s="5"/>
      <c r="E105" s="5"/>
      <c r="F105" s="5"/>
      <c r="G105" s="5"/>
      <c r="H105" s="5"/>
      <c r="I105" s="5"/>
      <c r="J105" s="5"/>
      <c r="K105" s="5"/>
      <c r="L105" s="5"/>
      <c r="M105" s="5"/>
      <c r="N105" s="5"/>
      <c r="O105" s="5"/>
      <c r="P105" s="5"/>
      <c r="Q105" s="5"/>
      <c r="R105" s="5"/>
      <c r="S105" s="5"/>
      <c r="T105" s="5"/>
    </row>
    <row r="106" spans="1:20">
      <c r="A106" s="5"/>
      <c r="B106" s="5"/>
      <c r="C106" s="5"/>
      <c r="D106" s="5"/>
      <c r="E106" s="5"/>
      <c r="F106" s="5"/>
      <c r="G106" s="5"/>
      <c r="H106" s="5"/>
      <c r="I106" s="5"/>
      <c r="J106" s="5"/>
      <c r="K106" s="5"/>
      <c r="L106" s="5"/>
      <c r="M106" s="5"/>
      <c r="N106" s="5"/>
      <c r="O106" s="5"/>
      <c r="P106" s="5"/>
      <c r="Q106" s="5"/>
      <c r="R106" s="5"/>
      <c r="S106" s="5"/>
      <c r="T106" s="5"/>
    </row>
    <row r="107" spans="1:20">
      <c r="A107" s="5"/>
      <c r="B107" s="5"/>
      <c r="C107" s="5"/>
      <c r="D107" s="5"/>
      <c r="E107" s="5"/>
      <c r="F107" s="5"/>
      <c r="G107" s="5"/>
      <c r="H107" s="5"/>
      <c r="I107" s="5"/>
      <c r="J107" s="5"/>
      <c r="K107" s="5"/>
      <c r="L107" s="5"/>
      <c r="M107" s="5"/>
      <c r="N107" s="5"/>
      <c r="O107" s="5"/>
      <c r="P107" s="5"/>
      <c r="Q107" s="5"/>
      <c r="R107" s="5"/>
      <c r="S107" s="5"/>
      <c r="T107" s="5"/>
    </row>
    <row r="108" spans="1:20">
      <c r="A108" s="5"/>
      <c r="B108" s="5"/>
      <c r="C108" s="5"/>
      <c r="D108" s="5"/>
      <c r="E108" s="5"/>
      <c r="F108" s="5"/>
      <c r="G108" s="5"/>
      <c r="H108" s="5"/>
      <c r="I108" s="5"/>
      <c r="J108" s="5"/>
      <c r="K108" s="5"/>
      <c r="L108" s="5"/>
      <c r="M108" s="5"/>
      <c r="N108" s="5"/>
      <c r="O108" s="5"/>
      <c r="P108" s="5"/>
      <c r="Q108" s="5"/>
      <c r="R108" s="5"/>
      <c r="S108" s="5"/>
      <c r="T108" s="5"/>
    </row>
    <row r="109" spans="1:20">
      <c r="A109" s="5"/>
      <c r="B109" s="5"/>
      <c r="C109" s="5"/>
      <c r="D109" s="5"/>
      <c r="E109" s="5"/>
      <c r="F109" s="5"/>
      <c r="G109" s="5"/>
      <c r="H109" s="5"/>
      <c r="I109" s="5"/>
      <c r="J109" s="5"/>
      <c r="K109" s="5"/>
      <c r="L109" s="5"/>
      <c r="M109" s="5"/>
      <c r="N109" s="5"/>
      <c r="O109" s="5"/>
      <c r="P109" s="5"/>
      <c r="Q109" s="5"/>
      <c r="R109" s="5"/>
      <c r="S109" s="5"/>
      <c r="T109" s="5"/>
    </row>
    <row r="110" spans="1:20">
      <c r="A110" s="5"/>
      <c r="B110" s="5"/>
      <c r="C110" s="5"/>
      <c r="D110" s="5"/>
      <c r="E110" s="5"/>
      <c r="F110" s="5"/>
      <c r="G110" s="5"/>
      <c r="H110" s="5"/>
      <c r="I110" s="5"/>
      <c r="J110" s="5"/>
      <c r="K110" s="5"/>
      <c r="L110" s="5"/>
      <c r="M110" s="5"/>
      <c r="N110" s="5"/>
      <c r="O110" s="5"/>
      <c r="P110" s="5"/>
      <c r="Q110" s="5"/>
      <c r="R110" s="5"/>
      <c r="S110" s="5"/>
      <c r="T110" s="5"/>
    </row>
    <row r="111" spans="1:20">
      <c r="A111" s="5"/>
      <c r="B111" s="5"/>
      <c r="C111" s="5"/>
      <c r="D111" s="5"/>
      <c r="E111" s="5"/>
      <c r="F111" s="5"/>
      <c r="G111" s="5"/>
      <c r="H111" s="5"/>
      <c r="I111" s="5"/>
      <c r="J111" s="5"/>
      <c r="K111" s="5"/>
      <c r="L111" s="5"/>
      <c r="M111" s="5"/>
      <c r="N111" s="5"/>
      <c r="O111" s="5"/>
      <c r="P111" s="5"/>
      <c r="Q111" s="5"/>
      <c r="R111" s="5"/>
      <c r="S111" s="5"/>
      <c r="T111" s="5"/>
    </row>
    <row r="112" spans="1:20">
      <c r="A112" s="5"/>
      <c r="B112" s="5"/>
      <c r="C112" s="5"/>
      <c r="D112" s="5"/>
      <c r="E112" s="5"/>
      <c r="F112" s="5"/>
      <c r="G112" s="5"/>
      <c r="H112" s="5"/>
      <c r="I112" s="5"/>
      <c r="J112" s="5"/>
      <c r="K112" s="5"/>
      <c r="L112" s="5"/>
      <c r="M112" s="5"/>
      <c r="N112" s="5"/>
      <c r="O112" s="5"/>
      <c r="P112" s="5"/>
      <c r="Q112" s="5"/>
      <c r="R112" s="5"/>
      <c r="S112" s="5"/>
      <c r="T112" s="5"/>
    </row>
    <row r="113" spans="1:20">
      <c r="A113" s="5"/>
      <c r="B113" s="5"/>
      <c r="C113" s="5"/>
      <c r="D113" s="5"/>
      <c r="E113" s="5"/>
      <c r="F113" s="5"/>
      <c r="G113" s="5"/>
      <c r="H113" s="5"/>
      <c r="I113" s="5"/>
      <c r="J113" s="5"/>
      <c r="K113" s="5"/>
      <c r="L113" s="5"/>
      <c r="M113" s="5"/>
      <c r="N113" s="5"/>
      <c r="O113" s="5"/>
      <c r="P113" s="5"/>
      <c r="Q113" s="5"/>
      <c r="R113" s="5"/>
      <c r="S113" s="5"/>
      <c r="T113" s="5"/>
    </row>
    <row r="114" spans="1:20">
      <c r="A114" s="5"/>
      <c r="B114" s="5"/>
      <c r="C114" s="5"/>
      <c r="D114" s="5"/>
      <c r="E114" s="5"/>
      <c r="F114" s="5"/>
      <c r="G114" s="5"/>
      <c r="H114" s="5"/>
      <c r="I114" s="5"/>
      <c r="J114" s="5"/>
      <c r="K114" s="5"/>
      <c r="L114" s="5"/>
      <c r="M114" s="5"/>
      <c r="N114" s="5"/>
      <c r="O114" s="5"/>
      <c r="P114" s="5"/>
      <c r="Q114" s="5"/>
      <c r="R114" s="5"/>
      <c r="S114" s="5"/>
      <c r="T114" s="5"/>
    </row>
    <row r="115" spans="1:20">
      <c r="A115" s="5"/>
      <c r="B115" s="5"/>
      <c r="C115" s="5"/>
      <c r="D115" s="5"/>
      <c r="E115" s="5"/>
      <c r="F115" s="5"/>
      <c r="G115" s="5"/>
      <c r="H115" s="5"/>
      <c r="I115" s="5"/>
      <c r="J115" s="5"/>
      <c r="K115" s="5"/>
      <c r="L115" s="5"/>
      <c r="M115" s="5"/>
      <c r="N115" s="5"/>
      <c r="O115" s="5"/>
      <c r="P115" s="5"/>
      <c r="Q115" s="5"/>
      <c r="R115" s="5"/>
      <c r="S115" s="5"/>
      <c r="T115" s="5"/>
    </row>
    <row r="116" spans="1:20">
      <c r="A116" s="5"/>
      <c r="B116" s="5"/>
      <c r="C116" s="5"/>
      <c r="D116" s="5"/>
      <c r="E116" s="5"/>
      <c r="F116" s="5"/>
      <c r="G116" s="5"/>
      <c r="H116" s="5"/>
      <c r="I116" s="5"/>
      <c r="J116" s="5"/>
      <c r="K116" s="5"/>
      <c r="L116" s="5"/>
      <c r="M116" s="5"/>
      <c r="N116" s="5"/>
      <c r="O116" s="5"/>
      <c r="P116" s="5"/>
      <c r="Q116" s="5"/>
      <c r="R116" s="5"/>
      <c r="S116" s="5"/>
      <c r="T116" s="5"/>
    </row>
    <row r="117" spans="1:20">
      <c r="A117" s="5"/>
      <c r="B117" s="5"/>
      <c r="C117" s="5"/>
      <c r="D117" s="5"/>
      <c r="E117" s="5"/>
      <c r="F117" s="5"/>
      <c r="G117" s="5"/>
      <c r="H117" s="5"/>
      <c r="I117" s="5"/>
      <c r="J117" s="5"/>
      <c r="K117" s="5"/>
      <c r="L117" s="5"/>
      <c r="M117" s="5"/>
      <c r="N117" s="5"/>
      <c r="O117" s="5"/>
      <c r="P117" s="5"/>
      <c r="Q117" s="5"/>
      <c r="R117" s="5"/>
      <c r="S117" s="5"/>
      <c r="T117" s="5"/>
    </row>
    <row r="118" spans="1:20">
      <c r="A118" s="5"/>
      <c r="B118" s="5"/>
      <c r="C118" s="5"/>
      <c r="D118" s="5"/>
      <c r="E118" s="5"/>
      <c r="F118" s="5"/>
      <c r="G118" s="5"/>
      <c r="H118" s="5"/>
      <c r="I118" s="5"/>
      <c r="J118" s="5"/>
      <c r="K118" s="5"/>
      <c r="L118" s="5"/>
      <c r="M118" s="5"/>
      <c r="N118" s="5"/>
      <c r="O118" s="5"/>
      <c r="P118" s="5"/>
      <c r="Q118" s="5"/>
      <c r="R118" s="5"/>
      <c r="S118" s="5"/>
      <c r="T118" s="5"/>
    </row>
    <row r="119" spans="1:20">
      <c r="A119" s="5"/>
      <c r="B119" s="5"/>
      <c r="C119" s="5"/>
      <c r="D119" s="5"/>
      <c r="E119" s="5"/>
      <c r="F119" s="5"/>
      <c r="G119" s="5"/>
      <c r="H119" s="5"/>
      <c r="I119" s="5"/>
      <c r="J119" s="5"/>
      <c r="K119" s="5"/>
      <c r="L119" s="5"/>
      <c r="M119" s="5"/>
      <c r="N119" s="5"/>
      <c r="O119" s="5"/>
      <c r="P119" s="5"/>
      <c r="Q119" s="5"/>
      <c r="R119" s="5"/>
      <c r="S119" s="5"/>
      <c r="T119" s="5"/>
    </row>
    <row r="120" spans="1:20">
      <c r="A120" s="5"/>
      <c r="B120" s="5"/>
      <c r="C120" s="5"/>
      <c r="D120" s="5"/>
      <c r="E120" s="5"/>
      <c r="F120" s="5"/>
      <c r="G120" s="5"/>
      <c r="H120" s="5"/>
      <c r="I120" s="5"/>
      <c r="J120" s="5"/>
      <c r="K120" s="5"/>
      <c r="L120" s="5"/>
      <c r="M120" s="5"/>
      <c r="N120" s="5"/>
      <c r="O120" s="5"/>
      <c r="P120" s="5"/>
      <c r="Q120" s="5"/>
      <c r="R120" s="5"/>
      <c r="S120" s="5"/>
      <c r="T120" s="5"/>
    </row>
    <row r="121" spans="1:20">
      <c r="A121" s="5"/>
      <c r="B121" s="5"/>
      <c r="C121" s="5"/>
      <c r="D121" s="5"/>
      <c r="E121" s="5"/>
      <c r="F121" s="5"/>
      <c r="G121" s="5"/>
      <c r="H121" s="5"/>
      <c r="I121" s="5"/>
      <c r="J121" s="5"/>
      <c r="K121" s="5"/>
      <c r="L121" s="5"/>
      <c r="M121" s="5"/>
      <c r="N121" s="5"/>
      <c r="O121" s="5"/>
      <c r="P121" s="5"/>
      <c r="Q121" s="5"/>
      <c r="R121" s="5"/>
      <c r="S121" s="5"/>
      <c r="T121" s="5"/>
    </row>
    <row r="122" spans="1:20">
      <c r="A122" s="5"/>
      <c r="B122" s="5"/>
      <c r="C122" s="5"/>
      <c r="D122" s="5"/>
      <c r="E122" s="5"/>
      <c r="F122" s="5"/>
      <c r="G122" s="5"/>
      <c r="H122" s="5"/>
      <c r="I122" s="5"/>
      <c r="J122" s="5"/>
      <c r="K122" s="5"/>
      <c r="L122" s="5"/>
      <c r="M122" s="5"/>
      <c r="N122" s="5"/>
      <c r="O122" s="5"/>
      <c r="P122" s="5"/>
      <c r="Q122" s="5"/>
      <c r="R122" s="5"/>
      <c r="S122" s="5"/>
      <c r="T122" s="5"/>
    </row>
    <row r="123" spans="1:20">
      <c r="A123" s="5"/>
      <c r="B123" s="5"/>
      <c r="C123" s="5"/>
      <c r="D123" s="5"/>
      <c r="E123" s="5"/>
      <c r="F123" s="5"/>
      <c r="G123" s="5"/>
      <c r="H123" s="5"/>
      <c r="I123" s="5"/>
      <c r="J123" s="5"/>
      <c r="K123" s="5"/>
      <c r="L123" s="5"/>
      <c r="M123" s="5"/>
      <c r="N123" s="5"/>
      <c r="O123" s="5"/>
      <c r="P123" s="5"/>
      <c r="Q123" s="5"/>
      <c r="R123" s="5"/>
      <c r="S123" s="5"/>
      <c r="T123" s="5"/>
    </row>
    <row r="124" spans="1:20">
      <c r="A124" s="5"/>
      <c r="B124" s="5"/>
      <c r="C124" s="5"/>
      <c r="D124" s="5"/>
      <c r="E124" s="5"/>
      <c r="F124" s="5"/>
      <c r="G124" s="5"/>
      <c r="H124" s="5"/>
      <c r="I124" s="5"/>
      <c r="J124" s="5"/>
      <c r="K124" s="5"/>
      <c r="L124" s="5"/>
      <c r="M124" s="5"/>
      <c r="N124" s="5"/>
      <c r="O124" s="5"/>
      <c r="P124" s="5"/>
      <c r="Q124" s="5"/>
      <c r="R124" s="5"/>
      <c r="S124" s="5"/>
      <c r="T124" s="5"/>
    </row>
    <row r="125" spans="1:20">
      <c r="A125" s="5"/>
      <c r="B125" s="5"/>
      <c r="C125" s="5"/>
      <c r="D125" s="5"/>
      <c r="E125" s="5"/>
      <c r="F125" s="5"/>
      <c r="G125" s="5"/>
      <c r="H125" s="5"/>
      <c r="I125" s="5"/>
      <c r="J125" s="5"/>
      <c r="K125" s="5"/>
      <c r="L125" s="5"/>
      <c r="M125" s="5"/>
      <c r="N125" s="5"/>
      <c r="O125" s="5"/>
      <c r="P125" s="5"/>
      <c r="Q125" s="5"/>
      <c r="R125" s="5"/>
      <c r="S125" s="5"/>
      <c r="T125" s="5"/>
    </row>
    <row r="126" spans="1:20">
      <c r="A126" s="5"/>
      <c r="B126" s="5"/>
      <c r="C126" s="5"/>
      <c r="D126" s="5"/>
      <c r="E126" s="5"/>
      <c r="F126" s="5"/>
      <c r="G126" s="5"/>
      <c r="H126" s="5"/>
      <c r="I126" s="5"/>
      <c r="J126" s="5"/>
      <c r="K126" s="5"/>
      <c r="L126" s="5"/>
      <c r="M126" s="5"/>
      <c r="N126" s="5"/>
      <c r="O126" s="5"/>
      <c r="P126" s="5"/>
      <c r="Q126" s="5"/>
      <c r="R126" s="5"/>
      <c r="S126" s="5"/>
      <c r="T126" s="5"/>
    </row>
    <row r="127" spans="1:20">
      <c r="A127" s="5"/>
      <c r="B127" s="5"/>
      <c r="C127" s="5"/>
      <c r="D127" s="5"/>
      <c r="E127" s="5"/>
      <c r="F127" s="5"/>
      <c r="G127" s="5"/>
      <c r="H127" s="5"/>
      <c r="I127" s="5"/>
      <c r="J127" s="5"/>
      <c r="K127" s="5"/>
      <c r="L127" s="5"/>
      <c r="M127" s="5"/>
      <c r="N127" s="5"/>
      <c r="O127" s="5"/>
      <c r="P127" s="5"/>
      <c r="Q127" s="5"/>
      <c r="R127" s="5"/>
      <c r="S127" s="5"/>
      <c r="T127" s="5"/>
    </row>
    <row r="128" spans="1:20">
      <c r="A128" s="5"/>
      <c r="B128" s="5"/>
      <c r="C128" s="5"/>
      <c r="D128" s="5"/>
      <c r="E128" s="5"/>
      <c r="F128" s="5"/>
      <c r="G128" s="5"/>
      <c r="H128" s="5"/>
      <c r="I128" s="5"/>
      <c r="J128" s="5"/>
      <c r="K128" s="5"/>
      <c r="L128" s="5"/>
      <c r="M128" s="5"/>
      <c r="N128" s="5"/>
      <c r="O128" s="5"/>
      <c r="P128" s="5"/>
      <c r="Q128" s="5"/>
      <c r="R128" s="5"/>
      <c r="S128" s="5"/>
      <c r="T128" s="5"/>
    </row>
    <row r="129" spans="1:20">
      <c r="A129" s="5"/>
      <c r="B129" s="5"/>
      <c r="C129" s="5"/>
      <c r="D129" s="5"/>
      <c r="E129" s="5"/>
      <c r="F129" s="5"/>
      <c r="G129" s="5"/>
      <c r="H129" s="5"/>
      <c r="I129" s="5"/>
      <c r="J129" s="5"/>
      <c r="K129" s="5"/>
      <c r="L129" s="5"/>
      <c r="M129" s="5"/>
      <c r="N129" s="5"/>
      <c r="O129" s="5"/>
      <c r="P129" s="5"/>
      <c r="Q129" s="5"/>
      <c r="R129" s="5"/>
      <c r="S129" s="5"/>
      <c r="T129" s="5"/>
    </row>
    <row r="130" spans="1:20">
      <c r="A130" s="5"/>
      <c r="B130" s="5"/>
      <c r="C130" s="5"/>
      <c r="D130" s="5"/>
      <c r="E130" s="5"/>
      <c r="F130" s="5"/>
      <c r="G130" s="5"/>
      <c r="H130" s="5"/>
      <c r="I130" s="5"/>
      <c r="J130" s="5"/>
      <c r="K130" s="5"/>
      <c r="L130" s="5"/>
      <c r="M130" s="5"/>
      <c r="N130" s="5"/>
      <c r="O130" s="5"/>
      <c r="P130" s="5"/>
      <c r="Q130" s="5"/>
      <c r="R130" s="5"/>
      <c r="S130" s="5"/>
      <c r="T130" s="5"/>
    </row>
    <row r="131" spans="1:20">
      <c r="A131" s="5"/>
      <c r="B131" s="5"/>
      <c r="C131" s="5"/>
      <c r="D131" s="5"/>
      <c r="E131" s="5"/>
      <c r="F131" s="5"/>
      <c r="G131" s="5"/>
      <c r="H131" s="5"/>
      <c r="I131" s="5"/>
      <c r="J131" s="5"/>
      <c r="K131" s="5"/>
      <c r="L131" s="5"/>
      <c r="M131" s="5"/>
      <c r="N131" s="5"/>
      <c r="O131" s="5"/>
      <c r="P131" s="5"/>
      <c r="Q131" s="5"/>
      <c r="R131" s="5"/>
      <c r="S131" s="5"/>
      <c r="T131" s="5"/>
    </row>
    <row r="132" spans="1:20">
      <c r="A132" s="5"/>
      <c r="B132" s="5"/>
      <c r="C132" s="5"/>
      <c r="D132" s="5"/>
      <c r="E132" s="5"/>
      <c r="F132" s="5"/>
      <c r="G132" s="5"/>
      <c r="H132" s="5"/>
      <c r="I132" s="5"/>
      <c r="J132" s="5"/>
      <c r="K132" s="5"/>
      <c r="L132" s="5"/>
      <c r="M132" s="5"/>
      <c r="N132" s="5"/>
      <c r="O132" s="5"/>
      <c r="P132" s="5"/>
      <c r="Q132" s="5"/>
      <c r="R132" s="5"/>
      <c r="S132" s="5"/>
      <c r="T132" s="5"/>
    </row>
    <row r="133" spans="1:20">
      <c r="A133" s="5"/>
      <c r="B133" s="5"/>
      <c r="C133" s="5"/>
      <c r="D133" s="5"/>
      <c r="E133" s="5"/>
      <c r="F133" s="5"/>
      <c r="G133" s="5"/>
      <c r="H133" s="5"/>
      <c r="I133" s="5"/>
      <c r="J133" s="5"/>
      <c r="K133" s="5"/>
      <c r="L133" s="5"/>
      <c r="M133" s="5"/>
      <c r="N133" s="5"/>
      <c r="O133" s="5"/>
      <c r="P133" s="5"/>
      <c r="Q133" s="5"/>
      <c r="R133" s="5"/>
      <c r="S133" s="5"/>
      <c r="T133" s="5"/>
    </row>
    <row r="134" spans="1:20">
      <c r="A134" s="5"/>
      <c r="B134" s="5"/>
      <c r="C134" s="5"/>
      <c r="D134" s="5"/>
      <c r="E134" s="5"/>
      <c r="F134" s="5"/>
      <c r="G134" s="5"/>
      <c r="H134" s="5"/>
      <c r="I134" s="5"/>
      <c r="J134" s="5"/>
      <c r="K134" s="5"/>
      <c r="L134" s="5"/>
      <c r="M134" s="5"/>
      <c r="N134" s="5"/>
      <c r="O134" s="5"/>
      <c r="P134" s="5"/>
      <c r="Q134" s="5"/>
      <c r="R134" s="5"/>
      <c r="S134" s="5"/>
      <c r="T134" s="5"/>
    </row>
    <row r="135" spans="1:20">
      <c r="A135" s="5"/>
      <c r="B135" s="5"/>
      <c r="C135" s="5"/>
      <c r="D135" s="5"/>
      <c r="E135" s="5"/>
      <c r="F135" s="5"/>
      <c r="G135" s="5"/>
      <c r="H135" s="5"/>
      <c r="I135" s="5"/>
      <c r="J135" s="5"/>
      <c r="K135" s="5"/>
      <c r="L135" s="5"/>
      <c r="M135" s="5"/>
      <c r="N135" s="5"/>
      <c r="O135" s="5"/>
      <c r="P135" s="5"/>
      <c r="Q135" s="5"/>
      <c r="R135" s="5"/>
      <c r="S135" s="5"/>
      <c r="T135" s="5"/>
    </row>
    <row r="136" spans="1:20">
      <c r="A136" s="5"/>
      <c r="B136" s="5"/>
      <c r="C136" s="5"/>
      <c r="D136" s="5"/>
      <c r="E136" s="5"/>
      <c r="F136" s="5"/>
      <c r="G136" s="5"/>
      <c r="H136" s="5"/>
      <c r="I136" s="5"/>
      <c r="J136" s="5"/>
      <c r="K136" s="5"/>
      <c r="L136" s="5"/>
      <c r="M136" s="5"/>
      <c r="N136" s="5"/>
      <c r="O136" s="5"/>
      <c r="P136" s="5"/>
      <c r="Q136" s="5"/>
      <c r="R136" s="5"/>
      <c r="S136" s="5"/>
      <c r="T136" s="5"/>
    </row>
    <row r="137" spans="1:20">
      <c r="A137" s="5"/>
      <c r="B137" s="5"/>
      <c r="C137" s="5"/>
      <c r="D137" s="5"/>
      <c r="E137" s="5"/>
      <c r="F137" s="5"/>
      <c r="G137" s="5"/>
      <c r="H137" s="5"/>
      <c r="I137" s="5"/>
      <c r="J137" s="5"/>
      <c r="K137" s="5"/>
      <c r="L137" s="5"/>
      <c r="M137" s="5"/>
      <c r="N137" s="5"/>
      <c r="O137" s="5"/>
      <c r="P137" s="5"/>
      <c r="Q137" s="5"/>
      <c r="R137" s="5"/>
      <c r="S137" s="5"/>
      <c r="T137" s="5"/>
    </row>
    <row r="138" spans="1:20">
      <c r="A138" s="5"/>
      <c r="B138" s="5"/>
      <c r="C138" s="5"/>
      <c r="D138" s="5"/>
      <c r="E138" s="5"/>
      <c r="F138" s="5"/>
      <c r="G138" s="5"/>
      <c r="H138" s="5"/>
      <c r="I138" s="5"/>
      <c r="J138" s="5"/>
      <c r="K138" s="5"/>
      <c r="L138" s="5"/>
      <c r="M138" s="5"/>
      <c r="N138" s="5"/>
      <c r="O138" s="5"/>
      <c r="P138" s="5"/>
      <c r="Q138" s="5"/>
      <c r="R138" s="5"/>
      <c r="S138" s="5"/>
      <c r="T138" s="5"/>
    </row>
    <row r="139" spans="1:20">
      <c r="A139" s="5"/>
      <c r="B139" s="5"/>
      <c r="C139" s="5"/>
      <c r="D139" s="5"/>
      <c r="E139" s="5"/>
      <c r="F139" s="5"/>
      <c r="G139" s="5"/>
      <c r="H139" s="5"/>
      <c r="I139" s="5"/>
      <c r="J139" s="5"/>
      <c r="K139" s="5"/>
      <c r="L139" s="5"/>
      <c r="M139" s="5"/>
      <c r="N139" s="5"/>
      <c r="O139" s="5"/>
      <c r="P139" s="5"/>
      <c r="Q139" s="5"/>
      <c r="R139" s="5"/>
      <c r="S139" s="5"/>
      <c r="T139" s="5"/>
    </row>
    <row r="140" spans="1:20">
      <c r="A140" s="5"/>
      <c r="B140" s="5"/>
      <c r="C140" s="5"/>
      <c r="D140" s="5"/>
      <c r="E140" s="5"/>
      <c r="F140" s="5"/>
      <c r="G140" s="5"/>
      <c r="H140" s="5"/>
      <c r="I140" s="5"/>
      <c r="J140" s="5"/>
      <c r="K140" s="5"/>
      <c r="L140" s="5"/>
      <c r="M140" s="5"/>
      <c r="N140" s="5"/>
      <c r="O140" s="5"/>
      <c r="P140" s="5"/>
      <c r="Q140" s="5"/>
      <c r="R140" s="5"/>
      <c r="S140" s="5"/>
      <c r="T140" s="5"/>
    </row>
    <row r="141" spans="1:20">
      <c r="A141" s="5"/>
      <c r="B141" s="5"/>
      <c r="C141" s="5"/>
      <c r="D141" s="5"/>
      <c r="E141" s="5"/>
      <c r="F141" s="5"/>
      <c r="G141" s="5"/>
      <c r="H141" s="5"/>
      <c r="I141" s="5"/>
      <c r="J141" s="5"/>
      <c r="K141" s="5"/>
      <c r="L141" s="5"/>
      <c r="M141" s="5"/>
      <c r="N141" s="5"/>
      <c r="O141" s="5"/>
      <c r="P141" s="5"/>
      <c r="Q141" s="5"/>
      <c r="R141" s="5"/>
      <c r="S141" s="5"/>
      <c r="T141" s="5"/>
    </row>
    <row r="142" spans="1:20">
      <c r="A142" s="5"/>
      <c r="B142" s="5"/>
      <c r="C142" s="5"/>
      <c r="D142" s="5"/>
      <c r="E142" s="5"/>
      <c r="F142" s="5"/>
      <c r="G142" s="5"/>
      <c r="H142" s="5"/>
      <c r="I142" s="5"/>
      <c r="J142" s="5"/>
      <c r="K142" s="5"/>
      <c r="L142" s="5"/>
      <c r="M142" s="5"/>
      <c r="N142" s="5"/>
      <c r="O142" s="5"/>
      <c r="P142" s="5"/>
      <c r="Q142" s="5"/>
      <c r="R142" s="5"/>
      <c r="S142" s="5"/>
      <c r="T142" s="5"/>
    </row>
    <row r="143" spans="1:20">
      <c r="A143" s="5"/>
      <c r="B143" s="5"/>
      <c r="C143" s="5"/>
      <c r="D143" s="5"/>
      <c r="E143" s="5"/>
      <c r="F143" s="5"/>
      <c r="G143" s="5"/>
      <c r="H143" s="5"/>
      <c r="I143" s="5"/>
      <c r="J143" s="5"/>
      <c r="K143" s="5"/>
      <c r="L143" s="5"/>
      <c r="M143" s="5"/>
      <c r="N143" s="5"/>
      <c r="O143" s="5"/>
      <c r="P143" s="5"/>
      <c r="Q143" s="5"/>
      <c r="R143" s="5"/>
      <c r="S143" s="5"/>
      <c r="T143" s="5"/>
    </row>
    <row r="144" spans="1:20">
      <c r="A144" s="5"/>
      <c r="B144" s="5"/>
      <c r="C144" s="5"/>
      <c r="D144" s="5"/>
      <c r="E144" s="5"/>
      <c r="F144" s="5"/>
      <c r="G144" s="5"/>
      <c r="H144" s="5"/>
      <c r="I144" s="5"/>
      <c r="J144" s="5"/>
      <c r="K144" s="5"/>
      <c r="L144" s="5"/>
      <c r="M144" s="5"/>
      <c r="N144" s="5"/>
      <c r="O144" s="5"/>
      <c r="P144" s="5"/>
      <c r="Q144" s="5"/>
      <c r="R144" s="5"/>
      <c r="S144" s="5"/>
      <c r="T144" s="5"/>
    </row>
    <row r="145" spans="1:20">
      <c r="A145" s="5"/>
      <c r="B145" s="5"/>
      <c r="C145" s="5"/>
      <c r="D145" s="5"/>
      <c r="E145" s="5"/>
      <c r="F145" s="5"/>
      <c r="G145" s="5"/>
      <c r="H145" s="5"/>
      <c r="I145" s="5"/>
      <c r="J145" s="5"/>
      <c r="K145" s="5"/>
      <c r="L145" s="5"/>
      <c r="M145" s="5"/>
      <c r="N145" s="5"/>
      <c r="O145" s="5"/>
      <c r="P145" s="5"/>
      <c r="Q145" s="5"/>
      <c r="R145" s="5"/>
      <c r="S145" s="5"/>
      <c r="T145" s="5"/>
    </row>
    <row r="146" spans="1:20">
      <c r="A146" s="5"/>
      <c r="B146" s="5"/>
      <c r="C146" s="5"/>
      <c r="D146" s="5"/>
      <c r="E146" s="5"/>
      <c r="F146" s="5"/>
      <c r="G146" s="5"/>
      <c r="H146" s="5"/>
      <c r="I146" s="5"/>
      <c r="J146" s="5"/>
      <c r="K146" s="5"/>
      <c r="L146" s="5"/>
      <c r="M146" s="5"/>
      <c r="N146" s="5"/>
      <c r="O146" s="5"/>
      <c r="P146" s="5"/>
      <c r="Q146" s="5"/>
      <c r="R146" s="5"/>
      <c r="S146" s="5"/>
      <c r="T146" s="5"/>
    </row>
    <row r="147" spans="1:20">
      <c r="A147" s="5"/>
      <c r="B147" s="5"/>
      <c r="C147" s="5"/>
      <c r="D147" s="5"/>
      <c r="E147" s="5"/>
      <c r="F147" s="5"/>
      <c r="G147" s="5"/>
      <c r="H147" s="5"/>
      <c r="I147" s="5"/>
      <c r="J147" s="5"/>
      <c r="K147" s="5"/>
      <c r="L147" s="5"/>
      <c r="M147" s="5"/>
      <c r="N147" s="5"/>
      <c r="O147" s="5"/>
      <c r="P147" s="5"/>
      <c r="Q147" s="5"/>
      <c r="R147" s="5"/>
      <c r="S147" s="5"/>
      <c r="T147" s="5"/>
    </row>
    <row r="148" spans="1:20">
      <c r="A148" s="5"/>
      <c r="B148" s="5"/>
      <c r="C148" s="5"/>
      <c r="D148" s="5"/>
      <c r="E148" s="5"/>
      <c r="F148" s="5"/>
      <c r="G148" s="5"/>
      <c r="H148" s="5"/>
      <c r="I148" s="5"/>
      <c r="J148" s="5"/>
      <c r="K148" s="5"/>
      <c r="L148" s="5"/>
      <c r="M148" s="5"/>
      <c r="N148" s="5"/>
      <c r="O148" s="5"/>
      <c r="P148" s="5"/>
      <c r="Q148" s="5"/>
      <c r="R148" s="5"/>
      <c r="S148" s="5"/>
      <c r="T148" s="5"/>
    </row>
    <row r="149" spans="1:20">
      <c r="A149" s="5"/>
      <c r="B149" s="5"/>
      <c r="C149" s="5"/>
      <c r="D149" s="5"/>
      <c r="E149" s="5"/>
      <c r="F149" s="5"/>
      <c r="G149" s="5"/>
      <c r="H149" s="5"/>
      <c r="I149" s="5"/>
      <c r="J149" s="5"/>
      <c r="K149" s="5"/>
      <c r="L149" s="5"/>
      <c r="M149" s="5"/>
      <c r="N149" s="5"/>
      <c r="O149" s="5"/>
      <c r="P149" s="5"/>
      <c r="Q149" s="5"/>
      <c r="R149" s="5"/>
      <c r="S149" s="5"/>
      <c r="T149" s="5"/>
    </row>
    <row r="150" spans="1:20">
      <c r="A150" s="5"/>
      <c r="B150" s="5"/>
      <c r="C150" s="5"/>
      <c r="D150" s="5"/>
      <c r="E150" s="5"/>
      <c r="F150" s="5"/>
      <c r="G150" s="5"/>
      <c r="H150" s="5"/>
      <c r="I150" s="5"/>
      <c r="J150" s="5"/>
      <c r="K150" s="5"/>
      <c r="L150" s="5"/>
      <c r="M150" s="5"/>
      <c r="N150" s="5"/>
      <c r="O150" s="5"/>
      <c r="P150" s="5"/>
      <c r="Q150" s="5"/>
      <c r="R150" s="5"/>
      <c r="S150" s="5"/>
      <c r="T150" s="5"/>
    </row>
    <row r="151" spans="1:20">
      <c r="A151" s="5"/>
      <c r="B151" s="5"/>
      <c r="C151" s="5"/>
      <c r="D151" s="5"/>
      <c r="E151" s="5"/>
      <c r="F151" s="5"/>
      <c r="G151" s="5"/>
      <c r="H151" s="5"/>
      <c r="I151" s="5"/>
      <c r="J151" s="5"/>
      <c r="K151" s="5"/>
      <c r="L151" s="5"/>
      <c r="M151" s="5"/>
      <c r="N151" s="5"/>
      <c r="O151" s="5"/>
      <c r="P151" s="5"/>
      <c r="Q151" s="5"/>
      <c r="R151" s="5"/>
      <c r="S151" s="5"/>
      <c r="T151" s="5"/>
    </row>
    <row r="152" spans="1:20">
      <c r="A152" s="5"/>
      <c r="B152" s="5"/>
      <c r="C152" s="5"/>
      <c r="D152" s="5"/>
      <c r="E152" s="5"/>
      <c r="F152" s="5"/>
      <c r="G152" s="5"/>
      <c r="H152" s="5"/>
      <c r="I152" s="5"/>
      <c r="J152" s="5"/>
      <c r="K152" s="5"/>
      <c r="L152" s="5"/>
      <c r="M152" s="5"/>
      <c r="N152" s="5"/>
      <c r="O152" s="5"/>
      <c r="P152" s="5"/>
      <c r="Q152" s="5"/>
      <c r="R152" s="5"/>
      <c r="S152" s="5"/>
      <c r="T152" s="5"/>
    </row>
    <row r="153" spans="1:20">
      <c r="A153" s="5"/>
      <c r="B153" s="5"/>
      <c r="C153" s="5"/>
      <c r="D153" s="5"/>
      <c r="E153" s="5"/>
      <c r="F153" s="5"/>
      <c r="G153" s="5"/>
      <c r="H153" s="5"/>
      <c r="I153" s="5"/>
      <c r="J153" s="5"/>
      <c r="K153" s="5"/>
      <c r="L153" s="5"/>
      <c r="M153" s="5"/>
      <c r="N153" s="5"/>
      <c r="O153" s="5"/>
      <c r="P153" s="5"/>
      <c r="Q153" s="5"/>
      <c r="R153" s="5"/>
      <c r="S153" s="5"/>
      <c r="T153" s="5"/>
    </row>
    <row r="154" spans="1:20">
      <c r="A154" s="5"/>
      <c r="B154" s="5"/>
      <c r="C154" s="5"/>
      <c r="D154" s="5"/>
      <c r="E154" s="5"/>
      <c r="F154" s="5"/>
      <c r="G154" s="5"/>
      <c r="H154" s="5"/>
      <c r="I154" s="5"/>
      <c r="J154" s="5"/>
      <c r="K154" s="5"/>
      <c r="L154" s="5"/>
      <c r="M154" s="5"/>
      <c r="N154" s="5"/>
      <c r="O154" s="5"/>
      <c r="P154" s="5"/>
      <c r="Q154" s="5"/>
      <c r="R154" s="5"/>
      <c r="S154" s="5"/>
      <c r="T154" s="5"/>
    </row>
    <row r="155" spans="1:20">
      <c r="A155" s="5"/>
      <c r="B155" s="5"/>
      <c r="C155" s="5"/>
      <c r="D155" s="5"/>
      <c r="E155" s="5"/>
      <c r="F155" s="5"/>
      <c r="G155" s="5"/>
      <c r="H155" s="5"/>
      <c r="I155" s="5"/>
      <c r="J155" s="5"/>
      <c r="K155" s="5"/>
      <c r="L155" s="5"/>
      <c r="M155" s="5"/>
      <c r="N155" s="5"/>
      <c r="O155" s="5"/>
      <c r="P155" s="5"/>
      <c r="Q155" s="5"/>
      <c r="R155" s="5"/>
      <c r="S155" s="5"/>
      <c r="T155" s="5"/>
    </row>
    <row r="156" spans="1:20">
      <c r="A156" s="5"/>
      <c r="B156" s="5"/>
      <c r="C156" s="5"/>
      <c r="D156" s="5"/>
      <c r="E156" s="5"/>
      <c r="F156" s="5"/>
      <c r="G156" s="5"/>
      <c r="H156" s="5"/>
      <c r="I156" s="5"/>
      <c r="J156" s="5"/>
      <c r="K156" s="5"/>
      <c r="L156" s="5"/>
      <c r="M156" s="5"/>
      <c r="N156" s="5"/>
      <c r="O156" s="5"/>
      <c r="P156" s="5"/>
      <c r="Q156" s="5"/>
      <c r="R156" s="5"/>
      <c r="S156" s="5"/>
      <c r="T156" s="5"/>
    </row>
    <row r="157" spans="1:20">
      <c r="A157" s="5"/>
      <c r="B157" s="5"/>
      <c r="C157" s="5"/>
      <c r="D157" s="5"/>
      <c r="E157" s="5"/>
      <c r="F157" s="5"/>
      <c r="G157" s="5"/>
      <c r="H157" s="5"/>
      <c r="I157" s="5"/>
      <c r="J157" s="5"/>
      <c r="K157" s="5"/>
      <c r="L157" s="5"/>
      <c r="M157" s="5"/>
      <c r="N157" s="5"/>
      <c r="O157" s="5"/>
      <c r="P157" s="5"/>
      <c r="Q157" s="5"/>
      <c r="R157" s="5"/>
      <c r="S157" s="5"/>
      <c r="T157" s="5"/>
    </row>
    <row r="158" spans="1:20">
      <c r="A158" s="5"/>
      <c r="B158" s="5"/>
      <c r="C158" s="5"/>
      <c r="D158" s="5"/>
      <c r="E158" s="5"/>
      <c r="F158" s="5"/>
      <c r="G158" s="5"/>
      <c r="H158" s="5"/>
      <c r="I158" s="5"/>
      <c r="J158" s="5"/>
      <c r="K158" s="5"/>
      <c r="L158" s="5"/>
      <c r="M158" s="5"/>
      <c r="N158" s="5"/>
      <c r="O158" s="5"/>
      <c r="P158" s="5"/>
      <c r="Q158" s="5"/>
      <c r="R158" s="5"/>
      <c r="S158" s="5"/>
      <c r="T158" s="5"/>
    </row>
    <row r="159" spans="1:20">
      <c r="A159" s="5"/>
      <c r="B159" s="5"/>
      <c r="C159" s="5"/>
      <c r="D159" s="5"/>
      <c r="E159" s="5"/>
      <c r="F159" s="5"/>
      <c r="G159" s="5"/>
      <c r="H159" s="5"/>
      <c r="I159" s="5"/>
      <c r="J159" s="5"/>
      <c r="K159" s="5"/>
      <c r="L159" s="5"/>
      <c r="M159" s="5"/>
      <c r="N159" s="5"/>
      <c r="O159" s="5"/>
      <c r="P159" s="5"/>
      <c r="Q159" s="5"/>
      <c r="R159" s="5"/>
      <c r="S159" s="5"/>
      <c r="T159" s="5"/>
    </row>
    <row r="160" spans="1:20">
      <c r="A160" s="5"/>
      <c r="B160" s="5"/>
      <c r="C160" s="5"/>
      <c r="D160" s="5"/>
      <c r="E160" s="5"/>
      <c r="F160" s="5"/>
      <c r="G160" s="5"/>
      <c r="H160" s="5"/>
      <c r="I160" s="5"/>
      <c r="J160" s="5"/>
      <c r="K160" s="5"/>
      <c r="L160" s="5"/>
      <c r="M160" s="5"/>
      <c r="N160" s="5"/>
      <c r="O160" s="5"/>
      <c r="P160" s="5"/>
      <c r="Q160" s="5"/>
      <c r="R160" s="5"/>
      <c r="S160" s="5"/>
      <c r="T160" s="5"/>
    </row>
    <row r="161" spans="1:20">
      <c r="A161" s="5"/>
      <c r="B161" s="5"/>
      <c r="C161" s="5"/>
      <c r="D161" s="5"/>
      <c r="E161" s="5"/>
      <c r="F161" s="5"/>
      <c r="G161" s="5"/>
      <c r="H161" s="5"/>
      <c r="I161" s="5"/>
      <c r="J161" s="5"/>
      <c r="K161" s="5"/>
      <c r="L161" s="5"/>
      <c r="M161" s="5"/>
      <c r="N161" s="5"/>
      <c r="O161" s="5"/>
      <c r="P161" s="5"/>
      <c r="Q161" s="5"/>
      <c r="R161" s="5"/>
      <c r="S161" s="5"/>
      <c r="T161" s="5"/>
    </row>
    <row r="162" spans="1:20">
      <c r="A162" s="5"/>
      <c r="B162" s="5"/>
      <c r="C162" s="5"/>
      <c r="D162" s="5"/>
      <c r="E162" s="5"/>
      <c r="F162" s="5"/>
      <c r="G162" s="5"/>
      <c r="H162" s="5"/>
      <c r="I162" s="5"/>
      <c r="J162" s="5"/>
      <c r="K162" s="5"/>
      <c r="L162" s="5"/>
      <c r="M162" s="5"/>
      <c r="N162" s="5"/>
      <c r="O162" s="5"/>
      <c r="P162" s="5"/>
      <c r="Q162" s="5"/>
      <c r="R162" s="5"/>
      <c r="S162" s="5"/>
      <c r="T162" s="5"/>
    </row>
    <row r="163" spans="1:20">
      <c r="A163" s="5"/>
      <c r="B163" s="5"/>
      <c r="C163" s="5"/>
      <c r="D163" s="5"/>
      <c r="E163" s="5"/>
      <c r="F163" s="5"/>
      <c r="G163" s="5"/>
      <c r="H163" s="5"/>
      <c r="I163" s="5"/>
      <c r="J163" s="5"/>
      <c r="K163" s="5"/>
      <c r="L163" s="5"/>
      <c r="M163" s="5"/>
      <c r="N163" s="5"/>
      <c r="O163" s="5"/>
      <c r="P163" s="5"/>
      <c r="Q163" s="5"/>
      <c r="R163" s="5"/>
      <c r="S163" s="5"/>
      <c r="T163" s="5"/>
    </row>
    <row r="164" spans="1:20">
      <c r="A164" s="5"/>
      <c r="B164" s="5"/>
      <c r="C164" s="5"/>
      <c r="D164" s="5"/>
      <c r="E164" s="5"/>
      <c r="F164" s="5"/>
      <c r="G164" s="5"/>
      <c r="H164" s="5"/>
      <c r="I164" s="5"/>
      <c r="J164" s="5"/>
      <c r="K164" s="5"/>
      <c r="L164" s="5"/>
      <c r="M164" s="5"/>
      <c r="N164" s="5"/>
      <c r="O164" s="5"/>
      <c r="P164" s="5"/>
      <c r="Q164" s="5"/>
      <c r="R164" s="5"/>
      <c r="S164" s="5"/>
      <c r="T164" s="5"/>
    </row>
    <row r="165" spans="1:20">
      <c r="A165" s="5"/>
      <c r="B165" s="5"/>
      <c r="C165" s="5"/>
      <c r="D165" s="5"/>
      <c r="E165" s="5"/>
      <c r="F165" s="5"/>
      <c r="G165" s="5"/>
      <c r="H165" s="5"/>
      <c r="I165" s="5"/>
      <c r="J165" s="5"/>
      <c r="K165" s="5"/>
      <c r="L165" s="5"/>
      <c r="M165" s="5"/>
      <c r="N165" s="5"/>
      <c r="O165" s="5"/>
      <c r="P165" s="5"/>
      <c r="Q165" s="5"/>
      <c r="R165" s="5"/>
      <c r="S165" s="5"/>
      <c r="T165" s="5"/>
    </row>
    <row r="166" spans="1:20">
      <c r="A166" s="5"/>
      <c r="B166" s="5"/>
      <c r="C166" s="5"/>
      <c r="D166" s="5"/>
      <c r="E166" s="5"/>
      <c r="F166" s="5"/>
      <c r="G166" s="5"/>
      <c r="H166" s="5"/>
      <c r="I166" s="5"/>
      <c r="J166" s="5"/>
      <c r="K166" s="5"/>
      <c r="L166" s="5"/>
      <c r="M166" s="5"/>
      <c r="N166" s="5"/>
      <c r="O166" s="5"/>
      <c r="P166" s="5"/>
      <c r="Q166" s="5"/>
      <c r="R166" s="5"/>
      <c r="S166" s="5"/>
      <c r="T166" s="5"/>
    </row>
    <row r="167" spans="1:20">
      <c r="A167" s="5"/>
      <c r="B167" s="5"/>
      <c r="C167" s="5"/>
      <c r="D167" s="5"/>
      <c r="E167" s="5"/>
      <c r="F167" s="5"/>
      <c r="G167" s="5"/>
      <c r="H167" s="5"/>
      <c r="I167" s="5"/>
      <c r="J167" s="5"/>
      <c r="K167" s="5"/>
      <c r="L167" s="5"/>
      <c r="M167" s="5"/>
      <c r="N167" s="5"/>
      <c r="O167" s="5"/>
      <c r="P167" s="5"/>
      <c r="Q167" s="5"/>
      <c r="R167" s="5"/>
      <c r="S167" s="5"/>
      <c r="T167" s="5"/>
    </row>
    <row r="168" spans="1:20">
      <c r="A168" s="5"/>
      <c r="B168" s="5"/>
      <c r="C168" s="5"/>
      <c r="D168" s="5"/>
      <c r="E168" s="5"/>
      <c r="F168" s="5"/>
      <c r="G168" s="5"/>
      <c r="H168" s="5"/>
      <c r="I168" s="5"/>
      <c r="J168" s="5"/>
      <c r="K168" s="5"/>
      <c r="L168" s="5"/>
      <c r="M168" s="5"/>
      <c r="N168" s="5"/>
      <c r="O168" s="5"/>
      <c r="P168" s="5"/>
      <c r="Q168" s="5"/>
      <c r="R168" s="5"/>
      <c r="S168" s="5"/>
      <c r="T168" s="5"/>
    </row>
    <row r="169" spans="1:20">
      <c r="A169" s="5"/>
      <c r="B169" s="5"/>
      <c r="C169" s="5"/>
      <c r="D169" s="5"/>
      <c r="E169" s="5"/>
      <c r="F169" s="5"/>
      <c r="G169" s="5"/>
      <c r="H169" s="5"/>
      <c r="I169" s="5"/>
      <c r="J169" s="5"/>
      <c r="K169" s="5"/>
      <c r="L169" s="5"/>
      <c r="M169" s="5"/>
      <c r="N169" s="5"/>
      <c r="O169" s="5"/>
      <c r="P169" s="5"/>
      <c r="Q169" s="5"/>
      <c r="R169" s="5"/>
      <c r="S169" s="5"/>
      <c r="T169" s="5"/>
    </row>
    <row r="170" spans="1:20">
      <c r="A170" s="5"/>
      <c r="B170" s="5"/>
      <c r="C170" s="5"/>
      <c r="D170" s="5"/>
      <c r="E170" s="5"/>
      <c r="F170" s="5"/>
      <c r="G170" s="5"/>
      <c r="H170" s="5"/>
      <c r="I170" s="5"/>
      <c r="J170" s="5"/>
      <c r="K170" s="5"/>
      <c r="L170" s="5"/>
      <c r="M170" s="5"/>
      <c r="N170" s="5"/>
      <c r="O170" s="5"/>
      <c r="P170" s="5"/>
      <c r="Q170" s="5"/>
      <c r="R170" s="5"/>
      <c r="S170" s="5"/>
      <c r="T170" s="5"/>
    </row>
    <row r="171" spans="1:20">
      <c r="A171" s="5"/>
      <c r="B171" s="5"/>
      <c r="C171" s="5"/>
      <c r="D171" s="5"/>
      <c r="E171" s="5"/>
      <c r="F171" s="5"/>
      <c r="G171" s="5"/>
      <c r="H171" s="5"/>
      <c r="I171" s="5"/>
      <c r="J171" s="5"/>
      <c r="K171" s="5"/>
      <c r="L171" s="5"/>
      <c r="M171" s="5"/>
      <c r="N171" s="5"/>
      <c r="O171" s="5"/>
      <c r="P171" s="5"/>
      <c r="Q171" s="5"/>
      <c r="R171" s="5"/>
      <c r="S171" s="5"/>
      <c r="T171" s="5"/>
    </row>
    <row r="172" spans="1:20">
      <c r="A172" s="5"/>
      <c r="B172" s="5"/>
      <c r="C172" s="5"/>
      <c r="D172" s="5"/>
      <c r="E172" s="5"/>
      <c r="F172" s="5"/>
      <c r="G172" s="5"/>
      <c r="H172" s="5"/>
      <c r="I172" s="5"/>
      <c r="J172" s="5"/>
      <c r="K172" s="5"/>
      <c r="L172" s="5"/>
      <c r="M172" s="5"/>
      <c r="N172" s="5"/>
      <c r="O172" s="5"/>
      <c r="P172" s="5"/>
      <c r="Q172" s="5"/>
      <c r="R172" s="5"/>
      <c r="S172" s="5"/>
      <c r="T172" s="5"/>
    </row>
    <row r="173" spans="1:20">
      <c r="A173" s="5"/>
      <c r="B173" s="5"/>
      <c r="C173" s="5"/>
      <c r="D173" s="5"/>
      <c r="E173" s="5"/>
      <c r="F173" s="5"/>
      <c r="G173" s="5"/>
      <c r="H173" s="5"/>
      <c r="I173" s="5"/>
      <c r="J173" s="5"/>
      <c r="K173" s="5"/>
      <c r="L173" s="5"/>
      <c r="M173" s="5"/>
      <c r="N173" s="5"/>
      <c r="O173" s="5"/>
      <c r="P173" s="5"/>
      <c r="Q173" s="5"/>
      <c r="R173" s="5"/>
      <c r="S173" s="5"/>
      <c r="T173" s="5"/>
    </row>
    <row r="174" spans="1:20">
      <c r="A174" s="5"/>
      <c r="B174" s="5"/>
      <c r="C174" s="5"/>
      <c r="D174" s="5"/>
      <c r="E174" s="5"/>
      <c r="F174" s="5"/>
      <c r="G174" s="5"/>
      <c r="H174" s="5"/>
      <c r="I174" s="5"/>
      <c r="J174" s="5"/>
      <c r="K174" s="5"/>
      <c r="L174" s="5"/>
      <c r="M174" s="5"/>
      <c r="N174" s="5"/>
      <c r="O174" s="5"/>
      <c r="P174" s="5"/>
      <c r="Q174" s="5"/>
      <c r="R174" s="5"/>
      <c r="S174" s="5"/>
      <c r="T174" s="5"/>
    </row>
    <row r="175" spans="1:20">
      <c r="A175" s="5"/>
      <c r="B175" s="5"/>
      <c r="C175" s="5"/>
      <c r="D175" s="5"/>
      <c r="E175" s="5"/>
      <c r="F175" s="5"/>
      <c r="G175" s="5"/>
      <c r="H175" s="5"/>
      <c r="I175" s="5"/>
      <c r="J175" s="5"/>
      <c r="K175" s="5"/>
      <c r="L175" s="5"/>
      <c r="M175" s="5"/>
      <c r="N175" s="5"/>
      <c r="O175" s="5"/>
      <c r="P175" s="5"/>
      <c r="Q175" s="5"/>
      <c r="R175" s="5"/>
      <c r="S175" s="5"/>
      <c r="T175" s="5"/>
    </row>
    <row r="176" spans="1:20">
      <c r="A176" s="5"/>
      <c r="B176" s="5"/>
      <c r="C176" s="5"/>
      <c r="D176" s="5"/>
      <c r="E176" s="5"/>
      <c r="F176" s="5"/>
      <c r="G176" s="5"/>
      <c r="H176" s="5"/>
      <c r="I176" s="5"/>
      <c r="J176" s="5"/>
      <c r="K176" s="5"/>
      <c r="L176" s="5"/>
      <c r="M176" s="5"/>
      <c r="N176" s="5"/>
      <c r="O176" s="5"/>
      <c r="P176" s="5"/>
      <c r="Q176" s="5"/>
      <c r="R176" s="5"/>
      <c r="S176" s="5"/>
      <c r="T176" s="5"/>
    </row>
    <row r="177" spans="1:20">
      <c r="A177" s="5"/>
      <c r="B177" s="5"/>
      <c r="C177" s="5"/>
      <c r="D177" s="5"/>
      <c r="E177" s="5"/>
      <c r="F177" s="5"/>
      <c r="G177" s="5"/>
      <c r="H177" s="5"/>
      <c r="I177" s="5"/>
      <c r="J177" s="5"/>
      <c r="K177" s="5"/>
      <c r="L177" s="5"/>
      <c r="M177" s="5"/>
      <c r="N177" s="5"/>
      <c r="O177" s="5"/>
      <c r="P177" s="5"/>
      <c r="Q177" s="5"/>
      <c r="R177" s="5"/>
      <c r="S177" s="5"/>
      <c r="T177" s="5"/>
    </row>
    <row r="178" spans="1:20">
      <c r="A178" s="5"/>
      <c r="B178" s="5"/>
      <c r="C178" s="5"/>
      <c r="D178" s="5"/>
      <c r="E178" s="5"/>
      <c r="F178" s="5"/>
      <c r="G178" s="5"/>
      <c r="H178" s="5"/>
      <c r="I178" s="5"/>
      <c r="J178" s="5"/>
      <c r="K178" s="5"/>
      <c r="L178" s="5"/>
      <c r="M178" s="5"/>
      <c r="N178" s="5"/>
      <c r="O178" s="5"/>
      <c r="P178" s="5"/>
      <c r="Q178" s="5"/>
      <c r="R178" s="5"/>
      <c r="S178" s="5"/>
      <c r="T178" s="5"/>
    </row>
    <row r="179" spans="1:20">
      <c r="A179" s="5"/>
      <c r="B179" s="5"/>
      <c r="C179" s="5"/>
      <c r="D179" s="5"/>
      <c r="E179" s="5"/>
      <c r="F179" s="5"/>
      <c r="G179" s="5"/>
      <c r="H179" s="5"/>
      <c r="I179" s="5"/>
      <c r="J179" s="5"/>
      <c r="K179" s="5"/>
      <c r="L179" s="5"/>
      <c r="M179" s="5"/>
      <c r="N179" s="5"/>
      <c r="O179" s="5"/>
      <c r="P179" s="5"/>
      <c r="Q179" s="5"/>
      <c r="R179" s="5"/>
      <c r="S179" s="5"/>
      <c r="T179" s="5"/>
    </row>
    <row r="180" spans="1:20">
      <c r="A180" s="5"/>
      <c r="B180" s="5"/>
      <c r="C180" s="5"/>
      <c r="D180" s="5"/>
      <c r="E180" s="5"/>
      <c r="F180" s="5"/>
      <c r="G180" s="5"/>
      <c r="H180" s="5"/>
      <c r="I180" s="5"/>
      <c r="J180" s="5"/>
      <c r="K180" s="5"/>
      <c r="L180" s="5"/>
      <c r="M180" s="5"/>
      <c r="N180" s="5"/>
      <c r="O180" s="5"/>
      <c r="P180" s="5"/>
      <c r="Q180" s="5"/>
      <c r="R180" s="5"/>
      <c r="S180" s="5"/>
      <c r="T180" s="5"/>
    </row>
    <row r="181" spans="1:20">
      <c r="A181" s="5"/>
      <c r="B181" s="5"/>
      <c r="C181" s="5"/>
      <c r="D181" s="5"/>
      <c r="E181" s="5"/>
      <c r="F181" s="5"/>
      <c r="G181" s="5"/>
      <c r="H181" s="5"/>
      <c r="I181" s="5"/>
      <c r="J181" s="5"/>
      <c r="K181" s="5"/>
      <c r="L181" s="5"/>
      <c r="M181" s="5"/>
      <c r="N181" s="5"/>
      <c r="O181" s="5"/>
      <c r="P181" s="5"/>
      <c r="Q181" s="5"/>
      <c r="R181" s="5"/>
      <c r="S181" s="5"/>
      <c r="T181" s="5"/>
    </row>
    <row r="182" spans="1:20">
      <c r="A182" s="5"/>
      <c r="B182" s="5"/>
      <c r="C182" s="5"/>
      <c r="D182" s="5"/>
      <c r="E182" s="5"/>
      <c r="F182" s="5"/>
      <c r="G182" s="5"/>
      <c r="H182" s="5"/>
      <c r="I182" s="5"/>
      <c r="J182" s="5"/>
      <c r="K182" s="5"/>
      <c r="L182" s="5"/>
      <c r="M182" s="5"/>
      <c r="N182" s="5"/>
      <c r="O182" s="5"/>
      <c r="P182" s="5"/>
      <c r="Q182" s="5"/>
      <c r="R182" s="5"/>
      <c r="S182" s="5"/>
      <c r="T182" s="5"/>
    </row>
    <row r="183" spans="1:20">
      <c r="A183" s="5"/>
      <c r="B183" s="5"/>
      <c r="C183" s="5"/>
      <c r="D183" s="5"/>
      <c r="E183" s="5"/>
      <c r="F183" s="5"/>
      <c r="G183" s="5"/>
      <c r="H183" s="5"/>
      <c r="I183" s="5"/>
      <c r="J183" s="5"/>
      <c r="K183" s="5"/>
      <c r="L183" s="5"/>
      <c r="M183" s="5"/>
      <c r="N183" s="5"/>
      <c r="O183" s="5"/>
      <c r="P183" s="5"/>
      <c r="Q183" s="5"/>
      <c r="R183" s="5"/>
      <c r="S183" s="5"/>
      <c r="T183" s="5"/>
    </row>
    <row r="184" spans="1:20">
      <c r="A184" s="5"/>
      <c r="B184" s="5"/>
      <c r="C184" s="5"/>
      <c r="D184" s="5"/>
      <c r="E184" s="5"/>
      <c r="F184" s="5"/>
      <c r="G184" s="5"/>
      <c r="H184" s="5"/>
      <c r="I184" s="5"/>
      <c r="J184" s="5"/>
      <c r="K184" s="5"/>
      <c r="L184" s="5"/>
      <c r="M184" s="5"/>
      <c r="N184" s="5"/>
      <c r="O184" s="5"/>
      <c r="P184" s="5"/>
      <c r="Q184" s="5"/>
      <c r="R184" s="5"/>
      <c r="S184" s="5"/>
      <c r="T184" s="5"/>
    </row>
    <row r="185" spans="1:20">
      <c r="A185" s="5"/>
      <c r="B185" s="5"/>
      <c r="C185" s="5"/>
      <c r="D185" s="5"/>
      <c r="E185" s="5"/>
      <c r="F185" s="5"/>
      <c r="G185" s="5"/>
      <c r="H185" s="5"/>
      <c r="I185" s="5"/>
      <c r="J185" s="5"/>
      <c r="K185" s="5"/>
      <c r="L185" s="5"/>
      <c r="M185" s="5"/>
      <c r="N185" s="5"/>
      <c r="O185" s="5"/>
      <c r="P185" s="5"/>
      <c r="Q185" s="5"/>
      <c r="R185" s="5"/>
      <c r="S185" s="5"/>
      <c r="T185" s="5"/>
    </row>
    <row r="186" spans="1:20">
      <c r="A186" s="5"/>
      <c r="B186" s="5"/>
      <c r="C186" s="5"/>
      <c r="D186" s="5"/>
      <c r="E186" s="5"/>
      <c r="F186" s="5"/>
      <c r="G186" s="5"/>
      <c r="H186" s="5"/>
      <c r="I186" s="5"/>
      <c r="J186" s="5"/>
      <c r="K186" s="5"/>
      <c r="L186" s="5"/>
      <c r="M186" s="5"/>
      <c r="N186" s="5"/>
      <c r="O186" s="5"/>
      <c r="P186" s="5"/>
      <c r="Q186" s="5"/>
      <c r="R186" s="5"/>
      <c r="S186" s="5"/>
      <c r="T186" s="5"/>
    </row>
    <row r="187" spans="1:20">
      <c r="A187" s="5"/>
      <c r="B187" s="5"/>
      <c r="C187" s="5"/>
      <c r="D187" s="5"/>
      <c r="E187" s="5"/>
      <c r="F187" s="5"/>
      <c r="G187" s="5"/>
      <c r="H187" s="5"/>
      <c r="I187" s="5"/>
      <c r="J187" s="5"/>
      <c r="K187" s="5"/>
      <c r="L187" s="5"/>
      <c r="M187" s="5"/>
      <c r="N187" s="5"/>
      <c r="O187" s="5"/>
      <c r="P187" s="5"/>
      <c r="Q187" s="5"/>
      <c r="R187" s="5"/>
      <c r="S187" s="5"/>
      <c r="T187" s="5"/>
    </row>
    <row r="188" spans="1:20">
      <c r="A188" s="5"/>
      <c r="B188" s="5"/>
      <c r="C188" s="5"/>
      <c r="D188" s="5"/>
      <c r="E188" s="5"/>
      <c r="F188" s="5"/>
      <c r="G188" s="5"/>
      <c r="H188" s="5"/>
      <c r="I188" s="5"/>
      <c r="J188" s="5"/>
      <c r="K188" s="5"/>
      <c r="L188" s="5"/>
      <c r="M188" s="5"/>
      <c r="N188" s="5"/>
      <c r="O188" s="5"/>
      <c r="P188" s="5"/>
      <c r="Q188" s="5"/>
      <c r="R188" s="5"/>
      <c r="S188" s="5"/>
      <c r="T188" s="5"/>
    </row>
    <row r="189" spans="1:20">
      <c r="A189" s="5"/>
      <c r="B189" s="5"/>
      <c r="C189" s="5"/>
      <c r="D189" s="5"/>
      <c r="E189" s="5"/>
      <c r="F189" s="5"/>
      <c r="G189" s="5"/>
      <c r="H189" s="5"/>
      <c r="I189" s="5"/>
      <c r="J189" s="5"/>
      <c r="K189" s="5"/>
      <c r="L189" s="5"/>
      <c r="M189" s="5"/>
      <c r="N189" s="5"/>
      <c r="O189" s="5"/>
      <c r="P189" s="5"/>
      <c r="Q189" s="5"/>
      <c r="R189" s="5"/>
      <c r="S189" s="5"/>
      <c r="T189" s="5"/>
    </row>
    <row r="190" spans="1:20">
      <c r="A190" s="5"/>
      <c r="B190" s="5"/>
      <c r="C190" s="5"/>
      <c r="D190" s="5"/>
      <c r="E190" s="5"/>
      <c r="F190" s="5"/>
      <c r="G190" s="5"/>
      <c r="H190" s="5"/>
      <c r="I190" s="5"/>
      <c r="J190" s="5"/>
      <c r="K190" s="5"/>
      <c r="L190" s="5"/>
      <c r="M190" s="5"/>
      <c r="N190" s="5"/>
      <c r="O190" s="5"/>
      <c r="P190" s="5"/>
      <c r="Q190" s="5"/>
      <c r="R190" s="5"/>
      <c r="S190" s="5"/>
      <c r="T190" s="5"/>
    </row>
    <row r="191" spans="1:20">
      <c r="A191" s="5"/>
      <c r="B191" s="5"/>
      <c r="C191" s="5"/>
      <c r="D191" s="5"/>
      <c r="E191" s="5"/>
      <c r="F191" s="5"/>
      <c r="G191" s="5"/>
      <c r="H191" s="5"/>
      <c r="I191" s="5"/>
      <c r="J191" s="5"/>
      <c r="K191" s="5"/>
      <c r="L191" s="5"/>
      <c r="M191" s="5"/>
      <c r="N191" s="5"/>
      <c r="O191" s="5"/>
      <c r="P191" s="5"/>
      <c r="Q191" s="5"/>
      <c r="R191" s="5"/>
      <c r="S191" s="5"/>
      <c r="T191" s="5"/>
    </row>
    <row r="192" spans="1:20">
      <c r="A192" s="5"/>
      <c r="B192" s="5"/>
      <c r="C192" s="5"/>
      <c r="D192" s="5"/>
      <c r="E192" s="5"/>
      <c r="F192" s="5"/>
      <c r="G192" s="5"/>
      <c r="H192" s="5"/>
      <c r="I192" s="5"/>
      <c r="J192" s="5"/>
      <c r="K192" s="5"/>
      <c r="L192" s="5"/>
      <c r="M192" s="5"/>
      <c r="N192" s="5"/>
      <c r="O192" s="5"/>
      <c r="P192" s="5"/>
      <c r="Q192" s="5"/>
      <c r="R192" s="5"/>
      <c r="S192" s="5"/>
      <c r="T192" s="5"/>
    </row>
    <row r="193" spans="1:20">
      <c r="A193" s="5"/>
      <c r="B193" s="5"/>
      <c r="C193" s="5"/>
      <c r="D193" s="5"/>
      <c r="E193" s="5"/>
      <c r="F193" s="5"/>
      <c r="G193" s="5"/>
      <c r="H193" s="5"/>
      <c r="I193" s="5"/>
      <c r="J193" s="5"/>
      <c r="K193" s="5"/>
      <c r="L193" s="5"/>
      <c r="M193" s="5"/>
      <c r="N193" s="5"/>
      <c r="O193" s="5"/>
      <c r="P193" s="5"/>
      <c r="Q193" s="5"/>
      <c r="R193" s="5"/>
      <c r="S193" s="5"/>
      <c r="T193" s="5"/>
    </row>
    <row r="194" spans="1:20">
      <c r="A194" s="5"/>
      <c r="B194" s="5"/>
      <c r="C194" s="5"/>
      <c r="D194" s="5"/>
      <c r="E194" s="5"/>
      <c r="F194" s="5"/>
      <c r="G194" s="5"/>
      <c r="H194" s="5"/>
      <c r="I194" s="5"/>
      <c r="J194" s="5"/>
      <c r="K194" s="5"/>
      <c r="L194" s="5"/>
      <c r="M194" s="5"/>
      <c r="N194" s="5"/>
      <c r="O194" s="5"/>
      <c r="P194" s="5"/>
      <c r="Q194" s="5"/>
      <c r="R194" s="5"/>
      <c r="S194" s="5"/>
      <c r="T194" s="5"/>
    </row>
    <row r="195" spans="1:20">
      <c r="A195" s="5"/>
      <c r="B195" s="5"/>
      <c r="C195" s="5"/>
      <c r="D195" s="5"/>
      <c r="E195" s="5"/>
      <c r="F195" s="5"/>
      <c r="G195" s="5"/>
      <c r="H195" s="5"/>
      <c r="I195" s="5"/>
      <c r="J195" s="5"/>
      <c r="K195" s="5"/>
      <c r="L195" s="5"/>
      <c r="M195" s="5"/>
      <c r="N195" s="5"/>
      <c r="O195" s="5"/>
      <c r="P195" s="5"/>
      <c r="Q195" s="5"/>
      <c r="R195" s="5"/>
      <c r="S195" s="5"/>
      <c r="T195" s="5"/>
    </row>
    <row r="196" spans="1:20">
      <c r="A196" s="5"/>
      <c r="B196" s="5"/>
      <c r="C196" s="5"/>
      <c r="D196" s="5"/>
      <c r="E196" s="5"/>
      <c r="F196" s="5"/>
      <c r="G196" s="5"/>
      <c r="H196" s="5"/>
      <c r="I196" s="5"/>
      <c r="J196" s="5"/>
      <c r="K196" s="5"/>
      <c r="L196" s="5"/>
      <c r="M196" s="5"/>
      <c r="N196" s="5"/>
      <c r="O196" s="5"/>
      <c r="P196" s="5"/>
      <c r="Q196" s="5"/>
      <c r="R196" s="5"/>
      <c r="S196" s="5"/>
      <c r="T196" s="5"/>
    </row>
    <row r="197" spans="1:20">
      <c r="A197" s="5"/>
      <c r="B197" s="5"/>
      <c r="C197" s="5"/>
      <c r="D197" s="5"/>
      <c r="E197" s="5"/>
      <c r="F197" s="5"/>
      <c r="G197" s="5"/>
      <c r="H197" s="5"/>
      <c r="I197" s="5"/>
      <c r="J197" s="5"/>
      <c r="K197" s="5"/>
      <c r="L197" s="5"/>
      <c r="M197" s="5"/>
      <c r="N197" s="5"/>
      <c r="O197" s="5"/>
      <c r="P197" s="5"/>
      <c r="Q197" s="5"/>
      <c r="R197" s="5"/>
      <c r="S197" s="5"/>
      <c r="T197" s="5"/>
    </row>
    <row r="198" spans="1:20">
      <c r="A198" s="5"/>
      <c r="B198" s="5"/>
      <c r="C198" s="5"/>
      <c r="D198" s="5"/>
      <c r="E198" s="5"/>
      <c r="F198" s="5"/>
      <c r="G198" s="5"/>
      <c r="H198" s="5"/>
      <c r="I198" s="5"/>
      <c r="J198" s="5"/>
      <c r="K198" s="5"/>
      <c r="L198" s="5"/>
      <c r="M198" s="5"/>
      <c r="N198" s="5"/>
      <c r="O198" s="5"/>
      <c r="P198" s="5"/>
      <c r="Q198" s="5"/>
      <c r="R198" s="5"/>
      <c r="S198" s="5"/>
      <c r="T198" s="5"/>
    </row>
    <row r="199" spans="1:20">
      <c r="A199" s="5"/>
      <c r="B199" s="5"/>
      <c r="C199" s="5"/>
      <c r="D199" s="5"/>
      <c r="E199" s="5"/>
      <c r="F199" s="5"/>
      <c r="G199" s="5"/>
      <c r="H199" s="5"/>
      <c r="I199" s="5"/>
      <c r="J199" s="5"/>
      <c r="K199" s="5"/>
      <c r="L199" s="5"/>
      <c r="M199" s="5"/>
      <c r="N199" s="5"/>
      <c r="O199" s="5"/>
      <c r="P199" s="5"/>
      <c r="Q199" s="5"/>
      <c r="R199" s="5"/>
      <c r="S199" s="5"/>
      <c r="T199" s="5"/>
    </row>
    <row r="200" spans="1:20">
      <c r="A200" s="5"/>
      <c r="B200" s="5"/>
      <c r="C200" s="5"/>
      <c r="D200" s="5"/>
      <c r="E200" s="5"/>
      <c r="F200" s="5"/>
      <c r="G200" s="5"/>
      <c r="H200" s="5"/>
      <c r="I200" s="5"/>
      <c r="J200" s="5"/>
      <c r="K200" s="5"/>
      <c r="L200" s="5"/>
      <c r="M200" s="5"/>
      <c r="N200" s="5"/>
      <c r="O200" s="5"/>
      <c r="P200" s="5"/>
      <c r="Q200" s="5"/>
      <c r="R200" s="5"/>
      <c r="S200" s="5"/>
      <c r="T200" s="5"/>
    </row>
    <row r="201" spans="1:20">
      <c r="A201" s="5"/>
      <c r="B201" s="5"/>
      <c r="C201" s="5"/>
      <c r="D201" s="5"/>
      <c r="E201" s="5"/>
      <c r="F201" s="5"/>
      <c r="G201" s="5"/>
      <c r="H201" s="5"/>
      <c r="I201" s="5"/>
      <c r="J201" s="5"/>
      <c r="K201" s="5"/>
      <c r="L201" s="5"/>
      <c r="M201" s="5"/>
      <c r="N201" s="5"/>
      <c r="O201" s="5"/>
      <c r="P201" s="5"/>
      <c r="Q201" s="5"/>
      <c r="R201" s="5"/>
      <c r="S201" s="5"/>
      <c r="T201" s="5"/>
    </row>
    <row r="202" spans="1:20">
      <c r="A202" s="5"/>
      <c r="B202" s="5"/>
      <c r="C202" s="5"/>
      <c r="D202" s="5"/>
      <c r="E202" s="5"/>
      <c r="F202" s="5"/>
      <c r="G202" s="5"/>
      <c r="H202" s="5"/>
      <c r="I202" s="5"/>
      <c r="J202" s="5"/>
      <c r="K202" s="5"/>
      <c r="L202" s="5"/>
      <c r="M202" s="5"/>
      <c r="N202" s="5"/>
      <c r="O202" s="5"/>
      <c r="P202" s="5"/>
      <c r="Q202" s="5"/>
      <c r="R202" s="5"/>
      <c r="S202" s="5"/>
      <c r="T202" s="5"/>
    </row>
    <row r="203" spans="1:20">
      <c r="A203" s="5"/>
      <c r="B203" s="5"/>
      <c r="C203" s="5"/>
      <c r="D203" s="5"/>
      <c r="E203" s="5"/>
      <c r="F203" s="5"/>
      <c r="G203" s="5"/>
      <c r="H203" s="5"/>
      <c r="I203" s="5"/>
      <c r="J203" s="5"/>
      <c r="K203" s="5"/>
      <c r="L203" s="5"/>
      <c r="M203" s="5"/>
      <c r="N203" s="5"/>
      <c r="O203" s="5"/>
      <c r="P203" s="5"/>
      <c r="Q203" s="5"/>
      <c r="R203" s="5"/>
      <c r="S203" s="5"/>
      <c r="T203" s="5"/>
    </row>
    <row r="204" spans="1:20">
      <c r="A204" s="5"/>
      <c r="B204" s="5"/>
      <c r="C204" s="5"/>
      <c r="D204" s="5"/>
      <c r="E204" s="5"/>
      <c r="F204" s="5"/>
      <c r="G204" s="5"/>
      <c r="H204" s="5"/>
      <c r="I204" s="5"/>
      <c r="J204" s="5"/>
      <c r="K204" s="5"/>
      <c r="L204" s="5"/>
      <c r="M204" s="5"/>
      <c r="N204" s="5"/>
      <c r="O204" s="5"/>
      <c r="P204" s="5"/>
      <c r="Q204" s="5"/>
      <c r="R204" s="5"/>
      <c r="S204" s="5"/>
      <c r="T204" s="5"/>
    </row>
    <row r="205" spans="1:20">
      <c r="A205" s="5"/>
      <c r="B205" s="5"/>
      <c r="C205" s="5"/>
      <c r="D205" s="5"/>
      <c r="E205" s="5"/>
      <c r="F205" s="5"/>
      <c r="G205" s="5"/>
      <c r="H205" s="5"/>
      <c r="I205" s="5"/>
      <c r="J205" s="5"/>
      <c r="K205" s="5"/>
      <c r="L205" s="5"/>
      <c r="M205" s="5"/>
      <c r="N205" s="5"/>
      <c r="O205" s="5"/>
      <c r="P205" s="5"/>
      <c r="Q205" s="5"/>
      <c r="R205" s="5"/>
      <c r="S205" s="5"/>
      <c r="T205" s="5"/>
    </row>
    <row r="206" spans="1:20">
      <c r="A206" s="5"/>
      <c r="B206" s="5"/>
      <c r="C206" s="5"/>
      <c r="D206" s="5"/>
      <c r="E206" s="5"/>
      <c r="F206" s="5"/>
      <c r="G206" s="5"/>
      <c r="H206" s="5"/>
      <c r="I206" s="5"/>
      <c r="J206" s="5"/>
      <c r="K206" s="5"/>
      <c r="L206" s="5"/>
      <c r="M206" s="5"/>
      <c r="N206" s="5"/>
      <c r="O206" s="5"/>
      <c r="P206" s="5"/>
      <c r="Q206" s="5"/>
      <c r="R206" s="5"/>
      <c r="S206" s="5"/>
      <c r="T206" s="5"/>
    </row>
    <row r="207" spans="1:20">
      <c r="A207" s="5"/>
      <c r="B207" s="5"/>
      <c r="C207" s="5"/>
      <c r="D207" s="5"/>
      <c r="E207" s="5"/>
      <c r="F207" s="5"/>
      <c r="G207" s="5"/>
      <c r="H207" s="5"/>
      <c r="I207" s="5"/>
      <c r="J207" s="5"/>
      <c r="K207" s="5"/>
      <c r="L207" s="5"/>
      <c r="M207" s="5"/>
      <c r="N207" s="5"/>
      <c r="O207" s="5"/>
      <c r="P207" s="5"/>
      <c r="Q207" s="5"/>
      <c r="R207" s="5"/>
      <c r="S207" s="5"/>
      <c r="T207" s="5"/>
    </row>
    <row r="208" spans="1:20">
      <c r="A208" s="5"/>
      <c r="B208" s="5"/>
      <c r="C208" s="5"/>
      <c r="D208" s="5"/>
      <c r="E208" s="5"/>
      <c r="F208" s="5"/>
      <c r="G208" s="5"/>
      <c r="H208" s="5"/>
      <c r="I208" s="5"/>
      <c r="J208" s="5"/>
      <c r="K208" s="5"/>
      <c r="L208" s="5"/>
      <c r="M208" s="5"/>
      <c r="N208" s="5"/>
      <c r="O208" s="5"/>
      <c r="P208" s="5"/>
      <c r="Q208" s="5"/>
      <c r="R208" s="5"/>
      <c r="S208" s="5"/>
      <c r="T208" s="5"/>
    </row>
    <row r="209" spans="1:20">
      <c r="A209" s="5"/>
      <c r="B209" s="5"/>
      <c r="C209" s="5"/>
      <c r="D209" s="5"/>
      <c r="E209" s="5"/>
      <c r="F209" s="5"/>
      <c r="G209" s="5"/>
      <c r="H209" s="5"/>
      <c r="I209" s="5"/>
      <c r="J209" s="5"/>
      <c r="K209" s="5"/>
      <c r="L209" s="5"/>
      <c r="M209" s="5"/>
      <c r="N209" s="5"/>
      <c r="O209" s="5"/>
      <c r="P209" s="5"/>
      <c r="Q209" s="5"/>
      <c r="R209" s="5"/>
      <c r="S209" s="5"/>
      <c r="T209" s="5"/>
    </row>
    <row r="210" spans="1:20">
      <c r="A210" s="5"/>
      <c r="B210" s="5"/>
      <c r="C210" s="5"/>
      <c r="D210" s="5"/>
      <c r="E210" s="5"/>
      <c r="F210" s="5"/>
      <c r="G210" s="5"/>
      <c r="H210" s="5"/>
      <c r="I210" s="5"/>
      <c r="J210" s="5"/>
      <c r="K210" s="5"/>
      <c r="L210" s="5"/>
      <c r="M210" s="5"/>
      <c r="N210" s="5"/>
      <c r="O210" s="5"/>
      <c r="P210" s="5"/>
      <c r="Q210" s="5"/>
      <c r="R210" s="5"/>
      <c r="S210" s="5"/>
      <c r="T210" s="5"/>
    </row>
    <row r="211" spans="1:20">
      <c r="A211" s="5"/>
      <c r="B211" s="5"/>
      <c r="C211" s="5"/>
      <c r="D211" s="5"/>
      <c r="E211" s="5"/>
      <c r="F211" s="5"/>
      <c r="G211" s="5"/>
      <c r="H211" s="5"/>
      <c r="I211" s="5"/>
      <c r="J211" s="5"/>
      <c r="K211" s="5"/>
      <c r="L211" s="5"/>
      <c r="M211" s="5"/>
      <c r="N211" s="5"/>
      <c r="O211" s="5"/>
      <c r="P211" s="5"/>
      <c r="Q211" s="5"/>
      <c r="R211" s="5"/>
      <c r="S211" s="5"/>
      <c r="T211" s="5"/>
    </row>
    <row r="212" spans="1:20">
      <c r="A212" s="5"/>
      <c r="B212" s="5"/>
      <c r="C212" s="5"/>
      <c r="D212" s="5"/>
      <c r="E212" s="5"/>
      <c r="F212" s="5"/>
      <c r="G212" s="5"/>
      <c r="H212" s="5"/>
      <c r="I212" s="5"/>
      <c r="J212" s="5"/>
      <c r="K212" s="5"/>
      <c r="L212" s="5"/>
      <c r="M212" s="5"/>
      <c r="N212" s="5"/>
      <c r="O212" s="5"/>
      <c r="P212" s="5"/>
      <c r="Q212" s="5"/>
      <c r="R212" s="5"/>
      <c r="S212" s="5"/>
      <c r="T212" s="5"/>
    </row>
    <row r="213" spans="1:20">
      <c r="A213" s="5"/>
      <c r="B213" s="5"/>
      <c r="C213" s="5"/>
      <c r="D213" s="5"/>
      <c r="E213" s="5"/>
      <c r="F213" s="5"/>
      <c r="G213" s="5"/>
      <c r="H213" s="5"/>
      <c r="I213" s="5"/>
      <c r="J213" s="5"/>
      <c r="K213" s="5"/>
      <c r="L213" s="5"/>
      <c r="M213" s="5"/>
      <c r="N213" s="5"/>
      <c r="O213" s="5"/>
      <c r="P213" s="5"/>
      <c r="Q213" s="5"/>
      <c r="R213" s="5"/>
      <c r="S213" s="5"/>
      <c r="T213" s="5"/>
    </row>
    <row r="214" spans="1:20">
      <c r="A214" s="5"/>
      <c r="B214" s="5"/>
      <c r="C214" s="5"/>
      <c r="D214" s="5"/>
      <c r="E214" s="5"/>
      <c r="F214" s="5"/>
      <c r="G214" s="5"/>
      <c r="H214" s="5"/>
      <c r="I214" s="5"/>
      <c r="J214" s="5"/>
      <c r="K214" s="5"/>
      <c r="L214" s="5"/>
      <c r="M214" s="5"/>
      <c r="N214" s="5"/>
      <c r="O214" s="5"/>
      <c r="P214" s="5"/>
      <c r="Q214" s="5"/>
      <c r="R214" s="5"/>
      <c r="S214" s="5"/>
      <c r="T214" s="5"/>
    </row>
    <row r="215" spans="1:20">
      <c r="A215" s="5"/>
      <c r="B215" s="5"/>
      <c r="C215" s="5"/>
      <c r="D215" s="5"/>
      <c r="E215" s="5"/>
      <c r="F215" s="5"/>
      <c r="G215" s="5"/>
      <c r="H215" s="5"/>
      <c r="I215" s="5"/>
      <c r="J215" s="5"/>
      <c r="K215" s="5"/>
      <c r="L215" s="5"/>
      <c r="M215" s="5"/>
      <c r="N215" s="5"/>
      <c r="O215" s="5"/>
      <c r="P215" s="5"/>
      <c r="Q215" s="5"/>
      <c r="R215" s="5"/>
      <c r="S215" s="5"/>
      <c r="T215" s="5"/>
    </row>
    <row r="216" spans="1:20">
      <c r="A216" s="5"/>
      <c r="B216" s="5"/>
      <c r="C216" s="5"/>
      <c r="D216" s="5"/>
      <c r="E216" s="5"/>
      <c r="F216" s="5"/>
      <c r="G216" s="5"/>
      <c r="H216" s="5"/>
      <c r="I216" s="5"/>
      <c r="J216" s="5"/>
      <c r="K216" s="5"/>
      <c r="L216" s="5"/>
      <c r="M216" s="5"/>
      <c r="N216" s="5"/>
      <c r="O216" s="5"/>
      <c r="P216" s="5"/>
      <c r="Q216" s="5"/>
      <c r="R216" s="5"/>
      <c r="S216" s="5"/>
      <c r="T216" s="5"/>
    </row>
    <row r="217" spans="1:20">
      <c r="A217" s="5"/>
      <c r="B217" s="5"/>
      <c r="C217" s="5"/>
      <c r="D217" s="5"/>
      <c r="E217" s="5"/>
      <c r="F217" s="5"/>
      <c r="G217" s="5"/>
      <c r="H217" s="5"/>
      <c r="I217" s="5"/>
      <c r="J217" s="5"/>
      <c r="K217" s="5"/>
      <c r="L217" s="5"/>
      <c r="M217" s="5"/>
      <c r="N217" s="5"/>
      <c r="O217" s="5"/>
      <c r="P217" s="5"/>
      <c r="Q217" s="5"/>
      <c r="R217" s="5"/>
      <c r="S217" s="5"/>
      <c r="T217" s="5"/>
    </row>
    <row r="218" spans="1:20">
      <c r="A218" s="5"/>
      <c r="B218" s="5"/>
      <c r="C218" s="5"/>
      <c r="D218" s="5"/>
      <c r="E218" s="5"/>
      <c r="F218" s="5"/>
      <c r="G218" s="5"/>
      <c r="H218" s="5"/>
      <c r="I218" s="5"/>
      <c r="J218" s="5"/>
      <c r="K218" s="5"/>
      <c r="L218" s="5"/>
      <c r="M218" s="5"/>
      <c r="N218" s="5"/>
      <c r="O218" s="5"/>
      <c r="P218" s="5"/>
      <c r="Q218" s="5"/>
      <c r="R218" s="5"/>
      <c r="S218" s="5"/>
      <c r="T218" s="5"/>
    </row>
    <row r="219" spans="1:20">
      <c r="A219" s="5"/>
      <c r="B219" s="5"/>
      <c r="C219" s="5"/>
      <c r="D219" s="5"/>
      <c r="E219" s="5"/>
      <c r="F219" s="5"/>
      <c r="G219" s="5"/>
      <c r="H219" s="5"/>
      <c r="I219" s="5"/>
      <c r="J219" s="5"/>
      <c r="K219" s="5"/>
      <c r="L219" s="5"/>
      <c r="M219" s="5"/>
      <c r="N219" s="5"/>
      <c r="O219" s="5"/>
      <c r="P219" s="5"/>
      <c r="Q219" s="5"/>
      <c r="R219" s="5"/>
      <c r="S219" s="5"/>
      <c r="T219" s="5"/>
    </row>
    <row r="220" spans="1:20">
      <c r="A220" s="5"/>
      <c r="B220" s="5"/>
      <c r="C220" s="5"/>
      <c r="D220" s="5"/>
      <c r="E220" s="5"/>
      <c r="F220" s="5"/>
      <c r="G220" s="5"/>
      <c r="H220" s="5"/>
      <c r="I220" s="5"/>
      <c r="J220" s="5"/>
      <c r="K220" s="5"/>
      <c r="L220" s="5"/>
      <c r="M220" s="5"/>
      <c r="N220" s="5"/>
      <c r="O220" s="5"/>
      <c r="P220" s="5"/>
      <c r="Q220" s="5"/>
      <c r="R220" s="5"/>
      <c r="S220" s="5"/>
      <c r="T220" s="5"/>
    </row>
    <row r="221" spans="1:20">
      <c r="A221" s="5"/>
      <c r="B221" s="5"/>
      <c r="C221" s="5"/>
      <c r="D221" s="5"/>
      <c r="E221" s="5"/>
      <c r="F221" s="5"/>
      <c r="G221" s="5"/>
      <c r="H221" s="5"/>
      <c r="I221" s="5"/>
      <c r="J221" s="5"/>
      <c r="K221" s="5"/>
      <c r="L221" s="5"/>
      <c r="M221" s="5"/>
      <c r="N221" s="5"/>
      <c r="O221" s="5"/>
      <c r="P221" s="5"/>
      <c r="Q221" s="5"/>
      <c r="R221" s="5"/>
      <c r="S221" s="5"/>
      <c r="T221" s="5"/>
    </row>
    <row r="222" spans="1:20">
      <c r="A222" s="5"/>
      <c r="B222" s="5"/>
      <c r="C222" s="5"/>
      <c r="D222" s="5"/>
      <c r="E222" s="5"/>
      <c r="F222" s="5"/>
      <c r="G222" s="5"/>
      <c r="H222" s="5"/>
      <c r="I222" s="5"/>
      <c r="J222" s="5"/>
      <c r="K222" s="5"/>
      <c r="L222" s="5"/>
      <c r="M222" s="5"/>
      <c r="N222" s="5"/>
      <c r="O222" s="5"/>
      <c r="P222" s="5"/>
      <c r="Q222" s="5"/>
      <c r="R222" s="5"/>
      <c r="S222" s="5"/>
      <c r="T222" s="5"/>
    </row>
    <row r="223" spans="1:20">
      <c r="A223" s="5"/>
      <c r="B223" s="5"/>
      <c r="C223" s="5"/>
      <c r="D223" s="5"/>
      <c r="E223" s="5"/>
      <c r="F223" s="5"/>
      <c r="G223" s="5"/>
      <c r="H223" s="5"/>
      <c r="I223" s="5"/>
      <c r="J223" s="5"/>
      <c r="K223" s="5"/>
      <c r="L223" s="5"/>
      <c r="M223" s="5"/>
      <c r="N223" s="5"/>
      <c r="O223" s="5"/>
      <c r="P223" s="5"/>
      <c r="Q223" s="5"/>
      <c r="R223" s="5"/>
      <c r="S223" s="5"/>
      <c r="T223" s="5"/>
    </row>
    <row r="224" spans="1:20">
      <c r="A224" s="5"/>
      <c r="B224" s="5"/>
      <c r="C224" s="5"/>
      <c r="D224" s="5"/>
      <c r="E224" s="5"/>
      <c r="F224" s="5"/>
      <c r="G224" s="5"/>
      <c r="H224" s="5"/>
      <c r="I224" s="5"/>
      <c r="J224" s="5"/>
      <c r="K224" s="5"/>
      <c r="L224" s="5"/>
      <c r="M224" s="5"/>
      <c r="N224" s="5"/>
      <c r="O224" s="5"/>
      <c r="P224" s="5"/>
      <c r="Q224" s="5"/>
      <c r="R224" s="5"/>
      <c r="S224" s="5"/>
      <c r="T224" s="5"/>
    </row>
    <row r="225" spans="1:20">
      <c r="A225" s="5"/>
      <c r="B225" s="5"/>
      <c r="C225" s="5"/>
      <c r="D225" s="5"/>
      <c r="E225" s="5"/>
      <c r="F225" s="5"/>
      <c r="G225" s="5"/>
      <c r="H225" s="5"/>
      <c r="I225" s="5"/>
      <c r="J225" s="5"/>
      <c r="K225" s="5"/>
      <c r="L225" s="5"/>
      <c r="M225" s="5"/>
      <c r="N225" s="5"/>
      <c r="O225" s="5"/>
      <c r="P225" s="5"/>
      <c r="Q225" s="5"/>
      <c r="R225" s="5"/>
      <c r="S225" s="5"/>
      <c r="T225" s="5"/>
    </row>
    <row r="226" spans="1:20">
      <c r="A226" s="5"/>
      <c r="B226" s="5"/>
      <c r="C226" s="5"/>
      <c r="D226" s="5"/>
      <c r="E226" s="5"/>
      <c r="F226" s="5"/>
      <c r="G226" s="5"/>
      <c r="H226" s="5"/>
      <c r="I226" s="5"/>
      <c r="J226" s="5"/>
      <c r="K226" s="5"/>
      <c r="L226" s="5"/>
      <c r="M226" s="5"/>
      <c r="N226" s="5"/>
      <c r="O226" s="5"/>
      <c r="P226" s="5"/>
      <c r="Q226" s="5"/>
      <c r="R226" s="5"/>
      <c r="S226" s="5"/>
      <c r="T226" s="5"/>
    </row>
    <row r="227" spans="1:20">
      <c r="A227" s="5"/>
      <c r="B227" s="5"/>
      <c r="C227" s="5"/>
      <c r="D227" s="5"/>
      <c r="E227" s="5"/>
      <c r="F227" s="5"/>
      <c r="G227" s="5"/>
      <c r="H227" s="5"/>
      <c r="I227" s="5"/>
      <c r="J227" s="5"/>
      <c r="K227" s="5"/>
      <c r="L227" s="5"/>
      <c r="M227" s="5"/>
      <c r="N227" s="5"/>
      <c r="O227" s="5"/>
      <c r="P227" s="5"/>
      <c r="Q227" s="5"/>
      <c r="R227" s="5"/>
      <c r="S227" s="5"/>
      <c r="T227" s="5"/>
    </row>
    <row r="228" spans="1:20">
      <c r="A228" s="5"/>
      <c r="B228" s="5"/>
      <c r="C228" s="5"/>
      <c r="D228" s="5"/>
      <c r="E228" s="5"/>
      <c r="F228" s="5"/>
      <c r="G228" s="5"/>
      <c r="H228" s="5"/>
      <c r="I228" s="5"/>
      <c r="J228" s="5"/>
      <c r="K228" s="5"/>
      <c r="L228" s="5"/>
      <c r="M228" s="5"/>
      <c r="N228" s="5"/>
      <c r="O228" s="5"/>
      <c r="P228" s="5"/>
      <c r="Q228" s="5"/>
      <c r="R228" s="5"/>
      <c r="S228" s="5"/>
      <c r="T228" s="5"/>
    </row>
    <row r="229" spans="1:20">
      <c r="A229" s="5"/>
      <c r="B229" s="5"/>
      <c r="C229" s="5"/>
      <c r="D229" s="5"/>
      <c r="E229" s="5"/>
      <c r="F229" s="5"/>
      <c r="G229" s="5"/>
      <c r="H229" s="5"/>
      <c r="I229" s="5"/>
      <c r="J229" s="5"/>
      <c r="K229" s="5"/>
      <c r="L229" s="5"/>
      <c r="M229" s="5"/>
      <c r="N229" s="5"/>
      <c r="O229" s="5"/>
      <c r="P229" s="5"/>
      <c r="Q229" s="5"/>
      <c r="R229" s="5"/>
      <c r="S229" s="5"/>
      <c r="T229" s="5"/>
    </row>
    <row r="230" spans="1:20">
      <c r="A230" s="5"/>
      <c r="B230" s="5"/>
      <c r="C230" s="5"/>
      <c r="D230" s="5"/>
      <c r="E230" s="5"/>
      <c r="F230" s="5"/>
      <c r="G230" s="5"/>
      <c r="H230" s="5"/>
      <c r="I230" s="5"/>
      <c r="J230" s="5"/>
      <c r="K230" s="5"/>
      <c r="L230" s="5"/>
      <c r="M230" s="5"/>
      <c r="N230" s="5"/>
      <c r="O230" s="5"/>
      <c r="P230" s="5"/>
      <c r="Q230" s="5"/>
      <c r="R230" s="5"/>
      <c r="S230" s="5"/>
      <c r="T230" s="5"/>
    </row>
    <row r="231" spans="1:20">
      <c r="A231" s="5"/>
      <c r="B231" s="5"/>
      <c r="C231" s="5"/>
      <c r="D231" s="5"/>
      <c r="E231" s="5"/>
      <c r="F231" s="5"/>
      <c r="G231" s="5"/>
      <c r="H231" s="5"/>
      <c r="I231" s="5"/>
      <c r="J231" s="5"/>
      <c r="K231" s="5"/>
      <c r="L231" s="5"/>
      <c r="M231" s="5"/>
      <c r="N231" s="5"/>
      <c r="O231" s="5"/>
      <c r="P231" s="5"/>
      <c r="Q231" s="5"/>
      <c r="R231" s="5"/>
      <c r="S231" s="5"/>
      <c r="T231" s="5"/>
    </row>
    <row r="232" spans="1:20">
      <c r="A232" s="5"/>
      <c r="B232" s="5"/>
      <c r="C232" s="5"/>
      <c r="D232" s="5"/>
      <c r="E232" s="5"/>
      <c r="F232" s="5"/>
      <c r="G232" s="5"/>
      <c r="H232" s="5"/>
      <c r="I232" s="5"/>
      <c r="J232" s="5"/>
      <c r="K232" s="5"/>
      <c r="L232" s="5"/>
      <c r="M232" s="5"/>
      <c r="N232" s="5"/>
      <c r="O232" s="5"/>
      <c r="P232" s="5"/>
      <c r="Q232" s="5"/>
      <c r="R232" s="5"/>
      <c r="S232" s="5"/>
      <c r="T232" s="5"/>
    </row>
    <row r="233" spans="1:20">
      <c r="A233" s="5"/>
      <c r="B233" s="5"/>
      <c r="C233" s="5"/>
      <c r="D233" s="5"/>
      <c r="E233" s="5"/>
      <c r="F233" s="5"/>
      <c r="G233" s="5"/>
      <c r="H233" s="5"/>
      <c r="I233" s="5"/>
      <c r="J233" s="5"/>
      <c r="K233" s="5"/>
      <c r="L233" s="5"/>
      <c r="M233" s="5"/>
      <c r="N233" s="5"/>
      <c r="O233" s="5"/>
      <c r="P233" s="5"/>
      <c r="Q233" s="5"/>
      <c r="R233" s="5"/>
      <c r="S233" s="5"/>
      <c r="T233" s="5"/>
    </row>
    <row r="234" spans="1:20">
      <c r="A234" s="5"/>
      <c r="B234" s="5"/>
      <c r="C234" s="5"/>
      <c r="D234" s="5"/>
      <c r="E234" s="5"/>
      <c r="F234" s="5"/>
      <c r="G234" s="5"/>
      <c r="H234" s="5"/>
      <c r="I234" s="5"/>
      <c r="J234" s="5"/>
      <c r="K234" s="5"/>
      <c r="L234" s="5"/>
      <c r="M234" s="5"/>
      <c r="N234" s="5"/>
      <c r="O234" s="5"/>
      <c r="P234" s="5"/>
      <c r="Q234" s="5"/>
      <c r="R234" s="5"/>
      <c r="S234" s="5"/>
      <c r="T234" s="5"/>
    </row>
    <row r="235" spans="1:20">
      <c r="A235" s="5"/>
      <c r="B235" s="5"/>
      <c r="C235" s="5"/>
      <c r="D235" s="5"/>
      <c r="E235" s="5"/>
      <c r="F235" s="5"/>
      <c r="G235" s="5"/>
      <c r="H235" s="5"/>
      <c r="I235" s="5"/>
      <c r="J235" s="5"/>
      <c r="K235" s="5"/>
      <c r="L235" s="5"/>
      <c r="M235" s="5"/>
      <c r="N235" s="5"/>
      <c r="O235" s="5"/>
      <c r="P235" s="5"/>
      <c r="Q235" s="5"/>
      <c r="R235" s="5"/>
      <c r="S235" s="5"/>
      <c r="T235" s="5"/>
    </row>
    <row r="236" spans="1:20">
      <c r="A236" s="5"/>
      <c r="B236" s="5"/>
      <c r="C236" s="5"/>
      <c r="D236" s="5"/>
      <c r="E236" s="5"/>
      <c r="F236" s="5"/>
      <c r="G236" s="5"/>
      <c r="H236" s="5"/>
      <c r="I236" s="5"/>
      <c r="J236" s="5"/>
      <c r="K236" s="5"/>
      <c r="L236" s="5"/>
      <c r="M236" s="5"/>
      <c r="N236" s="5"/>
      <c r="O236" s="5"/>
      <c r="P236" s="5"/>
      <c r="Q236" s="5"/>
      <c r="R236" s="5"/>
      <c r="S236" s="5"/>
      <c r="T236" s="5"/>
    </row>
    <row r="237" spans="1:20">
      <c r="A237" s="5"/>
      <c r="B237" s="5"/>
      <c r="C237" s="5"/>
      <c r="D237" s="5"/>
      <c r="E237" s="5"/>
      <c r="F237" s="5"/>
      <c r="G237" s="5"/>
      <c r="H237" s="5"/>
      <c r="I237" s="5"/>
      <c r="J237" s="5"/>
      <c r="K237" s="5"/>
      <c r="L237" s="5"/>
      <c r="M237" s="5"/>
      <c r="N237" s="5"/>
      <c r="O237" s="5"/>
      <c r="P237" s="5"/>
      <c r="Q237" s="5"/>
      <c r="R237" s="5"/>
      <c r="S237" s="5"/>
      <c r="T237" s="5"/>
    </row>
    <row r="238" spans="1:20">
      <c r="A238" s="5"/>
      <c r="B238" s="5"/>
      <c r="C238" s="5"/>
      <c r="D238" s="5"/>
      <c r="E238" s="5"/>
      <c r="F238" s="5"/>
      <c r="G238" s="5"/>
      <c r="H238" s="5"/>
      <c r="I238" s="5"/>
      <c r="J238" s="5"/>
      <c r="K238" s="5"/>
      <c r="L238" s="5"/>
      <c r="M238" s="5"/>
      <c r="N238" s="5"/>
      <c r="O238" s="5"/>
      <c r="P238" s="5"/>
      <c r="Q238" s="5"/>
      <c r="R238" s="5"/>
      <c r="S238" s="5"/>
      <c r="T238" s="5"/>
    </row>
    <row r="239" spans="1:20">
      <c r="A239" s="5"/>
      <c r="B239" s="5"/>
      <c r="C239" s="5"/>
      <c r="D239" s="5"/>
      <c r="E239" s="5"/>
      <c r="F239" s="5"/>
      <c r="G239" s="5"/>
      <c r="H239" s="5"/>
      <c r="I239" s="5"/>
      <c r="J239" s="5"/>
      <c r="K239" s="5"/>
      <c r="L239" s="5"/>
      <c r="M239" s="5"/>
      <c r="N239" s="5"/>
      <c r="O239" s="5"/>
      <c r="P239" s="5"/>
      <c r="Q239" s="5"/>
      <c r="R239" s="5"/>
      <c r="S239" s="5"/>
      <c r="T239" s="5"/>
    </row>
    <row r="240" spans="1:20">
      <c r="A240" s="5"/>
      <c r="B240" s="5"/>
      <c r="C240" s="5"/>
      <c r="D240" s="5"/>
      <c r="E240" s="5"/>
      <c r="F240" s="5"/>
      <c r="G240" s="5"/>
      <c r="H240" s="5"/>
      <c r="I240" s="5"/>
      <c r="J240" s="5"/>
      <c r="K240" s="5"/>
      <c r="L240" s="5"/>
      <c r="M240" s="5"/>
      <c r="N240" s="5"/>
      <c r="O240" s="5"/>
      <c r="P240" s="5"/>
      <c r="Q240" s="5"/>
      <c r="R240" s="5"/>
      <c r="S240" s="5"/>
      <c r="T240" s="5"/>
    </row>
    <row r="241" spans="1:20">
      <c r="A241" s="5"/>
      <c r="B241" s="5"/>
      <c r="C241" s="5"/>
      <c r="D241" s="5"/>
      <c r="E241" s="5"/>
      <c r="F241" s="5"/>
      <c r="G241" s="5"/>
      <c r="H241" s="5"/>
      <c r="I241" s="5"/>
      <c r="J241" s="5"/>
      <c r="K241" s="5"/>
      <c r="L241" s="5"/>
      <c r="M241" s="5"/>
      <c r="N241" s="5"/>
      <c r="O241" s="5"/>
      <c r="P241" s="5"/>
      <c r="Q241" s="5"/>
      <c r="R241" s="5"/>
      <c r="S241" s="5"/>
      <c r="T241" s="5"/>
    </row>
    <row r="242" spans="1:20">
      <c r="A242" s="5"/>
      <c r="B242" s="5"/>
      <c r="C242" s="5"/>
      <c r="D242" s="5"/>
      <c r="E242" s="5"/>
      <c r="F242" s="5"/>
      <c r="G242" s="5"/>
      <c r="H242" s="5"/>
      <c r="I242" s="5"/>
      <c r="J242" s="5"/>
      <c r="K242" s="5"/>
      <c r="L242" s="5"/>
      <c r="M242" s="5"/>
      <c r="N242" s="5"/>
      <c r="O242" s="5"/>
      <c r="P242" s="5"/>
      <c r="Q242" s="5"/>
      <c r="R242" s="5"/>
      <c r="S242" s="5"/>
      <c r="T242" s="5"/>
    </row>
    <row r="243" spans="1:20">
      <c r="A243" s="5"/>
      <c r="B243" s="5"/>
      <c r="C243" s="5"/>
      <c r="D243" s="5"/>
      <c r="E243" s="5"/>
      <c r="F243" s="5"/>
      <c r="G243" s="5"/>
      <c r="H243" s="5"/>
      <c r="I243" s="5"/>
      <c r="J243" s="5"/>
      <c r="K243" s="5"/>
      <c r="L243" s="5"/>
      <c r="M243" s="5"/>
      <c r="N243" s="5"/>
      <c r="O243" s="5"/>
      <c r="P243" s="5"/>
      <c r="Q243" s="5"/>
      <c r="R243" s="5"/>
      <c r="S243" s="5"/>
      <c r="T243" s="5"/>
    </row>
    <row r="244" spans="1:20">
      <c r="A244" s="5"/>
      <c r="B244" s="5"/>
      <c r="C244" s="5"/>
      <c r="D244" s="5"/>
      <c r="E244" s="5"/>
      <c r="F244" s="5"/>
      <c r="G244" s="5"/>
      <c r="H244" s="5"/>
      <c r="I244" s="5"/>
      <c r="J244" s="5"/>
      <c r="K244" s="5"/>
      <c r="L244" s="5"/>
      <c r="M244" s="5"/>
      <c r="N244" s="5"/>
      <c r="O244" s="5"/>
      <c r="P244" s="5"/>
      <c r="Q244" s="5"/>
      <c r="R244" s="5"/>
      <c r="S244" s="5"/>
      <c r="T244" s="5"/>
    </row>
    <row r="245" spans="1:20">
      <c r="A245" s="5"/>
      <c r="B245" s="5"/>
      <c r="C245" s="5"/>
      <c r="D245" s="5"/>
      <c r="E245" s="5"/>
      <c r="F245" s="5"/>
      <c r="G245" s="5"/>
      <c r="H245" s="5"/>
      <c r="I245" s="5"/>
      <c r="J245" s="5"/>
      <c r="K245" s="5"/>
      <c r="L245" s="5"/>
      <c r="M245" s="5"/>
      <c r="N245" s="5"/>
      <c r="O245" s="5"/>
      <c r="P245" s="5"/>
      <c r="Q245" s="5"/>
      <c r="R245" s="5"/>
      <c r="S245" s="5"/>
      <c r="T245" s="5"/>
    </row>
    <row r="246" spans="1:20">
      <c r="A246" s="5"/>
      <c r="B246" s="5"/>
      <c r="C246" s="5"/>
      <c r="D246" s="5"/>
      <c r="E246" s="5"/>
      <c r="F246" s="5"/>
      <c r="G246" s="5"/>
      <c r="H246" s="5"/>
      <c r="I246" s="5"/>
      <c r="J246" s="5"/>
      <c r="K246" s="5"/>
      <c r="L246" s="5"/>
      <c r="M246" s="5"/>
      <c r="N246" s="5"/>
      <c r="O246" s="5"/>
      <c r="P246" s="5"/>
      <c r="Q246" s="5"/>
      <c r="R246" s="5"/>
      <c r="S246" s="5"/>
      <c r="T246" s="5"/>
    </row>
    <row r="247" spans="1:20">
      <c r="A247" s="5"/>
      <c r="B247" s="5"/>
      <c r="C247" s="5"/>
      <c r="D247" s="5"/>
      <c r="E247" s="5"/>
      <c r="F247" s="5"/>
      <c r="G247" s="5"/>
      <c r="H247" s="5"/>
      <c r="I247" s="5"/>
      <c r="J247" s="5"/>
      <c r="K247" s="5"/>
      <c r="L247" s="5"/>
      <c r="M247" s="5"/>
      <c r="N247" s="5"/>
      <c r="O247" s="5"/>
      <c r="P247" s="5"/>
      <c r="Q247" s="5"/>
      <c r="R247" s="5"/>
      <c r="S247" s="5"/>
      <c r="T247" s="5"/>
    </row>
    <row r="248" spans="1:20">
      <c r="A248" s="5"/>
      <c r="B248" s="5"/>
      <c r="C248" s="5"/>
      <c r="D248" s="5"/>
      <c r="E248" s="5"/>
      <c r="F248" s="5"/>
      <c r="G248" s="5"/>
      <c r="H248" s="5"/>
      <c r="I248" s="5"/>
      <c r="J248" s="5"/>
      <c r="K248" s="5"/>
      <c r="L248" s="5"/>
      <c r="M248" s="5"/>
      <c r="N248" s="5"/>
      <c r="O248" s="5"/>
      <c r="P248" s="5"/>
      <c r="Q248" s="5"/>
      <c r="R248" s="5"/>
      <c r="S248" s="5"/>
      <c r="T248" s="5"/>
    </row>
    <row r="249" spans="1:20">
      <c r="A249" s="5"/>
      <c r="B249" s="5"/>
      <c r="C249" s="5"/>
      <c r="D249" s="5"/>
      <c r="E249" s="5"/>
      <c r="F249" s="5"/>
      <c r="G249" s="5"/>
      <c r="H249" s="5"/>
      <c r="I249" s="5"/>
      <c r="J249" s="5"/>
      <c r="K249" s="5"/>
      <c r="L249" s="5"/>
      <c r="M249" s="5"/>
      <c r="N249" s="5"/>
      <c r="O249" s="5"/>
      <c r="P249" s="5"/>
      <c r="Q249" s="5"/>
      <c r="R249" s="5"/>
      <c r="S249" s="5"/>
      <c r="T249" s="5"/>
    </row>
    <row r="250" spans="1:20">
      <c r="A250" s="5"/>
      <c r="B250" s="5"/>
      <c r="C250" s="5"/>
      <c r="D250" s="5"/>
      <c r="E250" s="5"/>
      <c r="F250" s="5"/>
      <c r="G250" s="5"/>
      <c r="H250" s="5"/>
      <c r="I250" s="5"/>
      <c r="J250" s="5"/>
      <c r="K250" s="5"/>
      <c r="L250" s="5"/>
      <c r="M250" s="5"/>
      <c r="N250" s="5"/>
      <c r="O250" s="5"/>
      <c r="P250" s="5"/>
      <c r="Q250" s="5"/>
      <c r="R250" s="5"/>
      <c r="S250" s="5"/>
      <c r="T250" s="5"/>
    </row>
    <row r="251" spans="1:20">
      <c r="A251" s="5"/>
      <c r="B251" s="5"/>
      <c r="C251" s="5"/>
      <c r="D251" s="5"/>
      <c r="E251" s="5"/>
      <c r="F251" s="5"/>
      <c r="G251" s="5"/>
      <c r="H251" s="5"/>
      <c r="I251" s="5"/>
      <c r="J251" s="5"/>
      <c r="K251" s="5"/>
      <c r="L251" s="5"/>
      <c r="M251" s="5"/>
      <c r="N251" s="5"/>
      <c r="O251" s="5"/>
      <c r="P251" s="5"/>
      <c r="Q251" s="5"/>
      <c r="R251" s="5"/>
      <c r="S251" s="5"/>
      <c r="T251" s="5"/>
    </row>
    <row r="252" spans="1:20">
      <c r="A252" s="5"/>
      <c r="B252" s="5"/>
      <c r="C252" s="5"/>
      <c r="D252" s="5"/>
      <c r="E252" s="5"/>
      <c r="F252" s="5"/>
      <c r="G252" s="5"/>
      <c r="H252" s="5"/>
      <c r="I252" s="5"/>
      <c r="J252" s="5"/>
      <c r="K252" s="5"/>
      <c r="L252" s="5"/>
      <c r="M252" s="5"/>
      <c r="N252" s="5"/>
      <c r="O252" s="5"/>
      <c r="P252" s="5"/>
      <c r="Q252" s="5"/>
      <c r="R252" s="5"/>
      <c r="S252" s="5"/>
      <c r="T252" s="5"/>
    </row>
    <row r="253" spans="1:20">
      <c r="A253" s="5"/>
      <c r="B253" s="5"/>
      <c r="C253" s="5"/>
      <c r="D253" s="5"/>
      <c r="E253" s="5"/>
      <c r="F253" s="5"/>
      <c r="G253" s="5"/>
      <c r="H253" s="5"/>
      <c r="I253" s="5"/>
      <c r="J253" s="5"/>
      <c r="K253" s="5"/>
      <c r="L253" s="5"/>
      <c r="M253" s="5"/>
      <c r="N253" s="5"/>
      <c r="O253" s="5"/>
      <c r="P253" s="5"/>
      <c r="Q253" s="5"/>
      <c r="R253" s="5"/>
      <c r="S253" s="5"/>
      <c r="T253" s="5"/>
    </row>
    <row r="254" spans="1:20">
      <c r="A254" s="5"/>
      <c r="B254" s="5"/>
      <c r="C254" s="5"/>
      <c r="D254" s="5"/>
      <c r="E254" s="5"/>
      <c r="F254" s="5"/>
      <c r="G254" s="5"/>
      <c r="H254" s="5"/>
      <c r="I254" s="5"/>
      <c r="J254" s="5"/>
      <c r="K254" s="5"/>
      <c r="L254" s="5"/>
      <c r="M254" s="5"/>
      <c r="N254" s="5"/>
      <c r="O254" s="5"/>
      <c r="P254" s="5"/>
      <c r="Q254" s="5"/>
      <c r="R254" s="5"/>
      <c r="S254" s="5"/>
      <c r="T254" s="5"/>
    </row>
    <row r="255" spans="1:20">
      <c r="A255" s="5"/>
      <c r="B255" s="5"/>
      <c r="C255" s="5"/>
      <c r="D255" s="5"/>
      <c r="E255" s="5"/>
      <c r="F255" s="5"/>
      <c r="G255" s="5"/>
      <c r="H255" s="5"/>
      <c r="I255" s="5"/>
      <c r="J255" s="5"/>
      <c r="K255" s="5"/>
      <c r="L255" s="5"/>
      <c r="M255" s="5"/>
      <c r="N255" s="5"/>
      <c r="O255" s="5"/>
      <c r="P255" s="5"/>
      <c r="Q255" s="5"/>
      <c r="R255" s="5"/>
      <c r="S255" s="5"/>
      <c r="T255" s="5"/>
    </row>
    <row r="256" spans="1:20">
      <c r="A256" s="5"/>
      <c r="B256" s="5"/>
      <c r="C256" s="5"/>
      <c r="D256" s="5"/>
      <c r="E256" s="5"/>
      <c r="F256" s="5"/>
      <c r="G256" s="5"/>
      <c r="H256" s="5"/>
      <c r="I256" s="5"/>
      <c r="J256" s="5"/>
      <c r="K256" s="5"/>
      <c r="L256" s="5"/>
      <c r="M256" s="5"/>
      <c r="N256" s="5"/>
      <c r="O256" s="5"/>
      <c r="P256" s="5"/>
      <c r="Q256" s="5"/>
      <c r="R256" s="5"/>
      <c r="S256" s="5"/>
      <c r="T256" s="5"/>
    </row>
    <row r="257" spans="1:20">
      <c r="A257" s="5"/>
      <c r="B257" s="5"/>
      <c r="C257" s="5"/>
      <c r="D257" s="5"/>
      <c r="E257" s="5"/>
      <c r="F257" s="5"/>
      <c r="G257" s="5"/>
      <c r="H257" s="5"/>
      <c r="I257" s="5"/>
      <c r="J257" s="5"/>
      <c r="K257" s="5"/>
      <c r="L257" s="5"/>
      <c r="M257" s="5"/>
      <c r="N257" s="5"/>
      <c r="O257" s="5"/>
      <c r="P257" s="5"/>
      <c r="Q257" s="5"/>
      <c r="R257" s="5"/>
      <c r="S257" s="5"/>
      <c r="T257" s="5"/>
    </row>
    <row r="258" spans="1:20">
      <c r="A258" s="5"/>
      <c r="B258" s="5"/>
      <c r="C258" s="5"/>
      <c r="D258" s="5"/>
      <c r="E258" s="5"/>
      <c r="F258" s="5"/>
      <c r="G258" s="5"/>
      <c r="H258" s="5"/>
      <c r="I258" s="5"/>
      <c r="J258" s="5"/>
      <c r="K258" s="5"/>
      <c r="L258" s="5"/>
      <c r="M258" s="5"/>
      <c r="N258" s="5"/>
      <c r="O258" s="5"/>
      <c r="P258" s="5"/>
      <c r="Q258" s="5"/>
      <c r="R258" s="5"/>
      <c r="S258" s="5"/>
      <c r="T258" s="5"/>
    </row>
    <row r="259" spans="1:20">
      <c r="A259" s="5"/>
      <c r="B259" s="5"/>
      <c r="C259" s="5"/>
      <c r="D259" s="5"/>
      <c r="E259" s="5"/>
      <c r="F259" s="5"/>
      <c r="G259" s="5"/>
      <c r="H259" s="5"/>
      <c r="I259" s="5"/>
      <c r="J259" s="5"/>
      <c r="K259" s="5"/>
      <c r="L259" s="5"/>
      <c r="M259" s="5"/>
      <c r="N259" s="5"/>
      <c r="O259" s="5"/>
      <c r="P259" s="5"/>
      <c r="Q259" s="5"/>
      <c r="R259" s="5"/>
      <c r="S259" s="5"/>
      <c r="T259" s="5"/>
    </row>
    <row r="260" spans="1:20">
      <c r="A260" s="5"/>
      <c r="B260" s="5"/>
      <c r="C260" s="5"/>
      <c r="D260" s="5"/>
      <c r="E260" s="5"/>
      <c r="F260" s="5"/>
      <c r="G260" s="5"/>
      <c r="H260" s="5"/>
      <c r="I260" s="5"/>
      <c r="J260" s="5"/>
      <c r="K260" s="5"/>
      <c r="L260" s="5"/>
      <c r="M260" s="5"/>
      <c r="N260" s="5"/>
      <c r="O260" s="5"/>
      <c r="P260" s="5"/>
      <c r="Q260" s="5"/>
      <c r="R260" s="5"/>
      <c r="S260" s="5"/>
      <c r="T260" s="5"/>
    </row>
    <row r="261" spans="1:20">
      <c r="A261" s="5"/>
      <c r="B261" s="5"/>
      <c r="C261" s="5"/>
      <c r="D261" s="5"/>
      <c r="E261" s="5"/>
      <c r="F261" s="5"/>
      <c r="G261" s="5"/>
      <c r="H261" s="5"/>
      <c r="I261" s="5"/>
      <c r="J261" s="5"/>
      <c r="K261" s="5"/>
      <c r="L261" s="5"/>
      <c r="M261" s="5"/>
      <c r="N261" s="5"/>
      <c r="O261" s="5"/>
      <c r="P261" s="5"/>
      <c r="Q261" s="5"/>
      <c r="R261" s="5"/>
      <c r="S261" s="5"/>
      <c r="T261" s="5"/>
    </row>
    <row r="262" spans="1:20">
      <c r="A262" s="5"/>
      <c r="B262" s="5"/>
      <c r="C262" s="5"/>
      <c r="D262" s="5"/>
      <c r="E262" s="5"/>
      <c r="F262" s="5"/>
      <c r="G262" s="5"/>
      <c r="H262" s="5"/>
      <c r="I262" s="5"/>
      <c r="J262" s="5"/>
      <c r="K262" s="5"/>
      <c r="L262" s="5"/>
      <c r="M262" s="5"/>
      <c r="N262" s="5"/>
      <c r="O262" s="5"/>
      <c r="P262" s="5"/>
      <c r="Q262" s="5"/>
      <c r="R262" s="5"/>
      <c r="S262" s="5"/>
      <c r="T262" s="5"/>
    </row>
    <row r="263" spans="1:20">
      <c r="A263" s="5"/>
      <c r="B263" s="5"/>
      <c r="C263" s="5"/>
      <c r="D263" s="5"/>
      <c r="E263" s="5"/>
      <c r="F263" s="5"/>
      <c r="G263" s="5"/>
      <c r="H263" s="5"/>
      <c r="I263" s="5"/>
      <c r="J263" s="5"/>
      <c r="K263" s="5"/>
      <c r="L263" s="5"/>
      <c r="M263" s="5"/>
      <c r="N263" s="5"/>
      <c r="O263" s="5"/>
      <c r="P263" s="5"/>
      <c r="Q263" s="5"/>
      <c r="R263" s="5"/>
      <c r="S263" s="5"/>
      <c r="T263" s="5"/>
    </row>
    <row r="264" spans="1:20">
      <c r="A264" s="5"/>
      <c r="B264" s="5"/>
      <c r="C264" s="5"/>
      <c r="D264" s="5"/>
      <c r="E264" s="5"/>
      <c r="F264" s="5"/>
      <c r="G264" s="5"/>
      <c r="H264" s="5"/>
      <c r="I264" s="5"/>
      <c r="J264" s="5"/>
      <c r="K264" s="5"/>
      <c r="L264" s="5"/>
      <c r="M264" s="5"/>
      <c r="N264" s="5"/>
      <c r="O264" s="5"/>
      <c r="P264" s="5"/>
      <c r="Q264" s="5"/>
      <c r="R264" s="5"/>
      <c r="S264" s="5"/>
      <c r="T264" s="5"/>
    </row>
    <row r="265" spans="1:20">
      <c r="A265" s="5"/>
      <c r="B265" s="5"/>
      <c r="C265" s="5"/>
      <c r="D265" s="5"/>
      <c r="E265" s="5"/>
      <c r="F265" s="5"/>
      <c r="G265" s="5"/>
      <c r="H265" s="5"/>
      <c r="I265" s="5"/>
      <c r="J265" s="5"/>
      <c r="K265" s="5"/>
      <c r="L265" s="5"/>
      <c r="M265" s="5"/>
      <c r="N265" s="5"/>
      <c r="O265" s="5"/>
      <c r="P265" s="5"/>
      <c r="Q265" s="5"/>
      <c r="R265" s="5"/>
      <c r="S265" s="5"/>
      <c r="T265" s="5"/>
    </row>
    <row r="266" spans="1:20">
      <c r="A266" s="5"/>
      <c r="B266" s="5"/>
      <c r="C266" s="5"/>
      <c r="D266" s="5"/>
      <c r="E266" s="5"/>
      <c r="F266" s="5"/>
      <c r="G266" s="5"/>
      <c r="H266" s="5"/>
      <c r="I266" s="5"/>
      <c r="J266" s="5"/>
      <c r="K266" s="5"/>
      <c r="L266" s="5"/>
      <c r="M266" s="5"/>
      <c r="N266" s="5"/>
      <c r="O266" s="5"/>
      <c r="P266" s="5"/>
      <c r="Q266" s="5"/>
      <c r="R266" s="5"/>
      <c r="S266" s="5"/>
      <c r="T266" s="5"/>
    </row>
    <row r="267" spans="1:20">
      <c r="A267" s="5"/>
      <c r="B267" s="5"/>
      <c r="C267" s="5"/>
      <c r="D267" s="5"/>
      <c r="E267" s="5"/>
      <c r="F267" s="5"/>
      <c r="G267" s="5"/>
      <c r="H267" s="5"/>
      <c r="I267" s="5"/>
      <c r="J267" s="5"/>
      <c r="K267" s="5"/>
      <c r="L267" s="5"/>
      <c r="M267" s="5"/>
      <c r="N267" s="5"/>
      <c r="O267" s="5"/>
      <c r="P267" s="5"/>
      <c r="Q267" s="5"/>
      <c r="R267" s="5"/>
      <c r="S267" s="5"/>
      <c r="T267" s="5"/>
    </row>
    <row r="268" spans="1:20">
      <c r="A268" s="5"/>
      <c r="B268" s="5"/>
      <c r="C268" s="5"/>
      <c r="D268" s="5"/>
      <c r="E268" s="5"/>
      <c r="F268" s="5"/>
      <c r="G268" s="5"/>
      <c r="H268" s="5"/>
      <c r="I268" s="5"/>
      <c r="J268" s="5"/>
      <c r="K268" s="5"/>
      <c r="L268" s="5"/>
      <c r="M268" s="5"/>
      <c r="N268" s="5"/>
      <c r="O268" s="5"/>
      <c r="P268" s="5"/>
      <c r="Q268" s="5"/>
      <c r="R268" s="5"/>
      <c r="S268" s="5"/>
      <c r="T268" s="5"/>
    </row>
    <row r="269" spans="1:20">
      <c r="A269" s="5"/>
      <c r="B269" s="5"/>
      <c r="C269" s="5"/>
      <c r="D269" s="5"/>
      <c r="E269" s="5"/>
      <c r="F269" s="5"/>
      <c r="G269" s="5"/>
      <c r="H269" s="5"/>
      <c r="I269" s="5"/>
      <c r="J269" s="5"/>
      <c r="K269" s="5"/>
      <c r="L269" s="5"/>
      <c r="M269" s="5"/>
      <c r="N269" s="5"/>
      <c r="O269" s="5"/>
      <c r="P269" s="5"/>
      <c r="Q269" s="5"/>
      <c r="R269" s="5"/>
      <c r="S269" s="5"/>
      <c r="T269" s="5"/>
    </row>
    <row r="270" spans="1:20">
      <c r="A270" s="5"/>
      <c r="B270" s="5"/>
      <c r="C270" s="5"/>
      <c r="D270" s="5"/>
      <c r="E270" s="5"/>
      <c r="F270" s="5"/>
      <c r="G270" s="5"/>
      <c r="H270" s="5"/>
      <c r="I270" s="5"/>
      <c r="J270" s="5"/>
      <c r="K270" s="5"/>
      <c r="L270" s="5"/>
      <c r="M270" s="5"/>
      <c r="N270" s="5"/>
      <c r="O270" s="5"/>
      <c r="P270" s="5"/>
      <c r="Q270" s="5"/>
      <c r="R270" s="5"/>
      <c r="S270" s="5"/>
      <c r="T270" s="5"/>
    </row>
    <row r="271" spans="1:20">
      <c r="A271" s="5"/>
      <c r="B271" s="5"/>
      <c r="C271" s="5"/>
      <c r="D271" s="5"/>
      <c r="E271" s="5"/>
      <c r="F271" s="5"/>
      <c r="G271" s="5"/>
      <c r="H271" s="5"/>
      <c r="I271" s="5"/>
      <c r="J271" s="5"/>
      <c r="K271" s="5"/>
      <c r="L271" s="5"/>
      <c r="M271" s="5"/>
      <c r="N271" s="5"/>
      <c r="O271" s="5"/>
      <c r="P271" s="5"/>
      <c r="Q271" s="5"/>
      <c r="R271" s="5"/>
      <c r="S271" s="5"/>
      <c r="T271" s="5"/>
    </row>
    <row r="272" spans="1:20">
      <c r="A272" s="5"/>
      <c r="B272" s="5"/>
      <c r="C272" s="5"/>
      <c r="D272" s="5"/>
      <c r="E272" s="5"/>
      <c r="F272" s="5"/>
      <c r="G272" s="5"/>
      <c r="H272" s="5"/>
      <c r="I272" s="5"/>
      <c r="J272" s="5"/>
      <c r="K272" s="5"/>
      <c r="L272" s="5"/>
      <c r="M272" s="5"/>
      <c r="N272" s="5"/>
      <c r="O272" s="5"/>
      <c r="P272" s="5"/>
      <c r="Q272" s="5"/>
      <c r="R272" s="5"/>
      <c r="S272" s="5"/>
      <c r="T272" s="5"/>
    </row>
    <row r="273" spans="1:20">
      <c r="A273" s="5"/>
      <c r="B273" s="5"/>
      <c r="C273" s="5"/>
      <c r="D273" s="5"/>
      <c r="E273" s="5"/>
      <c r="F273" s="5"/>
      <c r="G273" s="5"/>
      <c r="H273" s="5"/>
      <c r="I273" s="5"/>
      <c r="J273" s="5"/>
      <c r="K273" s="5"/>
      <c r="L273" s="5"/>
      <c r="M273" s="5"/>
      <c r="N273" s="5"/>
      <c r="O273" s="5"/>
      <c r="P273" s="5"/>
      <c r="Q273" s="5"/>
      <c r="R273" s="5"/>
      <c r="S273" s="5"/>
      <c r="T273" s="5"/>
    </row>
    <row r="274" spans="1:20">
      <c r="A274" s="5"/>
      <c r="B274" s="5"/>
      <c r="C274" s="5"/>
      <c r="D274" s="5"/>
      <c r="E274" s="5"/>
      <c r="F274" s="5"/>
      <c r="G274" s="5"/>
      <c r="H274" s="5"/>
      <c r="I274" s="5"/>
      <c r="J274" s="5"/>
      <c r="K274" s="5"/>
      <c r="L274" s="5"/>
      <c r="M274" s="5"/>
      <c r="N274" s="5"/>
      <c r="O274" s="5"/>
      <c r="P274" s="5"/>
      <c r="Q274" s="5"/>
      <c r="R274" s="5"/>
      <c r="S274" s="5"/>
      <c r="T274" s="5"/>
    </row>
    <row r="275" spans="1:20">
      <c r="A275" s="5"/>
      <c r="B275" s="5"/>
      <c r="C275" s="5"/>
      <c r="D275" s="5"/>
      <c r="E275" s="5"/>
      <c r="F275" s="5"/>
      <c r="G275" s="5"/>
      <c r="H275" s="5"/>
      <c r="I275" s="5"/>
      <c r="J275" s="5"/>
      <c r="K275" s="5"/>
      <c r="L275" s="5"/>
      <c r="M275" s="5"/>
      <c r="N275" s="5"/>
      <c r="O275" s="5"/>
      <c r="P275" s="5"/>
      <c r="Q275" s="5"/>
      <c r="R275" s="5"/>
      <c r="S275" s="5"/>
      <c r="T275" s="5"/>
    </row>
    <row r="276" spans="1:20">
      <c r="A276" s="5"/>
      <c r="B276" s="5"/>
      <c r="C276" s="5"/>
      <c r="D276" s="5"/>
      <c r="E276" s="5"/>
      <c r="F276" s="5"/>
      <c r="G276" s="5"/>
      <c r="H276" s="5"/>
      <c r="I276" s="5"/>
      <c r="J276" s="5"/>
      <c r="K276" s="5"/>
      <c r="L276" s="5"/>
      <c r="M276" s="5"/>
      <c r="N276" s="5"/>
      <c r="O276" s="5"/>
      <c r="P276" s="5"/>
      <c r="Q276" s="5"/>
      <c r="R276" s="5"/>
      <c r="S276" s="5"/>
      <c r="T276" s="5"/>
    </row>
    <row r="277" spans="1:20">
      <c r="A277" s="5"/>
      <c r="B277" s="5"/>
      <c r="C277" s="5"/>
      <c r="D277" s="5"/>
      <c r="E277" s="5"/>
      <c r="F277" s="5"/>
      <c r="G277" s="5"/>
      <c r="H277" s="5"/>
      <c r="I277" s="5"/>
      <c r="J277" s="5"/>
      <c r="K277" s="5"/>
      <c r="L277" s="5"/>
      <c r="M277" s="5"/>
      <c r="N277" s="5"/>
      <c r="O277" s="5"/>
      <c r="P277" s="5"/>
      <c r="Q277" s="5"/>
      <c r="R277" s="5"/>
      <c r="S277" s="5"/>
      <c r="T277" s="5"/>
    </row>
    <row r="278" spans="1:20">
      <c r="A278" s="5"/>
      <c r="B278" s="5"/>
      <c r="C278" s="5"/>
      <c r="D278" s="5"/>
      <c r="E278" s="5"/>
      <c r="F278" s="5"/>
      <c r="G278" s="5"/>
      <c r="H278" s="5"/>
      <c r="I278" s="5"/>
      <c r="J278" s="5"/>
      <c r="K278" s="5"/>
      <c r="L278" s="5"/>
      <c r="M278" s="5"/>
      <c r="N278" s="5"/>
      <c r="O278" s="5"/>
      <c r="P278" s="5"/>
      <c r="Q278" s="5"/>
      <c r="R278" s="5"/>
      <c r="S278" s="5"/>
      <c r="T278" s="5"/>
    </row>
    <row r="279" spans="1:20">
      <c r="A279" s="5"/>
      <c r="B279" s="5"/>
      <c r="C279" s="5"/>
      <c r="D279" s="5"/>
      <c r="E279" s="5"/>
      <c r="F279" s="5"/>
      <c r="G279" s="5"/>
      <c r="H279" s="5"/>
      <c r="I279" s="5"/>
      <c r="J279" s="5"/>
      <c r="K279" s="5"/>
      <c r="L279" s="5"/>
      <c r="M279" s="5"/>
      <c r="N279" s="5"/>
      <c r="O279" s="5"/>
      <c r="P279" s="5"/>
      <c r="Q279" s="5"/>
      <c r="R279" s="5"/>
      <c r="S279" s="5"/>
      <c r="T279" s="5"/>
    </row>
    <row r="280" spans="1:20">
      <c r="A280" s="5"/>
      <c r="B280" s="5"/>
      <c r="C280" s="5"/>
      <c r="D280" s="5"/>
      <c r="E280" s="5"/>
      <c r="F280" s="5"/>
      <c r="G280" s="5"/>
      <c r="H280" s="5"/>
      <c r="I280" s="5"/>
      <c r="J280" s="5"/>
      <c r="K280" s="5"/>
      <c r="L280" s="5"/>
      <c r="M280" s="5"/>
      <c r="N280" s="5"/>
      <c r="O280" s="5"/>
      <c r="P280" s="5"/>
      <c r="Q280" s="5"/>
      <c r="R280" s="5"/>
      <c r="S280" s="5"/>
      <c r="T280" s="5"/>
    </row>
    <row r="281" spans="1:20">
      <c r="A281" s="5"/>
      <c r="B281" s="5"/>
      <c r="C281" s="5"/>
      <c r="D281" s="5"/>
      <c r="E281" s="5"/>
      <c r="F281" s="5"/>
      <c r="G281" s="5"/>
      <c r="H281" s="5"/>
      <c r="I281" s="5"/>
      <c r="J281" s="5"/>
      <c r="K281" s="5"/>
      <c r="L281" s="5"/>
      <c r="M281" s="5"/>
      <c r="N281" s="5"/>
      <c r="O281" s="5"/>
      <c r="P281" s="5"/>
      <c r="Q281" s="5"/>
      <c r="R281" s="5"/>
      <c r="S281" s="5"/>
      <c r="T281" s="5"/>
    </row>
    <row r="282" spans="1:20">
      <c r="A282" s="5"/>
      <c r="B282" s="5"/>
      <c r="C282" s="5"/>
      <c r="D282" s="5"/>
      <c r="E282" s="5"/>
      <c r="F282" s="5"/>
      <c r="G282" s="5"/>
      <c r="H282" s="5"/>
      <c r="I282" s="5"/>
      <c r="J282" s="5"/>
      <c r="K282" s="5"/>
      <c r="L282" s="5"/>
      <c r="M282" s="5"/>
      <c r="N282" s="5"/>
      <c r="O282" s="5"/>
      <c r="P282" s="5"/>
      <c r="Q282" s="5"/>
      <c r="R282" s="5"/>
      <c r="S282" s="5"/>
      <c r="T282" s="5"/>
    </row>
    <row r="283" spans="1:20">
      <c r="A283" s="5"/>
      <c r="B283" s="5"/>
      <c r="C283" s="5"/>
      <c r="D283" s="5"/>
      <c r="E283" s="5"/>
      <c r="F283" s="5"/>
      <c r="G283" s="5"/>
      <c r="H283" s="5"/>
      <c r="I283" s="5"/>
      <c r="J283" s="5"/>
      <c r="K283" s="5"/>
      <c r="L283" s="5"/>
      <c r="M283" s="5"/>
      <c r="N283" s="5"/>
      <c r="O283" s="5"/>
      <c r="P283" s="5"/>
      <c r="Q283" s="5"/>
      <c r="R283" s="5"/>
      <c r="S283" s="5"/>
      <c r="T283" s="5"/>
    </row>
    <row r="284" spans="1:20">
      <c r="A284" s="5"/>
      <c r="B284" s="5"/>
      <c r="C284" s="5"/>
      <c r="D284" s="5"/>
      <c r="E284" s="5"/>
      <c r="F284" s="5"/>
      <c r="G284" s="5"/>
      <c r="H284" s="5"/>
      <c r="I284" s="5"/>
      <c r="J284" s="5"/>
      <c r="K284" s="5"/>
      <c r="L284" s="5"/>
      <c r="M284" s="5"/>
      <c r="N284" s="5"/>
      <c r="O284" s="5"/>
      <c r="P284" s="5"/>
      <c r="Q284" s="5"/>
      <c r="R284" s="5"/>
      <c r="S284" s="5"/>
      <c r="T284" s="5"/>
    </row>
    <row r="285" spans="1:20">
      <c r="A285" s="5"/>
      <c r="B285" s="5"/>
      <c r="C285" s="5"/>
      <c r="D285" s="5"/>
      <c r="E285" s="5"/>
      <c r="F285" s="5"/>
      <c r="G285" s="5"/>
      <c r="H285" s="5"/>
      <c r="I285" s="5"/>
      <c r="J285" s="5"/>
      <c r="K285" s="5"/>
      <c r="L285" s="5"/>
      <c r="M285" s="5"/>
      <c r="N285" s="5"/>
      <c r="O285" s="5"/>
      <c r="P285" s="5"/>
      <c r="Q285" s="5"/>
      <c r="R285" s="5"/>
      <c r="S285" s="5"/>
      <c r="T285" s="5"/>
    </row>
    <row r="286" spans="1:20">
      <c r="A286" s="5"/>
      <c r="B286" s="5"/>
      <c r="C286" s="5"/>
      <c r="D286" s="5"/>
      <c r="E286" s="5"/>
      <c r="F286" s="5"/>
      <c r="G286" s="5"/>
      <c r="H286" s="5"/>
      <c r="I286" s="5"/>
      <c r="J286" s="5"/>
      <c r="K286" s="5"/>
      <c r="L286" s="5"/>
      <c r="M286" s="5"/>
      <c r="N286" s="5"/>
      <c r="O286" s="5"/>
      <c r="P286" s="5"/>
      <c r="Q286" s="5"/>
      <c r="R286" s="5"/>
      <c r="S286" s="5"/>
      <c r="T286" s="5"/>
    </row>
    <row r="287" spans="1:20">
      <c r="A287" s="5"/>
      <c r="B287" s="5"/>
      <c r="C287" s="5"/>
      <c r="D287" s="5"/>
      <c r="E287" s="5"/>
      <c r="F287" s="5"/>
      <c r="G287" s="5"/>
      <c r="H287" s="5"/>
      <c r="I287" s="5"/>
      <c r="J287" s="5"/>
      <c r="K287" s="5"/>
      <c r="L287" s="5"/>
      <c r="M287" s="5"/>
      <c r="N287" s="5"/>
      <c r="O287" s="5"/>
      <c r="P287" s="5"/>
      <c r="Q287" s="5"/>
      <c r="R287" s="5"/>
      <c r="S287" s="5"/>
      <c r="T287" s="5"/>
    </row>
    <row r="288" spans="1:20">
      <c r="A288" s="5"/>
      <c r="B288" s="5"/>
      <c r="C288" s="5"/>
      <c r="D288" s="5"/>
      <c r="E288" s="5"/>
      <c r="F288" s="5"/>
      <c r="G288" s="5"/>
      <c r="H288" s="5"/>
      <c r="I288" s="5"/>
      <c r="J288" s="5"/>
      <c r="K288" s="5"/>
      <c r="L288" s="5"/>
      <c r="M288" s="5"/>
      <c r="N288" s="5"/>
      <c r="O288" s="5"/>
      <c r="P288" s="5"/>
      <c r="Q288" s="5"/>
      <c r="R288" s="5"/>
      <c r="S288" s="5"/>
      <c r="T288" s="5"/>
    </row>
    <row r="289" spans="1:20">
      <c r="A289" s="5"/>
      <c r="B289" s="5"/>
      <c r="C289" s="5"/>
      <c r="D289" s="5"/>
      <c r="E289" s="5"/>
      <c r="F289" s="5"/>
      <c r="G289" s="5"/>
      <c r="H289" s="5"/>
      <c r="I289" s="5"/>
      <c r="J289" s="5"/>
      <c r="K289" s="5"/>
      <c r="L289" s="5"/>
      <c r="M289" s="5"/>
      <c r="N289" s="5"/>
      <c r="O289" s="5"/>
      <c r="P289" s="5"/>
      <c r="Q289" s="5"/>
      <c r="R289" s="5"/>
      <c r="S289" s="5"/>
      <c r="T289" s="5"/>
    </row>
    <row r="290" spans="1:20">
      <c r="A290" s="5"/>
      <c r="B290" s="5"/>
      <c r="C290" s="5"/>
      <c r="D290" s="5"/>
      <c r="E290" s="5"/>
      <c r="F290" s="5"/>
      <c r="G290" s="5"/>
      <c r="H290" s="5"/>
      <c r="I290" s="5"/>
      <c r="J290" s="5"/>
      <c r="K290" s="5"/>
      <c r="L290" s="5"/>
      <c r="M290" s="5"/>
      <c r="N290" s="5"/>
      <c r="O290" s="5"/>
      <c r="P290" s="5"/>
      <c r="Q290" s="5"/>
      <c r="R290" s="5"/>
      <c r="S290" s="5"/>
      <c r="T290" s="5"/>
    </row>
    <row r="291" spans="1:20">
      <c r="A291" s="5"/>
      <c r="B291" s="5"/>
      <c r="C291" s="5"/>
      <c r="D291" s="5"/>
      <c r="E291" s="5"/>
      <c r="F291" s="5"/>
      <c r="G291" s="5"/>
      <c r="H291" s="5"/>
      <c r="I291" s="5"/>
      <c r="J291" s="5"/>
      <c r="K291" s="5"/>
      <c r="L291" s="5"/>
      <c r="M291" s="5"/>
      <c r="N291" s="5"/>
      <c r="O291" s="5"/>
      <c r="P291" s="5"/>
      <c r="Q291" s="5"/>
      <c r="R291" s="5"/>
      <c r="S291" s="5"/>
      <c r="T291" s="5"/>
    </row>
    <row r="292" spans="1:20">
      <c r="A292" s="5"/>
      <c r="B292" s="5"/>
      <c r="C292" s="5"/>
      <c r="D292" s="5"/>
      <c r="E292" s="5"/>
      <c r="F292" s="5"/>
      <c r="G292" s="5"/>
      <c r="H292" s="5"/>
      <c r="I292" s="5"/>
      <c r="J292" s="5"/>
      <c r="K292" s="5"/>
      <c r="L292" s="5"/>
      <c r="M292" s="5"/>
      <c r="N292" s="5"/>
      <c r="O292" s="5"/>
      <c r="P292" s="5"/>
      <c r="Q292" s="5"/>
      <c r="R292" s="5"/>
      <c r="S292" s="5"/>
      <c r="T292" s="5"/>
    </row>
    <row r="293" spans="1:20">
      <c r="A293" s="5"/>
      <c r="B293" s="5"/>
      <c r="C293" s="5"/>
      <c r="D293" s="5"/>
      <c r="E293" s="5"/>
      <c r="F293" s="5"/>
      <c r="G293" s="5"/>
      <c r="H293" s="5"/>
      <c r="I293" s="5"/>
      <c r="J293" s="5"/>
      <c r="K293" s="5"/>
      <c r="L293" s="5"/>
      <c r="M293" s="5"/>
      <c r="N293" s="5"/>
      <c r="O293" s="5"/>
      <c r="P293" s="5"/>
      <c r="Q293" s="5"/>
      <c r="R293" s="5"/>
      <c r="S293" s="5"/>
      <c r="T293" s="5"/>
    </row>
    <row r="294" spans="1:20">
      <c r="A294" s="5"/>
      <c r="B294" s="5"/>
      <c r="C294" s="5"/>
      <c r="D294" s="5"/>
      <c r="E294" s="5"/>
      <c r="F294" s="5"/>
      <c r="G294" s="5"/>
      <c r="H294" s="5"/>
      <c r="I294" s="5"/>
      <c r="J294" s="5"/>
      <c r="K294" s="5"/>
      <c r="L294" s="5"/>
      <c r="M294" s="5"/>
      <c r="N294" s="5"/>
      <c r="O294" s="5"/>
      <c r="P294" s="5"/>
      <c r="Q294" s="5"/>
      <c r="R294" s="5"/>
      <c r="S294" s="5"/>
      <c r="T294" s="5"/>
    </row>
    <row r="295" spans="1:20">
      <c r="A295" s="5"/>
      <c r="B295" s="5"/>
      <c r="C295" s="5"/>
      <c r="D295" s="5"/>
      <c r="E295" s="5"/>
      <c r="F295" s="5"/>
      <c r="G295" s="5"/>
      <c r="H295" s="5"/>
      <c r="I295" s="5"/>
      <c r="J295" s="5"/>
      <c r="K295" s="5"/>
      <c r="L295" s="5"/>
      <c r="M295" s="5"/>
      <c r="N295" s="5"/>
      <c r="O295" s="5"/>
      <c r="P295" s="5"/>
      <c r="Q295" s="5"/>
      <c r="R295" s="5"/>
      <c r="S295" s="5"/>
      <c r="T295" s="5"/>
    </row>
    <row r="296" spans="1:20">
      <c r="A296" s="5"/>
      <c r="B296" s="5"/>
      <c r="C296" s="5"/>
      <c r="D296" s="5"/>
      <c r="E296" s="5"/>
      <c r="F296" s="5"/>
      <c r="G296" s="5"/>
      <c r="H296" s="5"/>
      <c r="I296" s="5"/>
      <c r="J296" s="5"/>
      <c r="K296" s="5"/>
      <c r="L296" s="5"/>
      <c r="M296" s="5"/>
      <c r="N296" s="5"/>
      <c r="O296" s="5"/>
      <c r="P296" s="5"/>
      <c r="Q296" s="5"/>
      <c r="R296" s="5"/>
      <c r="S296" s="5"/>
      <c r="T296" s="5"/>
    </row>
    <row r="297" spans="1:20">
      <c r="A297" s="5"/>
      <c r="B297" s="5"/>
      <c r="C297" s="5"/>
      <c r="D297" s="5"/>
      <c r="E297" s="5"/>
      <c r="F297" s="5"/>
      <c r="G297" s="5"/>
      <c r="H297" s="5"/>
      <c r="I297" s="5"/>
      <c r="J297" s="5"/>
      <c r="K297" s="5"/>
      <c r="L297" s="5"/>
      <c r="M297" s="5"/>
      <c r="N297" s="5"/>
      <c r="O297" s="5"/>
      <c r="P297" s="5"/>
      <c r="Q297" s="5"/>
      <c r="R297" s="5"/>
      <c r="S297" s="5"/>
      <c r="T297" s="5"/>
    </row>
    <row r="298" spans="1:20">
      <c r="A298" s="5"/>
      <c r="B298" s="5"/>
      <c r="C298" s="5"/>
      <c r="D298" s="5"/>
      <c r="E298" s="5"/>
      <c r="F298" s="5"/>
      <c r="G298" s="5"/>
      <c r="H298" s="5"/>
      <c r="I298" s="5"/>
      <c r="J298" s="5"/>
      <c r="K298" s="5"/>
      <c r="L298" s="5"/>
      <c r="M298" s="5"/>
      <c r="N298" s="5"/>
      <c r="O298" s="5"/>
      <c r="P298" s="5"/>
      <c r="Q298" s="5"/>
      <c r="R298" s="5"/>
      <c r="S298" s="5"/>
      <c r="T298" s="5"/>
    </row>
    <row r="299" spans="1:20">
      <c r="A299" s="5"/>
      <c r="B299" s="5"/>
      <c r="C299" s="5"/>
      <c r="D299" s="5"/>
      <c r="E299" s="5"/>
      <c r="F299" s="5"/>
      <c r="G299" s="5"/>
      <c r="H299" s="5"/>
      <c r="I299" s="5"/>
      <c r="J299" s="5"/>
      <c r="K299" s="5"/>
      <c r="L299" s="5"/>
      <c r="M299" s="5"/>
      <c r="N299" s="5"/>
      <c r="O299" s="5"/>
      <c r="P299" s="5"/>
      <c r="Q299" s="5"/>
      <c r="R299" s="5"/>
      <c r="S299" s="5"/>
      <c r="T299" s="5"/>
    </row>
    <row r="300" spans="1:20">
      <c r="A300" s="5"/>
      <c r="B300" s="5"/>
      <c r="C300" s="5"/>
      <c r="D300" s="5"/>
      <c r="E300" s="5"/>
      <c r="F300" s="5"/>
      <c r="G300" s="5"/>
      <c r="H300" s="5"/>
      <c r="I300" s="5"/>
      <c r="J300" s="5"/>
      <c r="K300" s="5"/>
      <c r="L300" s="5"/>
      <c r="M300" s="5"/>
      <c r="N300" s="5"/>
      <c r="O300" s="5"/>
      <c r="P300" s="5"/>
      <c r="Q300" s="5"/>
      <c r="R300" s="5"/>
      <c r="S300" s="5"/>
      <c r="T300" s="5"/>
    </row>
    <row r="301" spans="1:20">
      <c r="A301" s="5"/>
      <c r="B301" s="5"/>
      <c r="C301" s="5"/>
      <c r="D301" s="5"/>
      <c r="E301" s="5"/>
      <c r="F301" s="5"/>
      <c r="G301" s="5"/>
      <c r="H301" s="5"/>
      <c r="I301" s="5"/>
      <c r="J301" s="5"/>
      <c r="K301" s="5"/>
      <c r="L301" s="5"/>
      <c r="M301" s="5"/>
      <c r="N301" s="5"/>
      <c r="O301" s="5"/>
      <c r="P301" s="5"/>
      <c r="Q301" s="5"/>
      <c r="R301" s="5"/>
      <c r="S301" s="5"/>
      <c r="T301" s="5"/>
    </row>
    <row r="302" spans="1:20">
      <c r="A302" s="5"/>
      <c r="B302" s="5"/>
      <c r="C302" s="5"/>
      <c r="D302" s="5"/>
      <c r="E302" s="5"/>
      <c r="F302" s="5"/>
      <c r="G302" s="5"/>
      <c r="H302" s="5"/>
      <c r="I302" s="5"/>
      <c r="J302" s="5"/>
      <c r="K302" s="5"/>
      <c r="L302" s="5"/>
      <c r="M302" s="5"/>
      <c r="N302" s="5"/>
      <c r="O302" s="5"/>
      <c r="P302" s="5"/>
      <c r="Q302" s="5"/>
      <c r="R302" s="5"/>
      <c r="S302" s="5"/>
      <c r="T302" s="5"/>
    </row>
    <row r="303" spans="1:20">
      <c r="A303" s="5"/>
      <c r="B303" s="5"/>
      <c r="C303" s="5"/>
      <c r="D303" s="5"/>
      <c r="E303" s="5"/>
      <c r="F303" s="5"/>
      <c r="G303" s="5"/>
      <c r="H303" s="5"/>
      <c r="I303" s="5"/>
      <c r="J303" s="5"/>
      <c r="K303" s="5"/>
      <c r="L303" s="5"/>
      <c r="M303" s="5"/>
      <c r="N303" s="5"/>
      <c r="O303" s="5"/>
      <c r="P303" s="5"/>
      <c r="Q303" s="5"/>
      <c r="R303" s="5"/>
      <c r="S303" s="5"/>
      <c r="T303" s="5"/>
    </row>
    <row r="304" spans="1:20">
      <c r="A304" s="5"/>
      <c r="B304" s="5"/>
      <c r="C304" s="5"/>
      <c r="D304" s="5"/>
      <c r="E304" s="5"/>
      <c r="F304" s="5"/>
      <c r="G304" s="5"/>
      <c r="H304" s="5"/>
      <c r="I304" s="5"/>
      <c r="J304" s="5"/>
      <c r="K304" s="5"/>
      <c r="L304" s="5"/>
      <c r="M304" s="5"/>
      <c r="N304" s="5"/>
      <c r="O304" s="5"/>
      <c r="P304" s="5"/>
      <c r="Q304" s="5"/>
      <c r="R304" s="5"/>
      <c r="S304" s="5"/>
      <c r="T304" s="5"/>
    </row>
    <row r="305" spans="1:20">
      <c r="A305" s="5"/>
      <c r="B305" s="5"/>
      <c r="C305" s="5"/>
      <c r="D305" s="5"/>
      <c r="E305" s="5"/>
      <c r="F305" s="5"/>
      <c r="G305" s="5"/>
      <c r="H305" s="5"/>
      <c r="I305" s="5"/>
      <c r="J305" s="5"/>
      <c r="K305" s="5"/>
      <c r="L305" s="5"/>
      <c r="M305" s="5"/>
      <c r="N305" s="5"/>
      <c r="O305" s="5"/>
      <c r="P305" s="5"/>
      <c r="Q305" s="5"/>
      <c r="R305" s="5"/>
      <c r="S305" s="5"/>
      <c r="T305" s="5"/>
    </row>
    <row r="306" spans="1:20">
      <c r="A306" s="5"/>
      <c r="B306" s="5"/>
      <c r="C306" s="5"/>
      <c r="D306" s="5"/>
      <c r="E306" s="5"/>
      <c r="F306" s="5"/>
      <c r="G306" s="5"/>
      <c r="H306" s="5"/>
      <c r="I306" s="5"/>
      <c r="J306" s="5"/>
      <c r="K306" s="5"/>
      <c r="L306" s="5"/>
      <c r="M306" s="5"/>
      <c r="N306" s="5"/>
      <c r="O306" s="5"/>
      <c r="P306" s="5"/>
      <c r="Q306" s="5"/>
      <c r="R306" s="5"/>
      <c r="S306" s="5"/>
      <c r="T306" s="5"/>
    </row>
    <row r="307" spans="1:20">
      <c r="A307" s="5"/>
      <c r="B307" s="5"/>
      <c r="C307" s="5"/>
      <c r="D307" s="5"/>
      <c r="E307" s="5"/>
      <c r="F307" s="5"/>
      <c r="G307" s="5"/>
      <c r="H307" s="5"/>
      <c r="I307" s="5"/>
      <c r="J307" s="5"/>
      <c r="K307" s="5"/>
      <c r="L307" s="5"/>
      <c r="M307" s="5"/>
      <c r="N307" s="5"/>
      <c r="O307" s="5"/>
      <c r="P307" s="5"/>
      <c r="Q307" s="5"/>
      <c r="R307" s="5"/>
      <c r="S307" s="5"/>
      <c r="T307" s="5"/>
    </row>
    <row r="308" spans="1:20">
      <c r="A308" s="5"/>
      <c r="B308" s="5"/>
      <c r="C308" s="5"/>
      <c r="D308" s="5"/>
      <c r="E308" s="5"/>
      <c r="F308" s="5"/>
      <c r="G308" s="5"/>
      <c r="H308" s="5"/>
      <c r="I308" s="5"/>
      <c r="J308" s="5"/>
      <c r="K308" s="5"/>
      <c r="L308" s="5"/>
      <c r="M308" s="5"/>
      <c r="N308" s="5"/>
      <c r="O308" s="5"/>
      <c r="P308" s="5"/>
      <c r="Q308" s="5"/>
      <c r="R308" s="5"/>
      <c r="S308" s="5"/>
      <c r="T308" s="5"/>
    </row>
    <row r="309" spans="1:20">
      <c r="A309" s="5"/>
      <c r="B309" s="5"/>
      <c r="C309" s="5"/>
      <c r="D309" s="5"/>
      <c r="E309" s="5"/>
      <c r="F309" s="5"/>
      <c r="G309" s="5"/>
      <c r="H309" s="5"/>
      <c r="I309" s="5"/>
      <c r="J309" s="5"/>
      <c r="K309" s="5"/>
      <c r="L309" s="5"/>
      <c r="M309" s="5"/>
      <c r="N309" s="5"/>
      <c r="O309" s="5"/>
      <c r="P309" s="5"/>
      <c r="Q309" s="5"/>
      <c r="R309" s="5"/>
      <c r="S309" s="5"/>
      <c r="T309" s="5"/>
    </row>
    <row r="310" spans="1:20">
      <c r="A310" s="5"/>
      <c r="B310" s="5"/>
      <c r="C310" s="5"/>
      <c r="D310" s="5"/>
      <c r="E310" s="5"/>
      <c r="F310" s="5"/>
      <c r="G310" s="5"/>
      <c r="H310" s="5"/>
      <c r="I310" s="5"/>
      <c r="J310" s="5"/>
      <c r="K310" s="5"/>
      <c r="L310" s="5"/>
      <c r="M310" s="5"/>
      <c r="N310" s="5"/>
      <c r="O310" s="5"/>
      <c r="P310" s="5"/>
      <c r="Q310" s="5"/>
      <c r="R310" s="5"/>
      <c r="S310" s="5"/>
      <c r="T310" s="5"/>
    </row>
    <row r="311" spans="1:20">
      <c r="A311" s="5"/>
      <c r="B311" s="5"/>
      <c r="C311" s="5"/>
      <c r="D311" s="5"/>
      <c r="E311" s="5"/>
      <c r="F311" s="5"/>
      <c r="G311" s="5"/>
      <c r="H311" s="5"/>
      <c r="I311" s="5"/>
      <c r="J311" s="5"/>
      <c r="K311" s="5"/>
      <c r="L311" s="5"/>
      <c r="M311" s="5"/>
      <c r="N311" s="5"/>
      <c r="O311" s="5"/>
      <c r="P311" s="5"/>
      <c r="Q311" s="5"/>
      <c r="R311" s="5"/>
      <c r="S311" s="5"/>
      <c r="T311" s="5"/>
    </row>
    <row r="312" spans="1:20">
      <c r="A312" s="5"/>
      <c r="B312" s="5"/>
      <c r="C312" s="5"/>
      <c r="D312" s="5"/>
      <c r="E312" s="5"/>
      <c r="F312" s="5"/>
      <c r="G312" s="5"/>
      <c r="H312" s="5"/>
      <c r="I312" s="5"/>
      <c r="J312" s="5"/>
      <c r="K312" s="5"/>
      <c r="L312" s="5"/>
      <c r="M312" s="5"/>
      <c r="N312" s="5"/>
      <c r="O312" s="5"/>
      <c r="P312" s="5"/>
      <c r="Q312" s="5"/>
      <c r="R312" s="5"/>
      <c r="S312" s="5"/>
      <c r="T312" s="5"/>
    </row>
    <row r="313" spans="1:20">
      <c r="A313" s="5"/>
      <c r="B313" s="5"/>
      <c r="C313" s="5"/>
      <c r="D313" s="5"/>
      <c r="E313" s="5"/>
      <c r="F313" s="5"/>
      <c r="G313" s="5"/>
      <c r="H313" s="5"/>
      <c r="I313" s="5"/>
      <c r="J313" s="5"/>
      <c r="K313" s="5"/>
      <c r="L313" s="5"/>
      <c r="M313" s="5"/>
      <c r="N313" s="5"/>
      <c r="O313" s="5"/>
      <c r="P313" s="5"/>
      <c r="Q313" s="5"/>
      <c r="R313" s="5"/>
      <c r="S313" s="5"/>
      <c r="T313" s="5"/>
    </row>
    <row r="314" spans="1:20">
      <c r="A314" s="5"/>
      <c r="B314" s="5"/>
      <c r="C314" s="5"/>
      <c r="D314" s="5"/>
      <c r="E314" s="5"/>
      <c r="F314" s="5"/>
      <c r="G314" s="5"/>
      <c r="H314" s="5"/>
      <c r="I314" s="5"/>
      <c r="J314" s="5"/>
      <c r="K314" s="5"/>
      <c r="L314" s="5"/>
      <c r="M314" s="5"/>
      <c r="N314" s="5"/>
      <c r="O314" s="5"/>
      <c r="P314" s="5"/>
      <c r="Q314" s="5"/>
      <c r="R314" s="5"/>
      <c r="S314" s="5"/>
      <c r="T314" s="5"/>
    </row>
    <row r="315" spans="1:20">
      <c r="A315" s="5"/>
      <c r="B315" s="5"/>
      <c r="C315" s="5"/>
      <c r="D315" s="5"/>
      <c r="E315" s="5"/>
      <c r="F315" s="5"/>
      <c r="G315" s="5"/>
      <c r="H315" s="5"/>
      <c r="I315" s="5"/>
      <c r="J315" s="5"/>
      <c r="K315" s="5"/>
      <c r="L315" s="5"/>
      <c r="M315" s="5"/>
      <c r="N315" s="5"/>
      <c r="O315" s="5"/>
      <c r="P315" s="5"/>
      <c r="Q315" s="5"/>
      <c r="R315" s="5"/>
      <c r="S315" s="5"/>
      <c r="T315" s="5"/>
    </row>
    <row r="316" spans="1:20">
      <c r="A316" s="5"/>
      <c r="B316" s="5"/>
      <c r="C316" s="5"/>
      <c r="D316" s="5"/>
      <c r="E316" s="5"/>
      <c r="F316" s="5"/>
      <c r="G316" s="5"/>
      <c r="H316" s="5"/>
      <c r="I316" s="5"/>
      <c r="J316" s="5"/>
      <c r="K316" s="5"/>
      <c r="L316" s="5"/>
      <c r="M316" s="5"/>
      <c r="N316" s="5"/>
      <c r="O316" s="5"/>
      <c r="P316" s="5"/>
      <c r="Q316" s="5"/>
      <c r="R316" s="5"/>
      <c r="S316" s="5"/>
      <c r="T316" s="5"/>
    </row>
    <row r="317" spans="1:20">
      <c r="A317" s="5"/>
      <c r="B317" s="5"/>
      <c r="C317" s="5"/>
      <c r="D317" s="5"/>
      <c r="E317" s="5"/>
      <c r="F317" s="5"/>
      <c r="G317" s="5"/>
      <c r="H317" s="5"/>
      <c r="I317" s="5"/>
      <c r="J317" s="5"/>
      <c r="K317" s="5"/>
      <c r="L317" s="5"/>
      <c r="M317" s="5"/>
      <c r="N317" s="5"/>
      <c r="O317" s="5"/>
      <c r="P317" s="5"/>
      <c r="Q317" s="5"/>
      <c r="R317" s="5"/>
      <c r="S317" s="5"/>
      <c r="T317" s="5"/>
    </row>
    <row r="318" spans="1:20">
      <c r="A318" s="5"/>
      <c r="B318" s="5"/>
      <c r="C318" s="5"/>
      <c r="D318" s="5"/>
      <c r="E318" s="5"/>
      <c r="F318" s="5"/>
      <c r="G318" s="5"/>
      <c r="H318" s="5"/>
      <c r="I318" s="5"/>
      <c r="J318" s="5"/>
      <c r="K318" s="5"/>
      <c r="L318" s="5"/>
      <c r="M318" s="5"/>
      <c r="N318" s="5"/>
      <c r="O318" s="5"/>
      <c r="P318" s="5"/>
      <c r="Q318" s="5"/>
      <c r="R318" s="5"/>
      <c r="S318" s="5"/>
      <c r="T318" s="5"/>
    </row>
    <row r="319" spans="1:20">
      <c r="A319" s="5"/>
      <c r="B319" s="5"/>
      <c r="C319" s="5"/>
      <c r="D319" s="5"/>
      <c r="E319" s="5"/>
      <c r="F319" s="5"/>
      <c r="G319" s="5"/>
      <c r="H319" s="5"/>
      <c r="I319" s="5"/>
      <c r="J319" s="5"/>
      <c r="K319" s="5"/>
      <c r="L319" s="5"/>
      <c r="M319" s="5"/>
      <c r="N319" s="5"/>
      <c r="O319" s="5"/>
      <c r="P319" s="5"/>
      <c r="Q319" s="5"/>
      <c r="R319" s="5"/>
      <c r="S319" s="5"/>
      <c r="T319" s="5"/>
    </row>
    <row r="320" spans="1:20">
      <c r="A320" s="5"/>
      <c r="B320" s="5"/>
      <c r="C320" s="5"/>
      <c r="D320" s="5"/>
      <c r="E320" s="5"/>
      <c r="F320" s="5"/>
      <c r="G320" s="5"/>
      <c r="H320" s="5"/>
      <c r="I320" s="5"/>
      <c r="J320" s="5"/>
      <c r="K320" s="5"/>
      <c r="L320" s="5"/>
      <c r="M320" s="5"/>
      <c r="N320" s="5"/>
      <c r="O320" s="5"/>
      <c r="P320" s="5"/>
      <c r="Q320" s="5"/>
      <c r="R320" s="5"/>
      <c r="S320" s="5"/>
      <c r="T320" s="5"/>
    </row>
    <row r="321" spans="1:20">
      <c r="A321" s="5"/>
      <c r="B321" s="5"/>
      <c r="C321" s="5"/>
      <c r="D321" s="5"/>
      <c r="E321" s="5"/>
      <c r="F321" s="5"/>
      <c r="G321" s="5"/>
      <c r="H321" s="5"/>
      <c r="I321" s="5"/>
      <c r="J321" s="5"/>
      <c r="K321" s="5"/>
      <c r="L321" s="5"/>
      <c r="M321" s="5"/>
      <c r="N321" s="5"/>
      <c r="O321" s="5"/>
      <c r="P321" s="5"/>
      <c r="Q321" s="5"/>
      <c r="R321" s="5"/>
      <c r="S321" s="5"/>
      <c r="T321" s="5"/>
    </row>
    <row r="322" spans="1:20">
      <c r="A322" s="5"/>
      <c r="B322" s="5"/>
      <c r="C322" s="5"/>
      <c r="D322" s="5"/>
      <c r="E322" s="5"/>
      <c r="F322" s="5"/>
      <c r="G322" s="5"/>
      <c r="H322" s="5"/>
      <c r="I322" s="5"/>
      <c r="J322" s="5"/>
      <c r="K322" s="5"/>
      <c r="L322" s="5"/>
      <c r="M322" s="5"/>
      <c r="N322" s="5"/>
      <c r="O322" s="5"/>
      <c r="P322" s="5"/>
      <c r="Q322" s="5"/>
      <c r="R322" s="5"/>
      <c r="S322" s="5"/>
      <c r="T322" s="5"/>
    </row>
    <row r="323" spans="1:20">
      <c r="A323" s="5"/>
      <c r="B323" s="5"/>
      <c r="C323" s="5"/>
      <c r="D323" s="5"/>
      <c r="E323" s="5"/>
      <c r="F323" s="5"/>
      <c r="G323" s="5"/>
      <c r="H323" s="5"/>
      <c r="I323" s="5"/>
      <c r="J323" s="5"/>
      <c r="K323" s="5"/>
      <c r="L323" s="5"/>
      <c r="M323" s="5"/>
      <c r="N323" s="5"/>
      <c r="O323" s="5"/>
      <c r="P323" s="5"/>
      <c r="Q323" s="5"/>
      <c r="R323" s="5"/>
      <c r="S323" s="5"/>
      <c r="T323" s="5"/>
    </row>
    <row r="324" spans="1:20">
      <c r="A324" s="5"/>
      <c r="B324" s="5"/>
      <c r="C324" s="5"/>
      <c r="D324" s="5"/>
      <c r="E324" s="5"/>
      <c r="F324" s="5"/>
      <c r="G324" s="5"/>
      <c r="H324" s="5"/>
      <c r="I324" s="5"/>
      <c r="J324" s="5"/>
      <c r="K324" s="5"/>
      <c r="L324" s="5"/>
      <c r="M324" s="5"/>
      <c r="N324" s="5"/>
      <c r="O324" s="5"/>
      <c r="P324" s="5"/>
      <c r="Q324" s="5"/>
      <c r="R324" s="5"/>
      <c r="S324" s="5"/>
      <c r="T324" s="5"/>
    </row>
    <row r="325" spans="1:20">
      <c r="A325" s="5"/>
      <c r="B325" s="5"/>
      <c r="C325" s="5"/>
      <c r="D325" s="5"/>
      <c r="E325" s="5"/>
      <c r="F325" s="5"/>
      <c r="G325" s="5"/>
      <c r="H325" s="5"/>
      <c r="I325" s="5"/>
      <c r="J325" s="5"/>
      <c r="K325" s="5"/>
      <c r="L325" s="5"/>
      <c r="M325" s="5"/>
      <c r="N325" s="5"/>
      <c r="O325" s="5"/>
      <c r="P325" s="5"/>
      <c r="Q325" s="5"/>
      <c r="R325" s="5"/>
      <c r="S325" s="5"/>
      <c r="T325" s="5"/>
    </row>
    <row r="326" spans="1:20">
      <c r="A326" s="5"/>
      <c r="B326" s="5"/>
      <c r="C326" s="5"/>
      <c r="D326" s="5"/>
      <c r="E326" s="5"/>
      <c r="F326" s="5"/>
      <c r="G326" s="5"/>
      <c r="H326" s="5"/>
      <c r="I326" s="5"/>
      <c r="J326" s="5"/>
      <c r="K326" s="5"/>
      <c r="L326" s="5"/>
      <c r="M326" s="5"/>
      <c r="N326" s="5"/>
      <c r="O326" s="5"/>
      <c r="P326" s="5"/>
      <c r="Q326" s="5"/>
      <c r="R326" s="5"/>
      <c r="S326" s="5"/>
      <c r="T326" s="5"/>
    </row>
    <row r="327" spans="1:20">
      <c r="A327" s="5"/>
      <c r="B327" s="5"/>
      <c r="C327" s="5"/>
      <c r="D327" s="5"/>
      <c r="E327" s="5"/>
      <c r="F327" s="5"/>
      <c r="G327" s="5"/>
      <c r="H327" s="5"/>
      <c r="I327" s="5"/>
      <c r="J327" s="5"/>
      <c r="K327" s="5"/>
      <c r="L327" s="5"/>
      <c r="M327" s="5"/>
      <c r="N327" s="5"/>
      <c r="O327" s="5"/>
      <c r="P327" s="5"/>
      <c r="Q327" s="5"/>
      <c r="R327" s="5"/>
      <c r="S327" s="5"/>
      <c r="T327" s="5"/>
    </row>
    <row r="328" spans="1:20">
      <c r="A328" s="5"/>
      <c r="B328" s="5"/>
      <c r="C328" s="5"/>
      <c r="D328" s="5"/>
      <c r="E328" s="5"/>
      <c r="F328" s="5"/>
      <c r="G328" s="5"/>
      <c r="H328" s="5"/>
      <c r="I328" s="5"/>
      <c r="J328" s="5"/>
      <c r="K328" s="5"/>
      <c r="L328" s="5"/>
      <c r="M328" s="5"/>
      <c r="N328" s="5"/>
      <c r="O328" s="5"/>
      <c r="P328" s="5"/>
      <c r="Q328" s="5"/>
      <c r="R328" s="5"/>
      <c r="S328" s="5"/>
      <c r="T328" s="5"/>
    </row>
    <row r="329" spans="1:20">
      <c r="A329" s="5"/>
      <c r="B329" s="5"/>
      <c r="C329" s="5"/>
      <c r="D329" s="5"/>
      <c r="E329" s="5"/>
      <c r="F329" s="5"/>
      <c r="G329" s="5"/>
      <c r="H329" s="5"/>
      <c r="I329" s="5"/>
      <c r="J329" s="5"/>
      <c r="K329" s="5"/>
      <c r="L329" s="5"/>
      <c r="M329" s="5"/>
      <c r="N329" s="5"/>
      <c r="O329" s="5"/>
      <c r="P329" s="5"/>
      <c r="Q329" s="5"/>
      <c r="R329" s="5"/>
      <c r="S329" s="5"/>
      <c r="T329" s="5"/>
    </row>
    <row r="330" spans="1:20">
      <c r="A330" s="5"/>
      <c r="B330" s="5"/>
      <c r="C330" s="5"/>
      <c r="D330" s="5"/>
      <c r="E330" s="5"/>
      <c r="F330" s="5"/>
      <c r="G330" s="5"/>
      <c r="H330" s="5"/>
      <c r="I330" s="5"/>
      <c r="J330" s="5"/>
      <c r="K330" s="5"/>
      <c r="L330" s="5"/>
      <c r="M330" s="5"/>
      <c r="N330" s="5"/>
      <c r="O330" s="5"/>
      <c r="P330" s="5"/>
      <c r="Q330" s="5"/>
      <c r="R330" s="5"/>
      <c r="S330" s="5"/>
      <c r="T330" s="5"/>
    </row>
    <row r="331" spans="1:20">
      <c r="A331" s="5"/>
      <c r="B331" s="5"/>
      <c r="C331" s="5"/>
      <c r="D331" s="5"/>
      <c r="E331" s="5"/>
      <c r="F331" s="5"/>
      <c r="G331" s="5"/>
      <c r="H331" s="5"/>
      <c r="I331" s="5"/>
      <c r="J331" s="5"/>
      <c r="K331" s="5"/>
      <c r="L331" s="5"/>
      <c r="M331" s="5"/>
      <c r="N331" s="5"/>
      <c r="O331" s="5"/>
      <c r="P331" s="5"/>
      <c r="Q331" s="5"/>
      <c r="R331" s="5"/>
      <c r="S331" s="5"/>
      <c r="T331" s="5"/>
    </row>
    <row r="332" spans="1:20">
      <c r="A332" s="5"/>
      <c r="B332" s="5"/>
      <c r="C332" s="5"/>
      <c r="D332" s="5"/>
      <c r="E332" s="5"/>
      <c r="F332" s="5"/>
      <c r="G332" s="5"/>
      <c r="H332" s="5"/>
      <c r="I332" s="5"/>
      <c r="J332" s="5"/>
      <c r="K332" s="5"/>
      <c r="L332" s="5"/>
      <c r="M332" s="5"/>
      <c r="N332" s="5"/>
      <c r="O332" s="5"/>
      <c r="P332" s="5"/>
      <c r="Q332" s="5"/>
      <c r="R332" s="5"/>
      <c r="S332" s="5"/>
      <c r="T332" s="5"/>
    </row>
    <row r="333" spans="1:20">
      <c r="A333" s="5"/>
      <c r="B333" s="5"/>
      <c r="C333" s="5"/>
      <c r="D333" s="5"/>
      <c r="E333" s="5"/>
      <c r="F333" s="5"/>
      <c r="G333" s="5"/>
      <c r="H333" s="5"/>
      <c r="I333" s="5"/>
      <c r="J333" s="5"/>
      <c r="K333" s="5"/>
      <c r="L333" s="5"/>
      <c r="M333" s="5"/>
      <c r="N333" s="5"/>
      <c r="O333" s="5"/>
      <c r="P333" s="5"/>
      <c r="Q333" s="5"/>
      <c r="R333" s="5"/>
      <c r="S333" s="5"/>
      <c r="T333" s="5"/>
    </row>
    <row r="334" spans="1:20">
      <c r="A334" s="5"/>
      <c r="B334" s="5"/>
      <c r="C334" s="5"/>
      <c r="D334" s="5"/>
      <c r="E334" s="5"/>
      <c r="F334" s="5"/>
      <c r="G334" s="5"/>
      <c r="H334" s="5"/>
      <c r="I334" s="5"/>
      <c r="J334" s="5"/>
      <c r="K334" s="5"/>
      <c r="L334" s="5"/>
      <c r="M334" s="5"/>
      <c r="N334" s="5"/>
      <c r="O334" s="5"/>
      <c r="P334" s="5"/>
      <c r="Q334" s="5"/>
      <c r="R334" s="5"/>
      <c r="S334" s="5"/>
      <c r="T334" s="5"/>
    </row>
    <row r="335" spans="1:20">
      <c r="A335" s="5"/>
      <c r="B335" s="5"/>
      <c r="C335" s="5"/>
      <c r="D335" s="5"/>
      <c r="E335" s="5"/>
      <c r="F335" s="5"/>
      <c r="G335" s="5"/>
      <c r="H335" s="5"/>
      <c r="I335" s="5"/>
      <c r="J335" s="5"/>
      <c r="K335" s="5"/>
      <c r="L335" s="5"/>
      <c r="M335" s="5"/>
      <c r="N335" s="5"/>
      <c r="O335" s="5"/>
      <c r="P335" s="5"/>
      <c r="Q335" s="5"/>
      <c r="R335" s="5"/>
      <c r="S335" s="5"/>
      <c r="T335" s="5"/>
    </row>
    <row r="336" spans="1:20">
      <c r="A336" s="5"/>
      <c r="B336" s="5"/>
      <c r="C336" s="5"/>
      <c r="D336" s="5"/>
      <c r="E336" s="5"/>
      <c r="F336" s="5"/>
      <c r="G336" s="5"/>
      <c r="H336" s="5"/>
      <c r="I336" s="5"/>
      <c r="J336" s="5"/>
      <c r="K336" s="5"/>
      <c r="L336" s="5"/>
      <c r="M336" s="5"/>
      <c r="N336" s="5"/>
      <c r="O336" s="5"/>
      <c r="P336" s="5"/>
      <c r="Q336" s="5"/>
      <c r="R336" s="5"/>
      <c r="S336" s="5"/>
      <c r="T336" s="5"/>
    </row>
    <row r="337" spans="1:20">
      <c r="A337" s="5"/>
      <c r="B337" s="5"/>
      <c r="C337" s="5"/>
      <c r="D337" s="5"/>
      <c r="E337" s="5"/>
      <c r="F337" s="5"/>
      <c r="G337" s="5"/>
      <c r="H337" s="5"/>
      <c r="I337" s="5"/>
      <c r="J337" s="5"/>
      <c r="K337" s="5"/>
      <c r="L337" s="5"/>
      <c r="M337" s="5"/>
      <c r="N337" s="5"/>
      <c r="O337" s="5"/>
      <c r="P337" s="5"/>
      <c r="Q337" s="5"/>
      <c r="R337" s="5"/>
      <c r="S337" s="5"/>
      <c r="T337" s="5"/>
    </row>
    <row r="338" spans="1:20">
      <c r="A338" s="5"/>
      <c r="B338" s="5"/>
      <c r="C338" s="5"/>
      <c r="D338" s="5"/>
      <c r="E338" s="5"/>
      <c r="F338" s="5"/>
      <c r="G338" s="5"/>
      <c r="H338" s="5"/>
      <c r="I338" s="5"/>
      <c r="J338" s="5"/>
      <c r="K338" s="5"/>
      <c r="L338" s="5"/>
      <c r="M338" s="5"/>
      <c r="N338" s="5"/>
      <c r="O338" s="5"/>
      <c r="P338" s="5"/>
      <c r="Q338" s="5"/>
      <c r="R338" s="5"/>
      <c r="S338" s="5"/>
      <c r="T338" s="5"/>
    </row>
    <row r="339" spans="1:20">
      <c r="A339" s="5"/>
      <c r="B339" s="5"/>
      <c r="C339" s="5"/>
      <c r="D339" s="5"/>
      <c r="E339" s="5"/>
      <c r="F339" s="5"/>
      <c r="G339" s="5"/>
      <c r="H339" s="5"/>
      <c r="I339" s="5"/>
      <c r="J339" s="5"/>
      <c r="K339" s="5"/>
      <c r="L339" s="5"/>
      <c r="M339" s="5"/>
      <c r="N339" s="5"/>
      <c r="O339" s="5"/>
      <c r="P339" s="5"/>
      <c r="Q339" s="5"/>
      <c r="R339" s="5"/>
      <c r="S339" s="5"/>
      <c r="T339" s="5"/>
    </row>
    <row r="340" spans="1:20">
      <c r="A340" s="5"/>
      <c r="B340" s="5"/>
      <c r="C340" s="5"/>
      <c r="D340" s="5"/>
      <c r="E340" s="5"/>
      <c r="F340" s="5"/>
      <c r="G340" s="5"/>
      <c r="H340" s="5"/>
      <c r="I340" s="5"/>
      <c r="J340" s="5"/>
      <c r="K340" s="5"/>
      <c r="L340" s="5"/>
      <c r="M340" s="5"/>
      <c r="N340" s="5"/>
      <c r="O340" s="5"/>
      <c r="P340" s="5"/>
      <c r="Q340" s="5"/>
      <c r="R340" s="5"/>
      <c r="S340" s="5"/>
      <c r="T340" s="5"/>
    </row>
    <row r="341" spans="1:20">
      <c r="A341" s="5"/>
      <c r="B341" s="5"/>
      <c r="C341" s="5"/>
      <c r="D341" s="5"/>
      <c r="E341" s="5"/>
      <c r="F341" s="5"/>
      <c r="G341" s="5"/>
      <c r="H341" s="5"/>
      <c r="I341" s="5"/>
      <c r="J341" s="5"/>
      <c r="K341" s="5"/>
      <c r="L341" s="5"/>
      <c r="M341" s="5"/>
      <c r="N341" s="5"/>
      <c r="O341" s="5"/>
      <c r="P341" s="5"/>
      <c r="Q341" s="5"/>
      <c r="R341" s="5"/>
      <c r="S341" s="5"/>
      <c r="T341" s="5"/>
    </row>
    <row r="342" spans="1:20">
      <c r="A342" s="5"/>
      <c r="B342" s="5"/>
      <c r="C342" s="5"/>
      <c r="D342" s="5"/>
      <c r="E342" s="5"/>
      <c r="F342" s="5"/>
      <c r="G342" s="5"/>
      <c r="H342" s="5"/>
      <c r="I342" s="5"/>
      <c r="J342" s="5"/>
      <c r="K342" s="5"/>
      <c r="L342" s="5"/>
      <c r="M342" s="5"/>
      <c r="N342" s="5"/>
      <c r="O342" s="5"/>
      <c r="P342" s="5"/>
      <c r="Q342" s="5"/>
      <c r="R342" s="5"/>
      <c r="S342" s="5"/>
      <c r="T342" s="5"/>
    </row>
    <row r="343" spans="1:20">
      <c r="A343" s="5"/>
      <c r="B343" s="5"/>
      <c r="C343" s="5"/>
      <c r="D343" s="5"/>
      <c r="E343" s="5"/>
      <c r="F343" s="5"/>
      <c r="G343" s="5"/>
      <c r="H343" s="5"/>
      <c r="I343" s="5"/>
      <c r="J343" s="5"/>
      <c r="K343" s="5"/>
      <c r="L343" s="5"/>
      <c r="M343" s="5"/>
      <c r="N343" s="5"/>
      <c r="O343" s="5"/>
      <c r="P343" s="5"/>
      <c r="Q343" s="5"/>
      <c r="R343" s="5"/>
      <c r="S343" s="5"/>
      <c r="T343" s="5"/>
    </row>
    <row r="344" spans="1:20">
      <c r="A344" s="5"/>
      <c r="B344" s="5"/>
      <c r="C344" s="5"/>
      <c r="D344" s="5"/>
      <c r="E344" s="5"/>
      <c r="F344" s="5"/>
      <c r="G344" s="5"/>
      <c r="H344" s="5"/>
      <c r="I344" s="5"/>
      <c r="J344" s="5"/>
      <c r="K344" s="5"/>
      <c r="L344" s="5"/>
      <c r="M344" s="5"/>
      <c r="N344" s="5"/>
      <c r="O344" s="5"/>
      <c r="P344" s="5"/>
      <c r="Q344" s="5"/>
      <c r="R344" s="5"/>
      <c r="S344" s="5"/>
      <c r="T344" s="5"/>
    </row>
    <row r="345" spans="1:20">
      <c r="A345" s="5"/>
      <c r="B345" s="5"/>
      <c r="C345" s="5"/>
      <c r="D345" s="5"/>
      <c r="E345" s="5"/>
      <c r="F345" s="5"/>
      <c r="G345" s="5"/>
      <c r="H345" s="5"/>
      <c r="I345" s="5"/>
      <c r="J345" s="5"/>
      <c r="K345" s="5"/>
      <c r="L345" s="5"/>
      <c r="M345" s="5"/>
      <c r="N345" s="5"/>
      <c r="O345" s="5"/>
      <c r="P345" s="5"/>
      <c r="Q345" s="5"/>
      <c r="R345" s="5"/>
      <c r="S345" s="5"/>
      <c r="T345" s="5"/>
    </row>
    <row r="346" spans="1:20">
      <c r="A346" s="5"/>
      <c r="B346" s="5"/>
      <c r="C346" s="5"/>
      <c r="D346" s="5"/>
      <c r="E346" s="5"/>
      <c r="F346" s="5"/>
      <c r="G346" s="5"/>
      <c r="H346" s="5"/>
      <c r="I346" s="5"/>
      <c r="J346" s="5"/>
      <c r="K346" s="5"/>
      <c r="L346" s="5"/>
      <c r="M346" s="5"/>
      <c r="N346" s="5"/>
      <c r="O346" s="5"/>
      <c r="P346" s="5"/>
      <c r="Q346" s="5"/>
      <c r="R346" s="5"/>
      <c r="S346" s="5"/>
      <c r="T346" s="5"/>
    </row>
    <row r="347" spans="1:20">
      <c r="A347" s="5"/>
      <c r="B347" s="5"/>
      <c r="C347" s="5"/>
      <c r="D347" s="5"/>
      <c r="E347" s="5"/>
      <c r="F347" s="5"/>
      <c r="G347" s="5"/>
      <c r="H347" s="5"/>
      <c r="I347" s="5"/>
      <c r="J347" s="5"/>
      <c r="K347" s="5"/>
      <c r="L347" s="5"/>
      <c r="M347" s="5"/>
      <c r="N347" s="5"/>
      <c r="O347" s="5"/>
      <c r="P347" s="5"/>
      <c r="Q347" s="5"/>
      <c r="R347" s="5"/>
      <c r="S347" s="5"/>
      <c r="T347" s="5"/>
    </row>
    <row r="348" spans="1:20">
      <c r="A348" s="5"/>
      <c r="B348" s="5"/>
      <c r="C348" s="5"/>
      <c r="D348" s="5"/>
      <c r="E348" s="5"/>
      <c r="F348" s="5"/>
      <c r="G348" s="5"/>
      <c r="H348" s="5"/>
      <c r="I348" s="5"/>
      <c r="J348" s="5"/>
      <c r="K348" s="5"/>
      <c r="L348" s="5"/>
      <c r="M348" s="5"/>
      <c r="N348" s="5"/>
      <c r="O348" s="5"/>
      <c r="P348" s="5"/>
      <c r="Q348" s="5"/>
      <c r="R348" s="5"/>
      <c r="S348" s="5"/>
      <c r="T348" s="5"/>
    </row>
    <row r="349" spans="1:20">
      <c r="A349" s="5"/>
      <c r="B349" s="5"/>
      <c r="C349" s="5"/>
      <c r="D349" s="5"/>
      <c r="E349" s="5"/>
      <c r="F349" s="5"/>
      <c r="G349" s="5"/>
      <c r="H349" s="5"/>
      <c r="I349" s="5"/>
      <c r="J349" s="5"/>
      <c r="K349" s="5"/>
      <c r="L349" s="5"/>
      <c r="M349" s="5"/>
      <c r="N349" s="5"/>
      <c r="O349" s="5"/>
      <c r="P349" s="5"/>
      <c r="Q349" s="5"/>
      <c r="R349" s="5"/>
      <c r="S349" s="5"/>
      <c r="T349" s="5"/>
    </row>
    <row r="350" spans="1:20">
      <c r="A350" s="5"/>
      <c r="B350" s="5"/>
      <c r="C350" s="5"/>
      <c r="D350" s="5"/>
      <c r="E350" s="5"/>
      <c r="F350" s="5"/>
      <c r="G350" s="5"/>
      <c r="H350" s="5"/>
      <c r="I350" s="5"/>
      <c r="J350" s="5"/>
      <c r="K350" s="5"/>
      <c r="L350" s="5"/>
      <c r="M350" s="5"/>
      <c r="N350" s="5"/>
      <c r="O350" s="5"/>
      <c r="P350" s="5"/>
      <c r="Q350" s="5"/>
      <c r="R350" s="5"/>
      <c r="S350" s="5"/>
      <c r="T350" s="5"/>
    </row>
    <row r="351" spans="1:20">
      <c r="A351" s="5"/>
      <c r="B351" s="5"/>
      <c r="C351" s="5"/>
      <c r="D351" s="5"/>
      <c r="E351" s="5"/>
      <c r="F351" s="5"/>
      <c r="G351" s="5"/>
      <c r="H351" s="5"/>
      <c r="I351" s="5"/>
      <c r="J351" s="5"/>
      <c r="K351" s="5"/>
      <c r="L351" s="5"/>
      <c r="M351" s="5"/>
      <c r="N351" s="5"/>
      <c r="O351" s="5"/>
      <c r="P351" s="5"/>
      <c r="Q351" s="5"/>
      <c r="R351" s="5"/>
      <c r="S351" s="5"/>
      <c r="T351" s="5"/>
    </row>
    <row r="352" spans="1:20">
      <c r="A352" s="5"/>
      <c r="B352" s="5"/>
      <c r="C352" s="5"/>
      <c r="D352" s="5"/>
      <c r="E352" s="5"/>
      <c r="F352" s="5"/>
      <c r="G352" s="5"/>
      <c r="H352" s="5"/>
      <c r="I352" s="5"/>
      <c r="J352" s="5"/>
      <c r="K352" s="5"/>
      <c r="L352" s="5"/>
      <c r="M352" s="5"/>
      <c r="N352" s="5"/>
      <c r="O352" s="5"/>
      <c r="P352" s="5"/>
      <c r="Q352" s="5"/>
      <c r="R352" s="5"/>
      <c r="S352" s="5"/>
      <c r="T352" s="5"/>
    </row>
    <row r="353" spans="1:20">
      <c r="A353" s="5"/>
      <c r="B353" s="5"/>
      <c r="C353" s="5"/>
      <c r="D353" s="5"/>
      <c r="E353" s="5"/>
      <c r="F353" s="5"/>
      <c r="G353" s="5"/>
      <c r="H353" s="5"/>
      <c r="I353" s="5"/>
      <c r="J353" s="5"/>
      <c r="K353" s="5"/>
      <c r="L353" s="5"/>
      <c r="M353" s="5"/>
      <c r="N353" s="5"/>
      <c r="O353" s="5"/>
      <c r="P353" s="5"/>
      <c r="Q353" s="5"/>
      <c r="R353" s="5"/>
      <c r="S353" s="5"/>
      <c r="T353" s="5"/>
    </row>
    <row r="354" spans="1:20">
      <c r="A354" s="5"/>
      <c r="B354" s="5"/>
      <c r="C354" s="5"/>
      <c r="D354" s="5"/>
      <c r="E354" s="5"/>
      <c r="F354" s="5"/>
      <c r="G354" s="5"/>
      <c r="H354" s="5"/>
      <c r="I354" s="5"/>
      <c r="J354" s="5"/>
      <c r="K354" s="5"/>
      <c r="L354" s="5"/>
      <c r="M354" s="5"/>
      <c r="N354" s="5"/>
      <c r="O354" s="5"/>
      <c r="P354" s="5"/>
      <c r="Q354" s="5"/>
      <c r="R354" s="5"/>
      <c r="S354" s="5"/>
      <c r="T354" s="5"/>
    </row>
    <row r="355" spans="1:20">
      <c r="A355" s="5"/>
      <c r="B355" s="5"/>
      <c r="C355" s="5"/>
      <c r="D355" s="5"/>
      <c r="E355" s="5"/>
      <c r="F355" s="5"/>
      <c r="G355" s="5"/>
      <c r="H355" s="5"/>
      <c r="I355" s="5"/>
      <c r="J355" s="5"/>
      <c r="K355" s="5"/>
      <c r="L355" s="5"/>
      <c r="M355" s="5"/>
      <c r="N355" s="5"/>
      <c r="O355" s="5"/>
      <c r="P355" s="5"/>
      <c r="Q355" s="5"/>
      <c r="R355" s="5"/>
      <c r="S355" s="5"/>
      <c r="T355" s="5"/>
    </row>
    <row r="356" spans="1:20">
      <c r="A356" s="5"/>
      <c r="B356" s="5"/>
      <c r="C356" s="5"/>
      <c r="D356" s="5"/>
      <c r="E356" s="5"/>
      <c r="F356" s="5"/>
      <c r="G356" s="5"/>
      <c r="H356" s="5"/>
      <c r="I356" s="5"/>
      <c r="J356" s="5"/>
      <c r="K356" s="5"/>
      <c r="L356" s="5"/>
      <c r="M356" s="5"/>
      <c r="N356" s="5"/>
      <c r="O356" s="5"/>
      <c r="P356" s="5"/>
      <c r="Q356" s="5"/>
      <c r="R356" s="5"/>
      <c r="S356" s="5"/>
      <c r="T356" s="5"/>
    </row>
    <row r="357" spans="1:20">
      <c r="A357" s="5"/>
      <c r="B357" s="5"/>
      <c r="C357" s="5"/>
      <c r="D357" s="5"/>
      <c r="E357" s="5"/>
      <c r="F357" s="5"/>
      <c r="G357" s="5"/>
      <c r="H357" s="5"/>
      <c r="I357" s="5"/>
      <c r="J357" s="5"/>
      <c r="K357" s="5"/>
      <c r="L357" s="5"/>
      <c r="M357" s="5"/>
      <c r="N357" s="5"/>
      <c r="O357" s="5"/>
      <c r="P357" s="5"/>
      <c r="Q357" s="5"/>
      <c r="R357" s="5"/>
      <c r="S357" s="5"/>
      <c r="T357" s="5"/>
    </row>
    <row r="358" spans="1:20">
      <c r="A358" s="5"/>
      <c r="B358" s="5"/>
      <c r="C358" s="5"/>
      <c r="D358" s="5"/>
      <c r="E358" s="5"/>
      <c r="F358" s="5"/>
      <c r="G358" s="5"/>
      <c r="H358" s="5"/>
      <c r="I358" s="5"/>
      <c r="J358" s="5"/>
      <c r="K358" s="5"/>
      <c r="L358" s="5"/>
      <c r="M358" s="5"/>
      <c r="N358" s="5"/>
      <c r="O358" s="5"/>
      <c r="P358" s="5"/>
      <c r="Q358" s="5"/>
      <c r="R358" s="5"/>
      <c r="S358" s="5"/>
      <c r="T358" s="5"/>
    </row>
    <row r="359" spans="1:20">
      <c r="A359" s="5"/>
      <c r="B359" s="5"/>
      <c r="C359" s="5"/>
      <c r="D359" s="5"/>
      <c r="E359" s="5"/>
      <c r="F359" s="5"/>
      <c r="G359" s="5"/>
      <c r="H359" s="5"/>
      <c r="I359" s="5"/>
      <c r="J359" s="5"/>
      <c r="K359" s="5"/>
      <c r="L359" s="5"/>
      <c r="M359" s="5"/>
      <c r="N359" s="5"/>
      <c r="O359" s="5"/>
      <c r="P359" s="5"/>
      <c r="Q359" s="5"/>
      <c r="R359" s="5"/>
      <c r="S359" s="5"/>
      <c r="T359" s="5"/>
    </row>
    <row r="360" spans="1:20">
      <c r="A360" s="5"/>
      <c r="B360" s="5"/>
      <c r="C360" s="5"/>
      <c r="D360" s="5"/>
      <c r="E360" s="5"/>
      <c r="F360" s="5"/>
      <c r="G360" s="5"/>
      <c r="H360" s="5"/>
      <c r="I360" s="5"/>
      <c r="J360" s="5"/>
      <c r="K360" s="5"/>
      <c r="L360" s="5"/>
      <c r="M360" s="5"/>
      <c r="N360" s="5"/>
      <c r="O360" s="5"/>
      <c r="P360" s="5"/>
      <c r="Q360" s="5"/>
      <c r="R360" s="5"/>
      <c r="S360" s="5"/>
      <c r="T360" s="5"/>
    </row>
    <row r="361" spans="1:20">
      <c r="A361" s="5"/>
      <c r="B361" s="5"/>
      <c r="C361" s="5"/>
      <c r="D361" s="5"/>
      <c r="E361" s="5"/>
      <c r="F361" s="5"/>
      <c r="G361" s="5"/>
      <c r="H361" s="5"/>
      <c r="I361" s="5"/>
      <c r="J361" s="5"/>
      <c r="K361" s="5"/>
      <c r="L361" s="5"/>
      <c r="M361" s="5"/>
      <c r="N361" s="5"/>
      <c r="O361" s="5"/>
      <c r="P361" s="5"/>
      <c r="Q361" s="5"/>
      <c r="R361" s="5"/>
      <c r="S361" s="5"/>
      <c r="T361" s="5"/>
    </row>
    <row r="362" spans="1:20">
      <c r="A362" s="5"/>
      <c r="B362" s="5"/>
      <c r="C362" s="5"/>
      <c r="D362" s="5"/>
      <c r="E362" s="5"/>
      <c r="F362" s="5"/>
      <c r="G362" s="5"/>
      <c r="H362" s="5"/>
      <c r="I362" s="5"/>
      <c r="J362" s="5"/>
      <c r="K362" s="5"/>
      <c r="L362" s="5"/>
      <c r="M362" s="5"/>
      <c r="N362" s="5"/>
      <c r="O362" s="5"/>
      <c r="P362" s="5"/>
      <c r="Q362" s="5"/>
      <c r="R362" s="5"/>
      <c r="S362" s="5"/>
      <c r="T362" s="5"/>
    </row>
    <row r="363" spans="1:20">
      <c r="A363" s="5"/>
      <c r="B363" s="5"/>
      <c r="C363" s="5"/>
      <c r="D363" s="5"/>
      <c r="E363" s="5"/>
      <c r="F363" s="5"/>
      <c r="G363" s="5"/>
      <c r="H363" s="5"/>
      <c r="I363" s="5"/>
      <c r="J363" s="5"/>
      <c r="K363" s="5"/>
      <c r="L363" s="5"/>
      <c r="M363" s="5"/>
      <c r="N363" s="5"/>
      <c r="O363" s="5"/>
      <c r="P363" s="5"/>
      <c r="Q363" s="5"/>
      <c r="R363" s="5"/>
      <c r="S363" s="5"/>
      <c r="T363" s="5"/>
    </row>
    <row r="364" spans="1:20">
      <c r="A364" s="5"/>
      <c r="B364" s="5"/>
      <c r="C364" s="5"/>
      <c r="D364" s="5"/>
      <c r="E364" s="5"/>
      <c r="F364" s="5"/>
      <c r="G364" s="5"/>
      <c r="H364" s="5"/>
      <c r="I364" s="5"/>
      <c r="J364" s="5"/>
      <c r="K364" s="5"/>
      <c r="L364" s="5"/>
      <c r="M364" s="5"/>
      <c r="N364" s="5"/>
      <c r="O364" s="5"/>
      <c r="P364" s="5"/>
      <c r="Q364" s="5"/>
      <c r="R364" s="5"/>
      <c r="S364" s="5"/>
      <c r="T364" s="5"/>
    </row>
    <row r="365" spans="1:20">
      <c r="A365" s="5"/>
      <c r="B365" s="5"/>
      <c r="C365" s="5"/>
      <c r="D365" s="5"/>
      <c r="E365" s="5"/>
      <c r="F365" s="5"/>
      <c r="G365" s="5"/>
      <c r="H365" s="5"/>
      <c r="I365" s="5"/>
      <c r="J365" s="5"/>
      <c r="K365" s="5"/>
      <c r="L365" s="5"/>
      <c r="M365" s="5"/>
      <c r="N365" s="5"/>
      <c r="O365" s="5"/>
      <c r="P365" s="5"/>
      <c r="Q365" s="5"/>
      <c r="R365" s="5"/>
      <c r="S365" s="5"/>
      <c r="T365" s="5"/>
    </row>
    <row r="366" spans="1:20">
      <c r="A366" s="5"/>
      <c r="B366" s="5"/>
      <c r="C366" s="5"/>
      <c r="D366" s="5"/>
      <c r="E366" s="5"/>
      <c r="F366" s="5"/>
      <c r="G366" s="5"/>
      <c r="H366" s="5"/>
      <c r="I366" s="5"/>
      <c r="J366" s="5"/>
      <c r="K366" s="5"/>
      <c r="L366" s="5"/>
      <c r="M366" s="5"/>
      <c r="N366" s="5"/>
      <c r="O366" s="5"/>
      <c r="P366" s="5"/>
      <c r="Q366" s="5"/>
      <c r="R366" s="5"/>
      <c r="S366" s="5"/>
      <c r="T366" s="5"/>
    </row>
    <row r="367" spans="1:20">
      <c r="A367" s="5"/>
      <c r="B367" s="5"/>
      <c r="C367" s="5"/>
      <c r="D367" s="5"/>
      <c r="E367" s="5"/>
      <c r="F367" s="5"/>
      <c r="G367" s="5"/>
      <c r="H367" s="5"/>
      <c r="I367" s="5"/>
      <c r="J367" s="5"/>
      <c r="K367" s="5"/>
      <c r="L367" s="5"/>
      <c r="M367" s="5"/>
      <c r="N367" s="5"/>
      <c r="O367" s="5"/>
      <c r="P367" s="5"/>
      <c r="Q367" s="5"/>
      <c r="R367" s="5"/>
      <c r="S367" s="5"/>
      <c r="T367" s="5"/>
    </row>
    <row r="368" spans="1:20">
      <c r="A368" s="5"/>
      <c r="B368" s="5"/>
      <c r="C368" s="5"/>
      <c r="D368" s="5"/>
      <c r="E368" s="5"/>
      <c r="F368" s="5"/>
      <c r="G368" s="5"/>
      <c r="H368" s="5"/>
      <c r="I368" s="5"/>
      <c r="J368" s="5"/>
      <c r="K368" s="5"/>
      <c r="L368" s="5"/>
      <c r="M368" s="5"/>
      <c r="N368" s="5"/>
      <c r="O368" s="5"/>
      <c r="P368" s="5"/>
      <c r="Q368" s="5"/>
      <c r="R368" s="5"/>
      <c r="S368" s="5"/>
      <c r="T368" s="5"/>
    </row>
    <row r="369" spans="1:20">
      <c r="A369" s="5"/>
      <c r="B369" s="5"/>
      <c r="C369" s="5"/>
      <c r="D369" s="5"/>
      <c r="E369" s="5"/>
      <c r="F369" s="5"/>
      <c r="G369" s="5"/>
      <c r="H369" s="5"/>
      <c r="I369" s="5"/>
      <c r="J369" s="5"/>
      <c r="K369" s="5"/>
      <c r="L369" s="5"/>
      <c r="M369" s="5"/>
      <c r="N369" s="5"/>
      <c r="O369" s="5"/>
      <c r="P369" s="5"/>
      <c r="Q369" s="5"/>
      <c r="R369" s="5"/>
      <c r="S369" s="5"/>
      <c r="T369" s="5"/>
    </row>
    <row r="370" spans="1:20">
      <c r="A370" s="5"/>
      <c r="B370" s="5"/>
      <c r="C370" s="5"/>
      <c r="D370" s="5"/>
      <c r="E370" s="5"/>
      <c r="F370" s="5"/>
      <c r="G370" s="5"/>
      <c r="H370" s="5"/>
      <c r="I370" s="5"/>
      <c r="J370" s="5"/>
      <c r="K370" s="5"/>
      <c r="L370" s="5"/>
      <c r="M370" s="5"/>
      <c r="N370" s="5"/>
      <c r="O370" s="5"/>
      <c r="P370" s="5"/>
      <c r="Q370" s="5"/>
      <c r="R370" s="5"/>
      <c r="S370" s="5"/>
      <c r="T370" s="5"/>
    </row>
    <row r="371" spans="1:20">
      <c r="A371" s="5"/>
      <c r="B371" s="5"/>
      <c r="C371" s="5"/>
      <c r="D371" s="5"/>
      <c r="E371" s="5"/>
      <c r="F371" s="5"/>
      <c r="G371" s="5"/>
      <c r="H371" s="5"/>
      <c r="I371" s="5"/>
      <c r="J371" s="5"/>
      <c r="K371" s="5"/>
      <c r="L371" s="5"/>
      <c r="M371" s="5"/>
      <c r="N371" s="5"/>
      <c r="O371" s="5"/>
      <c r="P371" s="5"/>
      <c r="Q371" s="5"/>
      <c r="R371" s="5"/>
      <c r="S371" s="5"/>
      <c r="T371" s="5"/>
    </row>
    <row r="372" spans="1:20">
      <c r="A372" s="5"/>
      <c r="B372" s="5"/>
      <c r="C372" s="5"/>
      <c r="D372" s="5"/>
      <c r="E372" s="5"/>
      <c r="F372" s="5"/>
      <c r="G372" s="5"/>
      <c r="H372" s="5"/>
      <c r="I372" s="5"/>
      <c r="J372" s="5"/>
      <c r="K372" s="5"/>
      <c r="L372" s="5"/>
      <c r="M372" s="5"/>
      <c r="N372" s="5"/>
      <c r="O372" s="5"/>
      <c r="P372" s="5"/>
      <c r="Q372" s="5"/>
      <c r="R372" s="5"/>
      <c r="S372" s="5"/>
      <c r="T372" s="5"/>
    </row>
    <row r="373" spans="1:20">
      <c r="A373" s="5"/>
      <c r="B373" s="5"/>
      <c r="C373" s="5"/>
      <c r="D373" s="5"/>
      <c r="E373" s="5"/>
      <c r="F373" s="5"/>
      <c r="G373" s="5"/>
      <c r="H373" s="5"/>
      <c r="I373" s="5"/>
      <c r="J373" s="5"/>
      <c r="K373" s="5"/>
      <c r="L373" s="5"/>
      <c r="M373" s="5"/>
      <c r="N373" s="5"/>
      <c r="O373" s="5"/>
      <c r="P373" s="5"/>
      <c r="Q373" s="5"/>
      <c r="R373" s="5"/>
      <c r="S373" s="5"/>
      <c r="T373" s="5"/>
    </row>
    <row r="374" spans="1:20">
      <c r="A374" s="5"/>
      <c r="B374" s="5"/>
      <c r="C374" s="5"/>
      <c r="D374" s="5"/>
      <c r="E374" s="5"/>
      <c r="F374" s="5"/>
      <c r="G374" s="5"/>
      <c r="H374" s="5"/>
      <c r="I374" s="5"/>
      <c r="J374" s="5"/>
      <c r="K374" s="5"/>
      <c r="L374" s="5"/>
      <c r="M374" s="5"/>
      <c r="N374" s="5"/>
      <c r="O374" s="5"/>
      <c r="P374" s="5"/>
      <c r="Q374" s="5"/>
      <c r="R374" s="5"/>
      <c r="S374" s="5"/>
      <c r="T374" s="5"/>
    </row>
    <row r="375" spans="1:20">
      <c r="A375" s="5"/>
      <c r="B375" s="5"/>
      <c r="C375" s="5"/>
      <c r="D375" s="5"/>
      <c r="E375" s="5"/>
      <c r="F375" s="5"/>
      <c r="G375" s="5"/>
      <c r="H375" s="5"/>
      <c r="I375" s="5"/>
      <c r="J375" s="5"/>
      <c r="K375" s="5"/>
      <c r="L375" s="5"/>
      <c r="M375" s="5"/>
      <c r="N375" s="5"/>
      <c r="O375" s="5"/>
      <c r="P375" s="5"/>
      <c r="Q375" s="5"/>
      <c r="R375" s="5"/>
      <c r="S375" s="5"/>
      <c r="T375" s="5"/>
    </row>
    <row r="376" spans="1:20">
      <c r="A376" s="5"/>
      <c r="B376" s="5"/>
      <c r="C376" s="5"/>
      <c r="D376" s="5"/>
      <c r="E376" s="5"/>
      <c r="F376" s="5"/>
      <c r="G376" s="5"/>
      <c r="H376" s="5"/>
      <c r="I376" s="5"/>
      <c r="J376" s="5"/>
      <c r="K376" s="5"/>
      <c r="L376" s="5"/>
      <c r="M376" s="5"/>
      <c r="N376" s="5"/>
      <c r="O376" s="5"/>
      <c r="P376" s="5"/>
      <c r="Q376" s="5"/>
      <c r="R376" s="5"/>
      <c r="S376" s="5"/>
      <c r="T376" s="5"/>
    </row>
    <row r="377" spans="1:20">
      <c r="A377" s="5"/>
      <c r="B377" s="5"/>
      <c r="C377" s="5"/>
      <c r="D377" s="5"/>
      <c r="E377" s="5"/>
      <c r="F377" s="5"/>
      <c r="G377" s="5"/>
      <c r="H377" s="5"/>
      <c r="I377" s="5"/>
      <c r="J377" s="5"/>
      <c r="K377" s="5"/>
      <c r="L377" s="5"/>
      <c r="M377" s="5"/>
      <c r="N377" s="5"/>
      <c r="O377" s="5"/>
      <c r="P377" s="5"/>
      <c r="Q377" s="5"/>
      <c r="R377" s="5"/>
      <c r="S377" s="5"/>
      <c r="T377" s="5"/>
    </row>
    <row r="378" spans="1:20">
      <c r="A378" s="5"/>
      <c r="B378" s="5"/>
      <c r="C378" s="5"/>
      <c r="D378" s="5"/>
      <c r="E378" s="5"/>
      <c r="F378" s="5"/>
      <c r="G378" s="5"/>
      <c r="H378" s="5"/>
      <c r="I378" s="5"/>
      <c r="J378" s="5"/>
      <c r="K378" s="5"/>
      <c r="L378" s="5"/>
      <c r="M378" s="5"/>
      <c r="N378" s="5"/>
      <c r="O378" s="5"/>
      <c r="P378" s="5"/>
      <c r="Q378" s="5"/>
      <c r="R378" s="5"/>
      <c r="S378" s="5"/>
      <c r="T378" s="5"/>
    </row>
    <row r="379" spans="1:20">
      <c r="A379" s="5"/>
      <c r="B379" s="5"/>
      <c r="C379" s="5"/>
      <c r="D379" s="5"/>
      <c r="E379" s="5"/>
      <c r="F379" s="5"/>
      <c r="G379" s="5"/>
      <c r="H379" s="5"/>
      <c r="I379" s="5"/>
      <c r="J379" s="5"/>
      <c r="K379" s="5"/>
      <c r="L379" s="5"/>
      <c r="M379" s="5"/>
      <c r="N379" s="5"/>
      <c r="O379" s="5"/>
      <c r="P379" s="5"/>
      <c r="Q379" s="5"/>
      <c r="R379" s="5"/>
      <c r="S379" s="5"/>
      <c r="T379" s="5"/>
    </row>
    <row r="380" spans="1:20">
      <c r="A380" s="5"/>
      <c r="B380" s="5"/>
      <c r="C380" s="5"/>
      <c r="D380" s="5"/>
      <c r="E380" s="5"/>
      <c r="F380" s="5"/>
      <c r="G380" s="5"/>
      <c r="H380" s="5"/>
      <c r="I380" s="5"/>
      <c r="J380" s="5"/>
      <c r="K380" s="5"/>
      <c r="L380" s="5"/>
      <c r="M380" s="5"/>
      <c r="N380" s="5"/>
      <c r="O380" s="5"/>
      <c r="P380" s="5"/>
      <c r="Q380" s="5"/>
      <c r="R380" s="5"/>
      <c r="S380" s="5"/>
      <c r="T380" s="5"/>
    </row>
    <row r="381" spans="1:20">
      <c r="A381" s="5"/>
      <c r="B381" s="5"/>
      <c r="C381" s="5"/>
      <c r="D381" s="5"/>
      <c r="E381" s="5"/>
      <c r="F381" s="5"/>
      <c r="G381" s="5"/>
      <c r="H381" s="5"/>
      <c r="I381" s="5"/>
      <c r="J381" s="5"/>
      <c r="K381" s="5"/>
      <c r="L381" s="5"/>
      <c r="M381" s="5"/>
      <c r="N381" s="5"/>
      <c r="O381" s="5"/>
      <c r="P381" s="5"/>
      <c r="Q381" s="5"/>
      <c r="R381" s="5"/>
      <c r="S381" s="5"/>
      <c r="T381" s="5"/>
    </row>
    <row r="382" spans="1:20">
      <c r="A382" s="5"/>
      <c r="B382" s="5"/>
      <c r="C382" s="5"/>
      <c r="D382" s="5"/>
      <c r="E382" s="5"/>
      <c r="F382" s="5"/>
      <c r="G382" s="5"/>
      <c r="H382" s="5"/>
      <c r="I382" s="5"/>
      <c r="J382" s="5"/>
      <c r="K382" s="5"/>
      <c r="L382" s="5"/>
      <c r="M382" s="5"/>
      <c r="N382" s="5"/>
      <c r="O382" s="5"/>
      <c r="P382" s="5"/>
      <c r="Q382" s="5"/>
      <c r="R382" s="5"/>
      <c r="S382" s="5"/>
      <c r="T382" s="5"/>
    </row>
    <row r="383" spans="1:20">
      <c r="A383" s="5"/>
      <c r="B383" s="5"/>
      <c r="C383" s="5"/>
      <c r="D383" s="5"/>
      <c r="E383" s="5"/>
      <c r="F383" s="5"/>
      <c r="G383" s="5"/>
      <c r="H383" s="5"/>
      <c r="I383" s="5"/>
      <c r="J383" s="5"/>
      <c r="K383" s="5"/>
      <c r="L383" s="5"/>
      <c r="M383" s="5"/>
      <c r="N383" s="5"/>
      <c r="O383" s="5"/>
      <c r="P383" s="5"/>
      <c r="Q383" s="5"/>
      <c r="R383" s="5"/>
      <c r="S383" s="5"/>
      <c r="T383" s="5"/>
    </row>
    <row r="384" spans="1:20">
      <c r="A384" s="5"/>
      <c r="B384" s="5"/>
      <c r="C384" s="5"/>
      <c r="D384" s="5"/>
      <c r="E384" s="5"/>
      <c r="F384" s="5"/>
      <c r="G384" s="5"/>
      <c r="H384" s="5"/>
      <c r="I384" s="5"/>
      <c r="J384" s="5"/>
      <c r="K384" s="5"/>
      <c r="L384" s="5"/>
      <c r="M384" s="5"/>
      <c r="N384" s="5"/>
      <c r="O384" s="5"/>
      <c r="P384" s="5"/>
      <c r="Q384" s="5"/>
      <c r="R384" s="5"/>
      <c r="S384" s="5"/>
      <c r="T384" s="5"/>
    </row>
    <row r="385" spans="1:20">
      <c r="A385" s="5"/>
      <c r="B385" s="5"/>
      <c r="C385" s="5"/>
      <c r="D385" s="5"/>
      <c r="E385" s="5"/>
      <c r="F385" s="5"/>
      <c r="G385" s="5"/>
      <c r="H385" s="5"/>
      <c r="I385" s="5"/>
      <c r="J385" s="5"/>
      <c r="K385" s="5"/>
      <c r="L385" s="5"/>
      <c r="M385" s="5"/>
      <c r="N385" s="5"/>
      <c r="O385" s="5"/>
      <c r="P385" s="5"/>
      <c r="Q385" s="5"/>
      <c r="R385" s="5"/>
      <c r="S385" s="5"/>
      <c r="T385" s="5"/>
    </row>
    <row r="386" spans="1:20">
      <c r="A386" s="5"/>
      <c r="B386" s="5"/>
      <c r="C386" s="5"/>
      <c r="D386" s="5"/>
      <c r="E386" s="5"/>
      <c r="F386" s="5"/>
      <c r="G386" s="5"/>
      <c r="H386" s="5"/>
      <c r="I386" s="5"/>
      <c r="J386" s="5"/>
      <c r="K386" s="5"/>
      <c r="L386" s="5"/>
      <c r="M386" s="5"/>
      <c r="N386" s="5"/>
      <c r="O386" s="5"/>
      <c r="P386" s="5"/>
      <c r="Q386" s="5"/>
      <c r="R386" s="5"/>
      <c r="S386" s="5"/>
      <c r="T386" s="5"/>
    </row>
    <row r="387" spans="1:20">
      <c r="A387" s="5"/>
      <c r="B387" s="5"/>
      <c r="C387" s="5"/>
      <c r="D387" s="5"/>
      <c r="E387" s="5"/>
      <c r="F387" s="5"/>
      <c r="G387" s="5"/>
      <c r="H387" s="5"/>
      <c r="I387" s="5"/>
      <c r="J387" s="5"/>
      <c r="K387" s="5"/>
      <c r="L387" s="5"/>
      <c r="M387" s="5"/>
      <c r="N387" s="5"/>
      <c r="O387" s="5"/>
      <c r="P387" s="5"/>
      <c r="Q387" s="5"/>
      <c r="R387" s="5"/>
      <c r="S387" s="5"/>
      <c r="T387" s="5"/>
    </row>
    <row r="388" spans="1:20">
      <c r="A388" s="5"/>
      <c r="B388" s="5"/>
      <c r="C388" s="5"/>
      <c r="D388" s="5"/>
      <c r="E388" s="5"/>
      <c r="F388" s="5"/>
      <c r="G388" s="5"/>
      <c r="H388" s="5"/>
      <c r="I388" s="5"/>
      <c r="J388" s="5"/>
      <c r="K388" s="5"/>
      <c r="L388" s="5"/>
      <c r="M388" s="5"/>
      <c r="N388" s="5"/>
      <c r="O388" s="5"/>
      <c r="P388" s="5"/>
      <c r="Q388" s="5"/>
      <c r="R388" s="5"/>
      <c r="S388" s="5"/>
      <c r="T388" s="5"/>
    </row>
    <row r="389" spans="1:20">
      <c r="A389" s="5"/>
      <c r="B389" s="5"/>
      <c r="C389" s="5"/>
      <c r="D389" s="5"/>
      <c r="E389" s="5"/>
      <c r="F389" s="5"/>
      <c r="G389" s="5"/>
      <c r="H389" s="5"/>
      <c r="I389" s="5"/>
      <c r="J389" s="5"/>
      <c r="K389" s="5"/>
      <c r="L389" s="5"/>
      <c r="M389" s="5"/>
      <c r="N389" s="5"/>
      <c r="O389" s="5"/>
      <c r="P389" s="5"/>
      <c r="Q389" s="5"/>
      <c r="R389" s="5"/>
      <c r="S389" s="5"/>
      <c r="T389" s="5"/>
    </row>
    <row r="390" spans="1:20">
      <c r="A390" s="5"/>
      <c r="B390" s="5"/>
      <c r="C390" s="5"/>
      <c r="D390" s="5"/>
      <c r="E390" s="5"/>
      <c r="F390" s="5"/>
      <c r="G390" s="5"/>
      <c r="H390" s="5"/>
      <c r="I390" s="5"/>
      <c r="J390" s="5"/>
      <c r="K390" s="5"/>
      <c r="L390" s="5"/>
      <c r="M390" s="5"/>
      <c r="N390" s="5"/>
      <c r="O390" s="5"/>
      <c r="P390" s="5"/>
      <c r="Q390" s="5"/>
      <c r="R390" s="5"/>
      <c r="S390" s="5"/>
      <c r="T390" s="5"/>
    </row>
    <row r="391" spans="1:20">
      <c r="A391" s="5"/>
      <c r="B391" s="5"/>
      <c r="C391" s="5"/>
      <c r="D391" s="5"/>
      <c r="E391" s="5"/>
      <c r="F391" s="5"/>
      <c r="G391" s="5"/>
      <c r="H391" s="5"/>
      <c r="I391" s="5"/>
      <c r="J391" s="5"/>
      <c r="K391" s="5"/>
      <c r="L391" s="5"/>
      <c r="M391" s="5"/>
      <c r="N391" s="5"/>
      <c r="O391" s="5"/>
      <c r="P391" s="5"/>
      <c r="Q391" s="5"/>
      <c r="R391" s="5"/>
      <c r="S391" s="5"/>
      <c r="T391" s="5"/>
    </row>
    <row r="392" spans="1:20">
      <c r="A392" s="5"/>
      <c r="B392" s="5"/>
      <c r="C392" s="5"/>
      <c r="D392" s="5"/>
      <c r="E392" s="5"/>
      <c r="F392" s="5"/>
      <c r="G392" s="5"/>
      <c r="H392" s="5"/>
      <c r="I392" s="5"/>
      <c r="J392" s="5"/>
      <c r="K392" s="5"/>
      <c r="L392" s="5"/>
      <c r="M392" s="5"/>
      <c r="N392" s="5"/>
      <c r="O392" s="5"/>
      <c r="P392" s="5"/>
      <c r="Q392" s="5"/>
      <c r="R392" s="5"/>
      <c r="S392" s="5"/>
      <c r="T392" s="5"/>
    </row>
    <row r="393" spans="1:20">
      <c r="A393" s="5"/>
      <c r="B393" s="5"/>
      <c r="C393" s="5"/>
      <c r="D393" s="5"/>
      <c r="E393" s="5"/>
      <c r="F393" s="5"/>
      <c r="G393" s="5"/>
      <c r="H393" s="5"/>
      <c r="I393" s="5"/>
      <c r="J393" s="5"/>
      <c r="K393" s="5"/>
      <c r="L393" s="5"/>
      <c r="M393" s="5"/>
      <c r="N393" s="5"/>
      <c r="O393" s="5"/>
      <c r="P393" s="5"/>
      <c r="Q393" s="5"/>
      <c r="R393" s="5"/>
      <c r="S393" s="5"/>
      <c r="T393" s="5"/>
    </row>
    <row r="394" spans="1:20">
      <c r="A394" s="5"/>
      <c r="B394" s="5"/>
      <c r="C394" s="5"/>
      <c r="D394" s="5"/>
      <c r="E394" s="5"/>
      <c r="F394" s="5"/>
      <c r="G394" s="5"/>
      <c r="H394" s="5"/>
      <c r="I394" s="5"/>
      <c r="J394" s="5"/>
      <c r="K394" s="5"/>
      <c r="L394" s="5"/>
      <c r="M394" s="5"/>
      <c r="N394" s="5"/>
      <c r="O394" s="5"/>
      <c r="P394" s="5"/>
      <c r="Q394" s="5"/>
      <c r="R394" s="5"/>
      <c r="S394" s="5"/>
      <c r="T394" s="5"/>
    </row>
    <row r="395" spans="1:20">
      <c r="A395" s="5"/>
      <c r="B395" s="5"/>
      <c r="C395" s="5"/>
      <c r="D395" s="5"/>
      <c r="E395" s="5"/>
      <c r="F395" s="5"/>
      <c r="G395" s="5"/>
      <c r="H395" s="5"/>
      <c r="I395" s="5"/>
      <c r="J395" s="5"/>
      <c r="K395" s="5"/>
      <c r="L395" s="5"/>
      <c r="M395" s="5"/>
      <c r="N395" s="5"/>
      <c r="O395" s="5"/>
      <c r="P395" s="5"/>
      <c r="Q395" s="5"/>
      <c r="R395" s="5"/>
      <c r="S395" s="5"/>
      <c r="T395" s="5"/>
    </row>
    <row r="396" spans="1:20">
      <c r="A396" s="5"/>
      <c r="B396" s="5"/>
      <c r="C396" s="5"/>
      <c r="D396" s="5"/>
      <c r="E396" s="5"/>
      <c r="F396" s="5"/>
      <c r="G396" s="5"/>
      <c r="H396" s="5"/>
      <c r="I396" s="5"/>
      <c r="J396" s="5"/>
      <c r="K396" s="5"/>
      <c r="L396" s="5"/>
      <c r="M396" s="5"/>
      <c r="N396" s="5"/>
      <c r="O396" s="5"/>
      <c r="P396" s="5"/>
      <c r="Q396" s="5"/>
      <c r="R396" s="5"/>
      <c r="S396" s="5"/>
      <c r="T396" s="5"/>
    </row>
    <row r="397" spans="1:20">
      <c r="A397" s="5"/>
      <c r="B397" s="5"/>
      <c r="C397" s="5"/>
      <c r="D397" s="5"/>
      <c r="E397" s="5"/>
      <c r="F397" s="5"/>
      <c r="G397" s="5"/>
      <c r="H397" s="5"/>
      <c r="I397" s="5"/>
      <c r="J397" s="5"/>
      <c r="K397" s="5"/>
      <c r="L397" s="5"/>
      <c r="M397" s="5"/>
      <c r="N397" s="5"/>
      <c r="O397" s="5"/>
      <c r="P397" s="5"/>
      <c r="Q397" s="5"/>
      <c r="R397" s="5"/>
      <c r="S397" s="5"/>
      <c r="T397" s="5"/>
    </row>
    <row r="398" spans="1:20">
      <c r="A398" s="5"/>
      <c r="B398" s="5"/>
      <c r="C398" s="5"/>
      <c r="D398" s="5"/>
      <c r="E398" s="5"/>
      <c r="F398" s="5"/>
      <c r="G398" s="5"/>
      <c r="H398" s="5"/>
      <c r="I398" s="5"/>
      <c r="J398" s="5"/>
      <c r="K398" s="5"/>
      <c r="L398" s="5"/>
      <c r="M398" s="5"/>
      <c r="N398" s="5"/>
      <c r="O398" s="5"/>
      <c r="P398" s="5"/>
      <c r="Q398" s="5"/>
      <c r="R398" s="5"/>
      <c r="S398" s="5"/>
      <c r="T398" s="5"/>
    </row>
    <row r="399" spans="1:20">
      <c r="A399" s="5"/>
      <c r="B399" s="5"/>
      <c r="C399" s="5"/>
      <c r="D399" s="5"/>
      <c r="E399" s="5"/>
      <c r="F399" s="5"/>
      <c r="G399" s="5"/>
      <c r="H399" s="5"/>
      <c r="I399" s="5"/>
      <c r="J399" s="5"/>
      <c r="K399" s="5"/>
      <c r="L399" s="5"/>
      <c r="M399" s="5"/>
      <c r="N399" s="5"/>
      <c r="O399" s="5"/>
      <c r="P399" s="5"/>
      <c r="Q399" s="5"/>
      <c r="R399" s="5"/>
      <c r="S399" s="5"/>
      <c r="T399" s="5"/>
    </row>
    <row r="400" spans="1:20">
      <c r="A400" s="5"/>
      <c r="B400" s="5"/>
      <c r="C400" s="5"/>
      <c r="D400" s="5"/>
      <c r="E400" s="5"/>
      <c r="F400" s="5"/>
      <c r="G400" s="5"/>
      <c r="H400" s="5"/>
      <c r="I400" s="5"/>
      <c r="J400" s="5"/>
      <c r="K400" s="5"/>
      <c r="L400" s="5"/>
      <c r="M400" s="5"/>
      <c r="N400" s="5"/>
      <c r="O400" s="5"/>
      <c r="P400" s="5"/>
      <c r="Q400" s="5"/>
      <c r="R400" s="5"/>
      <c r="S400" s="5"/>
      <c r="T400" s="5"/>
    </row>
    <row r="401" spans="1:20">
      <c r="A401" s="5"/>
      <c r="B401" s="5"/>
      <c r="C401" s="5"/>
      <c r="D401" s="5"/>
      <c r="E401" s="5"/>
      <c r="F401" s="5"/>
      <c r="G401" s="5"/>
      <c r="H401" s="5"/>
      <c r="I401" s="5"/>
      <c r="J401" s="5"/>
      <c r="K401" s="5"/>
      <c r="L401" s="5"/>
      <c r="M401" s="5"/>
      <c r="N401" s="5"/>
      <c r="O401" s="5"/>
      <c r="P401" s="5"/>
      <c r="Q401" s="5"/>
      <c r="R401" s="5"/>
      <c r="S401" s="5"/>
      <c r="T401" s="5"/>
    </row>
    <row r="402" spans="1:20">
      <c r="A402" s="5"/>
      <c r="B402" s="5"/>
      <c r="C402" s="5"/>
      <c r="D402" s="5"/>
      <c r="E402" s="5"/>
      <c r="F402" s="5"/>
      <c r="G402" s="5"/>
      <c r="H402" s="5"/>
      <c r="I402" s="5"/>
      <c r="J402" s="5"/>
      <c r="K402" s="5"/>
      <c r="L402" s="5"/>
      <c r="M402" s="5"/>
      <c r="N402" s="5"/>
      <c r="O402" s="5"/>
      <c r="P402" s="5"/>
      <c r="Q402" s="5"/>
      <c r="R402" s="5"/>
      <c r="S402" s="5"/>
      <c r="T402" s="5"/>
    </row>
    <row r="403" spans="1:20">
      <c r="A403" s="5"/>
      <c r="B403" s="5"/>
      <c r="C403" s="5"/>
      <c r="D403" s="5"/>
      <c r="E403" s="5"/>
      <c r="F403" s="5"/>
      <c r="G403" s="5"/>
      <c r="H403" s="5"/>
      <c r="I403" s="5"/>
      <c r="J403" s="5"/>
      <c r="K403" s="5"/>
      <c r="L403" s="5"/>
      <c r="M403" s="5"/>
      <c r="N403" s="5"/>
      <c r="O403" s="5"/>
      <c r="P403" s="5"/>
      <c r="Q403" s="5"/>
      <c r="R403" s="5"/>
      <c r="S403" s="5"/>
      <c r="T403" s="5"/>
    </row>
    <row r="404" spans="1:20">
      <c r="A404" s="5"/>
      <c r="B404" s="5"/>
      <c r="C404" s="5"/>
      <c r="D404" s="5"/>
      <c r="E404" s="5"/>
      <c r="F404" s="5"/>
      <c r="G404" s="5"/>
      <c r="H404" s="5"/>
      <c r="I404" s="5"/>
      <c r="J404" s="5"/>
      <c r="K404" s="5"/>
      <c r="L404" s="5"/>
      <c r="M404" s="5"/>
      <c r="N404" s="5"/>
      <c r="O404" s="5"/>
      <c r="P404" s="5"/>
      <c r="Q404" s="5"/>
      <c r="R404" s="5"/>
      <c r="S404" s="5"/>
      <c r="T404" s="5"/>
    </row>
    <row r="405" spans="1:20">
      <c r="A405" s="5"/>
      <c r="B405" s="5"/>
      <c r="C405" s="5"/>
      <c r="D405" s="5"/>
      <c r="E405" s="5"/>
      <c r="F405" s="5"/>
      <c r="G405" s="5"/>
      <c r="H405" s="5"/>
      <c r="I405" s="5"/>
      <c r="J405" s="5"/>
      <c r="K405" s="5"/>
      <c r="L405" s="5"/>
      <c r="M405" s="5"/>
      <c r="N405" s="5"/>
      <c r="O405" s="5"/>
      <c r="P405" s="5"/>
      <c r="Q405" s="5"/>
      <c r="R405" s="5"/>
      <c r="S405" s="5"/>
      <c r="T405" s="5"/>
    </row>
    <row r="406" spans="1:20">
      <c r="A406" s="5"/>
      <c r="B406" s="5"/>
      <c r="C406" s="5"/>
      <c r="D406" s="5"/>
      <c r="E406" s="5"/>
      <c r="F406" s="5"/>
      <c r="G406" s="5"/>
      <c r="H406" s="5"/>
      <c r="I406" s="5"/>
      <c r="J406" s="5"/>
      <c r="K406" s="5"/>
      <c r="L406" s="5"/>
      <c r="M406" s="5"/>
      <c r="N406" s="5"/>
      <c r="O406" s="5"/>
      <c r="P406" s="5"/>
      <c r="Q406" s="5"/>
      <c r="R406" s="5"/>
      <c r="S406" s="5"/>
      <c r="T406" s="5"/>
    </row>
    <row r="407" spans="1:20">
      <c r="A407" s="5"/>
      <c r="B407" s="5"/>
      <c r="C407" s="5"/>
      <c r="D407" s="5"/>
      <c r="E407" s="5"/>
      <c r="F407" s="5"/>
      <c r="G407" s="5"/>
      <c r="H407" s="5"/>
      <c r="I407" s="5"/>
      <c r="J407" s="5"/>
      <c r="K407" s="5"/>
      <c r="L407" s="5"/>
      <c r="M407" s="5"/>
      <c r="N407" s="5"/>
      <c r="O407" s="5"/>
      <c r="P407" s="5"/>
      <c r="Q407" s="5"/>
      <c r="R407" s="5"/>
      <c r="S407" s="5"/>
      <c r="T407" s="5"/>
    </row>
    <row r="408" spans="1:20">
      <c r="A408" s="5"/>
      <c r="B408" s="5"/>
      <c r="C408" s="5"/>
      <c r="D408" s="5"/>
      <c r="E408" s="5"/>
      <c r="F408" s="5"/>
      <c r="G408" s="5"/>
      <c r="H408" s="5"/>
      <c r="I408" s="5"/>
      <c r="J408" s="5"/>
      <c r="K408" s="5"/>
      <c r="L408" s="5"/>
      <c r="M408" s="5"/>
      <c r="N408" s="5"/>
      <c r="O408" s="5"/>
      <c r="P408" s="5"/>
      <c r="Q408" s="5"/>
      <c r="R408" s="5"/>
      <c r="S408" s="5"/>
      <c r="T408" s="5"/>
    </row>
    <row r="409" spans="1:20">
      <c r="A409" s="5"/>
      <c r="B409" s="5"/>
      <c r="C409" s="5"/>
      <c r="D409" s="5"/>
      <c r="E409" s="5"/>
      <c r="F409" s="5"/>
      <c r="G409" s="5"/>
      <c r="H409" s="5"/>
      <c r="I409" s="5"/>
      <c r="J409" s="5"/>
      <c r="K409" s="5"/>
      <c r="L409" s="5"/>
      <c r="M409" s="5"/>
      <c r="N409" s="5"/>
      <c r="O409" s="5"/>
      <c r="P409" s="5"/>
      <c r="Q409" s="5"/>
      <c r="R409" s="5"/>
      <c r="S409" s="5"/>
      <c r="T409" s="5"/>
    </row>
    <row r="410" spans="1:20">
      <c r="A410" s="5"/>
      <c r="B410" s="5"/>
      <c r="C410" s="5"/>
      <c r="D410" s="5"/>
      <c r="E410" s="5"/>
      <c r="F410" s="5"/>
      <c r="G410" s="5"/>
      <c r="H410" s="5"/>
      <c r="I410" s="5"/>
      <c r="J410" s="5"/>
      <c r="K410" s="5"/>
      <c r="L410" s="5"/>
      <c r="M410" s="5"/>
      <c r="N410" s="5"/>
      <c r="O410" s="5"/>
      <c r="P410" s="5"/>
      <c r="Q410" s="5"/>
      <c r="R410" s="5"/>
      <c r="S410" s="5"/>
      <c r="T410" s="5"/>
    </row>
    <row r="411" spans="1:20">
      <c r="A411" s="5"/>
      <c r="B411" s="5"/>
      <c r="C411" s="5"/>
      <c r="D411" s="5"/>
      <c r="E411" s="5"/>
      <c r="F411" s="5"/>
      <c r="G411" s="5"/>
      <c r="H411" s="5"/>
      <c r="I411" s="5"/>
      <c r="J411" s="5"/>
      <c r="K411" s="5"/>
      <c r="L411" s="5"/>
      <c r="M411" s="5"/>
      <c r="N411" s="5"/>
      <c r="O411" s="5"/>
      <c r="P411" s="5"/>
      <c r="Q411" s="5"/>
      <c r="R411" s="5"/>
      <c r="S411" s="5"/>
      <c r="T411" s="5"/>
    </row>
    <row r="412" spans="1:20">
      <c r="A412" s="5"/>
      <c r="B412" s="5"/>
      <c r="C412" s="5"/>
      <c r="D412" s="5"/>
      <c r="E412" s="5"/>
      <c r="F412" s="5"/>
      <c r="G412" s="5"/>
      <c r="H412" s="5"/>
      <c r="I412" s="5"/>
      <c r="J412" s="5"/>
      <c r="K412" s="5"/>
      <c r="L412" s="5"/>
      <c r="M412" s="5"/>
      <c r="N412" s="5"/>
      <c r="O412" s="5"/>
      <c r="P412" s="5"/>
      <c r="Q412" s="5"/>
      <c r="R412" s="5"/>
      <c r="S412" s="5"/>
      <c r="T412" s="5"/>
    </row>
    <row r="413" spans="1:20">
      <c r="A413" s="5"/>
      <c r="B413" s="5"/>
      <c r="C413" s="5"/>
      <c r="D413" s="5"/>
      <c r="E413" s="5"/>
      <c r="F413" s="5"/>
      <c r="G413" s="5"/>
      <c r="H413" s="5"/>
      <c r="I413" s="5"/>
      <c r="J413" s="5"/>
      <c r="K413" s="5"/>
      <c r="L413" s="5"/>
      <c r="M413" s="5"/>
      <c r="N413" s="5"/>
      <c r="O413" s="5"/>
      <c r="P413" s="5"/>
      <c r="Q413" s="5"/>
      <c r="R413" s="5"/>
      <c r="S413" s="5"/>
      <c r="T413" s="5"/>
    </row>
    <row r="414" spans="1:20">
      <c r="A414" s="5"/>
      <c r="B414" s="5"/>
      <c r="C414" s="5"/>
      <c r="D414" s="5"/>
      <c r="E414" s="5"/>
      <c r="F414" s="5"/>
      <c r="G414" s="5"/>
      <c r="H414" s="5"/>
      <c r="I414" s="5"/>
      <c r="J414" s="5"/>
      <c r="K414" s="5"/>
      <c r="L414" s="5"/>
      <c r="M414" s="5"/>
      <c r="N414" s="5"/>
      <c r="O414" s="5"/>
      <c r="P414" s="5"/>
      <c r="Q414" s="5"/>
      <c r="R414" s="5"/>
      <c r="S414" s="5"/>
      <c r="T414" s="5"/>
    </row>
    <row r="415" spans="1:20">
      <c r="A415" s="5"/>
      <c r="B415" s="5"/>
      <c r="C415" s="5"/>
      <c r="D415" s="5"/>
      <c r="E415" s="5"/>
      <c r="F415" s="5"/>
      <c r="G415" s="5"/>
      <c r="H415" s="5"/>
      <c r="I415" s="5"/>
      <c r="J415" s="5"/>
      <c r="K415" s="5"/>
      <c r="L415" s="5"/>
      <c r="M415" s="5"/>
      <c r="N415" s="5"/>
      <c r="O415" s="5"/>
      <c r="P415" s="5"/>
      <c r="Q415" s="5"/>
      <c r="R415" s="5"/>
      <c r="S415" s="5"/>
      <c r="T415" s="5"/>
    </row>
    <row r="416" spans="1:20">
      <c r="A416" s="5"/>
      <c r="B416" s="5"/>
      <c r="C416" s="5"/>
      <c r="D416" s="5"/>
      <c r="E416" s="5"/>
      <c r="F416" s="5"/>
      <c r="G416" s="5"/>
      <c r="H416" s="5"/>
      <c r="I416" s="5"/>
      <c r="J416" s="5"/>
      <c r="K416" s="5"/>
      <c r="L416" s="5"/>
      <c r="M416" s="5"/>
      <c r="N416" s="5"/>
      <c r="O416" s="5"/>
      <c r="P416" s="5"/>
      <c r="Q416" s="5"/>
      <c r="R416" s="5"/>
      <c r="S416" s="5"/>
      <c r="T416" s="5"/>
    </row>
    <row r="417" spans="1:20">
      <c r="A417" s="5"/>
      <c r="B417" s="5"/>
      <c r="C417" s="5"/>
      <c r="D417" s="5"/>
      <c r="E417" s="5"/>
      <c r="F417" s="5"/>
      <c r="G417" s="5"/>
      <c r="H417" s="5"/>
      <c r="I417" s="5"/>
      <c r="J417" s="5"/>
      <c r="K417" s="5"/>
      <c r="L417" s="5"/>
      <c r="M417" s="5"/>
      <c r="N417" s="5"/>
      <c r="O417" s="5"/>
      <c r="P417" s="5"/>
      <c r="Q417" s="5"/>
      <c r="R417" s="5"/>
      <c r="S417" s="5"/>
      <c r="T417" s="5"/>
    </row>
    <row r="418" spans="1:20">
      <c r="A418" s="5"/>
      <c r="B418" s="5"/>
      <c r="C418" s="5"/>
      <c r="D418" s="5"/>
      <c r="E418" s="5"/>
      <c r="F418" s="5"/>
      <c r="G418" s="5"/>
      <c r="H418" s="5"/>
      <c r="I418" s="5"/>
      <c r="J418" s="5"/>
      <c r="K418" s="5"/>
      <c r="L418" s="5"/>
      <c r="M418" s="5"/>
      <c r="N418" s="5"/>
      <c r="O418" s="5"/>
      <c r="P418" s="5"/>
      <c r="Q418" s="5"/>
      <c r="R418" s="5"/>
      <c r="S418" s="5"/>
      <c r="T418" s="5"/>
    </row>
    <row r="419" spans="1:20">
      <c r="A419" s="5"/>
      <c r="B419" s="5"/>
      <c r="C419" s="5"/>
      <c r="D419" s="5"/>
      <c r="E419" s="5"/>
      <c r="F419" s="5"/>
      <c r="G419" s="5"/>
      <c r="H419" s="5"/>
      <c r="I419" s="5"/>
      <c r="J419" s="5"/>
      <c r="K419" s="5"/>
      <c r="L419" s="5"/>
      <c r="M419" s="5"/>
      <c r="N419" s="5"/>
      <c r="O419" s="5"/>
      <c r="P419" s="5"/>
      <c r="Q419" s="5"/>
      <c r="R419" s="5"/>
      <c r="S419" s="5"/>
      <c r="T419" s="5"/>
    </row>
    <row r="420" spans="1:20">
      <c r="A420" s="5"/>
      <c r="B420" s="5"/>
      <c r="C420" s="5"/>
      <c r="D420" s="5"/>
      <c r="E420" s="5"/>
      <c r="F420" s="5"/>
      <c r="G420" s="5"/>
      <c r="H420" s="5"/>
      <c r="I420" s="5"/>
      <c r="J420" s="5"/>
      <c r="K420" s="5"/>
      <c r="L420" s="5"/>
      <c r="M420" s="5"/>
      <c r="N420" s="5"/>
      <c r="O420" s="5"/>
      <c r="P420" s="5"/>
      <c r="Q420" s="5"/>
      <c r="R420" s="5"/>
      <c r="S420" s="5"/>
      <c r="T420" s="5"/>
    </row>
    <row r="421" spans="1:20">
      <c r="A421" s="5"/>
      <c r="B421" s="5"/>
      <c r="C421" s="5"/>
      <c r="D421" s="5"/>
      <c r="E421" s="5"/>
      <c r="F421" s="5"/>
      <c r="G421" s="5"/>
      <c r="H421" s="5"/>
      <c r="I421" s="5"/>
      <c r="J421" s="5"/>
      <c r="K421" s="5"/>
      <c r="L421" s="5"/>
      <c r="M421" s="5"/>
      <c r="N421" s="5"/>
      <c r="O421" s="5"/>
      <c r="P421" s="5"/>
      <c r="Q421" s="5"/>
      <c r="R421" s="5"/>
      <c r="S421" s="5"/>
      <c r="T421" s="5"/>
    </row>
    <row r="422" spans="1:20">
      <c r="A422" s="5"/>
      <c r="B422" s="5"/>
      <c r="C422" s="5"/>
      <c r="D422" s="5"/>
      <c r="E422" s="5"/>
      <c r="F422" s="5"/>
      <c r="G422" s="5"/>
      <c r="H422" s="5"/>
      <c r="I422" s="5"/>
      <c r="J422" s="5"/>
      <c r="K422" s="5"/>
      <c r="L422" s="5"/>
      <c r="M422" s="5"/>
      <c r="N422" s="5"/>
      <c r="O422" s="5"/>
      <c r="P422" s="5"/>
      <c r="Q422" s="5"/>
      <c r="R422" s="5"/>
      <c r="S422" s="5"/>
      <c r="T422" s="5"/>
    </row>
    <row r="423" spans="1:20">
      <c r="A423" s="5"/>
      <c r="B423" s="5"/>
      <c r="C423" s="5"/>
      <c r="D423" s="5"/>
      <c r="E423" s="5"/>
      <c r="F423" s="5"/>
      <c r="G423" s="5"/>
      <c r="H423" s="5"/>
      <c r="I423" s="5"/>
      <c r="J423" s="5"/>
      <c r="K423" s="5"/>
      <c r="L423" s="5"/>
      <c r="M423" s="5"/>
      <c r="N423" s="5"/>
      <c r="O423" s="5"/>
      <c r="P423" s="5"/>
      <c r="Q423" s="5"/>
      <c r="R423" s="5"/>
      <c r="S423" s="5"/>
      <c r="T423" s="5"/>
    </row>
    <row r="424" spans="1:20">
      <c r="A424" s="5"/>
      <c r="B424" s="5"/>
      <c r="C424" s="5"/>
      <c r="D424" s="5"/>
      <c r="E424" s="5"/>
      <c r="F424" s="5"/>
      <c r="G424" s="5"/>
      <c r="H424" s="5"/>
      <c r="I424" s="5"/>
      <c r="J424" s="5"/>
      <c r="K424" s="5"/>
      <c r="L424" s="5"/>
      <c r="M424" s="5"/>
      <c r="N424" s="5"/>
      <c r="O424" s="5"/>
      <c r="P424" s="5"/>
      <c r="Q424" s="5"/>
      <c r="R424" s="5"/>
      <c r="S424" s="5"/>
      <c r="T424" s="5"/>
    </row>
    <row r="425" spans="1:20">
      <c r="A425" s="5"/>
      <c r="B425" s="5"/>
      <c r="C425" s="5"/>
      <c r="D425" s="5"/>
      <c r="E425" s="5"/>
      <c r="F425" s="5"/>
      <c r="G425" s="5"/>
      <c r="H425" s="5"/>
      <c r="I425" s="5"/>
      <c r="J425" s="5"/>
      <c r="K425" s="5"/>
      <c r="L425" s="5"/>
      <c r="M425" s="5"/>
      <c r="N425" s="5"/>
      <c r="O425" s="5"/>
      <c r="P425" s="5"/>
      <c r="Q425" s="5"/>
      <c r="R425" s="5"/>
      <c r="S425" s="5"/>
      <c r="T425" s="5"/>
    </row>
    <row r="426" spans="1:20">
      <c r="A426" s="5"/>
      <c r="B426" s="5"/>
      <c r="C426" s="5"/>
      <c r="D426" s="5"/>
      <c r="E426" s="5"/>
      <c r="F426" s="5"/>
      <c r="G426" s="5"/>
      <c r="H426" s="5"/>
      <c r="I426" s="5"/>
      <c r="J426" s="5"/>
      <c r="K426" s="5"/>
      <c r="L426" s="5"/>
      <c r="M426" s="5"/>
      <c r="N426" s="5"/>
      <c r="O426" s="5"/>
      <c r="P426" s="5"/>
      <c r="Q426" s="5"/>
      <c r="R426" s="5"/>
      <c r="S426" s="5"/>
      <c r="T426" s="5"/>
    </row>
    <row r="427" spans="1:20">
      <c r="A427" s="5"/>
      <c r="B427" s="5"/>
      <c r="C427" s="5"/>
      <c r="D427" s="5"/>
      <c r="E427" s="5"/>
      <c r="F427" s="5"/>
      <c r="G427" s="5"/>
      <c r="H427" s="5"/>
      <c r="I427" s="5"/>
      <c r="J427" s="5"/>
      <c r="K427" s="5"/>
      <c r="L427" s="5"/>
      <c r="M427" s="5"/>
      <c r="N427" s="5"/>
      <c r="O427" s="5"/>
      <c r="P427" s="5"/>
      <c r="Q427" s="5"/>
      <c r="R427" s="5"/>
      <c r="S427" s="5"/>
      <c r="T427" s="5"/>
    </row>
    <row r="428" spans="1:20">
      <c r="A428" s="5"/>
      <c r="B428" s="5"/>
      <c r="C428" s="5"/>
      <c r="D428" s="5"/>
      <c r="E428" s="5"/>
      <c r="F428" s="5"/>
      <c r="G428" s="5"/>
      <c r="H428" s="5"/>
      <c r="I428" s="5"/>
      <c r="J428" s="5"/>
      <c r="K428" s="5"/>
      <c r="L428" s="5"/>
      <c r="M428" s="5"/>
      <c r="N428" s="5"/>
      <c r="O428" s="5"/>
      <c r="P428" s="5"/>
      <c r="Q428" s="5"/>
      <c r="R428" s="5"/>
      <c r="S428" s="5"/>
      <c r="T428" s="5"/>
    </row>
    <row r="429" spans="1:20">
      <c r="A429" s="5"/>
      <c r="B429" s="5"/>
      <c r="C429" s="5"/>
      <c r="D429" s="5"/>
      <c r="E429" s="5"/>
      <c r="F429" s="5"/>
      <c r="G429" s="5"/>
      <c r="H429" s="5"/>
      <c r="I429" s="5"/>
      <c r="J429" s="5"/>
      <c r="K429" s="5"/>
      <c r="L429" s="5"/>
      <c r="M429" s="5"/>
      <c r="N429" s="5"/>
      <c r="O429" s="5"/>
      <c r="P429" s="5"/>
      <c r="Q429" s="5"/>
      <c r="R429" s="5"/>
      <c r="S429" s="5"/>
      <c r="T429" s="5"/>
    </row>
    <row r="430" spans="1:20">
      <c r="A430" s="5"/>
      <c r="B430" s="5"/>
      <c r="C430" s="5"/>
      <c r="D430" s="5"/>
      <c r="E430" s="5"/>
      <c r="F430" s="5"/>
      <c r="G430" s="5"/>
      <c r="H430" s="5"/>
      <c r="I430" s="5"/>
      <c r="J430" s="5"/>
      <c r="K430" s="5"/>
      <c r="L430" s="5"/>
      <c r="M430" s="5"/>
      <c r="N430" s="5"/>
      <c r="O430" s="5"/>
      <c r="P430" s="5"/>
      <c r="Q430" s="5"/>
      <c r="R430" s="5"/>
      <c r="S430" s="5"/>
      <c r="T430" s="5"/>
    </row>
    <row r="431" spans="1:20">
      <c r="A431" s="5"/>
      <c r="B431" s="5"/>
      <c r="C431" s="5"/>
      <c r="D431" s="5"/>
      <c r="E431" s="5"/>
      <c r="F431" s="5"/>
      <c r="G431" s="5"/>
      <c r="H431" s="5"/>
      <c r="I431" s="5"/>
      <c r="J431" s="5"/>
      <c r="K431" s="5"/>
      <c r="L431" s="5"/>
      <c r="M431" s="5"/>
      <c r="N431" s="5"/>
      <c r="O431" s="5"/>
      <c r="P431" s="5"/>
      <c r="Q431" s="5"/>
      <c r="R431" s="5"/>
      <c r="S431" s="5"/>
      <c r="T431" s="5"/>
    </row>
    <row r="432" spans="1:20">
      <c r="A432" s="5"/>
      <c r="B432" s="5"/>
      <c r="C432" s="5"/>
      <c r="D432" s="5"/>
      <c r="E432" s="5"/>
      <c r="F432" s="5"/>
      <c r="G432" s="5"/>
      <c r="H432" s="5"/>
      <c r="I432" s="5"/>
      <c r="J432" s="5"/>
      <c r="K432" s="5"/>
      <c r="L432" s="5"/>
      <c r="M432" s="5"/>
      <c r="N432" s="5"/>
      <c r="O432" s="5"/>
      <c r="P432" s="5"/>
      <c r="Q432" s="5"/>
      <c r="R432" s="5"/>
      <c r="S432" s="5"/>
      <c r="T432" s="5"/>
    </row>
    <row r="433" spans="1:20">
      <c r="A433" s="5"/>
      <c r="B433" s="5"/>
      <c r="C433" s="5"/>
      <c r="D433" s="5"/>
      <c r="E433" s="5"/>
      <c r="F433" s="5"/>
      <c r="G433" s="5"/>
      <c r="H433" s="5"/>
      <c r="I433" s="5"/>
      <c r="J433" s="5"/>
      <c r="K433" s="5"/>
      <c r="L433" s="5"/>
      <c r="M433" s="5"/>
      <c r="N433" s="5"/>
      <c r="O433" s="5"/>
      <c r="P433" s="5"/>
      <c r="Q433" s="5"/>
      <c r="R433" s="5"/>
      <c r="S433" s="5"/>
      <c r="T433" s="5"/>
    </row>
    <row r="434" spans="1:20">
      <c r="A434" s="5"/>
      <c r="B434" s="5"/>
      <c r="C434" s="5"/>
      <c r="D434" s="5"/>
      <c r="E434" s="5"/>
      <c r="F434" s="5"/>
      <c r="G434" s="5"/>
      <c r="H434" s="5"/>
      <c r="I434" s="5"/>
      <c r="J434" s="5"/>
      <c r="K434" s="5"/>
      <c r="L434" s="5"/>
      <c r="M434" s="5"/>
      <c r="N434" s="5"/>
      <c r="O434" s="5"/>
      <c r="P434" s="5"/>
      <c r="Q434" s="5"/>
      <c r="R434" s="5"/>
      <c r="S434" s="5"/>
      <c r="T434" s="5"/>
    </row>
    <row r="435" spans="1:20">
      <c r="A435" s="5"/>
      <c r="B435" s="5"/>
      <c r="C435" s="5"/>
      <c r="D435" s="5"/>
      <c r="E435" s="5"/>
      <c r="F435" s="5"/>
      <c r="G435" s="5"/>
      <c r="H435" s="5"/>
      <c r="I435" s="5"/>
      <c r="J435" s="5"/>
      <c r="K435" s="5"/>
      <c r="L435" s="5"/>
      <c r="M435" s="5"/>
      <c r="N435" s="5"/>
      <c r="O435" s="5"/>
      <c r="P435" s="5"/>
      <c r="Q435" s="5"/>
      <c r="R435" s="5"/>
      <c r="S435" s="5"/>
      <c r="T435" s="5"/>
    </row>
    <row r="436" spans="1:20">
      <c r="A436" s="5"/>
      <c r="B436" s="5"/>
      <c r="C436" s="5"/>
      <c r="D436" s="5"/>
      <c r="E436" s="5"/>
      <c r="F436" s="5"/>
      <c r="G436" s="5"/>
      <c r="H436" s="5"/>
      <c r="I436" s="5"/>
      <c r="J436" s="5"/>
      <c r="K436" s="5"/>
      <c r="L436" s="5"/>
      <c r="M436" s="5"/>
      <c r="N436" s="5"/>
      <c r="O436" s="5"/>
      <c r="P436" s="5"/>
      <c r="Q436" s="5"/>
      <c r="R436" s="5"/>
      <c r="S436" s="5"/>
      <c r="T436" s="5"/>
    </row>
    <row r="437" spans="1:20">
      <c r="A437" s="5"/>
      <c r="B437" s="5"/>
      <c r="C437" s="5"/>
      <c r="D437" s="5"/>
      <c r="E437" s="5"/>
      <c r="F437" s="5"/>
      <c r="G437" s="5"/>
      <c r="H437" s="5"/>
      <c r="I437" s="5"/>
      <c r="J437" s="5"/>
      <c r="K437" s="5"/>
      <c r="L437" s="5"/>
      <c r="M437" s="5"/>
      <c r="N437" s="5"/>
      <c r="O437" s="5"/>
      <c r="P437" s="5"/>
      <c r="Q437" s="5"/>
      <c r="R437" s="5"/>
      <c r="S437" s="5"/>
      <c r="T437" s="5"/>
    </row>
    <row r="438" spans="1:20">
      <c r="A438" s="5"/>
      <c r="B438" s="5"/>
      <c r="C438" s="5"/>
      <c r="D438" s="5"/>
      <c r="E438" s="5"/>
      <c r="F438" s="5"/>
      <c r="G438" s="5"/>
      <c r="H438" s="5"/>
      <c r="I438" s="5"/>
      <c r="J438" s="5"/>
      <c r="K438" s="5"/>
      <c r="L438" s="5"/>
      <c r="M438" s="5"/>
      <c r="N438" s="5"/>
      <c r="O438" s="5"/>
      <c r="P438" s="5"/>
      <c r="Q438" s="5"/>
      <c r="R438" s="5"/>
      <c r="S438" s="5"/>
      <c r="T438" s="5"/>
    </row>
    <row r="439" spans="1:20">
      <c r="A439" s="5"/>
      <c r="B439" s="5"/>
      <c r="C439" s="5"/>
      <c r="D439" s="5"/>
      <c r="E439" s="5"/>
      <c r="F439" s="5"/>
      <c r="G439" s="5"/>
      <c r="H439" s="5"/>
      <c r="I439" s="5"/>
      <c r="J439" s="5"/>
      <c r="K439" s="5"/>
      <c r="L439" s="5"/>
      <c r="M439" s="5"/>
      <c r="N439" s="5"/>
      <c r="O439" s="5"/>
      <c r="P439" s="5"/>
      <c r="Q439" s="5"/>
      <c r="R439" s="5"/>
      <c r="S439" s="5"/>
      <c r="T439" s="5"/>
    </row>
    <row r="440" spans="1:20">
      <c r="A440" s="5"/>
      <c r="B440" s="5"/>
      <c r="C440" s="5"/>
      <c r="D440" s="5"/>
      <c r="E440" s="5"/>
      <c r="F440" s="5"/>
      <c r="G440" s="5"/>
      <c r="H440" s="5"/>
      <c r="I440" s="5"/>
      <c r="J440" s="5"/>
      <c r="K440" s="5"/>
      <c r="L440" s="5"/>
      <c r="M440" s="5"/>
      <c r="N440" s="5"/>
      <c r="O440" s="5"/>
      <c r="P440" s="5"/>
      <c r="Q440" s="5"/>
      <c r="R440" s="5"/>
      <c r="S440" s="5"/>
      <c r="T440" s="5"/>
    </row>
    <row r="441" spans="1:20">
      <c r="A441" s="5"/>
      <c r="B441" s="5"/>
      <c r="C441" s="5"/>
      <c r="D441" s="5"/>
      <c r="E441" s="5"/>
      <c r="F441" s="5"/>
      <c r="G441" s="5"/>
      <c r="H441" s="5"/>
      <c r="I441" s="5"/>
      <c r="J441" s="5"/>
      <c r="K441" s="5"/>
      <c r="L441" s="5"/>
      <c r="M441" s="5"/>
      <c r="N441" s="5"/>
      <c r="O441" s="5"/>
      <c r="P441" s="5"/>
      <c r="Q441" s="5"/>
      <c r="R441" s="5"/>
      <c r="S441" s="5"/>
      <c r="T441" s="5"/>
    </row>
    <row r="442" spans="1:20">
      <c r="A442" s="5"/>
      <c r="B442" s="5"/>
      <c r="C442" s="5"/>
      <c r="D442" s="5"/>
      <c r="E442" s="5"/>
      <c r="F442" s="5"/>
      <c r="G442" s="5"/>
      <c r="H442" s="5"/>
      <c r="I442" s="5"/>
      <c r="J442" s="5"/>
      <c r="K442" s="5"/>
      <c r="L442" s="5"/>
      <c r="M442" s="5"/>
      <c r="N442" s="5"/>
      <c r="O442" s="5"/>
      <c r="P442" s="5"/>
      <c r="Q442" s="5"/>
      <c r="R442" s="5"/>
      <c r="S442" s="5"/>
      <c r="T442" s="5"/>
    </row>
    <row r="443" spans="1:20">
      <c r="A443" s="5"/>
      <c r="B443" s="5"/>
      <c r="C443" s="5"/>
      <c r="D443" s="5"/>
      <c r="E443" s="5"/>
      <c r="F443" s="5"/>
      <c r="G443" s="5"/>
      <c r="H443" s="5"/>
      <c r="I443" s="5"/>
      <c r="J443" s="5"/>
      <c r="K443" s="5"/>
      <c r="L443" s="5"/>
      <c r="M443" s="5"/>
      <c r="N443" s="5"/>
      <c r="O443" s="5"/>
      <c r="P443" s="5"/>
      <c r="Q443" s="5"/>
      <c r="R443" s="5"/>
      <c r="S443" s="5"/>
      <c r="T443" s="5"/>
    </row>
    <row r="444" spans="1:20">
      <c r="A444" s="5"/>
      <c r="B444" s="5"/>
      <c r="C444" s="5"/>
      <c r="D444" s="5"/>
      <c r="E444" s="5"/>
      <c r="F444" s="5"/>
      <c r="G444" s="5"/>
      <c r="H444" s="5"/>
      <c r="I444" s="5"/>
      <c r="J444" s="5"/>
      <c r="K444" s="5"/>
      <c r="L444" s="5"/>
      <c r="M444" s="5"/>
      <c r="N444" s="5"/>
      <c r="O444" s="5"/>
      <c r="P444" s="5"/>
      <c r="Q444" s="5"/>
      <c r="R444" s="5"/>
      <c r="S444" s="5"/>
      <c r="T444" s="5"/>
    </row>
    <row r="445" spans="1:20">
      <c r="A445" s="5"/>
      <c r="B445" s="5"/>
      <c r="C445" s="5"/>
      <c r="D445" s="5"/>
      <c r="E445" s="5"/>
      <c r="F445" s="5"/>
      <c r="G445" s="5"/>
      <c r="H445" s="5"/>
      <c r="I445" s="5"/>
      <c r="J445" s="5"/>
      <c r="K445" s="5"/>
      <c r="L445" s="5"/>
      <c r="M445" s="5"/>
      <c r="N445" s="5"/>
      <c r="O445" s="5"/>
      <c r="P445" s="5"/>
      <c r="Q445" s="5"/>
      <c r="R445" s="5"/>
      <c r="S445" s="5"/>
      <c r="T445" s="5"/>
    </row>
    <row r="446" spans="1:20">
      <c r="A446" s="5"/>
      <c r="B446" s="5"/>
      <c r="C446" s="5"/>
      <c r="D446" s="5"/>
      <c r="E446" s="5"/>
      <c r="F446" s="5"/>
      <c r="G446" s="5"/>
      <c r="H446" s="5"/>
      <c r="I446" s="5"/>
      <c r="J446" s="5"/>
      <c r="K446" s="5"/>
      <c r="L446" s="5"/>
      <c r="M446" s="5"/>
      <c r="N446" s="5"/>
      <c r="O446" s="5"/>
      <c r="P446" s="5"/>
      <c r="Q446" s="5"/>
      <c r="R446" s="5"/>
      <c r="S446" s="5"/>
      <c r="T446" s="5"/>
    </row>
    <row r="447" spans="1:20">
      <c r="A447" s="5"/>
      <c r="B447" s="5"/>
      <c r="C447" s="5"/>
      <c r="D447" s="5"/>
      <c r="E447" s="5"/>
      <c r="F447" s="5"/>
      <c r="G447" s="5"/>
      <c r="H447" s="5"/>
      <c r="I447" s="5"/>
      <c r="J447" s="5"/>
      <c r="K447" s="5"/>
      <c r="L447" s="5"/>
      <c r="M447" s="5"/>
      <c r="N447" s="5"/>
      <c r="O447" s="5"/>
      <c r="P447" s="5"/>
      <c r="Q447" s="5"/>
      <c r="R447" s="5"/>
      <c r="S447" s="5"/>
      <c r="T447" s="5"/>
    </row>
    <row r="448" spans="1:20">
      <c r="A448" s="5"/>
      <c r="B448" s="5"/>
      <c r="C448" s="5"/>
      <c r="D448" s="5"/>
      <c r="E448" s="5"/>
      <c r="F448" s="5"/>
      <c r="G448" s="5"/>
      <c r="H448" s="5"/>
      <c r="I448" s="5"/>
      <c r="J448" s="5"/>
      <c r="K448" s="5"/>
      <c r="L448" s="5"/>
      <c r="M448" s="5"/>
      <c r="N448" s="5"/>
      <c r="O448" s="5"/>
      <c r="P448" s="5"/>
      <c r="Q448" s="5"/>
      <c r="R448" s="5"/>
      <c r="S448" s="5"/>
      <c r="T448" s="5"/>
    </row>
    <row r="449" spans="1:20">
      <c r="A449" s="5"/>
      <c r="B449" s="5"/>
      <c r="C449" s="5"/>
      <c r="D449" s="5"/>
      <c r="E449" s="5"/>
      <c r="F449" s="5"/>
      <c r="G449" s="5"/>
      <c r="H449" s="5"/>
      <c r="I449" s="5"/>
      <c r="J449" s="5"/>
      <c r="K449" s="5"/>
      <c r="L449" s="5"/>
      <c r="M449" s="5"/>
      <c r="N449" s="5"/>
      <c r="O449" s="5"/>
      <c r="P449" s="5"/>
      <c r="Q449" s="5"/>
      <c r="R449" s="5"/>
      <c r="S449" s="5"/>
      <c r="T449" s="5"/>
    </row>
    <row r="450" spans="1:20">
      <c r="A450" s="5"/>
      <c r="B450" s="5"/>
      <c r="C450" s="5"/>
      <c r="D450" s="5"/>
      <c r="E450" s="5"/>
      <c r="F450" s="5"/>
      <c r="G450" s="5"/>
      <c r="H450" s="5"/>
      <c r="I450" s="5"/>
      <c r="J450" s="5"/>
      <c r="K450" s="5"/>
      <c r="L450" s="5"/>
      <c r="M450" s="5"/>
      <c r="N450" s="5"/>
      <c r="O450" s="5"/>
      <c r="P450" s="5"/>
      <c r="Q450" s="5"/>
      <c r="R450" s="5"/>
      <c r="S450" s="5"/>
      <c r="T450" s="5"/>
    </row>
    <row r="451" spans="1:20">
      <c r="A451" s="5"/>
      <c r="B451" s="5"/>
      <c r="C451" s="5"/>
      <c r="D451" s="5"/>
      <c r="E451" s="5"/>
      <c r="F451" s="5"/>
      <c r="G451" s="5"/>
      <c r="H451" s="5"/>
      <c r="I451" s="5"/>
      <c r="J451" s="5"/>
      <c r="K451" s="5"/>
      <c r="L451" s="5"/>
      <c r="M451" s="5"/>
      <c r="N451" s="5"/>
      <c r="O451" s="5"/>
      <c r="P451" s="5"/>
      <c r="Q451" s="5"/>
      <c r="R451" s="5"/>
      <c r="S451" s="5"/>
      <c r="T451" s="5"/>
    </row>
    <row r="452" spans="1:20">
      <c r="A452" s="5"/>
      <c r="B452" s="5"/>
      <c r="C452" s="5"/>
      <c r="D452" s="5"/>
      <c r="E452" s="5"/>
      <c r="F452" s="5"/>
      <c r="G452" s="5"/>
      <c r="H452" s="5"/>
      <c r="I452" s="5"/>
      <c r="J452" s="5"/>
      <c r="K452" s="5"/>
      <c r="L452" s="5"/>
      <c r="M452" s="5"/>
      <c r="N452" s="5"/>
      <c r="O452" s="5"/>
      <c r="P452" s="5"/>
      <c r="Q452" s="5"/>
      <c r="R452" s="5"/>
      <c r="S452" s="5"/>
      <c r="T452" s="5"/>
    </row>
    <row r="453" spans="1:20">
      <c r="A453" s="5"/>
      <c r="B453" s="5"/>
      <c r="C453" s="5"/>
      <c r="D453" s="5"/>
      <c r="E453" s="5"/>
      <c r="F453" s="5"/>
      <c r="G453" s="5"/>
      <c r="H453" s="5"/>
      <c r="I453" s="5"/>
      <c r="J453" s="5"/>
      <c r="K453" s="5"/>
      <c r="L453" s="5"/>
      <c r="M453" s="5"/>
      <c r="N453" s="5"/>
      <c r="O453" s="5"/>
      <c r="P453" s="5"/>
      <c r="Q453" s="5"/>
      <c r="R453" s="5"/>
      <c r="S453" s="5"/>
      <c r="T453" s="5"/>
    </row>
    <row r="454" spans="1:20">
      <c r="A454" s="5"/>
      <c r="B454" s="5"/>
      <c r="C454" s="5"/>
      <c r="D454" s="5"/>
      <c r="E454" s="5"/>
      <c r="F454" s="5"/>
      <c r="G454" s="5"/>
      <c r="H454" s="5"/>
      <c r="I454" s="5"/>
      <c r="J454" s="5"/>
      <c r="K454" s="5"/>
      <c r="L454" s="5"/>
      <c r="M454" s="5"/>
      <c r="N454" s="5"/>
      <c r="O454" s="5"/>
      <c r="P454" s="5"/>
      <c r="Q454" s="5"/>
      <c r="R454" s="5"/>
      <c r="S454" s="5"/>
      <c r="T454" s="5"/>
    </row>
    <row r="455" spans="1:20">
      <c r="A455" s="5"/>
      <c r="B455" s="5"/>
      <c r="C455" s="5"/>
      <c r="D455" s="5"/>
      <c r="E455" s="5"/>
      <c r="F455" s="5"/>
      <c r="G455" s="5"/>
      <c r="H455" s="5"/>
      <c r="I455" s="5"/>
      <c r="J455" s="5"/>
      <c r="K455" s="5"/>
      <c r="L455" s="5"/>
      <c r="M455" s="5"/>
      <c r="N455" s="5"/>
      <c r="O455" s="5"/>
      <c r="P455" s="5"/>
      <c r="Q455" s="5"/>
      <c r="R455" s="5"/>
      <c r="S455" s="5"/>
      <c r="T455" s="5"/>
    </row>
    <row r="456" spans="1:20">
      <c r="A456" s="5"/>
      <c r="B456" s="5"/>
      <c r="C456" s="5"/>
      <c r="D456" s="5"/>
      <c r="E456" s="5"/>
      <c r="F456" s="5"/>
      <c r="G456" s="5"/>
      <c r="H456" s="5"/>
      <c r="I456" s="5"/>
      <c r="J456" s="5"/>
      <c r="K456" s="5"/>
      <c r="L456" s="5"/>
      <c r="M456" s="5"/>
      <c r="N456" s="5"/>
      <c r="O456" s="5"/>
      <c r="P456" s="5"/>
      <c r="Q456" s="5"/>
      <c r="R456" s="5"/>
      <c r="S456" s="5"/>
      <c r="T456" s="5"/>
    </row>
    <row r="457" spans="1:20">
      <c r="A457" s="5"/>
      <c r="B457" s="5"/>
      <c r="C457" s="5"/>
      <c r="D457" s="5"/>
      <c r="E457" s="5"/>
      <c r="F457" s="5"/>
      <c r="G457" s="5"/>
      <c r="H457" s="5"/>
      <c r="I457" s="5"/>
      <c r="J457" s="5"/>
      <c r="K457" s="5"/>
      <c r="L457" s="5"/>
      <c r="M457" s="5"/>
      <c r="N457" s="5"/>
      <c r="O457" s="5"/>
      <c r="P457" s="5"/>
      <c r="Q457" s="5"/>
      <c r="R457" s="5"/>
      <c r="S457" s="5"/>
      <c r="T457" s="5"/>
    </row>
    <row r="458" spans="1:20">
      <c r="A458" s="5"/>
      <c r="B458" s="5"/>
      <c r="C458" s="5"/>
      <c r="D458" s="5"/>
      <c r="E458" s="5"/>
      <c r="F458" s="5"/>
      <c r="G458" s="5"/>
      <c r="H458" s="5"/>
      <c r="I458" s="5"/>
      <c r="J458" s="5"/>
      <c r="K458" s="5"/>
      <c r="L458" s="5"/>
      <c r="M458" s="5"/>
      <c r="N458" s="5"/>
      <c r="O458" s="5"/>
      <c r="P458" s="5"/>
      <c r="Q458" s="5"/>
      <c r="R458" s="5"/>
      <c r="S458" s="5"/>
      <c r="T458" s="5"/>
    </row>
    <row r="459" spans="1:20">
      <c r="A459" s="5"/>
      <c r="B459" s="5"/>
      <c r="C459" s="5"/>
      <c r="D459" s="5"/>
      <c r="E459" s="5"/>
      <c r="F459" s="5"/>
      <c r="G459" s="5"/>
      <c r="H459" s="5"/>
      <c r="I459" s="5"/>
      <c r="J459" s="5"/>
      <c r="K459" s="5"/>
      <c r="L459" s="5"/>
      <c r="M459" s="5"/>
      <c r="N459" s="5"/>
      <c r="O459" s="5"/>
      <c r="P459" s="5"/>
      <c r="Q459" s="5"/>
      <c r="R459" s="5"/>
      <c r="S459" s="5"/>
      <c r="T459" s="5"/>
    </row>
    <row r="460" spans="1:20">
      <c r="A460" s="5"/>
      <c r="B460" s="5"/>
      <c r="C460" s="5"/>
      <c r="D460" s="5"/>
      <c r="E460" s="5"/>
      <c r="F460" s="5"/>
      <c r="G460" s="5"/>
      <c r="H460" s="5"/>
      <c r="I460" s="5"/>
      <c r="J460" s="5"/>
      <c r="K460" s="5"/>
      <c r="L460" s="5"/>
      <c r="M460" s="5"/>
      <c r="N460" s="5"/>
      <c r="O460" s="5"/>
      <c r="P460" s="5"/>
      <c r="Q460" s="5"/>
      <c r="R460" s="5"/>
      <c r="S460" s="5"/>
      <c r="T460" s="5"/>
    </row>
    <row r="461" spans="1:20">
      <c r="A461" s="5"/>
      <c r="B461" s="5"/>
      <c r="C461" s="5"/>
      <c r="D461" s="5"/>
      <c r="E461" s="5"/>
      <c r="F461" s="5"/>
      <c r="G461" s="5"/>
      <c r="H461" s="5"/>
      <c r="I461" s="5"/>
      <c r="J461" s="5"/>
      <c r="K461" s="5"/>
      <c r="L461" s="5"/>
      <c r="M461" s="5"/>
      <c r="N461" s="5"/>
      <c r="O461" s="5"/>
      <c r="P461" s="5"/>
      <c r="Q461" s="5"/>
      <c r="R461" s="5"/>
      <c r="S461" s="5"/>
      <c r="T461" s="5"/>
    </row>
    <row r="462" spans="1:20">
      <c r="A462" s="5"/>
      <c r="B462" s="5"/>
      <c r="C462" s="5"/>
      <c r="D462" s="5"/>
      <c r="E462" s="5"/>
      <c r="F462" s="5"/>
      <c r="G462" s="5"/>
      <c r="H462" s="5"/>
      <c r="I462" s="5"/>
      <c r="J462" s="5"/>
      <c r="K462" s="5"/>
      <c r="L462" s="5"/>
      <c r="M462" s="5"/>
      <c r="N462" s="5"/>
      <c r="O462" s="5"/>
      <c r="P462" s="5"/>
      <c r="Q462" s="5"/>
      <c r="R462" s="5"/>
      <c r="S462" s="5"/>
      <c r="T462" s="5"/>
    </row>
    <row r="463" spans="1:20">
      <c r="A463" s="5"/>
      <c r="B463" s="5"/>
      <c r="C463" s="5"/>
      <c r="D463" s="5"/>
      <c r="E463" s="5"/>
      <c r="F463" s="5"/>
      <c r="G463" s="5"/>
      <c r="H463" s="5"/>
      <c r="I463" s="5"/>
      <c r="J463" s="5"/>
      <c r="K463" s="5"/>
      <c r="L463" s="5"/>
      <c r="M463" s="5"/>
      <c r="N463" s="5"/>
      <c r="O463" s="5"/>
      <c r="P463" s="5"/>
      <c r="Q463" s="5"/>
      <c r="R463" s="5"/>
      <c r="S463" s="5"/>
      <c r="T463" s="5"/>
    </row>
    <row r="464" spans="1:20">
      <c r="A464" s="5"/>
      <c r="B464" s="5"/>
      <c r="C464" s="5"/>
      <c r="D464" s="5"/>
      <c r="E464" s="5"/>
      <c r="F464" s="5"/>
      <c r="G464" s="5"/>
      <c r="H464" s="5"/>
      <c r="I464" s="5"/>
      <c r="J464" s="5"/>
      <c r="K464" s="5"/>
      <c r="L464" s="5"/>
      <c r="M464" s="5"/>
      <c r="N464" s="5"/>
      <c r="O464" s="5"/>
      <c r="P464" s="5"/>
      <c r="Q464" s="5"/>
      <c r="R464" s="5"/>
      <c r="S464" s="5"/>
      <c r="T464" s="5"/>
    </row>
    <row r="465" spans="1:20">
      <c r="A465" s="5"/>
      <c r="B465" s="5"/>
      <c r="C465" s="5"/>
      <c r="D465" s="5"/>
      <c r="E465" s="5"/>
      <c r="F465" s="5"/>
      <c r="G465" s="5"/>
      <c r="H465" s="5"/>
      <c r="I465" s="5"/>
      <c r="J465" s="5"/>
      <c r="K465" s="5"/>
      <c r="L465" s="5"/>
      <c r="M465" s="5"/>
      <c r="N465" s="5"/>
      <c r="O465" s="5"/>
      <c r="P465" s="5"/>
      <c r="Q465" s="5"/>
      <c r="R465" s="5"/>
      <c r="S465" s="5"/>
      <c r="T465" s="5"/>
    </row>
    <row r="466" spans="1:20">
      <c r="A466" s="5"/>
      <c r="B466" s="5"/>
      <c r="C466" s="5"/>
      <c r="D466" s="5"/>
      <c r="E466" s="5"/>
      <c r="F466" s="5"/>
      <c r="G466" s="5"/>
      <c r="H466" s="5"/>
      <c r="I466" s="5"/>
      <c r="J466" s="5"/>
      <c r="K466" s="5"/>
      <c r="L466" s="5"/>
      <c r="M466" s="5"/>
      <c r="N466" s="5"/>
      <c r="O466" s="5"/>
      <c r="P466" s="5"/>
      <c r="Q466" s="5"/>
      <c r="R466" s="5"/>
      <c r="S466" s="5"/>
      <c r="T466" s="5"/>
    </row>
    <row r="467" spans="1:20">
      <c r="A467" s="5"/>
      <c r="B467" s="5"/>
      <c r="C467" s="5"/>
      <c r="D467" s="5"/>
      <c r="E467" s="5"/>
      <c r="F467" s="5"/>
      <c r="G467" s="5"/>
      <c r="H467" s="5"/>
      <c r="I467" s="5"/>
      <c r="J467" s="5"/>
      <c r="K467" s="5"/>
      <c r="L467" s="5"/>
      <c r="M467" s="5"/>
      <c r="N467" s="5"/>
      <c r="O467" s="5"/>
      <c r="P467" s="5"/>
      <c r="Q467" s="5"/>
      <c r="R467" s="5"/>
      <c r="S467" s="5"/>
      <c r="T467" s="5"/>
    </row>
    <row r="468" spans="1:20">
      <c r="A468" s="5"/>
      <c r="B468" s="5"/>
      <c r="C468" s="5"/>
      <c r="D468" s="5"/>
      <c r="E468" s="5"/>
      <c r="F468" s="5"/>
      <c r="G468" s="5"/>
      <c r="H468" s="5"/>
      <c r="I468" s="5"/>
      <c r="J468" s="5"/>
      <c r="K468" s="5"/>
      <c r="L468" s="5"/>
      <c r="M468" s="5"/>
      <c r="N468" s="5"/>
      <c r="O468" s="5"/>
      <c r="P468" s="5"/>
      <c r="Q468" s="5"/>
      <c r="R468" s="5"/>
      <c r="S468" s="5"/>
      <c r="T468" s="5"/>
    </row>
    <row r="469" spans="1:20">
      <c r="A469" s="5"/>
      <c r="B469" s="5"/>
      <c r="C469" s="5"/>
      <c r="D469" s="5"/>
      <c r="E469" s="5"/>
      <c r="F469" s="5"/>
      <c r="G469" s="5"/>
      <c r="H469" s="5"/>
      <c r="I469" s="5"/>
      <c r="J469" s="5"/>
      <c r="K469" s="5"/>
      <c r="L469" s="5"/>
      <c r="M469" s="5"/>
      <c r="N469" s="5"/>
      <c r="O469" s="5"/>
      <c r="P469" s="5"/>
      <c r="Q469" s="5"/>
      <c r="R469" s="5"/>
      <c r="S469" s="5"/>
      <c r="T469" s="5"/>
    </row>
    <row r="470" spans="1:20">
      <c r="A470" s="5"/>
      <c r="B470" s="5"/>
      <c r="C470" s="5"/>
      <c r="D470" s="5"/>
      <c r="E470" s="5"/>
      <c r="F470" s="5"/>
      <c r="G470" s="5"/>
      <c r="H470" s="5"/>
      <c r="I470" s="5"/>
      <c r="J470" s="5"/>
      <c r="K470" s="5"/>
      <c r="L470" s="5"/>
      <c r="M470" s="5"/>
      <c r="N470" s="5"/>
      <c r="O470" s="5"/>
      <c r="P470" s="5"/>
      <c r="Q470" s="5"/>
      <c r="R470" s="5"/>
      <c r="S470" s="5"/>
      <c r="T470" s="5"/>
    </row>
    <row r="471" spans="1:20">
      <c r="A471" s="5"/>
      <c r="B471" s="5"/>
      <c r="C471" s="5"/>
      <c r="D471" s="5"/>
      <c r="E471" s="5"/>
      <c r="F471" s="5"/>
      <c r="G471" s="5"/>
      <c r="H471" s="5"/>
      <c r="I471" s="5"/>
      <c r="J471" s="5"/>
      <c r="K471" s="5"/>
      <c r="L471" s="5"/>
      <c r="M471" s="5"/>
      <c r="N471" s="5"/>
      <c r="O471" s="5"/>
      <c r="P471" s="5"/>
      <c r="Q471" s="5"/>
      <c r="R471" s="5"/>
      <c r="S471" s="5"/>
      <c r="T471" s="5"/>
    </row>
    <row r="472" spans="1:20">
      <c r="A472" s="5"/>
      <c r="B472" s="5"/>
      <c r="C472" s="5"/>
      <c r="D472" s="5"/>
      <c r="E472" s="5"/>
      <c r="F472" s="5"/>
      <c r="G472" s="5"/>
      <c r="H472" s="5"/>
      <c r="I472" s="5"/>
      <c r="J472" s="5"/>
      <c r="K472" s="5"/>
      <c r="L472" s="5"/>
      <c r="M472" s="5"/>
      <c r="N472" s="5"/>
      <c r="O472" s="5"/>
      <c r="P472" s="5"/>
      <c r="Q472" s="5"/>
      <c r="R472" s="5"/>
      <c r="S472" s="5"/>
      <c r="T472" s="5"/>
    </row>
    <row r="473" spans="1:20">
      <c r="A473" s="5"/>
      <c r="B473" s="5"/>
      <c r="C473" s="5"/>
      <c r="D473" s="5"/>
      <c r="E473" s="5"/>
      <c r="F473" s="5"/>
      <c r="G473" s="5"/>
      <c r="H473" s="5"/>
      <c r="I473" s="5"/>
      <c r="J473" s="5"/>
      <c r="K473" s="5"/>
      <c r="L473" s="5"/>
      <c r="M473" s="5"/>
      <c r="N473" s="5"/>
      <c r="O473" s="5"/>
      <c r="P473" s="5"/>
      <c r="Q473" s="5"/>
      <c r="R473" s="5"/>
      <c r="S473" s="5"/>
      <c r="T473" s="5"/>
    </row>
    <row r="474" spans="1:20">
      <c r="A474" s="5"/>
      <c r="B474" s="5"/>
      <c r="C474" s="5"/>
      <c r="D474" s="5"/>
      <c r="E474" s="5"/>
      <c r="F474" s="5"/>
      <c r="G474" s="5"/>
      <c r="H474" s="5"/>
      <c r="I474" s="5"/>
      <c r="J474" s="5"/>
      <c r="K474" s="5"/>
      <c r="L474" s="5"/>
      <c r="M474" s="5"/>
      <c r="N474" s="5"/>
      <c r="O474" s="5"/>
      <c r="P474" s="5"/>
      <c r="Q474" s="5"/>
      <c r="R474" s="5"/>
      <c r="S474" s="5"/>
      <c r="T474" s="5"/>
    </row>
    <row r="475" spans="1:20">
      <c r="A475" s="5"/>
      <c r="B475" s="5"/>
      <c r="C475" s="5"/>
      <c r="D475" s="5"/>
      <c r="E475" s="5"/>
      <c r="F475" s="5"/>
      <c r="G475" s="5"/>
      <c r="H475" s="5"/>
      <c r="I475" s="5"/>
      <c r="J475" s="5"/>
      <c r="K475" s="5"/>
      <c r="L475" s="5"/>
      <c r="M475" s="5"/>
      <c r="N475" s="5"/>
      <c r="O475" s="5"/>
      <c r="P475" s="5"/>
      <c r="Q475" s="5"/>
      <c r="R475" s="5"/>
      <c r="S475" s="5"/>
      <c r="T475" s="5"/>
    </row>
    <row r="476" spans="1:20">
      <c r="A476" s="5"/>
      <c r="B476" s="5"/>
      <c r="C476" s="5"/>
      <c r="D476" s="5"/>
      <c r="E476" s="5"/>
      <c r="F476" s="5"/>
      <c r="G476" s="5"/>
      <c r="H476" s="5"/>
      <c r="I476" s="5"/>
      <c r="J476" s="5"/>
      <c r="K476" s="5"/>
      <c r="L476" s="5"/>
      <c r="M476" s="5"/>
      <c r="N476" s="5"/>
      <c r="O476" s="5"/>
      <c r="P476" s="5"/>
      <c r="Q476" s="5"/>
      <c r="R476" s="5"/>
      <c r="S476" s="5"/>
      <c r="T476" s="5"/>
    </row>
    <row r="477" spans="1:20">
      <c r="A477" s="5"/>
      <c r="B477" s="5"/>
      <c r="C477" s="5"/>
      <c r="D477" s="5"/>
      <c r="E477" s="5"/>
      <c r="F477" s="5"/>
      <c r="G477" s="5"/>
      <c r="H477" s="5"/>
      <c r="I477" s="5"/>
      <c r="J477" s="5"/>
      <c r="K477" s="5"/>
      <c r="L477" s="5"/>
      <c r="M477" s="5"/>
      <c r="N477" s="5"/>
      <c r="O477" s="5"/>
      <c r="P477" s="5"/>
      <c r="Q477" s="5"/>
      <c r="R477" s="5"/>
      <c r="S477" s="5"/>
      <c r="T477" s="5"/>
    </row>
    <row r="478" spans="1:20">
      <c r="A478" s="5"/>
      <c r="B478" s="5"/>
      <c r="C478" s="5"/>
      <c r="D478" s="5"/>
      <c r="E478" s="5"/>
      <c r="F478" s="5"/>
      <c r="G478" s="5"/>
      <c r="H478" s="5"/>
      <c r="I478" s="5"/>
      <c r="J478" s="5"/>
      <c r="K478" s="5"/>
      <c r="L478" s="5"/>
      <c r="M478" s="5"/>
      <c r="N478" s="5"/>
      <c r="O478" s="5"/>
      <c r="P478" s="5"/>
      <c r="Q478" s="5"/>
      <c r="R478" s="5"/>
      <c r="S478" s="5"/>
      <c r="T478" s="5"/>
    </row>
    <row r="479" spans="1:20">
      <c r="A479" s="5"/>
      <c r="B479" s="5"/>
      <c r="C479" s="5"/>
      <c r="D479" s="5"/>
      <c r="E479" s="5"/>
      <c r="F479" s="5"/>
      <c r="G479" s="5"/>
      <c r="H479" s="5"/>
      <c r="I479" s="5"/>
      <c r="J479" s="5"/>
      <c r="K479" s="5"/>
      <c r="L479" s="5"/>
      <c r="M479" s="5"/>
      <c r="N479" s="5"/>
      <c r="O479" s="5"/>
      <c r="P479" s="5"/>
      <c r="Q479" s="5"/>
      <c r="R479" s="5"/>
      <c r="S479" s="5"/>
      <c r="T479" s="5"/>
    </row>
    <row r="480" spans="1:20">
      <c r="A480" s="5"/>
      <c r="B480" s="5"/>
      <c r="C480" s="5"/>
      <c r="D480" s="5"/>
      <c r="E480" s="5"/>
      <c r="F480" s="5"/>
      <c r="G480" s="5"/>
      <c r="H480" s="5"/>
      <c r="I480" s="5"/>
      <c r="J480" s="5"/>
      <c r="K480" s="5"/>
      <c r="L480" s="5"/>
      <c r="M480" s="5"/>
      <c r="N480" s="5"/>
      <c r="O480" s="5"/>
      <c r="P480" s="5"/>
      <c r="Q480" s="5"/>
      <c r="R480" s="5"/>
      <c r="S480" s="5"/>
      <c r="T480" s="5"/>
    </row>
    <row r="481" spans="1:20">
      <c r="A481" s="5"/>
      <c r="B481" s="5"/>
      <c r="C481" s="5"/>
      <c r="D481" s="5"/>
      <c r="E481" s="5"/>
      <c r="F481" s="5"/>
      <c r="G481" s="5"/>
      <c r="H481" s="5"/>
      <c r="I481" s="5"/>
      <c r="J481" s="5"/>
      <c r="K481" s="5"/>
      <c r="L481" s="5"/>
      <c r="M481" s="5"/>
      <c r="N481" s="5"/>
      <c r="O481" s="5"/>
      <c r="P481" s="5"/>
      <c r="Q481" s="5"/>
      <c r="R481" s="5"/>
      <c r="S481" s="5"/>
      <c r="T481" s="5"/>
    </row>
    <row r="482" spans="1:20">
      <c r="A482" s="5"/>
      <c r="B482" s="5"/>
      <c r="C482" s="5"/>
      <c r="D482" s="5"/>
      <c r="E482" s="5"/>
      <c r="F482" s="5"/>
      <c r="G482" s="5"/>
      <c r="H482" s="5"/>
      <c r="I482" s="5"/>
      <c r="J482" s="5"/>
      <c r="K482" s="5"/>
      <c r="L482" s="5"/>
      <c r="M482" s="5"/>
      <c r="N482" s="5"/>
      <c r="O482" s="5"/>
      <c r="P482" s="5"/>
      <c r="Q482" s="5"/>
      <c r="R482" s="5"/>
      <c r="S482" s="5"/>
      <c r="T482" s="5"/>
    </row>
    <row r="483" spans="1:20">
      <c r="A483" s="5"/>
      <c r="B483" s="5"/>
      <c r="C483" s="5"/>
      <c r="D483" s="5"/>
      <c r="E483" s="5"/>
      <c r="F483" s="5"/>
      <c r="G483" s="5"/>
      <c r="H483" s="5"/>
      <c r="I483" s="5"/>
      <c r="J483" s="5"/>
      <c r="K483" s="5"/>
      <c r="L483" s="5"/>
      <c r="M483" s="5"/>
      <c r="N483" s="5"/>
      <c r="O483" s="5"/>
      <c r="P483" s="5"/>
      <c r="Q483" s="5"/>
      <c r="R483" s="5"/>
      <c r="S483" s="5"/>
      <c r="T483" s="5"/>
    </row>
    <row r="484" spans="1:20">
      <c r="A484" s="5"/>
      <c r="B484" s="5"/>
      <c r="C484" s="5"/>
      <c r="D484" s="5"/>
      <c r="E484" s="5"/>
      <c r="F484" s="5"/>
      <c r="G484" s="5"/>
      <c r="H484" s="5"/>
      <c r="I484" s="5"/>
      <c r="J484" s="5"/>
      <c r="K484" s="5"/>
      <c r="L484" s="5"/>
      <c r="M484" s="5"/>
      <c r="N484" s="5"/>
      <c r="O484" s="5"/>
      <c r="P484" s="5"/>
      <c r="Q484" s="5"/>
      <c r="R484" s="5"/>
      <c r="S484" s="5"/>
      <c r="T484" s="5"/>
    </row>
    <row r="485" spans="1:20">
      <c r="A485" s="5"/>
      <c r="B485" s="5"/>
      <c r="C485" s="5"/>
      <c r="D485" s="5"/>
      <c r="E485" s="5"/>
      <c r="F485" s="5"/>
      <c r="G485" s="5"/>
      <c r="H485" s="5"/>
      <c r="I485" s="5"/>
      <c r="J485" s="5"/>
      <c r="K485" s="5"/>
      <c r="L485" s="5"/>
      <c r="M485" s="5"/>
      <c r="N485" s="5"/>
      <c r="O485" s="5"/>
      <c r="P485" s="5"/>
      <c r="Q485" s="5"/>
      <c r="R485" s="5"/>
      <c r="S485" s="5"/>
      <c r="T485" s="5"/>
    </row>
    <row r="486" spans="1:20">
      <c r="A486" s="5"/>
      <c r="B486" s="5"/>
      <c r="C486" s="5"/>
      <c r="D486" s="5"/>
      <c r="E486" s="5"/>
      <c r="F486" s="5"/>
      <c r="G486" s="5"/>
      <c r="H486" s="5"/>
      <c r="I486" s="5"/>
      <c r="J486" s="5"/>
      <c r="K486" s="5"/>
      <c r="L486" s="5"/>
      <c r="M486" s="5"/>
      <c r="N486" s="5"/>
      <c r="O486" s="5"/>
      <c r="P486" s="5"/>
      <c r="Q486" s="5"/>
      <c r="R486" s="5"/>
      <c r="S486" s="5"/>
      <c r="T486" s="5"/>
    </row>
    <row r="487" spans="1:20">
      <c r="A487" s="5"/>
      <c r="B487" s="5"/>
      <c r="C487" s="5"/>
      <c r="D487" s="5"/>
      <c r="E487" s="5"/>
      <c r="F487" s="5"/>
      <c r="G487" s="5"/>
      <c r="H487" s="5"/>
      <c r="I487" s="5"/>
      <c r="J487" s="5"/>
      <c r="K487" s="5"/>
      <c r="L487" s="5"/>
      <c r="M487" s="5"/>
      <c r="N487" s="5"/>
      <c r="O487" s="5"/>
      <c r="P487" s="5"/>
      <c r="Q487" s="5"/>
      <c r="R487" s="5"/>
      <c r="S487" s="5"/>
      <c r="T487" s="5"/>
    </row>
    <row r="488" spans="1:20">
      <c r="A488" s="5"/>
      <c r="B488" s="5"/>
      <c r="C488" s="5"/>
      <c r="D488" s="5"/>
      <c r="E488" s="5"/>
      <c r="F488" s="5"/>
      <c r="G488" s="5"/>
      <c r="H488" s="5"/>
      <c r="I488" s="5"/>
      <c r="J488" s="5"/>
      <c r="K488" s="5"/>
      <c r="L488" s="5"/>
      <c r="M488" s="5"/>
      <c r="N488" s="5"/>
      <c r="O488" s="5"/>
      <c r="P488" s="5"/>
      <c r="Q488" s="5"/>
      <c r="R488" s="5"/>
      <c r="S488" s="5"/>
      <c r="T488" s="5"/>
    </row>
    <row r="489" spans="1:20">
      <c r="A489" s="5"/>
      <c r="B489" s="5"/>
      <c r="C489" s="5"/>
      <c r="D489" s="5"/>
      <c r="E489" s="5"/>
      <c r="F489" s="5"/>
      <c r="G489" s="5"/>
      <c r="H489" s="5"/>
      <c r="I489" s="5"/>
      <c r="J489" s="5"/>
      <c r="K489" s="5"/>
      <c r="L489" s="5"/>
      <c r="M489" s="5"/>
      <c r="N489" s="5"/>
      <c r="O489" s="5"/>
      <c r="P489" s="5"/>
      <c r="Q489" s="5"/>
      <c r="R489" s="5"/>
      <c r="S489" s="5"/>
      <c r="T489" s="5"/>
    </row>
    <row r="490" spans="1:20">
      <c r="A490" s="5"/>
      <c r="B490" s="5"/>
      <c r="C490" s="5"/>
      <c r="D490" s="5"/>
      <c r="E490" s="5"/>
      <c r="F490" s="5"/>
      <c r="G490" s="5"/>
      <c r="H490" s="5"/>
      <c r="I490" s="5"/>
      <c r="J490" s="5"/>
      <c r="K490" s="5"/>
      <c r="L490" s="5"/>
      <c r="M490" s="5"/>
      <c r="N490" s="5"/>
      <c r="O490" s="5"/>
      <c r="P490" s="5"/>
      <c r="Q490" s="5"/>
      <c r="R490" s="5"/>
      <c r="S490" s="5"/>
      <c r="T490" s="5"/>
    </row>
    <row r="491" spans="1:20">
      <c r="A491" s="5"/>
      <c r="B491" s="5"/>
      <c r="C491" s="5"/>
      <c r="D491" s="5"/>
      <c r="E491" s="5"/>
      <c r="F491" s="5"/>
      <c r="G491" s="5"/>
      <c r="H491" s="5"/>
      <c r="I491" s="5"/>
      <c r="J491" s="5"/>
      <c r="K491" s="5"/>
      <c r="L491" s="5"/>
      <c r="M491" s="5"/>
      <c r="N491" s="5"/>
      <c r="O491" s="5"/>
      <c r="P491" s="5"/>
      <c r="Q491" s="5"/>
      <c r="R491" s="5"/>
      <c r="S491" s="5"/>
      <c r="T491" s="5"/>
    </row>
    <row r="492" spans="1:20">
      <c r="A492" s="5"/>
      <c r="B492" s="5"/>
      <c r="C492" s="5"/>
      <c r="D492" s="5"/>
      <c r="E492" s="5"/>
      <c r="F492" s="5"/>
      <c r="G492" s="5"/>
      <c r="H492" s="5"/>
      <c r="I492" s="5"/>
      <c r="J492" s="5"/>
      <c r="K492" s="5"/>
      <c r="L492" s="5"/>
      <c r="M492" s="5"/>
      <c r="N492" s="5"/>
      <c r="O492" s="5"/>
      <c r="P492" s="5"/>
      <c r="Q492" s="5"/>
      <c r="R492" s="5"/>
      <c r="S492" s="5"/>
      <c r="T492" s="5"/>
    </row>
    <row r="493" spans="1:20">
      <c r="A493" s="5"/>
      <c r="B493" s="5"/>
      <c r="C493" s="5"/>
      <c r="D493" s="5"/>
      <c r="E493" s="5"/>
      <c r="F493" s="5"/>
      <c r="G493" s="5"/>
      <c r="H493" s="5"/>
      <c r="I493" s="5"/>
      <c r="J493" s="5"/>
      <c r="K493" s="5"/>
      <c r="L493" s="5"/>
      <c r="M493" s="5"/>
      <c r="N493" s="5"/>
      <c r="O493" s="5"/>
      <c r="P493" s="5"/>
      <c r="Q493" s="5"/>
      <c r="R493" s="5"/>
      <c r="S493" s="5"/>
      <c r="T493" s="5"/>
    </row>
    <row r="494" spans="1:20">
      <c r="A494" s="5"/>
      <c r="B494" s="5"/>
      <c r="C494" s="5"/>
      <c r="D494" s="5"/>
      <c r="E494" s="5"/>
      <c r="F494" s="5"/>
      <c r="G494" s="5"/>
      <c r="H494" s="5"/>
      <c r="I494" s="5"/>
      <c r="J494" s="5"/>
      <c r="K494" s="5"/>
      <c r="L494" s="5"/>
      <c r="M494" s="5"/>
      <c r="N494" s="5"/>
      <c r="O494" s="5"/>
      <c r="P494" s="5"/>
      <c r="Q494" s="5"/>
      <c r="R494" s="5"/>
      <c r="S494" s="5"/>
      <c r="T494" s="5"/>
    </row>
    <row r="495" spans="1:20">
      <c r="A495" s="5"/>
      <c r="B495" s="5"/>
      <c r="C495" s="5"/>
      <c r="D495" s="5"/>
      <c r="E495" s="5"/>
      <c r="F495" s="5"/>
      <c r="G495" s="5"/>
      <c r="H495" s="5"/>
      <c r="I495" s="5"/>
      <c r="J495" s="5"/>
      <c r="K495" s="5"/>
      <c r="L495" s="5"/>
      <c r="M495" s="5"/>
      <c r="N495" s="5"/>
      <c r="O495" s="5"/>
      <c r="P495" s="5"/>
      <c r="Q495" s="5"/>
      <c r="R495" s="5"/>
      <c r="S495" s="5"/>
      <c r="T495" s="5"/>
    </row>
    <row r="496" spans="1:20">
      <c r="A496" s="5"/>
      <c r="B496" s="5"/>
      <c r="C496" s="5"/>
      <c r="D496" s="5"/>
      <c r="E496" s="5"/>
      <c r="F496" s="5"/>
      <c r="G496" s="5"/>
      <c r="H496" s="5"/>
      <c r="I496" s="5"/>
      <c r="J496" s="5"/>
      <c r="K496" s="5"/>
      <c r="L496" s="5"/>
      <c r="M496" s="5"/>
      <c r="N496" s="5"/>
      <c r="O496" s="5"/>
      <c r="P496" s="5"/>
      <c r="Q496" s="5"/>
      <c r="R496" s="5"/>
      <c r="S496" s="5"/>
      <c r="T496" s="5"/>
    </row>
    <row r="497" spans="1:20">
      <c r="A497" s="5"/>
      <c r="B497" s="5"/>
      <c r="C497" s="5"/>
      <c r="D497" s="5"/>
      <c r="E497" s="5"/>
      <c r="F497" s="5"/>
      <c r="G497" s="5"/>
      <c r="H497" s="5"/>
      <c r="I497" s="5"/>
      <c r="J497" s="5"/>
      <c r="K497" s="5"/>
      <c r="L497" s="5"/>
      <c r="M497" s="5"/>
      <c r="N497" s="5"/>
      <c r="O497" s="5"/>
      <c r="P497" s="5"/>
      <c r="Q497" s="5"/>
      <c r="R497" s="5"/>
      <c r="S497" s="5"/>
      <c r="T497" s="5"/>
    </row>
    <row r="498" spans="1:20">
      <c r="A498" s="5"/>
      <c r="B498" s="5"/>
      <c r="C498" s="5"/>
      <c r="D498" s="5"/>
      <c r="E498" s="5"/>
      <c r="F498" s="5"/>
      <c r="G498" s="5"/>
      <c r="H498" s="5"/>
      <c r="I498" s="5"/>
      <c r="J498" s="5"/>
      <c r="K498" s="5"/>
      <c r="L498" s="5"/>
      <c r="M498" s="5"/>
      <c r="N498" s="5"/>
      <c r="O498" s="5"/>
      <c r="P498" s="5"/>
      <c r="Q498" s="5"/>
      <c r="R498" s="5"/>
      <c r="S498" s="5"/>
      <c r="T498" s="5"/>
    </row>
    <row r="499" spans="1:20">
      <c r="A499" s="5"/>
      <c r="B499" s="5"/>
      <c r="C499" s="5"/>
      <c r="D499" s="5"/>
      <c r="E499" s="5"/>
      <c r="F499" s="5"/>
      <c r="G499" s="5"/>
      <c r="H499" s="5"/>
      <c r="I499" s="5"/>
      <c r="J499" s="5"/>
      <c r="K499" s="5"/>
      <c r="L499" s="5"/>
      <c r="M499" s="5"/>
      <c r="N499" s="5"/>
      <c r="O499" s="5"/>
      <c r="P499" s="5"/>
      <c r="Q499" s="5"/>
      <c r="R499" s="5"/>
      <c r="S499" s="5"/>
      <c r="T499" s="5"/>
    </row>
    <row r="500" spans="1:20">
      <c r="A500" s="5"/>
      <c r="B500" s="5"/>
      <c r="C500" s="5"/>
      <c r="D500" s="5"/>
      <c r="E500" s="5"/>
      <c r="F500" s="5"/>
      <c r="G500" s="5"/>
      <c r="H500" s="5"/>
      <c r="I500" s="5"/>
      <c r="J500" s="5"/>
      <c r="K500" s="5"/>
      <c r="L500" s="5"/>
      <c r="M500" s="5"/>
      <c r="N500" s="5"/>
      <c r="O500" s="5"/>
      <c r="P500" s="5"/>
      <c r="Q500" s="5"/>
      <c r="R500" s="5"/>
      <c r="S500" s="5"/>
      <c r="T500" s="5"/>
    </row>
    <row r="501" spans="1:20">
      <c r="A501" s="5"/>
      <c r="B501" s="5"/>
      <c r="C501" s="5"/>
      <c r="D501" s="5"/>
      <c r="E501" s="5"/>
      <c r="F501" s="5"/>
      <c r="G501" s="5"/>
      <c r="H501" s="5"/>
      <c r="I501" s="5"/>
      <c r="J501" s="5"/>
      <c r="K501" s="5"/>
      <c r="L501" s="5"/>
      <c r="M501" s="5"/>
      <c r="N501" s="5"/>
      <c r="O501" s="5"/>
      <c r="P501" s="5"/>
      <c r="Q501" s="5"/>
      <c r="R501" s="5"/>
      <c r="S501" s="5"/>
      <c r="T501" s="5"/>
    </row>
    <row r="502" spans="1:20">
      <c r="A502" s="5"/>
      <c r="B502" s="5"/>
      <c r="C502" s="5"/>
      <c r="D502" s="5"/>
      <c r="E502" s="5"/>
      <c r="F502" s="5"/>
      <c r="G502" s="5"/>
      <c r="H502" s="5"/>
      <c r="I502" s="5"/>
      <c r="J502" s="5"/>
      <c r="K502" s="5"/>
      <c r="L502" s="5"/>
      <c r="M502" s="5"/>
      <c r="N502" s="5"/>
      <c r="O502" s="5"/>
      <c r="P502" s="5"/>
      <c r="Q502" s="5"/>
      <c r="R502" s="5"/>
      <c r="S502" s="5"/>
      <c r="T502" s="5"/>
    </row>
    <row r="503" spans="1:20">
      <c r="A503" s="5"/>
      <c r="B503" s="5"/>
      <c r="C503" s="5"/>
      <c r="D503" s="5"/>
      <c r="E503" s="5"/>
      <c r="F503" s="5"/>
      <c r="G503" s="5"/>
      <c r="H503" s="5"/>
      <c r="I503" s="5"/>
      <c r="J503" s="5"/>
      <c r="K503" s="5"/>
      <c r="L503" s="5"/>
      <c r="M503" s="5"/>
      <c r="N503" s="5"/>
      <c r="O503" s="5"/>
      <c r="P503" s="5"/>
      <c r="Q503" s="5"/>
      <c r="R503" s="5"/>
      <c r="S503" s="5"/>
      <c r="T503" s="5"/>
    </row>
    <row r="504" spans="1:20">
      <c r="A504" s="5"/>
      <c r="B504" s="5"/>
      <c r="C504" s="5"/>
      <c r="D504" s="5"/>
      <c r="E504" s="5"/>
      <c r="F504" s="5"/>
      <c r="G504" s="5"/>
      <c r="H504" s="5"/>
      <c r="I504" s="5"/>
      <c r="J504" s="5"/>
      <c r="K504" s="5"/>
      <c r="L504" s="5"/>
      <c r="M504" s="5"/>
      <c r="N504" s="5"/>
      <c r="O504" s="5"/>
      <c r="P504" s="5"/>
      <c r="Q504" s="5"/>
      <c r="R504" s="5"/>
      <c r="S504" s="5"/>
      <c r="T504" s="5"/>
    </row>
    <row r="505" spans="1:20">
      <c r="A505" s="5"/>
      <c r="B505" s="5"/>
      <c r="C505" s="5"/>
      <c r="D505" s="5"/>
      <c r="E505" s="5"/>
      <c r="F505" s="5"/>
      <c r="G505" s="5"/>
      <c r="H505" s="5"/>
      <c r="I505" s="5"/>
      <c r="J505" s="5"/>
      <c r="K505" s="5"/>
      <c r="L505" s="5"/>
      <c r="M505" s="5"/>
      <c r="N505" s="5"/>
      <c r="O505" s="5"/>
      <c r="P505" s="5"/>
      <c r="Q505" s="5"/>
      <c r="R505" s="5"/>
      <c r="S505" s="5"/>
      <c r="T505" s="5"/>
    </row>
    <row r="506" spans="1:20">
      <c r="A506" s="5"/>
      <c r="B506" s="5"/>
      <c r="C506" s="5"/>
      <c r="D506" s="5"/>
      <c r="E506" s="5"/>
      <c r="F506" s="5"/>
      <c r="G506" s="5"/>
      <c r="H506" s="5"/>
      <c r="I506" s="5"/>
      <c r="J506" s="5"/>
      <c r="K506" s="5"/>
      <c r="L506" s="5"/>
      <c r="M506" s="5"/>
      <c r="N506" s="5"/>
      <c r="O506" s="5"/>
      <c r="P506" s="5"/>
      <c r="Q506" s="5"/>
      <c r="R506" s="5"/>
      <c r="S506" s="5"/>
      <c r="T506" s="5"/>
    </row>
    <row r="507" spans="1:20">
      <c r="A507" s="5"/>
      <c r="B507" s="5"/>
      <c r="C507" s="5"/>
      <c r="D507" s="5"/>
      <c r="E507" s="5"/>
      <c r="F507" s="5"/>
      <c r="G507" s="5"/>
      <c r="H507" s="5"/>
      <c r="I507" s="5"/>
      <c r="J507" s="5"/>
      <c r="K507" s="5"/>
      <c r="L507" s="5"/>
      <c r="M507" s="5"/>
      <c r="N507" s="5"/>
      <c r="O507" s="5"/>
      <c r="P507" s="5"/>
      <c r="Q507" s="5"/>
      <c r="R507" s="5"/>
      <c r="S507" s="5"/>
      <c r="T507" s="5"/>
    </row>
    <row r="508" spans="1:20">
      <c r="A508" s="5"/>
      <c r="B508" s="5"/>
      <c r="C508" s="5"/>
      <c r="D508" s="5"/>
      <c r="E508" s="5"/>
      <c r="F508" s="5"/>
      <c r="G508" s="5"/>
      <c r="H508" s="5"/>
      <c r="I508" s="5"/>
      <c r="J508" s="5"/>
      <c r="K508" s="5"/>
      <c r="L508" s="5"/>
      <c r="M508" s="5"/>
      <c r="N508" s="5"/>
      <c r="O508" s="5"/>
      <c r="P508" s="5"/>
      <c r="Q508" s="5"/>
      <c r="R508" s="5"/>
      <c r="S508" s="5"/>
      <c r="T508" s="5"/>
    </row>
    <row r="509" spans="1:20">
      <c r="A509" s="5"/>
      <c r="B509" s="5"/>
      <c r="C509" s="5"/>
      <c r="D509" s="5"/>
      <c r="E509" s="5"/>
      <c r="F509" s="5"/>
      <c r="G509" s="5"/>
      <c r="H509" s="5"/>
      <c r="I509" s="5"/>
      <c r="J509" s="5"/>
      <c r="K509" s="5"/>
      <c r="L509" s="5"/>
      <c r="M509" s="5"/>
      <c r="N509" s="5"/>
      <c r="O509" s="5"/>
      <c r="P509" s="5"/>
      <c r="Q509" s="5"/>
      <c r="R509" s="5"/>
      <c r="S509" s="5"/>
      <c r="T509" s="5"/>
    </row>
    <row r="510" spans="1:20">
      <c r="A510" s="5"/>
      <c r="B510" s="5"/>
      <c r="C510" s="5"/>
      <c r="D510" s="5"/>
      <c r="E510" s="5"/>
      <c r="F510" s="5"/>
      <c r="G510" s="5"/>
      <c r="H510" s="5"/>
      <c r="I510" s="5"/>
      <c r="J510" s="5"/>
      <c r="K510" s="5"/>
      <c r="L510" s="5"/>
      <c r="M510" s="5"/>
      <c r="N510" s="5"/>
      <c r="O510" s="5"/>
      <c r="P510" s="5"/>
      <c r="Q510" s="5"/>
      <c r="R510" s="5"/>
      <c r="S510" s="5"/>
      <c r="T510" s="5"/>
    </row>
    <row r="511" spans="1:20">
      <c r="A511" s="5"/>
      <c r="B511" s="5"/>
      <c r="C511" s="5"/>
      <c r="D511" s="5"/>
      <c r="E511" s="5"/>
      <c r="F511" s="5"/>
      <c r="G511" s="5"/>
      <c r="H511" s="5"/>
      <c r="I511" s="5"/>
      <c r="J511" s="5"/>
      <c r="K511" s="5"/>
      <c r="L511" s="5"/>
      <c r="M511" s="5"/>
      <c r="N511" s="5"/>
      <c r="O511" s="5"/>
      <c r="P511" s="5"/>
      <c r="Q511" s="5"/>
      <c r="R511" s="5"/>
      <c r="S511" s="5"/>
      <c r="T511" s="5"/>
    </row>
    <row r="512" spans="1:20">
      <c r="A512" s="5"/>
      <c r="B512" s="5"/>
      <c r="C512" s="5"/>
      <c r="D512" s="5"/>
      <c r="E512" s="5"/>
      <c r="F512" s="5"/>
      <c r="G512" s="5"/>
      <c r="H512" s="5"/>
      <c r="I512" s="5"/>
      <c r="J512" s="5"/>
      <c r="K512" s="5"/>
      <c r="L512" s="5"/>
      <c r="M512" s="5"/>
      <c r="N512" s="5"/>
      <c r="O512" s="5"/>
      <c r="P512" s="5"/>
      <c r="Q512" s="5"/>
      <c r="R512" s="5"/>
      <c r="S512" s="5"/>
      <c r="T512" s="5"/>
    </row>
    <row r="513" spans="1:20">
      <c r="A513" s="5"/>
      <c r="B513" s="5"/>
      <c r="C513" s="5"/>
      <c r="D513" s="5"/>
      <c r="E513" s="5"/>
      <c r="F513" s="5"/>
      <c r="G513" s="5"/>
      <c r="H513" s="5"/>
      <c r="I513" s="5"/>
      <c r="J513" s="5"/>
      <c r="K513" s="5"/>
      <c r="L513" s="5"/>
      <c r="M513" s="5"/>
      <c r="N513" s="5"/>
      <c r="O513" s="5"/>
      <c r="P513" s="5"/>
      <c r="Q513" s="5"/>
      <c r="R513" s="5"/>
      <c r="S513" s="5"/>
      <c r="T513" s="5"/>
    </row>
    <row r="514" spans="1:20">
      <c r="A514" s="5"/>
      <c r="B514" s="5"/>
      <c r="C514" s="5"/>
      <c r="D514" s="5"/>
      <c r="E514" s="5"/>
      <c r="F514" s="5"/>
      <c r="G514" s="5"/>
      <c r="H514" s="5"/>
      <c r="I514" s="5"/>
      <c r="J514" s="5"/>
      <c r="K514" s="5"/>
      <c r="L514" s="5"/>
      <c r="M514" s="5"/>
      <c r="N514" s="5"/>
      <c r="O514" s="5"/>
      <c r="P514" s="5"/>
      <c r="Q514" s="5"/>
      <c r="R514" s="5"/>
      <c r="S514" s="5"/>
      <c r="T514" s="5"/>
    </row>
    <row r="515" spans="1:20">
      <c r="A515" s="5"/>
      <c r="B515" s="5"/>
      <c r="C515" s="5"/>
      <c r="D515" s="5"/>
      <c r="E515" s="5"/>
      <c r="F515" s="5"/>
      <c r="G515" s="5"/>
      <c r="H515" s="5"/>
      <c r="I515" s="5"/>
      <c r="J515" s="5"/>
      <c r="K515" s="5"/>
      <c r="L515" s="5"/>
      <c r="M515" s="5"/>
      <c r="N515" s="5"/>
      <c r="O515" s="5"/>
      <c r="P515" s="5"/>
      <c r="Q515" s="5"/>
      <c r="R515" s="5"/>
      <c r="S515" s="5"/>
      <c r="T515" s="5"/>
    </row>
    <row r="516" spans="1:20">
      <c r="A516" s="5"/>
      <c r="B516" s="5"/>
      <c r="C516" s="5"/>
      <c r="D516" s="5"/>
      <c r="E516" s="5"/>
      <c r="F516" s="5"/>
      <c r="G516" s="5"/>
      <c r="H516" s="5"/>
      <c r="I516" s="5"/>
      <c r="J516" s="5"/>
      <c r="K516" s="5"/>
      <c r="L516" s="5"/>
      <c r="M516" s="5"/>
      <c r="N516" s="5"/>
      <c r="O516" s="5"/>
      <c r="P516" s="5"/>
      <c r="Q516" s="5"/>
      <c r="R516" s="5"/>
      <c r="S516" s="5"/>
      <c r="T516" s="5"/>
    </row>
    <row r="517" spans="1:20">
      <c r="A517" s="5"/>
      <c r="B517" s="5"/>
      <c r="C517" s="5"/>
      <c r="D517" s="5"/>
      <c r="E517" s="5"/>
      <c r="F517" s="5"/>
      <c r="G517" s="5"/>
      <c r="H517" s="5"/>
      <c r="I517" s="5"/>
      <c r="J517" s="5"/>
      <c r="K517" s="5"/>
      <c r="L517" s="5"/>
      <c r="M517" s="5"/>
      <c r="N517" s="5"/>
      <c r="O517" s="5"/>
      <c r="P517" s="5"/>
      <c r="Q517" s="5"/>
      <c r="R517" s="5"/>
      <c r="S517" s="5"/>
      <c r="T517" s="5"/>
    </row>
    <row r="518" spans="1:20">
      <c r="A518" s="5"/>
      <c r="B518" s="5"/>
      <c r="C518" s="5"/>
      <c r="D518" s="5"/>
      <c r="E518" s="5"/>
      <c r="F518" s="5"/>
      <c r="G518" s="5"/>
      <c r="H518" s="5"/>
      <c r="I518" s="5"/>
      <c r="J518" s="5"/>
      <c r="K518" s="5"/>
      <c r="L518" s="5"/>
      <c r="M518" s="5"/>
      <c r="N518" s="5"/>
      <c r="O518" s="5"/>
      <c r="P518" s="5"/>
      <c r="Q518" s="5"/>
      <c r="R518" s="5"/>
      <c r="S518" s="5"/>
      <c r="T518" s="5"/>
    </row>
    <row r="519" spans="1:20">
      <c r="A519" s="5"/>
      <c r="B519" s="5"/>
      <c r="C519" s="5"/>
      <c r="D519" s="5"/>
      <c r="E519" s="5"/>
      <c r="F519" s="5"/>
      <c r="G519" s="5"/>
      <c r="H519" s="5"/>
      <c r="I519" s="5"/>
      <c r="J519" s="5"/>
      <c r="K519" s="5"/>
      <c r="L519" s="5"/>
      <c r="M519" s="5"/>
      <c r="N519" s="5"/>
      <c r="O519" s="5"/>
      <c r="P519" s="5"/>
      <c r="Q519" s="5"/>
      <c r="R519" s="5"/>
      <c r="S519" s="5"/>
      <c r="T519" s="5"/>
    </row>
    <row r="520" spans="1:20">
      <c r="A520" s="5"/>
      <c r="B520" s="5"/>
      <c r="C520" s="5"/>
      <c r="D520" s="5"/>
      <c r="E520" s="5"/>
      <c r="F520" s="5"/>
      <c r="G520" s="5"/>
      <c r="H520" s="5"/>
      <c r="I520" s="5"/>
      <c r="J520" s="5"/>
      <c r="K520" s="5"/>
      <c r="L520" s="5"/>
      <c r="M520" s="5"/>
      <c r="N520" s="5"/>
      <c r="O520" s="5"/>
      <c r="P520" s="5"/>
      <c r="Q520" s="5"/>
      <c r="R520" s="5"/>
      <c r="S520" s="5"/>
      <c r="T520" s="5"/>
    </row>
    <row r="521" spans="1:20">
      <c r="A521" s="5"/>
      <c r="B521" s="5"/>
      <c r="C521" s="5"/>
      <c r="D521" s="5"/>
      <c r="E521" s="5"/>
      <c r="F521" s="5"/>
      <c r="G521" s="5"/>
      <c r="H521" s="5"/>
      <c r="I521" s="5"/>
      <c r="J521" s="5"/>
      <c r="K521" s="5"/>
      <c r="L521" s="5"/>
      <c r="M521" s="5"/>
      <c r="N521" s="5"/>
      <c r="O521" s="5"/>
      <c r="P521" s="5"/>
      <c r="Q521" s="5"/>
      <c r="R521" s="5"/>
      <c r="S521" s="5"/>
      <c r="T521" s="5"/>
    </row>
    <row r="522" spans="1:20">
      <c r="A522" s="5"/>
      <c r="B522" s="5"/>
      <c r="C522" s="5"/>
      <c r="D522" s="5"/>
      <c r="E522" s="5"/>
      <c r="F522" s="5"/>
      <c r="G522" s="5"/>
      <c r="H522" s="5"/>
      <c r="I522" s="5"/>
      <c r="J522" s="5"/>
      <c r="K522" s="5"/>
      <c r="L522" s="5"/>
      <c r="M522" s="5"/>
      <c r="N522" s="5"/>
      <c r="O522" s="5"/>
      <c r="P522" s="5"/>
      <c r="Q522" s="5"/>
      <c r="R522" s="5"/>
      <c r="S522" s="5"/>
      <c r="T522" s="5"/>
    </row>
    <row r="523" spans="1:20">
      <c r="A523" s="5"/>
      <c r="B523" s="5"/>
      <c r="C523" s="5"/>
      <c r="D523" s="5"/>
      <c r="E523" s="5"/>
      <c r="F523" s="5"/>
      <c r="G523" s="5"/>
      <c r="H523" s="5"/>
      <c r="I523" s="5"/>
      <c r="J523" s="5"/>
      <c r="K523" s="5"/>
      <c r="L523" s="5"/>
      <c r="M523" s="5"/>
      <c r="N523" s="5"/>
      <c r="O523" s="5"/>
      <c r="P523" s="5"/>
      <c r="Q523" s="5"/>
      <c r="R523" s="5"/>
      <c r="S523" s="5"/>
      <c r="T523" s="5"/>
    </row>
    <row r="524" spans="1:20">
      <c r="A524" s="5"/>
      <c r="B524" s="5"/>
      <c r="C524" s="5"/>
      <c r="D524" s="5"/>
      <c r="E524" s="5"/>
      <c r="F524" s="5"/>
      <c r="G524" s="5"/>
      <c r="H524" s="5"/>
      <c r="I524" s="5"/>
      <c r="J524" s="5"/>
      <c r="K524" s="5"/>
      <c r="L524" s="5"/>
      <c r="M524" s="5"/>
      <c r="N524" s="5"/>
      <c r="O524" s="5"/>
      <c r="P524" s="5"/>
      <c r="Q524" s="5"/>
      <c r="R524" s="5"/>
      <c r="S524" s="5"/>
      <c r="T524" s="5"/>
    </row>
    <row r="525" spans="1:20">
      <c r="A525" s="5"/>
      <c r="B525" s="5"/>
      <c r="C525" s="5"/>
      <c r="D525" s="5"/>
      <c r="E525" s="5"/>
      <c r="F525" s="5"/>
      <c r="G525" s="5"/>
      <c r="H525" s="5"/>
      <c r="I525" s="5"/>
      <c r="J525" s="5"/>
      <c r="K525" s="5"/>
      <c r="L525" s="5"/>
      <c r="M525" s="5"/>
      <c r="N525" s="5"/>
      <c r="O525" s="5"/>
      <c r="P525" s="5"/>
      <c r="Q525" s="5"/>
      <c r="R525" s="5"/>
      <c r="S525" s="5"/>
      <c r="T525" s="5"/>
    </row>
    <row r="526" spans="1:20">
      <c r="A526" s="5"/>
      <c r="B526" s="5"/>
      <c r="C526" s="5"/>
      <c r="D526" s="5"/>
      <c r="E526" s="5"/>
      <c r="F526" s="5"/>
      <c r="G526" s="5"/>
      <c r="H526" s="5"/>
      <c r="I526" s="5"/>
      <c r="J526" s="5"/>
      <c r="K526" s="5"/>
      <c r="L526" s="5"/>
      <c r="M526" s="5"/>
      <c r="N526" s="5"/>
      <c r="O526" s="5"/>
      <c r="P526" s="5"/>
      <c r="Q526" s="5"/>
      <c r="R526" s="5"/>
      <c r="S526" s="5"/>
      <c r="T526" s="5"/>
    </row>
    <row r="527" spans="1:20">
      <c r="A527" s="5"/>
      <c r="B527" s="5"/>
      <c r="C527" s="5"/>
      <c r="D527" s="5"/>
      <c r="E527" s="5"/>
      <c r="F527" s="5"/>
      <c r="G527" s="5"/>
      <c r="H527" s="5"/>
      <c r="I527" s="5"/>
      <c r="J527" s="5"/>
      <c r="K527" s="5"/>
      <c r="L527" s="5"/>
      <c r="M527" s="5"/>
      <c r="N527" s="5"/>
      <c r="O527" s="5"/>
      <c r="P527" s="5"/>
      <c r="Q527" s="5"/>
      <c r="R527" s="5"/>
      <c r="S527" s="5"/>
      <c r="T527" s="5"/>
    </row>
    <row r="528" spans="1:20">
      <c r="A528" s="5"/>
      <c r="B528" s="5"/>
      <c r="C528" s="5"/>
      <c r="D528" s="5"/>
      <c r="E528" s="5"/>
      <c r="F528" s="5"/>
      <c r="G528" s="5"/>
      <c r="H528" s="5"/>
      <c r="I528" s="5"/>
      <c r="J528" s="5"/>
      <c r="K528" s="5"/>
      <c r="L528" s="5"/>
      <c r="M528" s="5"/>
      <c r="N528" s="5"/>
      <c r="O528" s="5"/>
      <c r="P528" s="5"/>
      <c r="Q528" s="5"/>
      <c r="R528" s="5"/>
      <c r="S528" s="5"/>
      <c r="T528" s="5"/>
    </row>
    <row r="529" spans="1:20">
      <c r="A529" s="5"/>
      <c r="B529" s="5"/>
      <c r="C529" s="5"/>
      <c r="D529" s="5"/>
      <c r="E529" s="5"/>
      <c r="F529" s="5"/>
      <c r="G529" s="5"/>
      <c r="H529" s="5"/>
      <c r="I529" s="5"/>
      <c r="J529" s="5"/>
      <c r="K529" s="5"/>
      <c r="L529" s="5"/>
      <c r="M529" s="5"/>
      <c r="N529" s="5"/>
      <c r="O529" s="5"/>
      <c r="P529" s="5"/>
      <c r="Q529" s="5"/>
      <c r="R529" s="5"/>
      <c r="S529" s="5"/>
      <c r="T529" s="5"/>
    </row>
    <row r="530" spans="1:20">
      <c r="A530" s="5"/>
      <c r="B530" s="5"/>
      <c r="C530" s="5"/>
      <c r="D530" s="5"/>
      <c r="E530" s="5"/>
      <c r="F530" s="5"/>
      <c r="G530" s="5"/>
      <c r="H530" s="5"/>
      <c r="I530" s="5"/>
      <c r="J530" s="5"/>
      <c r="K530" s="5"/>
      <c r="L530" s="5"/>
      <c r="M530" s="5"/>
      <c r="N530" s="5"/>
      <c r="O530" s="5"/>
      <c r="P530" s="5"/>
      <c r="Q530" s="5"/>
      <c r="R530" s="5"/>
      <c r="S530" s="5"/>
      <c r="T530" s="5"/>
    </row>
    <row r="531" spans="1:20">
      <c r="A531" s="5"/>
      <c r="B531" s="5"/>
      <c r="C531" s="5"/>
      <c r="D531" s="5"/>
      <c r="E531" s="5"/>
      <c r="F531" s="5"/>
      <c r="G531" s="5"/>
      <c r="H531" s="5"/>
      <c r="I531" s="5"/>
      <c r="J531" s="5"/>
      <c r="K531" s="5"/>
      <c r="L531" s="5"/>
      <c r="M531" s="5"/>
      <c r="N531" s="5"/>
      <c r="O531" s="5"/>
      <c r="P531" s="5"/>
      <c r="Q531" s="5"/>
      <c r="R531" s="5"/>
      <c r="S531" s="5"/>
      <c r="T531" s="5"/>
    </row>
    <row r="532" spans="1:20">
      <c r="A532" s="5"/>
      <c r="B532" s="5"/>
      <c r="C532" s="5"/>
      <c r="D532" s="5"/>
      <c r="E532" s="5"/>
      <c r="F532" s="5"/>
      <c r="G532" s="5"/>
      <c r="H532" s="5"/>
      <c r="I532" s="5"/>
      <c r="J532" s="5"/>
      <c r="K532" s="5"/>
      <c r="L532" s="5"/>
      <c r="M532" s="5"/>
      <c r="N532" s="5"/>
      <c r="O532" s="5"/>
      <c r="P532" s="5"/>
      <c r="Q532" s="5"/>
      <c r="R532" s="5"/>
      <c r="S532" s="5"/>
      <c r="T532" s="5"/>
    </row>
    <row r="533" spans="1:20">
      <c r="A533" s="5"/>
      <c r="B533" s="5"/>
      <c r="C533" s="5"/>
      <c r="D533" s="5"/>
      <c r="E533" s="5"/>
      <c r="F533" s="5"/>
      <c r="G533" s="5"/>
      <c r="H533" s="5"/>
      <c r="I533" s="5"/>
      <c r="J533" s="5"/>
      <c r="K533" s="5"/>
      <c r="L533" s="5"/>
      <c r="M533" s="5"/>
      <c r="N533" s="5"/>
      <c r="O533" s="5"/>
      <c r="P533" s="5"/>
      <c r="Q533" s="5"/>
      <c r="R533" s="5"/>
      <c r="S533" s="5"/>
      <c r="T533" s="5"/>
    </row>
    <row r="534" spans="1:20">
      <c r="A534" s="5"/>
      <c r="B534" s="5"/>
      <c r="C534" s="5"/>
      <c r="D534" s="5"/>
      <c r="E534" s="5"/>
      <c r="F534" s="5"/>
      <c r="G534" s="5"/>
      <c r="H534" s="5"/>
      <c r="I534" s="5"/>
      <c r="J534" s="5"/>
      <c r="K534" s="5"/>
      <c r="L534" s="5"/>
      <c r="M534" s="5"/>
      <c r="N534" s="5"/>
      <c r="O534" s="5"/>
      <c r="P534" s="5"/>
      <c r="Q534" s="5"/>
      <c r="R534" s="5"/>
      <c r="S534" s="5"/>
      <c r="T534" s="5"/>
    </row>
    <row r="535" spans="1:20">
      <c r="A535" s="5"/>
      <c r="B535" s="5"/>
      <c r="C535" s="5"/>
      <c r="D535" s="5"/>
      <c r="E535" s="5"/>
      <c r="F535" s="5"/>
      <c r="G535" s="5"/>
      <c r="H535" s="5"/>
      <c r="I535" s="5"/>
      <c r="J535" s="5"/>
      <c r="K535" s="5"/>
      <c r="L535" s="5"/>
      <c r="M535" s="5"/>
      <c r="N535" s="5"/>
      <c r="O535" s="5"/>
      <c r="P535" s="5"/>
      <c r="Q535" s="5"/>
      <c r="R535" s="5"/>
      <c r="S535" s="5"/>
      <c r="T535" s="5"/>
    </row>
    <row r="536" spans="1:20">
      <c r="A536" s="5"/>
      <c r="B536" s="5"/>
      <c r="C536" s="5"/>
      <c r="D536" s="5"/>
      <c r="E536" s="5"/>
      <c r="F536" s="5"/>
      <c r="G536" s="5"/>
      <c r="H536" s="5"/>
      <c r="I536" s="5"/>
      <c r="J536" s="5"/>
      <c r="K536" s="5"/>
      <c r="L536" s="5"/>
      <c r="M536" s="5"/>
      <c r="N536" s="5"/>
      <c r="O536" s="5"/>
      <c r="P536" s="5"/>
      <c r="Q536" s="5"/>
      <c r="R536" s="5"/>
      <c r="S536" s="5"/>
      <c r="T536" s="5"/>
    </row>
    <row r="537" spans="1:20">
      <c r="A537" s="5"/>
      <c r="B537" s="5"/>
      <c r="C537" s="5"/>
      <c r="D537" s="5"/>
      <c r="E537" s="5"/>
      <c r="F537" s="5"/>
      <c r="G537" s="5"/>
      <c r="H537" s="5"/>
      <c r="I537" s="5"/>
      <c r="J537" s="5"/>
      <c r="K537" s="5"/>
      <c r="L537" s="5"/>
      <c r="M537" s="5"/>
      <c r="N537" s="5"/>
      <c r="O537" s="5"/>
      <c r="P537" s="5"/>
      <c r="Q537" s="5"/>
      <c r="R537" s="5"/>
      <c r="S537" s="5"/>
      <c r="T537" s="5"/>
    </row>
    <row r="538" spans="1:20">
      <c r="A538" s="5"/>
      <c r="B538" s="5"/>
      <c r="C538" s="5"/>
      <c r="D538" s="5"/>
      <c r="E538" s="5"/>
      <c r="F538" s="5"/>
      <c r="G538" s="5"/>
      <c r="H538" s="5"/>
      <c r="I538" s="5"/>
      <c r="J538" s="5"/>
      <c r="K538" s="5"/>
      <c r="L538" s="5"/>
      <c r="M538" s="5"/>
      <c r="N538" s="5"/>
      <c r="O538" s="5"/>
      <c r="P538" s="5"/>
      <c r="Q538" s="5"/>
      <c r="R538" s="5"/>
      <c r="S538" s="5"/>
      <c r="T538" s="5"/>
    </row>
    <row r="539" spans="1:20">
      <c r="A539" s="5"/>
      <c r="B539" s="5"/>
      <c r="C539" s="5"/>
      <c r="D539" s="5"/>
      <c r="E539" s="5"/>
      <c r="F539" s="5"/>
      <c r="G539" s="5"/>
      <c r="H539" s="5"/>
      <c r="I539" s="5"/>
      <c r="J539" s="5"/>
      <c r="K539" s="5"/>
      <c r="L539" s="5"/>
      <c r="M539" s="5"/>
      <c r="N539" s="5"/>
      <c r="O539" s="5"/>
      <c r="P539" s="5"/>
      <c r="Q539" s="5"/>
      <c r="R539" s="5"/>
      <c r="S539" s="5"/>
      <c r="T539" s="5"/>
    </row>
    <row r="540" spans="1:20">
      <c r="A540" s="5"/>
      <c r="B540" s="5"/>
      <c r="C540" s="5"/>
      <c r="D540" s="5"/>
      <c r="E540" s="5"/>
      <c r="F540" s="5"/>
      <c r="G540" s="5"/>
      <c r="H540" s="5"/>
      <c r="I540" s="5"/>
      <c r="J540" s="5"/>
      <c r="K540" s="5"/>
      <c r="L540" s="5"/>
      <c r="M540" s="5"/>
      <c r="N540" s="5"/>
      <c r="O540" s="5"/>
      <c r="P540" s="5"/>
      <c r="Q540" s="5"/>
      <c r="R540" s="5"/>
      <c r="S540" s="5"/>
      <c r="T540" s="5"/>
    </row>
    <row r="541" spans="1:20">
      <c r="A541" s="5"/>
      <c r="B541" s="5"/>
      <c r="C541" s="5"/>
      <c r="D541" s="5"/>
      <c r="E541" s="5"/>
      <c r="F541" s="5"/>
      <c r="G541" s="5"/>
      <c r="H541" s="5"/>
      <c r="I541" s="5"/>
      <c r="J541" s="5"/>
      <c r="K541" s="5"/>
      <c r="L541" s="5"/>
      <c r="M541" s="5"/>
      <c r="N541" s="5"/>
      <c r="O541" s="5"/>
      <c r="P541" s="5"/>
      <c r="Q541" s="5"/>
      <c r="R541" s="5"/>
      <c r="S541" s="5"/>
      <c r="T541" s="5"/>
    </row>
    <row r="542" spans="1:20">
      <c r="A542" s="5"/>
      <c r="B542" s="5"/>
      <c r="C542" s="5"/>
      <c r="D542" s="5"/>
      <c r="E542" s="5"/>
      <c r="F542" s="5"/>
      <c r="G542" s="5"/>
      <c r="H542" s="5"/>
      <c r="I542" s="5"/>
      <c r="J542" s="5"/>
      <c r="K542" s="5"/>
      <c r="L542" s="5"/>
      <c r="M542" s="5"/>
      <c r="N542" s="5"/>
      <c r="O542" s="5"/>
      <c r="P542" s="5"/>
      <c r="Q542" s="5"/>
      <c r="R542" s="5"/>
      <c r="S542" s="5"/>
      <c r="T542" s="5"/>
    </row>
    <row r="543" spans="1:20">
      <c r="A543" s="5"/>
      <c r="B543" s="5"/>
      <c r="C543" s="5"/>
      <c r="D543" s="5"/>
      <c r="E543" s="5"/>
      <c r="F543" s="5"/>
      <c r="G543" s="5"/>
      <c r="H543" s="5"/>
      <c r="I543" s="5"/>
      <c r="J543" s="5"/>
      <c r="K543" s="5"/>
      <c r="L543" s="5"/>
      <c r="M543" s="5"/>
      <c r="N543" s="5"/>
      <c r="O543" s="5"/>
      <c r="P543" s="5"/>
      <c r="Q543" s="5"/>
      <c r="R543" s="5"/>
      <c r="S543" s="5"/>
      <c r="T543" s="5"/>
    </row>
    <row r="544" spans="1:20">
      <c r="A544" s="5"/>
      <c r="B544" s="5"/>
      <c r="C544" s="5"/>
      <c r="D544" s="5"/>
      <c r="E544" s="5"/>
      <c r="F544" s="5"/>
      <c r="G544" s="5"/>
      <c r="H544" s="5"/>
      <c r="I544" s="5"/>
      <c r="J544" s="5"/>
      <c r="K544" s="5"/>
      <c r="L544" s="5"/>
      <c r="M544" s="5"/>
      <c r="N544" s="5"/>
      <c r="O544" s="5"/>
      <c r="P544" s="5"/>
      <c r="Q544" s="5"/>
      <c r="R544" s="5"/>
      <c r="S544" s="5"/>
      <c r="T544" s="5"/>
    </row>
    <row r="545" spans="1:20">
      <c r="A545" s="5"/>
      <c r="B545" s="5"/>
      <c r="C545" s="5"/>
      <c r="D545" s="5"/>
      <c r="E545" s="5"/>
      <c r="F545" s="5"/>
      <c r="G545" s="5"/>
      <c r="H545" s="5"/>
      <c r="I545" s="5"/>
      <c r="J545" s="5"/>
      <c r="K545" s="5"/>
      <c r="L545" s="5"/>
      <c r="M545" s="5"/>
      <c r="N545" s="5"/>
      <c r="O545" s="5"/>
      <c r="P545" s="5"/>
      <c r="Q545" s="5"/>
      <c r="R545" s="5"/>
      <c r="S545" s="5"/>
      <c r="T545" s="5"/>
    </row>
    <row r="546" spans="1:20">
      <c r="A546" s="5"/>
      <c r="B546" s="5"/>
      <c r="C546" s="5"/>
      <c r="D546" s="5"/>
      <c r="E546" s="5"/>
      <c r="F546" s="5"/>
      <c r="G546" s="5"/>
      <c r="H546" s="5"/>
      <c r="I546" s="5"/>
      <c r="J546" s="5"/>
      <c r="K546" s="5"/>
      <c r="L546" s="5"/>
      <c r="M546" s="5"/>
      <c r="N546" s="5"/>
      <c r="O546" s="5"/>
      <c r="P546" s="5"/>
      <c r="Q546" s="5"/>
      <c r="R546" s="5"/>
      <c r="S546" s="5"/>
      <c r="T546" s="5"/>
    </row>
    <row r="547" spans="1:20">
      <c r="A547" s="5"/>
      <c r="B547" s="5"/>
      <c r="C547" s="5"/>
      <c r="D547" s="5"/>
      <c r="E547" s="5"/>
      <c r="F547" s="5"/>
      <c r="G547" s="5"/>
      <c r="H547" s="5"/>
      <c r="I547" s="5"/>
      <c r="J547" s="5"/>
      <c r="K547" s="5"/>
      <c r="L547" s="5"/>
      <c r="M547" s="5"/>
      <c r="N547" s="5"/>
      <c r="O547" s="5"/>
      <c r="P547" s="5"/>
      <c r="Q547" s="5"/>
      <c r="R547" s="5"/>
      <c r="S547" s="5"/>
      <c r="T547" s="5"/>
    </row>
    <row r="548" spans="1:20">
      <c r="A548" s="5"/>
      <c r="B548" s="5"/>
      <c r="C548" s="5"/>
      <c r="D548" s="5"/>
      <c r="E548" s="5"/>
      <c r="F548" s="5"/>
      <c r="G548" s="5"/>
      <c r="H548" s="5"/>
      <c r="I548" s="5"/>
      <c r="J548" s="5"/>
      <c r="K548" s="5"/>
      <c r="L548" s="5"/>
      <c r="M548" s="5"/>
      <c r="N548" s="5"/>
      <c r="O548" s="5"/>
      <c r="P548" s="5"/>
      <c r="Q548" s="5"/>
      <c r="R548" s="5"/>
      <c r="S548" s="5"/>
      <c r="T548" s="5"/>
    </row>
    <row r="549" spans="1:20">
      <c r="A549" s="5"/>
      <c r="B549" s="5"/>
      <c r="C549" s="5"/>
      <c r="D549" s="5"/>
      <c r="E549" s="5"/>
      <c r="F549" s="5"/>
      <c r="G549" s="5"/>
      <c r="H549" s="5"/>
      <c r="I549" s="5"/>
      <c r="J549" s="5"/>
      <c r="K549" s="5"/>
      <c r="L549" s="5"/>
      <c r="M549" s="5"/>
      <c r="N549" s="5"/>
      <c r="O549" s="5"/>
      <c r="P549" s="5"/>
      <c r="Q549" s="5"/>
      <c r="R549" s="5"/>
      <c r="S549" s="5"/>
      <c r="T549" s="5"/>
    </row>
    <row r="550" spans="1:20">
      <c r="A550" s="5"/>
      <c r="B550" s="5"/>
      <c r="C550" s="5"/>
      <c r="D550" s="5"/>
      <c r="E550" s="5"/>
      <c r="F550" s="5"/>
      <c r="G550" s="5"/>
      <c r="H550" s="5"/>
      <c r="I550" s="5"/>
      <c r="J550" s="5"/>
      <c r="K550" s="5"/>
      <c r="L550" s="5"/>
      <c r="M550" s="5"/>
      <c r="N550" s="5"/>
      <c r="O550" s="5"/>
      <c r="P550" s="5"/>
      <c r="Q550" s="5"/>
      <c r="R550" s="5"/>
      <c r="S550" s="5"/>
      <c r="T550" s="5"/>
    </row>
    <row r="551" spans="1:20">
      <c r="A551" s="5"/>
      <c r="B551" s="5"/>
      <c r="C551" s="5"/>
      <c r="D551" s="5"/>
      <c r="E551" s="5"/>
      <c r="F551" s="5"/>
      <c r="G551" s="5"/>
      <c r="H551" s="5"/>
      <c r="I551" s="5"/>
      <c r="J551" s="5"/>
      <c r="K551" s="5"/>
      <c r="L551" s="5"/>
      <c r="M551" s="5"/>
      <c r="N551" s="5"/>
      <c r="O551" s="5"/>
      <c r="P551" s="5"/>
      <c r="Q551" s="5"/>
      <c r="R551" s="5"/>
      <c r="S551" s="5"/>
      <c r="T551" s="5"/>
    </row>
    <row r="552" spans="1:20">
      <c r="A552" s="5"/>
      <c r="B552" s="5"/>
      <c r="C552" s="5"/>
      <c r="D552" s="5"/>
      <c r="E552" s="5"/>
      <c r="F552" s="5"/>
      <c r="G552" s="5"/>
      <c r="H552" s="5"/>
      <c r="I552" s="5"/>
      <c r="J552" s="5"/>
      <c r="K552" s="5"/>
      <c r="L552" s="5"/>
      <c r="M552" s="5"/>
      <c r="N552" s="5"/>
      <c r="O552" s="5"/>
      <c r="P552" s="5"/>
      <c r="Q552" s="5"/>
      <c r="R552" s="5"/>
      <c r="S552" s="5"/>
      <c r="T552" s="5"/>
    </row>
    <row r="553" spans="1:20">
      <c r="A553" s="5"/>
      <c r="B553" s="5"/>
      <c r="C553" s="5"/>
      <c r="D553" s="5"/>
      <c r="E553" s="5"/>
      <c r="F553" s="5"/>
      <c r="G553" s="5"/>
      <c r="H553" s="5"/>
      <c r="I553" s="5"/>
      <c r="J553" s="5"/>
      <c r="K553" s="5"/>
      <c r="L553" s="5"/>
      <c r="M553" s="5"/>
      <c r="N553" s="5"/>
      <c r="O553" s="5"/>
      <c r="P553" s="5"/>
      <c r="Q553" s="5"/>
      <c r="R553" s="5"/>
      <c r="S553" s="5"/>
      <c r="T553" s="5"/>
    </row>
    <row r="554" spans="1:20">
      <c r="A554" s="5"/>
      <c r="B554" s="5"/>
      <c r="C554" s="5"/>
      <c r="D554" s="5"/>
      <c r="E554" s="5"/>
      <c r="F554" s="5"/>
      <c r="G554" s="5"/>
      <c r="H554" s="5"/>
      <c r="I554" s="5"/>
      <c r="J554" s="5"/>
      <c r="K554" s="5"/>
      <c r="L554" s="5"/>
      <c r="M554" s="5"/>
      <c r="N554" s="5"/>
      <c r="O554" s="5"/>
      <c r="P554" s="5"/>
      <c r="Q554" s="5"/>
      <c r="R554" s="5"/>
      <c r="S554" s="5"/>
      <c r="T554" s="5"/>
    </row>
    <row r="555" spans="1:20">
      <c r="A555" s="5"/>
      <c r="B555" s="5"/>
      <c r="C555" s="5"/>
      <c r="D555" s="5"/>
      <c r="E555" s="5"/>
      <c r="F555" s="5"/>
      <c r="G555" s="5"/>
      <c r="H555" s="5"/>
      <c r="I555" s="5"/>
      <c r="J555" s="5"/>
      <c r="K555" s="5"/>
      <c r="L555" s="5"/>
      <c r="M555" s="5"/>
      <c r="N555" s="5"/>
      <c r="O555" s="5"/>
      <c r="P555" s="5"/>
      <c r="Q555" s="5"/>
      <c r="R555" s="5"/>
      <c r="S555" s="5"/>
      <c r="T555" s="5"/>
    </row>
    <row r="556" spans="1:20">
      <c r="A556" s="5"/>
      <c r="B556" s="5"/>
      <c r="C556" s="5"/>
      <c r="D556" s="5"/>
      <c r="E556" s="5"/>
      <c r="F556" s="5"/>
      <c r="G556" s="5"/>
      <c r="H556" s="5"/>
      <c r="I556" s="5"/>
      <c r="J556" s="5"/>
      <c r="K556" s="5"/>
      <c r="L556" s="5"/>
      <c r="M556" s="5"/>
      <c r="N556" s="5"/>
      <c r="O556" s="5"/>
      <c r="P556" s="5"/>
      <c r="Q556" s="5"/>
      <c r="R556" s="5"/>
      <c r="S556" s="5"/>
      <c r="T556" s="5"/>
    </row>
    <row r="557" spans="1:20">
      <c r="A557" s="5"/>
      <c r="B557" s="5"/>
      <c r="C557" s="5"/>
      <c r="D557" s="5"/>
      <c r="E557" s="5"/>
      <c r="F557" s="5"/>
      <c r="G557" s="5"/>
      <c r="H557" s="5"/>
      <c r="I557" s="5"/>
      <c r="J557" s="5"/>
      <c r="K557" s="5"/>
      <c r="L557" s="5"/>
      <c r="M557" s="5"/>
      <c r="N557" s="5"/>
      <c r="O557" s="5"/>
      <c r="P557" s="5"/>
      <c r="Q557" s="5"/>
      <c r="R557" s="5"/>
      <c r="S557" s="5"/>
      <c r="T557" s="5"/>
    </row>
    <row r="558" spans="1:20">
      <c r="A558" s="5"/>
      <c r="B558" s="5"/>
      <c r="C558" s="5"/>
      <c r="D558" s="5"/>
      <c r="E558" s="5"/>
      <c r="F558" s="5"/>
      <c r="G558" s="5"/>
      <c r="H558" s="5"/>
      <c r="I558" s="5"/>
      <c r="J558" s="5"/>
      <c r="K558" s="5"/>
      <c r="L558" s="5"/>
      <c r="M558" s="5"/>
      <c r="N558" s="5"/>
      <c r="O558" s="5"/>
      <c r="P558" s="5"/>
      <c r="Q558" s="5"/>
      <c r="R558" s="5"/>
      <c r="S558" s="5"/>
      <c r="T558" s="5"/>
    </row>
    <row r="559" spans="1:20">
      <c r="A559" s="5"/>
      <c r="B559" s="5"/>
      <c r="C559" s="5"/>
      <c r="D559" s="5"/>
      <c r="E559" s="5"/>
      <c r="F559" s="5"/>
      <c r="G559" s="5"/>
      <c r="H559" s="5"/>
      <c r="I559" s="5"/>
      <c r="J559" s="5"/>
      <c r="K559" s="5"/>
      <c r="L559" s="5"/>
      <c r="M559" s="5"/>
      <c r="N559" s="5"/>
      <c r="O559" s="5"/>
      <c r="P559" s="5"/>
      <c r="Q559" s="5"/>
      <c r="R559" s="5"/>
      <c r="S559" s="5"/>
      <c r="T559" s="5"/>
    </row>
    <row r="560" spans="1:20">
      <c r="A560" s="5"/>
      <c r="B560" s="5"/>
      <c r="C560" s="5"/>
      <c r="D560" s="5"/>
      <c r="E560" s="5"/>
      <c r="F560" s="5"/>
      <c r="G560" s="5"/>
      <c r="H560" s="5"/>
      <c r="I560" s="5"/>
      <c r="J560" s="5"/>
      <c r="K560" s="5"/>
      <c r="L560" s="5"/>
      <c r="M560" s="5"/>
      <c r="N560" s="5"/>
      <c r="O560" s="5"/>
      <c r="P560" s="5"/>
      <c r="Q560" s="5"/>
      <c r="R560" s="5"/>
      <c r="S560" s="5"/>
      <c r="T560" s="5"/>
    </row>
    <row r="561" spans="1:20">
      <c r="A561" s="5"/>
      <c r="B561" s="5"/>
      <c r="C561" s="5"/>
      <c r="D561" s="5"/>
      <c r="E561" s="5"/>
      <c r="F561" s="5"/>
      <c r="G561" s="5"/>
      <c r="H561" s="5"/>
      <c r="I561" s="5"/>
      <c r="J561" s="5"/>
      <c r="K561" s="5"/>
      <c r="L561" s="5"/>
      <c r="M561" s="5"/>
      <c r="N561" s="5"/>
      <c r="O561" s="5"/>
      <c r="P561" s="5"/>
      <c r="Q561" s="5"/>
      <c r="R561" s="5"/>
      <c r="S561" s="5"/>
      <c r="T561" s="5"/>
    </row>
    <row r="562" spans="1:20">
      <c r="A562" s="5"/>
      <c r="B562" s="5"/>
      <c r="C562" s="5"/>
      <c r="D562" s="5"/>
      <c r="E562" s="5"/>
      <c r="F562" s="5"/>
      <c r="G562" s="5"/>
      <c r="H562" s="5"/>
      <c r="I562" s="5"/>
      <c r="J562" s="5"/>
      <c r="K562" s="5"/>
      <c r="L562" s="5"/>
      <c r="M562" s="5"/>
      <c r="N562" s="5"/>
      <c r="O562" s="5"/>
      <c r="P562" s="5"/>
      <c r="Q562" s="5"/>
      <c r="R562" s="5"/>
      <c r="S562" s="5"/>
      <c r="T562" s="5"/>
    </row>
    <row r="563" spans="1:20">
      <c r="A563" s="5"/>
      <c r="B563" s="5"/>
      <c r="C563" s="5"/>
      <c r="D563" s="5"/>
      <c r="E563" s="5"/>
      <c r="F563" s="5"/>
      <c r="G563" s="5"/>
      <c r="H563" s="5"/>
      <c r="I563" s="5"/>
      <c r="J563" s="5"/>
      <c r="K563" s="5"/>
      <c r="L563" s="5"/>
      <c r="M563" s="5"/>
      <c r="N563" s="5"/>
      <c r="O563" s="5"/>
      <c r="P563" s="5"/>
      <c r="Q563" s="5"/>
      <c r="R563" s="5"/>
      <c r="S563" s="5"/>
      <c r="T563" s="5"/>
    </row>
    <row r="564" spans="1:20">
      <c r="A564" s="5"/>
      <c r="B564" s="5"/>
      <c r="C564" s="5"/>
      <c r="D564" s="5"/>
      <c r="E564" s="5"/>
      <c r="F564" s="5"/>
      <c r="G564" s="5"/>
      <c r="H564" s="5"/>
      <c r="I564" s="5"/>
      <c r="J564" s="5"/>
      <c r="K564" s="5"/>
      <c r="L564" s="5"/>
      <c r="M564" s="5"/>
      <c r="N564" s="5"/>
      <c r="O564" s="5"/>
      <c r="P564" s="5"/>
      <c r="Q564" s="5"/>
      <c r="R564" s="5"/>
      <c r="S564" s="5"/>
      <c r="T564" s="5"/>
    </row>
    <row r="565" spans="1:20">
      <c r="A565" s="5"/>
      <c r="B565" s="5"/>
      <c r="C565" s="5"/>
      <c r="D565" s="5"/>
      <c r="E565" s="5"/>
      <c r="F565" s="5"/>
      <c r="G565" s="5"/>
      <c r="H565" s="5"/>
      <c r="I565" s="5"/>
      <c r="J565" s="5"/>
      <c r="K565" s="5"/>
      <c r="L565" s="5"/>
      <c r="M565" s="5"/>
      <c r="N565" s="5"/>
      <c r="O565" s="5"/>
      <c r="P565" s="5"/>
      <c r="Q565" s="5"/>
      <c r="R565" s="5"/>
      <c r="S565" s="5"/>
      <c r="T565" s="5"/>
    </row>
    <row r="566" spans="1:20">
      <c r="A566" s="5"/>
      <c r="B566" s="5"/>
      <c r="C566" s="5"/>
      <c r="D566" s="5"/>
      <c r="E566" s="5"/>
      <c r="F566" s="5"/>
      <c r="G566" s="5"/>
      <c r="H566" s="5"/>
      <c r="I566" s="5"/>
      <c r="J566" s="5"/>
      <c r="K566" s="5"/>
      <c r="L566" s="5"/>
      <c r="M566" s="5"/>
      <c r="N566" s="5"/>
      <c r="O566" s="5"/>
      <c r="P566" s="5"/>
      <c r="Q566" s="5"/>
      <c r="R566" s="5"/>
      <c r="S566" s="5"/>
      <c r="T566" s="5"/>
    </row>
    <row r="567" spans="1:20">
      <c r="A567" s="5"/>
      <c r="B567" s="5"/>
      <c r="C567" s="5"/>
      <c r="D567" s="5"/>
      <c r="E567" s="5"/>
      <c r="F567" s="5"/>
      <c r="G567" s="5"/>
      <c r="H567" s="5"/>
      <c r="I567" s="5"/>
      <c r="J567" s="5"/>
      <c r="K567" s="5"/>
      <c r="L567" s="5"/>
      <c r="M567" s="5"/>
      <c r="N567" s="5"/>
      <c r="O567" s="5"/>
      <c r="P567" s="5"/>
      <c r="Q567" s="5"/>
      <c r="R567" s="5"/>
      <c r="S567" s="5"/>
      <c r="T567" s="5"/>
    </row>
    <row r="568" spans="1:20">
      <c r="A568" s="5"/>
      <c r="B568" s="5"/>
      <c r="C568" s="5"/>
      <c r="D568" s="5"/>
      <c r="E568" s="5"/>
      <c r="F568" s="5"/>
      <c r="G568" s="5"/>
      <c r="H568" s="5"/>
      <c r="I568" s="5"/>
      <c r="J568" s="5"/>
      <c r="K568" s="5"/>
      <c r="L568" s="5"/>
      <c r="M568" s="5"/>
      <c r="N568" s="5"/>
      <c r="O568" s="5"/>
      <c r="P568" s="5"/>
      <c r="Q568" s="5"/>
      <c r="R568" s="5"/>
      <c r="S568" s="5"/>
      <c r="T568" s="5"/>
    </row>
    <row r="569" spans="1:20">
      <c r="A569" s="5"/>
      <c r="B569" s="5"/>
      <c r="C569" s="5"/>
      <c r="D569" s="5"/>
      <c r="E569" s="5"/>
      <c r="F569" s="5"/>
      <c r="G569" s="5"/>
      <c r="H569" s="5"/>
      <c r="I569" s="5"/>
      <c r="J569" s="5"/>
      <c r="K569" s="5"/>
      <c r="L569" s="5"/>
      <c r="M569" s="5"/>
      <c r="N569" s="5"/>
      <c r="O569" s="5"/>
      <c r="P569" s="5"/>
      <c r="Q569" s="5"/>
      <c r="R569" s="5"/>
      <c r="S569" s="5"/>
      <c r="T569" s="5"/>
    </row>
    <row r="570" spans="1:20">
      <c r="A570" s="5"/>
      <c r="B570" s="5"/>
      <c r="C570" s="5"/>
      <c r="D570" s="5"/>
      <c r="E570" s="5"/>
      <c r="F570" s="5"/>
      <c r="G570" s="5"/>
      <c r="H570" s="5"/>
      <c r="I570" s="5"/>
      <c r="J570" s="5"/>
      <c r="K570" s="5"/>
      <c r="L570" s="5"/>
      <c r="M570" s="5"/>
      <c r="N570" s="5"/>
      <c r="O570" s="5"/>
      <c r="P570" s="5"/>
      <c r="Q570" s="5"/>
      <c r="R570" s="5"/>
      <c r="S570" s="5"/>
      <c r="T570" s="5"/>
    </row>
    <row r="571" spans="1:20">
      <c r="A571" s="5"/>
      <c r="B571" s="5"/>
      <c r="C571" s="5"/>
      <c r="D571" s="5"/>
      <c r="E571" s="5"/>
      <c r="F571" s="5"/>
      <c r="G571" s="5"/>
      <c r="H571" s="5"/>
      <c r="I571" s="5"/>
      <c r="J571" s="5"/>
      <c r="K571" s="5"/>
      <c r="L571" s="5"/>
      <c r="M571" s="5"/>
      <c r="N571" s="5"/>
      <c r="O571" s="5"/>
      <c r="P571" s="5"/>
      <c r="Q571" s="5"/>
      <c r="R571" s="5"/>
      <c r="S571" s="5"/>
      <c r="T571" s="5"/>
    </row>
    <row r="572" spans="1:20">
      <c r="A572" s="5"/>
      <c r="B572" s="5"/>
      <c r="C572" s="5"/>
      <c r="D572" s="5"/>
      <c r="E572" s="5"/>
      <c r="F572" s="5"/>
      <c r="G572" s="5"/>
      <c r="H572" s="5"/>
      <c r="I572" s="5"/>
      <c r="J572" s="5"/>
      <c r="K572" s="5"/>
      <c r="L572" s="5"/>
      <c r="M572" s="5"/>
      <c r="N572" s="5"/>
      <c r="O572" s="5"/>
      <c r="P572" s="5"/>
      <c r="Q572" s="5"/>
      <c r="R572" s="5"/>
      <c r="S572" s="5"/>
      <c r="T572" s="5"/>
    </row>
    <row r="573" spans="1:20">
      <c r="A573" s="5"/>
      <c r="B573" s="5"/>
      <c r="C573" s="5"/>
      <c r="D573" s="5"/>
      <c r="E573" s="5"/>
      <c r="F573" s="5"/>
      <c r="G573" s="5"/>
      <c r="H573" s="5"/>
      <c r="I573" s="5"/>
      <c r="J573" s="5"/>
      <c r="K573" s="5"/>
      <c r="L573" s="5"/>
      <c r="M573" s="5"/>
      <c r="N573" s="5"/>
      <c r="O573" s="5"/>
      <c r="P573" s="5"/>
      <c r="Q573" s="5"/>
      <c r="R573" s="5"/>
      <c r="S573" s="5"/>
      <c r="T573" s="5"/>
    </row>
    <row r="574" spans="1:20">
      <c r="A574" s="5"/>
      <c r="B574" s="5"/>
      <c r="C574" s="5"/>
      <c r="D574" s="5"/>
      <c r="E574" s="5"/>
      <c r="F574" s="5"/>
      <c r="G574" s="5"/>
      <c r="H574" s="5"/>
      <c r="I574" s="5"/>
      <c r="J574" s="5"/>
      <c r="K574" s="5"/>
      <c r="L574" s="5"/>
      <c r="M574" s="5"/>
      <c r="N574" s="5"/>
      <c r="O574" s="5"/>
      <c r="P574" s="5"/>
      <c r="Q574" s="5"/>
      <c r="R574" s="5"/>
      <c r="S574" s="5"/>
      <c r="T574" s="5"/>
    </row>
    <row r="575" spans="1:20">
      <c r="A575" s="5"/>
      <c r="B575" s="5"/>
      <c r="C575" s="5"/>
      <c r="D575" s="5"/>
      <c r="E575" s="5"/>
      <c r="F575" s="5"/>
      <c r="G575" s="5"/>
      <c r="H575" s="5"/>
      <c r="I575" s="5"/>
      <c r="J575" s="5"/>
      <c r="K575" s="5"/>
      <c r="L575" s="5"/>
      <c r="M575" s="5"/>
      <c r="N575" s="5"/>
      <c r="O575" s="5"/>
      <c r="P575" s="5"/>
      <c r="Q575" s="5"/>
      <c r="R575" s="5"/>
      <c r="S575" s="5"/>
      <c r="T575" s="5"/>
    </row>
    <row r="576" spans="1:20">
      <c r="A576" s="5"/>
      <c r="B576" s="5"/>
      <c r="C576" s="5"/>
      <c r="D576" s="5"/>
      <c r="E576" s="5"/>
      <c r="F576" s="5"/>
      <c r="G576" s="5"/>
      <c r="H576" s="5"/>
      <c r="I576" s="5"/>
      <c r="J576" s="5"/>
      <c r="K576" s="5"/>
      <c r="L576" s="5"/>
      <c r="M576" s="5"/>
      <c r="N576" s="5"/>
      <c r="O576" s="5"/>
      <c r="P576" s="5"/>
      <c r="Q576" s="5"/>
      <c r="R576" s="5"/>
      <c r="S576" s="5"/>
      <c r="T576" s="5"/>
    </row>
    <row r="577" spans="1:20">
      <c r="A577" s="5"/>
      <c r="B577" s="5"/>
      <c r="C577" s="5"/>
      <c r="D577" s="5"/>
      <c r="E577" s="5"/>
      <c r="F577" s="5"/>
      <c r="G577" s="5"/>
      <c r="H577" s="5"/>
      <c r="I577" s="5"/>
      <c r="J577" s="5"/>
      <c r="K577" s="5"/>
      <c r="L577" s="5"/>
      <c r="M577" s="5"/>
      <c r="N577" s="5"/>
      <c r="O577" s="5"/>
      <c r="P577" s="5"/>
      <c r="Q577" s="5"/>
      <c r="R577" s="5"/>
      <c r="S577" s="5"/>
      <c r="T577" s="5"/>
    </row>
    <row r="578" spans="1:20">
      <c r="A578" s="5"/>
      <c r="B578" s="5"/>
      <c r="C578" s="5"/>
      <c r="D578" s="5"/>
      <c r="E578" s="5"/>
      <c r="F578" s="5"/>
      <c r="G578" s="5"/>
      <c r="H578" s="5"/>
      <c r="I578" s="5"/>
      <c r="J578" s="5"/>
      <c r="K578" s="5"/>
      <c r="L578" s="5"/>
      <c r="M578" s="5"/>
      <c r="N578" s="5"/>
      <c r="O578" s="5"/>
      <c r="P578" s="5"/>
      <c r="Q578" s="5"/>
      <c r="R578" s="5"/>
      <c r="S578" s="5"/>
      <c r="T578" s="5"/>
    </row>
    <row r="579" spans="1:20">
      <c r="A579" s="5"/>
      <c r="B579" s="5"/>
      <c r="C579" s="5"/>
      <c r="D579" s="5"/>
      <c r="E579" s="5"/>
      <c r="F579" s="5"/>
      <c r="G579" s="5"/>
      <c r="H579" s="5"/>
      <c r="I579" s="5"/>
      <c r="J579" s="5"/>
      <c r="K579" s="5"/>
      <c r="L579" s="5"/>
      <c r="M579" s="5"/>
      <c r="N579" s="5"/>
      <c r="O579" s="5"/>
      <c r="P579" s="5"/>
      <c r="Q579" s="5"/>
      <c r="R579" s="5"/>
      <c r="S579" s="5"/>
      <c r="T579" s="5"/>
    </row>
    <row r="580" spans="1:20">
      <c r="A580" s="5"/>
      <c r="B580" s="5"/>
      <c r="C580" s="5"/>
      <c r="D580" s="5"/>
      <c r="E580" s="5"/>
      <c r="F580" s="5"/>
      <c r="G580" s="5"/>
      <c r="H580" s="5"/>
      <c r="I580" s="5"/>
      <c r="J580" s="5"/>
      <c r="K580" s="5"/>
      <c r="L580" s="5"/>
      <c r="M580" s="5"/>
      <c r="N580" s="5"/>
      <c r="O580" s="5"/>
      <c r="P580" s="5"/>
      <c r="Q580" s="5"/>
      <c r="R580" s="5"/>
      <c r="S580" s="5"/>
      <c r="T580" s="5"/>
    </row>
    <row r="581" spans="1:20">
      <c r="A581" s="5"/>
      <c r="B581" s="5"/>
      <c r="C581" s="5"/>
      <c r="D581" s="5"/>
      <c r="E581" s="5"/>
      <c r="F581" s="5"/>
      <c r="G581" s="5"/>
      <c r="H581" s="5"/>
      <c r="I581" s="5"/>
      <c r="J581" s="5"/>
      <c r="K581" s="5"/>
      <c r="L581" s="5"/>
      <c r="M581" s="5"/>
      <c r="N581" s="5"/>
      <c r="O581" s="5"/>
      <c r="P581" s="5"/>
      <c r="Q581" s="5"/>
      <c r="R581" s="5"/>
      <c r="S581" s="5"/>
      <c r="T581" s="5"/>
    </row>
    <row r="582" spans="1:20">
      <c r="A582" s="5"/>
      <c r="B582" s="5"/>
      <c r="C582" s="5"/>
      <c r="D582" s="5"/>
      <c r="E582" s="5"/>
      <c r="F582" s="5"/>
      <c r="G582" s="5"/>
      <c r="H582" s="5"/>
      <c r="I582" s="5"/>
      <c r="J582" s="5"/>
      <c r="K582" s="5"/>
      <c r="L582" s="5"/>
      <c r="M582" s="5"/>
      <c r="N582" s="5"/>
      <c r="O582" s="5"/>
      <c r="P582" s="5"/>
      <c r="Q582" s="5"/>
      <c r="R582" s="5"/>
      <c r="S582" s="5"/>
      <c r="T582" s="5"/>
    </row>
    <row r="583" spans="1:20">
      <c r="A583" s="5"/>
      <c r="B583" s="5"/>
      <c r="C583" s="5"/>
      <c r="D583" s="5"/>
      <c r="E583" s="5"/>
      <c r="F583" s="5"/>
      <c r="G583" s="5"/>
      <c r="H583" s="5"/>
      <c r="I583" s="5"/>
      <c r="J583" s="5"/>
      <c r="K583" s="5"/>
      <c r="L583" s="5"/>
      <c r="M583" s="5"/>
      <c r="N583" s="5"/>
      <c r="O583" s="5"/>
      <c r="P583" s="5"/>
      <c r="Q583" s="5"/>
      <c r="R583" s="5"/>
      <c r="S583" s="5"/>
      <c r="T583" s="5"/>
    </row>
    <row r="584" spans="1:20">
      <c r="A584" s="5"/>
      <c r="B584" s="5"/>
      <c r="C584" s="5"/>
      <c r="D584" s="5"/>
      <c r="E584" s="5"/>
      <c r="F584" s="5"/>
      <c r="G584" s="5"/>
      <c r="H584" s="5"/>
      <c r="I584" s="5"/>
      <c r="J584" s="5"/>
      <c r="K584" s="5"/>
      <c r="L584" s="5"/>
      <c r="M584" s="5"/>
      <c r="N584" s="5"/>
      <c r="O584" s="5"/>
      <c r="P584" s="5"/>
      <c r="Q584" s="5"/>
      <c r="R584" s="5"/>
      <c r="S584" s="5"/>
      <c r="T584" s="5"/>
    </row>
    <row r="585" spans="1:20">
      <c r="A585" s="5"/>
      <c r="B585" s="5"/>
      <c r="C585" s="5"/>
      <c r="D585" s="5"/>
      <c r="E585" s="5"/>
      <c r="F585" s="5"/>
      <c r="G585" s="5"/>
      <c r="H585" s="5"/>
      <c r="I585" s="5"/>
      <c r="J585" s="5"/>
      <c r="K585" s="5"/>
      <c r="L585" s="5"/>
      <c r="M585" s="5"/>
      <c r="N585" s="5"/>
      <c r="O585" s="5"/>
      <c r="P585" s="5"/>
      <c r="Q585" s="5"/>
      <c r="R585" s="5"/>
      <c r="S585" s="5"/>
      <c r="T585" s="5"/>
    </row>
    <row r="586" spans="1:20">
      <c r="A586" s="5"/>
      <c r="B586" s="5"/>
      <c r="C586" s="5"/>
      <c r="D586" s="5"/>
      <c r="E586" s="5"/>
      <c r="F586" s="5"/>
      <c r="G586" s="5"/>
      <c r="H586" s="5"/>
      <c r="I586" s="5"/>
      <c r="J586" s="5"/>
      <c r="K586" s="5"/>
      <c r="L586" s="5"/>
      <c r="M586" s="5"/>
      <c r="N586" s="5"/>
      <c r="O586" s="5"/>
      <c r="P586" s="5"/>
      <c r="Q586" s="5"/>
      <c r="R586" s="5"/>
      <c r="S586" s="5"/>
      <c r="T586" s="5"/>
    </row>
    <row r="587" spans="1:20">
      <c r="A587" s="5"/>
      <c r="B587" s="5"/>
      <c r="C587" s="5"/>
      <c r="D587" s="5"/>
      <c r="E587" s="5"/>
      <c r="F587" s="5"/>
      <c r="G587" s="5"/>
      <c r="H587" s="5"/>
      <c r="I587" s="5"/>
      <c r="J587" s="5"/>
      <c r="K587" s="5"/>
      <c r="L587" s="5"/>
      <c r="M587" s="5"/>
      <c r="N587" s="5"/>
      <c r="O587" s="5"/>
      <c r="P587" s="5"/>
      <c r="Q587" s="5"/>
      <c r="R587" s="5"/>
      <c r="S587" s="5"/>
      <c r="T587" s="5"/>
    </row>
    <row r="588" spans="1:20">
      <c r="A588" s="5"/>
      <c r="B588" s="5"/>
      <c r="C588" s="5"/>
      <c r="D588" s="5"/>
      <c r="E588" s="5"/>
      <c r="F588" s="5"/>
      <c r="G588" s="5"/>
      <c r="H588" s="5"/>
      <c r="I588" s="5"/>
      <c r="J588" s="5"/>
      <c r="K588" s="5"/>
      <c r="L588" s="5"/>
      <c r="M588" s="5"/>
      <c r="N588" s="5"/>
      <c r="O588" s="5"/>
      <c r="P588" s="5"/>
      <c r="Q588" s="5"/>
      <c r="R588" s="5"/>
      <c r="S588" s="5"/>
      <c r="T588" s="5"/>
    </row>
    <row r="589" spans="1:20">
      <c r="A589" s="5"/>
      <c r="B589" s="5"/>
      <c r="C589" s="5"/>
      <c r="D589" s="5"/>
      <c r="E589" s="5"/>
      <c r="F589" s="5"/>
      <c r="G589" s="5"/>
      <c r="H589" s="5"/>
      <c r="I589" s="5"/>
      <c r="J589" s="5"/>
      <c r="K589" s="5"/>
      <c r="L589" s="5"/>
      <c r="M589" s="5"/>
      <c r="N589" s="5"/>
      <c r="O589" s="5"/>
      <c r="P589" s="5"/>
      <c r="Q589" s="5"/>
      <c r="R589" s="5"/>
      <c r="S589" s="5"/>
      <c r="T589" s="5"/>
    </row>
    <row r="590" spans="1:20">
      <c r="A590" s="5"/>
      <c r="B590" s="5"/>
      <c r="C590" s="5"/>
      <c r="D590" s="5"/>
      <c r="E590" s="5"/>
      <c r="F590" s="5"/>
      <c r="G590" s="5"/>
      <c r="H590" s="5"/>
      <c r="I590" s="5"/>
      <c r="J590" s="5"/>
      <c r="K590" s="5"/>
      <c r="L590" s="5"/>
      <c r="M590" s="5"/>
      <c r="N590" s="5"/>
      <c r="O590" s="5"/>
      <c r="P590" s="5"/>
      <c r="Q590" s="5"/>
      <c r="R590" s="5"/>
      <c r="S590" s="5"/>
      <c r="T590" s="5"/>
    </row>
    <row r="591" spans="1:20">
      <c r="A591" s="5"/>
      <c r="B591" s="5"/>
      <c r="C591" s="5"/>
      <c r="D591" s="5"/>
      <c r="E591" s="5"/>
      <c r="F591" s="5"/>
      <c r="G591" s="5"/>
      <c r="H591" s="5"/>
      <c r="I591" s="5"/>
      <c r="J591" s="5"/>
      <c r="K591" s="5"/>
      <c r="L591" s="5"/>
      <c r="M591" s="5"/>
      <c r="N591" s="5"/>
      <c r="O591" s="5"/>
      <c r="P591" s="5"/>
      <c r="Q591" s="5"/>
      <c r="R591" s="5"/>
      <c r="S591" s="5"/>
      <c r="T591" s="5"/>
    </row>
    <row r="592" spans="1:20">
      <c r="A592" s="5"/>
      <c r="B592" s="5"/>
      <c r="C592" s="5"/>
      <c r="D592" s="5"/>
      <c r="E592" s="5"/>
      <c r="F592" s="5"/>
      <c r="G592" s="5"/>
      <c r="H592" s="5"/>
      <c r="I592" s="5"/>
      <c r="J592" s="5"/>
      <c r="K592" s="5"/>
      <c r="L592" s="5"/>
      <c r="M592" s="5"/>
      <c r="N592" s="5"/>
      <c r="O592" s="5"/>
      <c r="P592" s="5"/>
      <c r="Q592" s="5"/>
      <c r="R592" s="5"/>
      <c r="S592" s="5"/>
      <c r="T592" s="5"/>
    </row>
    <row r="593" spans="1:20">
      <c r="A593" s="5"/>
      <c r="B593" s="5"/>
      <c r="C593" s="5"/>
      <c r="D593" s="5"/>
      <c r="E593" s="5"/>
      <c r="F593" s="5"/>
      <c r="G593" s="5"/>
      <c r="H593" s="5"/>
      <c r="I593" s="5"/>
      <c r="J593" s="5"/>
      <c r="K593" s="5"/>
      <c r="L593" s="5"/>
      <c r="M593" s="5"/>
      <c r="N593" s="5"/>
      <c r="O593" s="5"/>
      <c r="P593" s="5"/>
      <c r="Q593" s="5"/>
      <c r="R593" s="5"/>
      <c r="S593" s="5"/>
      <c r="T593" s="5"/>
    </row>
    <row r="594" spans="1:20">
      <c r="A594" s="5"/>
      <c r="B594" s="5"/>
      <c r="C594" s="5"/>
      <c r="D594" s="5"/>
      <c r="E594" s="5"/>
      <c r="F594" s="5"/>
      <c r="G594" s="5"/>
      <c r="H594" s="5"/>
      <c r="I594" s="5"/>
      <c r="J594" s="5"/>
      <c r="K594" s="5"/>
      <c r="L594" s="5"/>
      <c r="M594" s="5"/>
      <c r="N594" s="5"/>
      <c r="O594" s="5"/>
      <c r="P594" s="5"/>
      <c r="Q594" s="5"/>
      <c r="R594" s="5"/>
      <c r="S594" s="5"/>
      <c r="T594" s="5"/>
    </row>
    <row r="595" spans="1:20">
      <c r="A595" s="5"/>
      <c r="B595" s="5"/>
      <c r="C595" s="5"/>
      <c r="D595" s="5"/>
      <c r="E595" s="5"/>
      <c r="F595" s="5"/>
      <c r="G595" s="5"/>
      <c r="H595" s="5"/>
      <c r="I595" s="5"/>
      <c r="J595" s="5"/>
      <c r="K595" s="5"/>
      <c r="L595" s="5"/>
      <c r="M595" s="5"/>
      <c r="N595" s="5"/>
      <c r="O595" s="5"/>
      <c r="P595" s="5"/>
      <c r="Q595" s="5"/>
      <c r="R595" s="5"/>
      <c r="S595" s="5"/>
      <c r="T595" s="5"/>
    </row>
    <row r="596" spans="1:20">
      <c r="A596" s="5"/>
      <c r="B596" s="5"/>
      <c r="C596" s="5"/>
      <c r="D596" s="5"/>
      <c r="E596" s="5"/>
      <c r="F596" s="5"/>
      <c r="G596" s="5"/>
      <c r="H596" s="5"/>
      <c r="I596" s="5"/>
      <c r="J596" s="5"/>
      <c r="K596" s="5"/>
      <c r="L596" s="5"/>
      <c r="M596" s="5"/>
      <c r="N596" s="5"/>
      <c r="O596" s="5"/>
      <c r="P596" s="5"/>
      <c r="Q596" s="5"/>
      <c r="R596" s="5"/>
      <c r="S596" s="5"/>
      <c r="T596" s="5"/>
    </row>
    <row r="597" spans="1:20">
      <c r="A597" s="5"/>
      <c r="B597" s="5"/>
      <c r="C597" s="5"/>
      <c r="D597" s="5"/>
      <c r="E597" s="5"/>
      <c r="F597" s="5"/>
      <c r="G597" s="5"/>
      <c r="H597" s="5"/>
      <c r="I597" s="5"/>
      <c r="J597" s="5"/>
      <c r="K597" s="5"/>
      <c r="L597" s="5"/>
      <c r="M597" s="5"/>
      <c r="N597" s="5"/>
      <c r="O597" s="5"/>
      <c r="P597" s="5"/>
      <c r="Q597" s="5"/>
      <c r="R597" s="5"/>
      <c r="S597" s="5"/>
      <c r="T597" s="5"/>
    </row>
    <row r="598" spans="1:20">
      <c r="A598" s="5"/>
      <c r="B598" s="5"/>
      <c r="C598" s="5"/>
      <c r="D598" s="5"/>
      <c r="E598" s="5"/>
      <c r="F598" s="5"/>
      <c r="G598" s="5"/>
      <c r="H598" s="5"/>
      <c r="I598" s="5"/>
      <c r="J598" s="5"/>
      <c r="K598" s="5"/>
      <c r="L598" s="5"/>
      <c r="M598" s="5"/>
      <c r="N598" s="5"/>
      <c r="O598" s="5"/>
      <c r="P598" s="5"/>
      <c r="Q598" s="5"/>
      <c r="R598" s="5"/>
      <c r="S598" s="5"/>
      <c r="T598" s="5"/>
    </row>
    <row r="599" spans="1:20">
      <c r="A599" s="5"/>
      <c r="B599" s="5"/>
      <c r="C599" s="5"/>
      <c r="D599" s="5"/>
      <c r="E599" s="5"/>
      <c r="F599" s="5"/>
      <c r="G599" s="5"/>
      <c r="H599" s="5"/>
      <c r="I599" s="5"/>
      <c r="J599" s="5"/>
      <c r="K599" s="5"/>
      <c r="L599" s="5"/>
      <c r="M599" s="5"/>
      <c r="N599" s="5"/>
      <c r="O599" s="5"/>
      <c r="P599" s="5"/>
      <c r="Q599" s="5"/>
      <c r="R599" s="5"/>
      <c r="S599" s="5"/>
      <c r="T599" s="5"/>
    </row>
    <row r="600" spans="1:20">
      <c r="A600" s="5"/>
      <c r="B600" s="5"/>
      <c r="C600" s="5"/>
      <c r="D600" s="5"/>
      <c r="E600" s="5"/>
      <c r="F600" s="5"/>
      <c r="G600" s="5"/>
      <c r="H600" s="5"/>
      <c r="I600" s="5"/>
      <c r="J600" s="5"/>
      <c r="K600" s="5"/>
      <c r="L600" s="5"/>
      <c r="M600" s="5"/>
      <c r="N600" s="5"/>
      <c r="O600" s="5"/>
      <c r="P600" s="5"/>
      <c r="Q600" s="5"/>
      <c r="R600" s="5"/>
      <c r="S600" s="5"/>
      <c r="T600" s="5"/>
    </row>
    <row r="601" spans="1:20">
      <c r="A601" s="5"/>
      <c r="B601" s="5"/>
      <c r="C601" s="5"/>
      <c r="D601" s="5"/>
      <c r="E601" s="5"/>
      <c r="F601" s="5"/>
      <c r="G601" s="5"/>
      <c r="H601" s="5"/>
      <c r="I601" s="5"/>
      <c r="J601" s="5"/>
      <c r="K601" s="5"/>
      <c r="L601" s="5"/>
      <c r="M601" s="5"/>
      <c r="N601" s="5"/>
      <c r="O601" s="5"/>
      <c r="P601" s="5"/>
      <c r="Q601" s="5"/>
      <c r="R601" s="5"/>
      <c r="S601" s="5"/>
      <c r="T601" s="5"/>
    </row>
    <row r="602" spans="1:20">
      <c r="A602" s="5"/>
      <c r="B602" s="5"/>
      <c r="C602" s="5"/>
      <c r="D602" s="5"/>
      <c r="E602" s="5"/>
      <c r="F602" s="5"/>
      <c r="G602" s="5"/>
      <c r="H602" s="5"/>
      <c r="I602" s="5"/>
      <c r="J602" s="5"/>
      <c r="K602" s="5"/>
      <c r="L602" s="5"/>
      <c r="M602" s="5"/>
      <c r="N602" s="5"/>
      <c r="O602" s="5"/>
      <c r="P602" s="5"/>
      <c r="Q602" s="5"/>
      <c r="R602" s="5"/>
      <c r="S602" s="5"/>
      <c r="T602" s="5"/>
    </row>
    <row r="603" spans="1:20">
      <c r="A603" s="5"/>
      <c r="B603" s="5"/>
      <c r="C603" s="5"/>
      <c r="D603" s="5"/>
      <c r="E603" s="5"/>
      <c r="F603" s="5"/>
      <c r="G603" s="5"/>
      <c r="H603" s="5"/>
      <c r="I603" s="5"/>
      <c r="J603" s="5"/>
      <c r="K603" s="5"/>
      <c r="L603" s="5"/>
      <c r="M603" s="5"/>
      <c r="N603" s="5"/>
      <c r="O603" s="5"/>
      <c r="P603" s="5"/>
      <c r="Q603" s="5"/>
      <c r="R603" s="5"/>
      <c r="S603" s="5"/>
      <c r="T603" s="5"/>
    </row>
    <row r="604" spans="1:20">
      <c r="A604" s="5"/>
      <c r="B604" s="5"/>
      <c r="C604" s="5"/>
      <c r="D604" s="5"/>
      <c r="E604" s="5"/>
      <c r="F604" s="5"/>
      <c r="G604" s="5"/>
      <c r="H604" s="5"/>
      <c r="I604" s="5"/>
      <c r="J604" s="5"/>
      <c r="K604" s="5"/>
      <c r="L604" s="5"/>
      <c r="M604" s="5"/>
      <c r="N604" s="5"/>
      <c r="O604" s="5"/>
      <c r="P604" s="5"/>
      <c r="Q604" s="5"/>
      <c r="R604" s="5"/>
      <c r="S604" s="5"/>
      <c r="T604" s="5"/>
    </row>
    <row r="605" spans="1:20">
      <c r="A605" s="5"/>
      <c r="B605" s="5"/>
      <c r="C605" s="5"/>
      <c r="D605" s="5"/>
      <c r="E605" s="5"/>
      <c r="F605" s="5"/>
      <c r="G605" s="5"/>
      <c r="H605" s="5"/>
      <c r="I605" s="5"/>
      <c r="J605" s="5"/>
      <c r="K605" s="5"/>
      <c r="L605" s="5"/>
      <c r="M605" s="5"/>
      <c r="N605" s="5"/>
      <c r="O605" s="5"/>
      <c r="P605" s="5"/>
      <c r="Q605" s="5"/>
      <c r="R605" s="5"/>
      <c r="S605" s="5"/>
      <c r="T605" s="5"/>
    </row>
    <row r="606" spans="1:20">
      <c r="A606" s="5"/>
      <c r="B606" s="5"/>
      <c r="C606" s="5"/>
      <c r="D606" s="5"/>
      <c r="E606" s="5"/>
      <c r="F606" s="5"/>
      <c r="G606" s="5"/>
      <c r="H606" s="5"/>
      <c r="I606" s="5"/>
      <c r="J606" s="5"/>
      <c r="K606" s="5"/>
      <c r="L606" s="5"/>
      <c r="M606" s="5"/>
      <c r="N606" s="5"/>
      <c r="O606" s="5"/>
      <c r="P606" s="5"/>
      <c r="Q606" s="5"/>
      <c r="R606" s="5"/>
      <c r="S606" s="5"/>
      <c r="T606" s="5"/>
    </row>
    <row r="607" spans="1:20">
      <c r="A607" s="5"/>
      <c r="B607" s="5"/>
      <c r="C607" s="5"/>
      <c r="D607" s="5"/>
      <c r="E607" s="5"/>
      <c r="F607" s="5"/>
      <c r="G607" s="5"/>
      <c r="H607" s="5"/>
      <c r="I607" s="5"/>
      <c r="J607" s="5"/>
      <c r="K607" s="5"/>
      <c r="L607" s="5"/>
      <c r="M607" s="5"/>
      <c r="N607" s="5"/>
      <c r="O607" s="5"/>
      <c r="P607" s="5"/>
      <c r="Q607" s="5"/>
      <c r="R607" s="5"/>
      <c r="S607" s="5"/>
      <c r="T607" s="5"/>
    </row>
    <row r="608" spans="1:20">
      <c r="A608" s="5"/>
      <c r="B608" s="5"/>
      <c r="C608" s="5"/>
      <c r="D608" s="5"/>
      <c r="E608" s="5"/>
      <c r="F608" s="5"/>
      <c r="G608" s="5"/>
      <c r="H608" s="5"/>
      <c r="I608" s="5"/>
      <c r="J608" s="5"/>
      <c r="K608" s="5"/>
      <c r="L608" s="5"/>
      <c r="M608" s="5"/>
      <c r="N608" s="5"/>
      <c r="O608" s="5"/>
      <c r="P608" s="5"/>
      <c r="Q608" s="5"/>
      <c r="R608" s="5"/>
      <c r="S608" s="5"/>
      <c r="T608" s="5"/>
    </row>
    <row r="609" spans="1:20">
      <c r="A609" s="5"/>
      <c r="B609" s="5"/>
      <c r="C609" s="5"/>
      <c r="D609" s="5"/>
      <c r="E609" s="5"/>
      <c r="F609" s="5"/>
      <c r="G609" s="5"/>
      <c r="H609" s="5"/>
      <c r="I609" s="5"/>
      <c r="J609" s="5"/>
      <c r="K609" s="5"/>
      <c r="L609" s="5"/>
      <c r="M609" s="5"/>
      <c r="N609" s="5"/>
      <c r="O609" s="5"/>
      <c r="P609" s="5"/>
      <c r="Q609" s="5"/>
      <c r="R609" s="5"/>
      <c r="S609" s="5"/>
      <c r="T609" s="5"/>
    </row>
    <row r="610" spans="1:20">
      <c r="A610" s="5"/>
      <c r="B610" s="5"/>
      <c r="C610" s="5"/>
      <c r="D610" s="5"/>
      <c r="E610" s="5"/>
      <c r="F610" s="5"/>
      <c r="G610" s="5"/>
      <c r="H610" s="5"/>
      <c r="I610" s="5"/>
      <c r="J610" s="5"/>
      <c r="K610" s="5"/>
      <c r="L610" s="5"/>
      <c r="M610" s="5"/>
      <c r="N610" s="5"/>
      <c r="O610" s="5"/>
      <c r="P610" s="5"/>
      <c r="Q610" s="5"/>
      <c r="R610" s="5"/>
      <c r="S610" s="5"/>
      <c r="T610" s="5"/>
    </row>
    <row r="611" spans="1:20">
      <c r="A611" s="5"/>
      <c r="B611" s="5"/>
      <c r="C611" s="5"/>
      <c r="D611" s="5"/>
      <c r="E611" s="5"/>
      <c r="F611" s="5"/>
      <c r="G611" s="5"/>
      <c r="H611" s="5"/>
      <c r="I611" s="5"/>
      <c r="J611" s="5"/>
      <c r="K611" s="5"/>
      <c r="L611" s="5"/>
      <c r="M611" s="5"/>
      <c r="N611" s="5"/>
      <c r="O611" s="5"/>
      <c r="P611" s="5"/>
      <c r="Q611" s="5"/>
      <c r="R611" s="5"/>
      <c r="S611" s="5"/>
      <c r="T611" s="5"/>
    </row>
    <row r="612" spans="1:20">
      <c r="A612" s="5"/>
      <c r="B612" s="5"/>
      <c r="C612" s="5"/>
      <c r="D612" s="5"/>
      <c r="E612" s="5"/>
      <c r="F612" s="5"/>
      <c r="G612" s="5"/>
      <c r="H612" s="5"/>
      <c r="I612" s="5"/>
      <c r="J612" s="5"/>
      <c r="K612" s="5"/>
      <c r="L612" s="5"/>
      <c r="M612" s="5"/>
      <c r="N612" s="5"/>
      <c r="O612" s="5"/>
      <c r="P612" s="5"/>
      <c r="Q612" s="5"/>
      <c r="R612" s="5"/>
      <c r="S612" s="5"/>
      <c r="T612" s="5"/>
    </row>
    <row r="613" spans="1:20">
      <c r="A613" s="5"/>
      <c r="B613" s="5"/>
      <c r="C613" s="5"/>
      <c r="D613" s="5"/>
      <c r="E613" s="5"/>
      <c r="F613" s="5"/>
      <c r="G613" s="5"/>
      <c r="H613" s="5"/>
      <c r="I613" s="5"/>
      <c r="J613" s="5"/>
      <c r="K613" s="5"/>
      <c r="L613" s="5"/>
      <c r="M613" s="5"/>
      <c r="N613" s="5"/>
      <c r="O613" s="5"/>
      <c r="P613" s="5"/>
      <c r="Q613" s="5"/>
      <c r="R613" s="5"/>
      <c r="S613" s="5"/>
      <c r="T613" s="5"/>
    </row>
    <row r="614" spans="1:20">
      <c r="A614" s="5"/>
      <c r="B614" s="5"/>
      <c r="C614" s="5"/>
      <c r="D614" s="5"/>
      <c r="E614" s="5"/>
      <c r="F614" s="5"/>
      <c r="G614" s="5"/>
      <c r="H614" s="5"/>
      <c r="I614" s="5"/>
      <c r="J614" s="5"/>
      <c r="K614" s="5"/>
      <c r="L614" s="5"/>
      <c r="M614" s="5"/>
      <c r="N614" s="5"/>
      <c r="O614" s="5"/>
      <c r="P614" s="5"/>
      <c r="Q614" s="5"/>
      <c r="R614" s="5"/>
      <c r="S614" s="5"/>
      <c r="T614" s="5"/>
    </row>
    <row r="615" spans="1:20">
      <c r="A615" s="5"/>
      <c r="B615" s="5"/>
      <c r="C615" s="5"/>
      <c r="D615" s="5"/>
      <c r="E615" s="5"/>
      <c r="F615" s="5"/>
      <c r="G615" s="5"/>
      <c r="H615" s="5"/>
      <c r="I615" s="5"/>
      <c r="J615" s="5"/>
      <c r="K615" s="5"/>
      <c r="L615" s="5"/>
      <c r="M615" s="5"/>
      <c r="N615" s="5"/>
      <c r="O615" s="5"/>
      <c r="P615" s="5"/>
      <c r="Q615" s="5"/>
      <c r="R615" s="5"/>
      <c r="S615" s="5"/>
      <c r="T615" s="5"/>
    </row>
    <row r="616" spans="1:20">
      <c r="A616" s="5"/>
      <c r="B616" s="5"/>
      <c r="C616" s="5"/>
      <c r="D616" s="5"/>
      <c r="E616" s="5"/>
      <c r="F616" s="5"/>
      <c r="G616" s="5"/>
      <c r="H616" s="5"/>
      <c r="I616" s="5"/>
      <c r="J616" s="5"/>
      <c r="K616" s="5"/>
      <c r="L616" s="5"/>
      <c r="M616" s="5"/>
      <c r="N616" s="5"/>
      <c r="O616" s="5"/>
      <c r="P616" s="5"/>
      <c r="Q616" s="5"/>
      <c r="R616" s="5"/>
      <c r="S616" s="5"/>
      <c r="T616" s="5"/>
    </row>
    <row r="617" spans="1:20">
      <c r="A617" s="5"/>
      <c r="B617" s="5"/>
      <c r="C617" s="5"/>
      <c r="D617" s="5"/>
      <c r="E617" s="5"/>
      <c r="F617" s="5"/>
      <c r="G617" s="5"/>
      <c r="H617" s="5"/>
      <c r="I617" s="5"/>
      <c r="J617" s="5"/>
      <c r="K617" s="5"/>
      <c r="L617" s="5"/>
      <c r="M617" s="5"/>
      <c r="N617" s="5"/>
      <c r="O617" s="5"/>
      <c r="P617" s="5"/>
      <c r="Q617" s="5"/>
      <c r="R617" s="5"/>
      <c r="S617" s="5"/>
      <c r="T617" s="5"/>
    </row>
    <row r="618" spans="1:20">
      <c r="A618" s="5"/>
      <c r="B618" s="5"/>
      <c r="C618" s="5"/>
      <c r="D618" s="5"/>
      <c r="E618" s="5"/>
      <c r="F618" s="5"/>
      <c r="G618" s="5"/>
      <c r="H618" s="5"/>
      <c r="I618" s="5"/>
      <c r="J618" s="5"/>
      <c r="K618" s="5"/>
      <c r="L618" s="5"/>
      <c r="M618" s="5"/>
      <c r="N618" s="5"/>
      <c r="O618" s="5"/>
      <c r="P618" s="5"/>
      <c r="Q618" s="5"/>
      <c r="R618" s="5"/>
      <c r="S618" s="5"/>
      <c r="T618" s="5"/>
    </row>
    <row r="619" spans="1:20">
      <c r="A619" s="5"/>
      <c r="B619" s="5"/>
      <c r="C619" s="5"/>
      <c r="D619" s="5"/>
      <c r="E619" s="5"/>
      <c r="F619" s="5"/>
      <c r="G619" s="5"/>
      <c r="H619" s="5"/>
      <c r="I619" s="5"/>
      <c r="J619" s="5"/>
      <c r="K619" s="5"/>
      <c r="L619" s="5"/>
      <c r="M619" s="5"/>
      <c r="N619" s="5"/>
      <c r="O619" s="5"/>
      <c r="P619" s="5"/>
      <c r="Q619" s="5"/>
      <c r="R619" s="5"/>
      <c r="S619" s="5"/>
      <c r="T619" s="5"/>
    </row>
    <row r="620" spans="1:20">
      <c r="A620" s="5"/>
      <c r="B620" s="5"/>
      <c r="C620" s="5"/>
      <c r="D620" s="5"/>
      <c r="E620" s="5"/>
      <c r="F620" s="5"/>
      <c r="G620" s="5"/>
      <c r="H620" s="5"/>
      <c r="I620" s="5"/>
      <c r="J620" s="5"/>
      <c r="K620" s="5"/>
      <c r="L620" s="5"/>
      <c r="M620" s="5"/>
      <c r="N620" s="5"/>
      <c r="O620" s="5"/>
      <c r="P620" s="5"/>
      <c r="Q620" s="5"/>
      <c r="R620" s="5"/>
      <c r="S620" s="5"/>
      <c r="T620" s="5"/>
    </row>
    <row r="621" spans="1:20">
      <c r="A621" s="5"/>
      <c r="B621" s="5"/>
      <c r="C621" s="5"/>
      <c r="D621" s="5"/>
      <c r="E621" s="5"/>
      <c r="F621" s="5"/>
      <c r="G621" s="5"/>
      <c r="H621" s="5"/>
      <c r="I621" s="5"/>
      <c r="J621" s="5"/>
      <c r="K621" s="5"/>
      <c r="L621" s="5"/>
      <c r="M621" s="5"/>
      <c r="N621" s="5"/>
      <c r="O621" s="5"/>
      <c r="P621" s="5"/>
      <c r="Q621" s="5"/>
      <c r="R621" s="5"/>
      <c r="S621" s="5"/>
      <c r="T621" s="5"/>
    </row>
    <row r="622" spans="1:20">
      <c r="A622" s="5"/>
      <c r="B622" s="5"/>
      <c r="C622" s="5"/>
      <c r="D622" s="5"/>
      <c r="E622" s="5"/>
      <c r="F622" s="5"/>
      <c r="G622" s="5"/>
      <c r="H622" s="5"/>
      <c r="I622" s="5"/>
      <c r="J622" s="5"/>
      <c r="K622" s="5"/>
      <c r="L622" s="5"/>
      <c r="M622" s="5"/>
      <c r="N622" s="5"/>
      <c r="O622" s="5"/>
      <c r="P622" s="5"/>
      <c r="Q622" s="5"/>
      <c r="R622" s="5"/>
      <c r="S622" s="5"/>
      <c r="T622" s="5"/>
    </row>
    <row r="623" spans="1:20">
      <c r="A623" s="5"/>
      <c r="B623" s="5"/>
      <c r="C623" s="5"/>
      <c r="D623" s="5"/>
      <c r="E623" s="5"/>
      <c r="F623" s="5"/>
      <c r="G623" s="5"/>
      <c r="H623" s="5"/>
      <c r="I623" s="5"/>
      <c r="J623" s="5"/>
      <c r="K623" s="5"/>
      <c r="L623" s="5"/>
      <c r="M623" s="5"/>
      <c r="N623" s="5"/>
      <c r="O623" s="5"/>
      <c r="P623" s="5"/>
      <c r="Q623" s="5"/>
      <c r="R623" s="5"/>
      <c r="S623" s="5"/>
      <c r="T623" s="5"/>
    </row>
    <row r="624" spans="1:20">
      <c r="A624" s="5"/>
      <c r="B624" s="5"/>
      <c r="C624" s="5"/>
      <c r="D624" s="5"/>
      <c r="E624" s="5"/>
      <c r="F624" s="5"/>
      <c r="G624" s="5"/>
      <c r="H624" s="5"/>
      <c r="I624" s="5"/>
      <c r="J624" s="5"/>
      <c r="K624" s="5"/>
      <c r="L624" s="5"/>
      <c r="M624" s="5"/>
      <c r="N624" s="5"/>
      <c r="O624" s="5"/>
      <c r="P624" s="5"/>
      <c r="Q624" s="5"/>
      <c r="R624" s="5"/>
      <c r="S624" s="5"/>
      <c r="T624" s="5"/>
    </row>
    <row r="625" spans="1:20">
      <c r="A625" s="5"/>
      <c r="B625" s="5"/>
      <c r="C625" s="5"/>
      <c r="D625" s="5"/>
      <c r="E625" s="5"/>
      <c r="F625" s="5"/>
      <c r="G625" s="5"/>
      <c r="H625" s="5"/>
      <c r="I625" s="5"/>
      <c r="J625" s="5"/>
      <c r="K625" s="5"/>
      <c r="L625" s="5"/>
      <c r="M625" s="5"/>
      <c r="N625" s="5"/>
      <c r="O625" s="5"/>
      <c r="P625" s="5"/>
      <c r="Q625" s="5"/>
      <c r="R625" s="5"/>
      <c r="S625" s="5"/>
      <c r="T625" s="5"/>
    </row>
    <row r="626" spans="1:20">
      <c r="A626" s="5"/>
      <c r="B626" s="5"/>
      <c r="C626" s="5"/>
      <c r="D626" s="5"/>
      <c r="E626" s="5"/>
      <c r="F626" s="5"/>
      <c r="G626" s="5"/>
      <c r="H626" s="5"/>
      <c r="I626" s="5"/>
      <c r="J626" s="5"/>
      <c r="K626" s="5"/>
      <c r="L626" s="5"/>
      <c r="M626" s="5"/>
      <c r="N626" s="5"/>
      <c r="O626" s="5"/>
      <c r="P626" s="5"/>
      <c r="Q626" s="5"/>
      <c r="R626" s="5"/>
      <c r="S626" s="5"/>
      <c r="T626" s="5"/>
    </row>
    <row r="627" spans="1:20">
      <c r="A627" s="5"/>
      <c r="B627" s="5"/>
      <c r="C627" s="5"/>
      <c r="D627" s="5"/>
      <c r="E627" s="5"/>
      <c r="F627" s="5"/>
      <c r="G627" s="5"/>
      <c r="H627" s="5"/>
      <c r="I627" s="5"/>
      <c r="J627" s="5"/>
      <c r="K627" s="5"/>
      <c r="L627" s="5"/>
      <c r="M627" s="5"/>
      <c r="N627" s="5"/>
      <c r="O627" s="5"/>
      <c r="P627" s="5"/>
      <c r="Q627" s="5"/>
      <c r="R627" s="5"/>
      <c r="S627" s="5"/>
      <c r="T627" s="5"/>
    </row>
    <row r="628" spans="1:20">
      <c r="A628" s="5"/>
      <c r="B628" s="5"/>
      <c r="C628" s="5"/>
      <c r="D628" s="5"/>
      <c r="E628" s="5"/>
      <c r="F628" s="5"/>
      <c r="G628" s="5"/>
      <c r="H628" s="5"/>
      <c r="I628" s="5"/>
      <c r="J628" s="5"/>
      <c r="K628" s="5"/>
      <c r="L628" s="5"/>
      <c r="M628" s="5"/>
      <c r="N628" s="5"/>
      <c r="O628" s="5"/>
      <c r="P628" s="5"/>
      <c r="Q628" s="5"/>
      <c r="R628" s="5"/>
      <c r="S628" s="5"/>
      <c r="T628" s="5"/>
    </row>
    <row r="629" spans="1:20">
      <c r="A629" s="5"/>
      <c r="B629" s="5"/>
      <c r="C629" s="5"/>
      <c r="D629" s="5"/>
      <c r="E629" s="5"/>
      <c r="F629" s="5"/>
      <c r="G629" s="5"/>
      <c r="H629" s="5"/>
      <c r="I629" s="5"/>
      <c r="J629" s="5"/>
      <c r="K629" s="5"/>
      <c r="L629" s="5"/>
      <c r="M629" s="5"/>
      <c r="N629" s="5"/>
      <c r="O629" s="5"/>
      <c r="P629" s="5"/>
      <c r="Q629" s="5"/>
      <c r="R629" s="5"/>
      <c r="S629" s="5"/>
      <c r="T629" s="5"/>
    </row>
    <row r="630" spans="1:20">
      <c r="A630" s="5"/>
      <c r="B630" s="5"/>
      <c r="C630" s="5"/>
      <c r="D630" s="5"/>
      <c r="E630" s="5"/>
      <c r="F630" s="5"/>
      <c r="G630" s="5"/>
      <c r="H630" s="5"/>
      <c r="I630" s="5"/>
      <c r="J630" s="5"/>
      <c r="K630" s="5"/>
      <c r="L630" s="5"/>
      <c r="M630" s="5"/>
      <c r="N630" s="5"/>
      <c r="O630" s="5"/>
      <c r="P630" s="5"/>
      <c r="Q630" s="5"/>
      <c r="R630" s="5"/>
      <c r="S630" s="5"/>
      <c r="T630" s="5"/>
    </row>
    <row r="631" spans="1:20">
      <c r="A631" s="5"/>
      <c r="B631" s="5"/>
      <c r="C631" s="5"/>
      <c r="D631" s="5"/>
      <c r="E631" s="5"/>
      <c r="F631" s="5"/>
      <c r="G631" s="5"/>
      <c r="H631" s="5"/>
      <c r="I631" s="5"/>
      <c r="J631" s="5"/>
      <c r="K631" s="5"/>
      <c r="L631" s="5"/>
      <c r="M631" s="5"/>
      <c r="N631" s="5"/>
      <c r="O631" s="5"/>
      <c r="P631" s="5"/>
      <c r="Q631" s="5"/>
      <c r="R631" s="5"/>
      <c r="S631" s="5"/>
      <c r="T631" s="5"/>
    </row>
    <row r="632" spans="1:20">
      <c r="A632" s="5"/>
      <c r="B632" s="5"/>
      <c r="C632" s="5"/>
      <c r="D632" s="5"/>
      <c r="E632" s="5"/>
      <c r="F632" s="5"/>
      <c r="G632" s="5"/>
      <c r="H632" s="5"/>
      <c r="I632" s="5"/>
      <c r="J632" s="5"/>
      <c r="K632" s="5"/>
      <c r="L632" s="5"/>
      <c r="M632" s="5"/>
      <c r="N632" s="5"/>
      <c r="O632" s="5"/>
      <c r="P632" s="5"/>
      <c r="Q632" s="5"/>
      <c r="R632" s="5"/>
      <c r="S632" s="5"/>
      <c r="T632" s="5"/>
    </row>
    <row r="633" spans="1:20">
      <c r="A633" s="5"/>
      <c r="B633" s="5"/>
      <c r="C633" s="5"/>
      <c r="D633" s="5"/>
      <c r="E633" s="5"/>
      <c r="F633" s="5"/>
      <c r="G633" s="5"/>
      <c r="H633" s="5"/>
      <c r="I633" s="5"/>
      <c r="J633" s="5"/>
      <c r="K633" s="5"/>
      <c r="L633" s="5"/>
      <c r="M633" s="5"/>
      <c r="N633" s="5"/>
      <c r="O633" s="5"/>
      <c r="P633" s="5"/>
      <c r="Q633" s="5"/>
      <c r="R633" s="5"/>
      <c r="S633" s="5"/>
      <c r="T633" s="5"/>
    </row>
    <row r="634" spans="1:20">
      <c r="A634" s="5"/>
      <c r="B634" s="5"/>
      <c r="C634" s="5"/>
      <c r="D634" s="5"/>
      <c r="E634" s="5"/>
      <c r="F634" s="5"/>
      <c r="G634" s="5"/>
      <c r="H634" s="5"/>
      <c r="I634" s="5"/>
      <c r="J634" s="5"/>
      <c r="K634" s="5"/>
      <c r="L634" s="5"/>
      <c r="M634" s="5"/>
      <c r="N634" s="5"/>
      <c r="O634" s="5"/>
      <c r="P634" s="5"/>
      <c r="Q634" s="5"/>
      <c r="R634" s="5"/>
      <c r="S634" s="5"/>
      <c r="T634" s="5"/>
    </row>
    <row r="635" spans="1:20">
      <c r="A635" s="5"/>
      <c r="B635" s="5"/>
      <c r="C635" s="5"/>
      <c r="D635" s="5"/>
      <c r="E635" s="5"/>
      <c r="F635" s="5"/>
      <c r="G635" s="5"/>
      <c r="H635" s="5"/>
      <c r="I635" s="5"/>
      <c r="J635" s="5"/>
      <c r="K635" s="5"/>
      <c r="L635" s="5"/>
      <c r="M635" s="5"/>
      <c r="N635" s="5"/>
      <c r="O635" s="5"/>
      <c r="P635" s="5"/>
      <c r="Q635" s="5"/>
      <c r="R635" s="5"/>
      <c r="S635" s="5"/>
      <c r="T635" s="5"/>
    </row>
    <row r="636" spans="1:20">
      <c r="A636" s="5"/>
      <c r="B636" s="5"/>
      <c r="C636" s="5"/>
      <c r="D636" s="5"/>
      <c r="E636" s="5"/>
      <c r="F636" s="5"/>
      <c r="G636" s="5"/>
      <c r="H636" s="5"/>
      <c r="I636" s="5"/>
      <c r="J636" s="5"/>
      <c r="K636" s="5"/>
      <c r="L636" s="5"/>
      <c r="M636" s="5"/>
      <c r="N636" s="5"/>
      <c r="O636" s="5"/>
      <c r="P636" s="5"/>
      <c r="Q636" s="5"/>
      <c r="R636" s="5"/>
      <c r="S636" s="5"/>
      <c r="T636" s="5"/>
    </row>
    <row r="637" spans="1:20">
      <c r="A637" s="5"/>
      <c r="B637" s="5"/>
      <c r="C637" s="5"/>
      <c r="D637" s="5"/>
      <c r="E637" s="5"/>
      <c r="F637" s="5"/>
      <c r="G637" s="5"/>
      <c r="H637" s="5"/>
      <c r="I637" s="5"/>
      <c r="J637" s="5"/>
      <c r="K637" s="5"/>
      <c r="L637" s="5"/>
      <c r="M637" s="5"/>
      <c r="N637" s="5"/>
      <c r="O637" s="5"/>
      <c r="P637" s="5"/>
      <c r="Q637" s="5"/>
      <c r="R637" s="5"/>
      <c r="S637" s="5"/>
      <c r="T637" s="5"/>
    </row>
    <row r="638" spans="1:20">
      <c r="A638" s="5"/>
      <c r="B638" s="5"/>
      <c r="C638" s="5"/>
      <c r="D638" s="5"/>
      <c r="E638" s="5"/>
      <c r="F638" s="5"/>
      <c r="G638" s="5"/>
      <c r="H638" s="5"/>
      <c r="I638" s="5"/>
      <c r="J638" s="5"/>
      <c r="K638" s="5"/>
      <c r="L638" s="5"/>
      <c r="M638" s="5"/>
      <c r="N638" s="5"/>
      <c r="O638" s="5"/>
      <c r="P638" s="5"/>
      <c r="Q638" s="5"/>
      <c r="R638" s="5"/>
      <c r="S638" s="5"/>
      <c r="T638" s="5"/>
    </row>
    <row r="639" spans="1:20">
      <c r="A639" s="5"/>
      <c r="B639" s="5"/>
      <c r="C639" s="5"/>
      <c r="D639" s="5"/>
      <c r="E639" s="5"/>
      <c r="F639" s="5"/>
      <c r="G639" s="5"/>
      <c r="H639" s="5"/>
      <c r="I639" s="5"/>
      <c r="J639" s="5"/>
      <c r="K639" s="5"/>
      <c r="L639" s="5"/>
      <c r="M639" s="5"/>
      <c r="N639" s="5"/>
      <c r="O639" s="5"/>
      <c r="P639" s="5"/>
      <c r="Q639" s="5"/>
      <c r="R639" s="5"/>
      <c r="S639" s="5"/>
      <c r="T639" s="5"/>
    </row>
    <row r="640" spans="1:20">
      <c r="A640" s="5"/>
      <c r="B640" s="5"/>
      <c r="C640" s="5"/>
      <c r="D640" s="5"/>
      <c r="E640" s="5"/>
      <c r="F640" s="5"/>
      <c r="G640" s="5"/>
      <c r="H640" s="5"/>
      <c r="I640" s="5"/>
      <c r="J640" s="5"/>
      <c r="K640" s="5"/>
      <c r="L640" s="5"/>
      <c r="M640" s="5"/>
      <c r="N640" s="5"/>
      <c r="O640" s="5"/>
      <c r="P640" s="5"/>
      <c r="Q640" s="5"/>
      <c r="R640" s="5"/>
      <c r="S640" s="5"/>
      <c r="T640" s="5"/>
    </row>
    <row r="641" spans="1:20">
      <c r="A641" s="5"/>
      <c r="B641" s="5"/>
      <c r="C641" s="5"/>
      <c r="D641" s="5"/>
      <c r="E641" s="5"/>
      <c r="F641" s="5"/>
      <c r="G641" s="5"/>
      <c r="H641" s="5"/>
      <c r="I641" s="5"/>
      <c r="J641" s="5"/>
      <c r="K641" s="5"/>
      <c r="L641" s="5"/>
      <c r="M641" s="5"/>
      <c r="N641" s="5"/>
      <c r="O641" s="5"/>
      <c r="P641" s="5"/>
      <c r="Q641" s="5"/>
      <c r="R641" s="5"/>
      <c r="S641" s="5"/>
      <c r="T641" s="5"/>
    </row>
    <row r="642" spans="1:20">
      <c r="A642" s="5"/>
      <c r="B642" s="5"/>
      <c r="C642" s="5"/>
      <c r="D642" s="5"/>
      <c r="E642" s="5"/>
      <c r="F642" s="5"/>
      <c r="G642" s="5"/>
      <c r="H642" s="5"/>
      <c r="I642" s="5"/>
      <c r="J642" s="5"/>
      <c r="K642" s="5"/>
      <c r="L642" s="5"/>
      <c r="M642" s="5"/>
      <c r="N642" s="5"/>
      <c r="O642" s="5"/>
      <c r="P642" s="5"/>
      <c r="Q642" s="5"/>
      <c r="R642" s="5"/>
      <c r="S642" s="5"/>
      <c r="T642" s="5"/>
    </row>
    <row r="643" spans="1:20">
      <c r="A643" s="5"/>
      <c r="B643" s="5"/>
      <c r="C643" s="5"/>
      <c r="D643" s="5"/>
      <c r="E643" s="5"/>
      <c r="F643" s="5"/>
      <c r="G643" s="5"/>
      <c r="H643" s="5"/>
      <c r="I643" s="5"/>
      <c r="J643" s="5"/>
      <c r="K643" s="5"/>
      <c r="L643" s="5"/>
      <c r="M643" s="5"/>
      <c r="N643" s="5"/>
      <c r="O643" s="5"/>
      <c r="P643" s="5"/>
      <c r="Q643" s="5"/>
      <c r="R643" s="5"/>
      <c r="S643" s="5"/>
      <c r="T643" s="5"/>
    </row>
    <row r="644" spans="1:20">
      <c r="A644" s="5"/>
      <c r="B644" s="5"/>
      <c r="C644" s="5"/>
      <c r="D644" s="5"/>
      <c r="E644" s="5"/>
      <c r="F644" s="5"/>
      <c r="G644" s="5"/>
      <c r="H644" s="5"/>
      <c r="I644" s="5"/>
      <c r="J644" s="5"/>
      <c r="K644" s="5"/>
      <c r="L644" s="5"/>
      <c r="M644" s="5"/>
      <c r="N644" s="5"/>
      <c r="O644" s="5"/>
      <c r="P644" s="5"/>
      <c r="Q644" s="5"/>
      <c r="R644" s="5"/>
      <c r="S644" s="5"/>
      <c r="T644" s="5"/>
    </row>
    <row r="645" spans="1:20">
      <c r="A645" s="5"/>
      <c r="B645" s="5"/>
      <c r="C645" s="5"/>
      <c r="D645" s="5"/>
      <c r="E645" s="5"/>
      <c r="F645" s="5"/>
      <c r="G645" s="5"/>
      <c r="H645" s="5"/>
      <c r="I645" s="5"/>
      <c r="J645" s="5"/>
      <c r="K645" s="5"/>
      <c r="L645" s="5"/>
      <c r="M645" s="5"/>
      <c r="N645" s="5"/>
      <c r="O645" s="5"/>
      <c r="P645" s="5"/>
      <c r="Q645" s="5"/>
      <c r="R645" s="5"/>
      <c r="S645" s="5"/>
      <c r="T645" s="5"/>
    </row>
    <row r="646" spans="1:20">
      <c r="A646" s="5"/>
      <c r="B646" s="5"/>
      <c r="C646" s="5"/>
      <c r="D646" s="5"/>
      <c r="E646" s="5"/>
      <c r="F646" s="5"/>
      <c r="G646" s="5"/>
      <c r="H646" s="5"/>
      <c r="I646" s="5"/>
      <c r="J646" s="5"/>
      <c r="K646" s="5"/>
      <c r="L646" s="5"/>
      <c r="M646" s="5"/>
      <c r="N646" s="5"/>
      <c r="O646" s="5"/>
      <c r="P646" s="5"/>
      <c r="Q646" s="5"/>
      <c r="R646" s="5"/>
      <c r="S646" s="5"/>
      <c r="T646" s="5"/>
    </row>
    <row r="647" spans="1:20">
      <c r="A647" s="5"/>
      <c r="B647" s="5"/>
      <c r="C647" s="5"/>
      <c r="D647" s="5"/>
      <c r="E647" s="5"/>
      <c r="F647" s="5"/>
      <c r="G647" s="5"/>
      <c r="H647" s="5"/>
      <c r="I647" s="5"/>
      <c r="J647" s="5"/>
      <c r="K647" s="5"/>
      <c r="L647" s="5"/>
      <c r="M647" s="5"/>
      <c r="N647" s="5"/>
      <c r="O647" s="5"/>
      <c r="P647" s="5"/>
      <c r="Q647" s="5"/>
      <c r="R647" s="5"/>
      <c r="S647" s="5"/>
      <c r="T647" s="5"/>
    </row>
    <row r="648" spans="1:20">
      <c r="A648" s="5"/>
      <c r="B648" s="5"/>
      <c r="C648" s="5"/>
      <c r="D648" s="5"/>
      <c r="E648" s="5"/>
      <c r="F648" s="5"/>
      <c r="G648" s="5"/>
      <c r="H648" s="5"/>
      <c r="I648" s="5"/>
      <c r="J648" s="5"/>
      <c r="K648" s="5"/>
      <c r="L648" s="5"/>
      <c r="M648" s="5"/>
      <c r="N648" s="5"/>
      <c r="O648" s="5"/>
      <c r="P648" s="5"/>
      <c r="Q648" s="5"/>
      <c r="R648" s="5"/>
      <c r="S648" s="5"/>
      <c r="T648" s="5"/>
    </row>
    <row r="649" spans="1:20">
      <c r="A649" s="5"/>
      <c r="B649" s="5"/>
      <c r="C649" s="5"/>
      <c r="D649" s="5"/>
      <c r="E649" s="5"/>
      <c r="F649" s="5"/>
      <c r="G649" s="5"/>
      <c r="H649" s="5"/>
      <c r="I649" s="5"/>
      <c r="J649" s="5"/>
      <c r="K649" s="5"/>
      <c r="L649" s="5"/>
      <c r="M649" s="5"/>
      <c r="N649" s="5"/>
      <c r="O649" s="5"/>
      <c r="P649" s="5"/>
      <c r="Q649" s="5"/>
      <c r="R649" s="5"/>
      <c r="S649" s="5"/>
      <c r="T649" s="5"/>
    </row>
    <row r="650" spans="1:20">
      <c r="A650" s="5"/>
      <c r="B650" s="5"/>
      <c r="C650" s="5"/>
      <c r="D650" s="5"/>
      <c r="E650" s="5"/>
      <c r="F650" s="5"/>
      <c r="G650" s="5"/>
      <c r="H650" s="5"/>
      <c r="I650" s="5"/>
      <c r="J650" s="5"/>
      <c r="K650" s="5"/>
      <c r="L650" s="5"/>
      <c r="M650" s="5"/>
      <c r="N650" s="5"/>
      <c r="O650" s="5"/>
      <c r="P650" s="5"/>
      <c r="Q650" s="5"/>
      <c r="R650" s="5"/>
      <c r="S650" s="5"/>
      <c r="T650" s="5"/>
    </row>
    <row r="651" spans="1:20">
      <c r="A651" s="5"/>
      <c r="B651" s="5"/>
      <c r="C651" s="5"/>
      <c r="D651" s="5"/>
      <c r="E651" s="5"/>
      <c r="F651" s="5"/>
      <c r="G651" s="5"/>
      <c r="H651" s="5"/>
      <c r="I651" s="5"/>
      <c r="J651" s="5"/>
      <c r="K651" s="5"/>
      <c r="L651" s="5"/>
      <c r="M651" s="5"/>
      <c r="N651" s="5"/>
      <c r="O651" s="5"/>
      <c r="P651" s="5"/>
      <c r="Q651" s="5"/>
      <c r="R651" s="5"/>
      <c r="S651" s="5"/>
      <c r="T651" s="5"/>
    </row>
    <row r="652" spans="1:20">
      <c r="A652" s="5"/>
      <c r="B652" s="5"/>
      <c r="C652" s="5"/>
      <c r="D652" s="5"/>
      <c r="E652" s="5"/>
      <c r="F652" s="5"/>
      <c r="G652" s="5"/>
      <c r="H652" s="5"/>
      <c r="I652" s="5"/>
      <c r="J652" s="5"/>
      <c r="K652" s="5"/>
      <c r="L652" s="5"/>
      <c r="M652" s="5"/>
      <c r="N652" s="5"/>
      <c r="O652" s="5"/>
      <c r="P652" s="5"/>
      <c r="Q652" s="5"/>
      <c r="R652" s="5"/>
      <c r="S652" s="5"/>
      <c r="T652" s="5"/>
    </row>
    <row r="653" spans="1:20">
      <c r="A653" s="5"/>
      <c r="B653" s="5"/>
      <c r="C653" s="5"/>
      <c r="D653" s="5"/>
      <c r="E653" s="5"/>
      <c r="F653" s="5"/>
      <c r="G653" s="5"/>
      <c r="H653" s="5"/>
      <c r="I653" s="5"/>
      <c r="J653" s="5"/>
      <c r="K653" s="5"/>
      <c r="L653" s="5"/>
      <c r="M653" s="5"/>
      <c r="N653" s="5"/>
      <c r="O653" s="5"/>
      <c r="P653" s="5"/>
      <c r="Q653" s="5"/>
      <c r="R653" s="5"/>
      <c r="S653" s="5"/>
      <c r="T653" s="5"/>
    </row>
    <row r="654" spans="1:20">
      <c r="A654" s="5"/>
      <c r="B654" s="5"/>
      <c r="C654" s="5"/>
      <c r="D654" s="5"/>
      <c r="E654" s="5"/>
      <c r="F654" s="5"/>
      <c r="G654" s="5"/>
      <c r="H654" s="5"/>
      <c r="I654" s="5"/>
      <c r="J654" s="5"/>
      <c r="K654" s="5"/>
      <c r="L654" s="5"/>
      <c r="M654" s="5"/>
      <c r="N654" s="5"/>
      <c r="O654" s="5"/>
      <c r="P654" s="5"/>
      <c r="Q654" s="5"/>
      <c r="R654" s="5"/>
      <c r="S654" s="5"/>
      <c r="T654" s="5"/>
    </row>
    <row r="655" spans="1:20">
      <c r="A655" s="5"/>
      <c r="B655" s="5"/>
      <c r="C655" s="5"/>
      <c r="D655" s="5"/>
      <c r="E655" s="5"/>
      <c r="F655" s="5"/>
      <c r="G655" s="5"/>
      <c r="H655" s="5"/>
      <c r="I655" s="5"/>
      <c r="J655" s="5"/>
      <c r="K655" s="5"/>
      <c r="L655" s="5"/>
      <c r="M655" s="5"/>
      <c r="N655" s="5"/>
      <c r="O655" s="5"/>
      <c r="P655" s="5"/>
      <c r="Q655" s="5"/>
      <c r="R655" s="5"/>
      <c r="S655" s="5"/>
      <c r="T655" s="5"/>
    </row>
    <row r="656" spans="1:20">
      <c r="A656" s="5"/>
      <c r="B656" s="5"/>
      <c r="C656" s="5"/>
      <c r="D656" s="5"/>
      <c r="E656" s="5"/>
      <c r="F656" s="5"/>
      <c r="G656" s="5"/>
      <c r="H656" s="5"/>
      <c r="I656" s="5"/>
      <c r="J656" s="5"/>
      <c r="K656" s="5"/>
      <c r="L656" s="5"/>
      <c r="M656" s="5"/>
      <c r="N656" s="5"/>
      <c r="O656" s="5"/>
      <c r="P656" s="5"/>
      <c r="Q656" s="5"/>
      <c r="R656" s="5"/>
      <c r="S656" s="5"/>
      <c r="T656" s="5"/>
    </row>
    <row r="657" spans="1:20">
      <c r="A657" s="5"/>
      <c r="B657" s="5"/>
      <c r="C657" s="5"/>
      <c r="D657" s="5"/>
      <c r="E657" s="5"/>
      <c r="F657" s="5"/>
      <c r="G657" s="5"/>
      <c r="H657" s="5"/>
      <c r="I657" s="5"/>
      <c r="J657" s="5"/>
      <c r="K657" s="5"/>
      <c r="L657" s="5"/>
      <c r="M657" s="5"/>
      <c r="N657" s="5"/>
      <c r="O657" s="5"/>
      <c r="P657" s="5"/>
      <c r="Q657" s="5"/>
      <c r="R657" s="5"/>
      <c r="S657" s="5"/>
      <c r="T657" s="5"/>
    </row>
    <row r="658" spans="1:20">
      <c r="A658" s="5"/>
      <c r="B658" s="5"/>
      <c r="C658" s="5"/>
      <c r="D658" s="5"/>
      <c r="E658" s="5"/>
      <c r="F658" s="5"/>
      <c r="G658" s="5"/>
      <c r="H658" s="5"/>
      <c r="I658" s="5"/>
      <c r="J658" s="5"/>
      <c r="K658" s="5"/>
      <c r="L658" s="5"/>
      <c r="M658" s="5"/>
      <c r="N658" s="5"/>
      <c r="O658" s="5"/>
      <c r="P658" s="5"/>
      <c r="Q658" s="5"/>
      <c r="R658" s="5"/>
      <c r="S658" s="5"/>
      <c r="T658" s="5"/>
    </row>
    <row r="659" spans="1:20">
      <c r="A659" s="5"/>
      <c r="B659" s="5"/>
      <c r="C659" s="5"/>
      <c r="D659" s="5"/>
      <c r="E659" s="5"/>
      <c r="F659" s="5"/>
      <c r="G659" s="5"/>
      <c r="H659" s="5"/>
      <c r="I659" s="5"/>
      <c r="J659" s="5"/>
      <c r="K659" s="5"/>
      <c r="L659" s="5"/>
      <c r="M659" s="5"/>
      <c r="N659" s="5"/>
      <c r="O659" s="5"/>
      <c r="P659" s="5"/>
      <c r="Q659" s="5"/>
      <c r="R659" s="5"/>
      <c r="S659" s="5"/>
      <c r="T659" s="5"/>
    </row>
    <row r="660" spans="1:20">
      <c r="A660" s="5"/>
      <c r="B660" s="5"/>
      <c r="C660" s="5"/>
      <c r="D660" s="5"/>
      <c r="E660" s="5"/>
      <c r="F660" s="5"/>
      <c r="G660" s="5"/>
      <c r="H660" s="5"/>
      <c r="I660" s="5"/>
      <c r="J660" s="5"/>
      <c r="K660" s="5"/>
      <c r="L660" s="5"/>
      <c r="M660" s="5"/>
      <c r="N660" s="5"/>
      <c r="O660" s="5"/>
      <c r="P660" s="5"/>
      <c r="Q660" s="5"/>
      <c r="R660" s="5"/>
      <c r="S660" s="5"/>
      <c r="T660" s="5"/>
    </row>
    <row r="661" spans="1:20">
      <c r="A661" s="5"/>
      <c r="B661" s="5"/>
      <c r="C661" s="5"/>
      <c r="D661" s="5"/>
      <c r="E661" s="5"/>
      <c r="F661" s="5"/>
      <c r="G661" s="5"/>
      <c r="H661" s="5"/>
      <c r="I661" s="5"/>
      <c r="J661" s="5"/>
      <c r="K661" s="5"/>
      <c r="L661" s="5"/>
      <c r="M661" s="5"/>
      <c r="N661" s="5"/>
      <c r="O661" s="5"/>
      <c r="P661" s="5"/>
      <c r="Q661" s="5"/>
      <c r="R661" s="5"/>
      <c r="S661" s="5"/>
      <c r="T661" s="5"/>
    </row>
    <row r="662" spans="1:20">
      <c r="A662" s="5"/>
      <c r="B662" s="5"/>
      <c r="C662" s="5"/>
      <c r="D662" s="5"/>
      <c r="E662" s="5"/>
      <c r="F662" s="5"/>
      <c r="G662" s="5"/>
      <c r="H662" s="5"/>
      <c r="I662" s="5"/>
      <c r="J662" s="5"/>
      <c r="K662" s="5"/>
      <c r="L662" s="5"/>
      <c r="M662" s="5"/>
      <c r="N662" s="5"/>
      <c r="O662" s="5"/>
      <c r="P662" s="5"/>
      <c r="Q662" s="5"/>
      <c r="R662" s="5"/>
      <c r="S662" s="5"/>
      <c r="T662" s="5"/>
    </row>
    <row r="663" spans="1:20">
      <c r="A663" s="5"/>
      <c r="B663" s="5"/>
      <c r="C663" s="5"/>
      <c r="D663" s="5"/>
      <c r="E663" s="5"/>
      <c r="F663" s="5"/>
      <c r="G663" s="5"/>
      <c r="H663" s="5"/>
      <c r="I663" s="5"/>
      <c r="J663" s="5"/>
      <c r="K663" s="5"/>
      <c r="L663" s="5"/>
      <c r="M663" s="5"/>
      <c r="N663" s="5"/>
      <c r="O663" s="5"/>
      <c r="P663" s="5"/>
      <c r="Q663" s="5"/>
      <c r="R663" s="5"/>
      <c r="S663" s="5"/>
      <c r="T663" s="5"/>
    </row>
    <row r="664" spans="1:20">
      <c r="A664" s="5"/>
      <c r="B664" s="5"/>
      <c r="C664" s="5"/>
      <c r="D664" s="5"/>
      <c r="E664" s="5"/>
      <c r="F664" s="5"/>
      <c r="G664" s="5"/>
      <c r="H664" s="5"/>
      <c r="I664" s="5"/>
      <c r="J664" s="5"/>
      <c r="K664" s="5"/>
      <c r="L664" s="5"/>
      <c r="M664" s="5"/>
      <c r="N664" s="5"/>
      <c r="O664" s="5"/>
      <c r="P664" s="5"/>
      <c r="Q664" s="5"/>
      <c r="R664" s="5"/>
      <c r="S664" s="5"/>
      <c r="T664" s="5"/>
    </row>
    <row r="665" spans="1:20">
      <c r="A665" s="5"/>
      <c r="B665" s="5"/>
      <c r="C665" s="5"/>
      <c r="D665" s="5"/>
      <c r="E665" s="5"/>
      <c r="F665" s="5"/>
      <c r="G665" s="5"/>
      <c r="H665" s="5"/>
      <c r="I665" s="5"/>
      <c r="J665" s="5"/>
      <c r="K665" s="5"/>
      <c r="L665" s="5"/>
      <c r="M665" s="5"/>
      <c r="N665" s="5"/>
      <c r="O665" s="5"/>
      <c r="P665" s="5"/>
      <c r="Q665" s="5"/>
      <c r="R665" s="5"/>
      <c r="S665" s="5"/>
      <c r="T665" s="5"/>
    </row>
    <row r="666" spans="1:20">
      <c r="A666" s="5"/>
      <c r="B666" s="5"/>
      <c r="C666" s="5"/>
      <c r="D666" s="5"/>
      <c r="E666" s="5"/>
      <c r="F666" s="5"/>
      <c r="G666" s="5"/>
      <c r="H666" s="5"/>
      <c r="I666" s="5"/>
      <c r="J666" s="5"/>
      <c r="K666" s="5"/>
      <c r="L666" s="5"/>
      <c r="M666" s="5"/>
      <c r="N666" s="5"/>
      <c r="O666" s="5"/>
      <c r="P666" s="5"/>
      <c r="Q666" s="5"/>
      <c r="R666" s="5"/>
      <c r="S666" s="5"/>
      <c r="T666" s="5"/>
    </row>
    <row r="667" spans="1:20">
      <c r="A667" s="5"/>
      <c r="B667" s="5"/>
      <c r="C667" s="5"/>
      <c r="D667" s="5"/>
      <c r="E667" s="5"/>
      <c r="F667" s="5"/>
      <c r="G667" s="5"/>
      <c r="H667" s="5"/>
      <c r="I667" s="5"/>
      <c r="J667" s="5"/>
      <c r="K667" s="5"/>
      <c r="L667" s="5"/>
      <c r="M667" s="5"/>
      <c r="N667" s="5"/>
      <c r="O667" s="5"/>
      <c r="P667" s="5"/>
      <c r="Q667" s="5"/>
      <c r="R667" s="5"/>
      <c r="S667" s="5"/>
      <c r="T667" s="5"/>
    </row>
    <row r="668" spans="1:20">
      <c r="A668" s="5"/>
      <c r="B668" s="5"/>
      <c r="C668" s="5"/>
      <c r="D668" s="5"/>
      <c r="E668" s="5"/>
      <c r="F668" s="5"/>
      <c r="G668" s="5"/>
      <c r="H668" s="5"/>
      <c r="I668" s="5"/>
      <c r="J668" s="5"/>
      <c r="K668" s="5"/>
      <c r="L668" s="5"/>
      <c r="M668" s="5"/>
      <c r="N668" s="5"/>
      <c r="O668" s="5"/>
      <c r="P668" s="5"/>
      <c r="Q668" s="5"/>
      <c r="R668" s="5"/>
      <c r="S668" s="5"/>
      <c r="T668" s="5"/>
    </row>
    <row r="669" spans="1:20">
      <c r="A669" s="5"/>
      <c r="B669" s="5"/>
      <c r="C669" s="5"/>
      <c r="D669" s="5"/>
      <c r="E669" s="5"/>
      <c r="F669" s="5"/>
      <c r="G669" s="5"/>
      <c r="H669" s="5"/>
      <c r="I669" s="5"/>
      <c r="J669" s="5"/>
      <c r="K669" s="5"/>
      <c r="L669" s="5"/>
      <c r="M669" s="5"/>
      <c r="N669" s="5"/>
      <c r="O669" s="5"/>
      <c r="P669" s="5"/>
      <c r="Q669" s="5"/>
      <c r="R669" s="5"/>
      <c r="S669" s="5"/>
      <c r="T669" s="5"/>
    </row>
    <row r="670" spans="1:20">
      <c r="A670" s="5"/>
      <c r="B670" s="5"/>
      <c r="C670" s="5"/>
      <c r="D670" s="5"/>
      <c r="E670" s="5"/>
      <c r="F670" s="5"/>
      <c r="G670" s="5"/>
      <c r="H670" s="5"/>
      <c r="I670" s="5"/>
      <c r="J670" s="5"/>
      <c r="K670" s="5"/>
      <c r="L670" s="5"/>
      <c r="M670" s="5"/>
      <c r="N670" s="5"/>
      <c r="O670" s="5"/>
      <c r="P670" s="5"/>
      <c r="Q670" s="5"/>
      <c r="R670" s="5"/>
      <c r="S670" s="5"/>
      <c r="T670" s="5"/>
    </row>
    <row r="671" spans="1:20">
      <c r="A671" s="5"/>
      <c r="B671" s="5"/>
      <c r="C671" s="5"/>
      <c r="D671" s="5"/>
      <c r="E671" s="5"/>
      <c r="F671" s="5"/>
      <c r="G671" s="5"/>
      <c r="H671" s="5"/>
      <c r="I671" s="5"/>
      <c r="J671" s="5"/>
      <c r="K671" s="5"/>
      <c r="L671" s="5"/>
      <c r="M671" s="5"/>
      <c r="N671" s="5"/>
      <c r="O671" s="5"/>
      <c r="P671" s="5"/>
      <c r="Q671" s="5"/>
      <c r="R671" s="5"/>
      <c r="S671" s="5"/>
      <c r="T671" s="5"/>
    </row>
    <row r="672" spans="1:20">
      <c r="A672" s="5"/>
      <c r="B672" s="5"/>
      <c r="C672" s="5"/>
      <c r="D672" s="5"/>
      <c r="E672" s="5"/>
      <c r="F672" s="5"/>
      <c r="G672" s="5"/>
      <c r="H672" s="5"/>
      <c r="I672" s="5"/>
      <c r="J672" s="5"/>
      <c r="K672" s="5"/>
      <c r="L672" s="5"/>
      <c r="M672" s="5"/>
      <c r="N672" s="5"/>
      <c r="O672" s="5"/>
      <c r="P672" s="5"/>
      <c r="Q672" s="5"/>
      <c r="R672" s="5"/>
      <c r="S672" s="5"/>
      <c r="T672" s="5"/>
    </row>
    <row r="673" spans="1:20">
      <c r="A673" s="5"/>
      <c r="B673" s="5"/>
      <c r="C673" s="5"/>
      <c r="D673" s="5"/>
      <c r="E673" s="5"/>
      <c r="F673" s="5"/>
      <c r="G673" s="5"/>
      <c r="H673" s="5"/>
      <c r="I673" s="5"/>
      <c r="J673" s="5"/>
      <c r="K673" s="5"/>
      <c r="L673" s="5"/>
      <c r="M673" s="5"/>
      <c r="N673" s="5"/>
      <c r="O673" s="5"/>
      <c r="P673" s="5"/>
      <c r="Q673" s="5"/>
      <c r="R673" s="5"/>
      <c r="S673" s="5"/>
      <c r="T673" s="5"/>
    </row>
    <row r="674" spans="1:20">
      <c r="A674" s="5"/>
      <c r="B674" s="5"/>
      <c r="C674" s="5"/>
      <c r="D674" s="5"/>
      <c r="E674" s="5"/>
      <c r="F674" s="5"/>
      <c r="G674" s="5"/>
      <c r="H674" s="5"/>
      <c r="I674" s="5"/>
      <c r="J674" s="5"/>
      <c r="K674" s="5"/>
      <c r="L674" s="5"/>
      <c r="M674" s="5"/>
      <c r="N674" s="5"/>
      <c r="O674" s="5"/>
      <c r="P674" s="5"/>
      <c r="Q674" s="5"/>
      <c r="R674" s="5"/>
      <c r="S674" s="5"/>
      <c r="T674" s="5"/>
    </row>
    <row r="675" spans="1:20">
      <c r="A675" s="5"/>
      <c r="B675" s="5"/>
      <c r="C675" s="5"/>
      <c r="D675" s="5"/>
      <c r="E675" s="5"/>
      <c r="F675" s="5"/>
      <c r="G675" s="5"/>
      <c r="H675" s="5"/>
      <c r="I675" s="5"/>
      <c r="J675" s="5"/>
      <c r="K675" s="5"/>
      <c r="L675" s="5"/>
      <c r="M675" s="5"/>
      <c r="N675" s="5"/>
      <c r="O675" s="5"/>
      <c r="P675" s="5"/>
      <c r="Q675" s="5"/>
      <c r="R675" s="5"/>
      <c r="S675" s="5"/>
      <c r="T675" s="5"/>
    </row>
    <row r="676" spans="1:20">
      <c r="A676" s="5"/>
      <c r="B676" s="5"/>
      <c r="C676" s="5"/>
      <c r="D676" s="5"/>
      <c r="E676" s="5"/>
      <c r="F676" s="5"/>
      <c r="G676" s="5"/>
      <c r="H676" s="5"/>
      <c r="I676" s="5"/>
      <c r="J676" s="5"/>
      <c r="K676" s="5"/>
      <c r="L676" s="5"/>
      <c r="M676" s="5"/>
      <c r="N676" s="5"/>
      <c r="O676" s="5"/>
      <c r="P676" s="5"/>
      <c r="Q676" s="5"/>
      <c r="R676" s="5"/>
      <c r="S676" s="5"/>
      <c r="T676" s="5"/>
    </row>
    <row r="677" spans="1:20">
      <c r="A677" s="5"/>
      <c r="B677" s="5"/>
      <c r="C677" s="5"/>
      <c r="D677" s="5"/>
      <c r="E677" s="5"/>
      <c r="F677" s="5"/>
      <c r="G677" s="5"/>
      <c r="H677" s="5"/>
      <c r="I677" s="5"/>
      <c r="J677" s="5"/>
      <c r="K677" s="5"/>
      <c r="L677" s="5"/>
      <c r="M677" s="5"/>
      <c r="N677" s="5"/>
      <c r="O677" s="5"/>
      <c r="P677" s="5"/>
      <c r="Q677" s="5"/>
      <c r="R677" s="5"/>
      <c r="S677" s="5"/>
      <c r="T677" s="5"/>
    </row>
    <row r="678" spans="1:20">
      <c r="A678" s="5"/>
      <c r="B678" s="5"/>
      <c r="C678" s="5"/>
      <c r="D678" s="5"/>
      <c r="E678" s="5"/>
      <c r="F678" s="5"/>
      <c r="G678" s="5"/>
      <c r="H678" s="5"/>
      <c r="I678" s="5"/>
      <c r="J678" s="5"/>
      <c r="K678" s="5"/>
      <c r="L678" s="5"/>
      <c r="M678" s="5"/>
      <c r="N678" s="5"/>
      <c r="O678" s="5"/>
      <c r="P678" s="5"/>
      <c r="Q678" s="5"/>
      <c r="R678" s="5"/>
      <c r="S678" s="5"/>
      <c r="T678" s="5"/>
    </row>
    <row r="679" spans="1:20">
      <c r="A679" s="5"/>
      <c r="B679" s="5"/>
      <c r="C679" s="5"/>
      <c r="D679" s="5"/>
      <c r="E679" s="5"/>
      <c r="F679" s="5"/>
      <c r="G679" s="5"/>
      <c r="H679" s="5"/>
      <c r="I679" s="5"/>
      <c r="J679" s="5"/>
      <c r="K679" s="5"/>
      <c r="L679" s="5"/>
      <c r="M679" s="5"/>
      <c r="N679" s="5"/>
      <c r="O679" s="5"/>
      <c r="P679" s="5"/>
      <c r="Q679" s="5"/>
      <c r="R679" s="5"/>
      <c r="S679" s="5"/>
      <c r="T679" s="5"/>
    </row>
    <row r="680" spans="1:20">
      <c r="A680" s="5"/>
      <c r="B680" s="5"/>
      <c r="C680" s="5"/>
      <c r="D680" s="5"/>
      <c r="E680" s="5"/>
      <c r="F680" s="5"/>
      <c r="G680" s="5"/>
      <c r="H680" s="5"/>
      <c r="I680" s="5"/>
      <c r="J680" s="5"/>
      <c r="K680" s="5"/>
      <c r="L680" s="5"/>
      <c r="M680" s="5"/>
      <c r="N680" s="5"/>
      <c r="O680" s="5"/>
      <c r="P680" s="5"/>
      <c r="Q680" s="5"/>
      <c r="R680" s="5"/>
      <c r="S680" s="5"/>
      <c r="T680" s="5"/>
    </row>
    <row r="681" spans="1:20">
      <c r="A681" s="5"/>
      <c r="B681" s="5"/>
      <c r="C681" s="5"/>
      <c r="D681" s="5"/>
      <c r="E681" s="5"/>
      <c r="F681" s="5"/>
      <c r="G681" s="5"/>
      <c r="H681" s="5"/>
      <c r="I681" s="5"/>
      <c r="J681" s="5"/>
      <c r="K681" s="5"/>
      <c r="L681" s="5"/>
      <c r="M681" s="5"/>
      <c r="N681" s="5"/>
      <c r="O681" s="5"/>
      <c r="P681" s="5"/>
      <c r="Q681" s="5"/>
      <c r="R681" s="5"/>
      <c r="S681" s="5"/>
      <c r="T681" s="5"/>
    </row>
    <row r="682" spans="1:20">
      <c r="A682" s="5"/>
      <c r="B682" s="5"/>
      <c r="C682" s="5"/>
      <c r="D682" s="5"/>
      <c r="E682" s="5"/>
      <c r="F682" s="5"/>
      <c r="G682" s="5"/>
      <c r="H682" s="5"/>
      <c r="I682" s="5"/>
      <c r="J682" s="5"/>
      <c r="K682" s="5"/>
      <c r="L682" s="5"/>
      <c r="M682" s="5"/>
      <c r="N682" s="5"/>
      <c r="O682" s="5"/>
      <c r="P682" s="5"/>
      <c r="Q682" s="5"/>
      <c r="R682" s="5"/>
      <c r="S682" s="5"/>
      <c r="T682" s="5"/>
    </row>
    <row r="683" spans="1:20">
      <c r="A683" s="5"/>
      <c r="B683" s="5"/>
      <c r="C683" s="5"/>
      <c r="D683" s="5"/>
      <c r="E683" s="5"/>
      <c r="F683" s="5"/>
      <c r="G683" s="5"/>
      <c r="H683" s="5"/>
      <c r="I683" s="5"/>
      <c r="J683" s="5"/>
      <c r="K683" s="5"/>
      <c r="L683" s="5"/>
      <c r="M683" s="5"/>
      <c r="N683" s="5"/>
      <c r="O683" s="5"/>
      <c r="P683" s="5"/>
      <c r="Q683" s="5"/>
      <c r="R683" s="5"/>
      <c r="S683" s="5"/>
      <c r="T683" s="5"/>
    </row>
    <row r="684" spans="1:20">
      <c r="A684" s="5"/>
      <c r="B684" s="5"/>
      <c r="C684" s="5"/>
      <c r="D684" s="5"/>
      <c r="E684" s="5"/>
      <c r="F684" s="5"/>
      <c r="G684" s="5"/>
      <c r="H684" s="5"/>
      <c r="I684" s="5"/>
      <c r="J684" s="5"/>
      <c r="K684" s="5"/>
      <c r="L684" s="5"/>
      <c r="M684" s="5"/>
      <c r="N684" s="5"/>
      <c r="O684" s="5"/>
      <c r="P684" s="5"/>
      <c r="Q684" s="5"/>
      <c r="R684" s="5"/>
      <c r="S684" s="5"/>
      <c r="T684" s="5"/>
    </row>
    <row r="685" spans="1:20">
      <c r="A685" s="5"/>
      <c r="B685" s="5"/>
      <c r="C685" s="5"/>
      <c r="D685" s="5"/>
      <c r="E685" s="5"/>
      <c r="F685" s="5"/>
      <c r="G685" s="5"/>
      <c r="H685" s="5"/>
      <c r="I685" s="5"/>
      <c r="J685" s="5"/>
      <c r="K685" s="5"/>
      <c r="L685" s="5"/>
      <c r="M685" s="5"/>
      <c r="N685" s="5"/>
      <c r="O685" s="5"/>
      <c r="P685" s="5"/>
      <c r="Q685" s="5"/>
      <c r="R685" s="5"/>
      <c r="S685" s="5"/>
      <c r="T685" s="5"/>
    </row>
    <row r="686" spans="1:20">
      <c r="A686" s="5"/>
      <c r="B686" s="5"/>
      <c r="C686" s="5"/>
      <c r="D686" s="5"/>
      <c r="E686" s="5"/>
      <c r="F686" s="5"/>
      <c r="G686" s="5"/>
      <c r="H686" s="5"/>
      <c r="I686" s="5"/>
      <c r="J686" s="5"/>
      <c r="K686" s="5"/>
      <c r="L686" s="5"/>
      <c r="M686" s="5"/>
      <c r="N686" s="5"/>
      <c r="O686" s="5"/>
      <c r="P686" s="5"/>
      <c r="Q686" s="5"/>
      <c r="R686" s="5"/>
      <c r="S686" s="5"/>
      <c r="T686" s="5"/>
    </row>
    <row r="687" spans="1:20">
      <c r="A687" s="5"/>
      <c r="B687" s="5"/>
      <c r="C687" s="5"/>
      <c r="D687" s="5"/>
      <c r="E687" s="5"/>
      <c r="F687" s="5"/>
      <c r="G687" s="5"/>
      <c r="H687" s="5"/>
      <c r="I687" s="5"/>
      <c r="J687" s="5"/>
      <c r="K687" s="5"/>
      <c r="L687" s="5"/>
      <c r="M687" s="5"/>
      <c r="N687" s="5"/>
      <c r="O687" s="5"/>
      <c r="P687" s="5"/>
      <c r="Q687" s="5"/>
      <c r="R687" s="5"/>
      <c r="S687" s="5"/>
      <c r="T687" s="5"/>
    </row>
    <row r="688" spans="1:20">
      <c r="A688" s="5"/>
      <c r="B688" s="5"/>
      <c r="C688" s="5"/>
      <c r="D688" s="5"/>
      <c r="E688" s="5"/>
      <c r="F688" s="5"/>
      <c r="G688" s="5"/>
      <c r="H688" s="5"/>
      <c r="I688" s="5"/>
      <c r="J688" s="5"/>
      <c r="K688" s="5"/>
      <c r="L688" s="5"/>
      <c r="M688" s="5"/>
      <c r="N688" s="5"/>
      <c r="O688" s="5"/>
      <c r="P688" s="5"/>
      <c r="Q688" s="5"/>
      <c r="R688" s="5"/>
      <c r="S688" s="5"/>
      <c r="T688" s="5"/>
    </row>
    <row r="689" spans="1:20">
      <c r="A689" s="5"/>
      <c r="B689" s="5"/>
      <c r="C689" s="5"/>
      <c r="D689" s="5"/>
      <c r="E689" s="5"/>
      <c r="F689" s="5"/>
      <c r="G689" s="5"/>
      <c r="H689" s="5"/>
      <c r="I689" s="5"/>
      <c r="J689" s="5"/>
      <c r="K689" s="5"/>
      <c r="L689" s="5"/>
      <c r="M689" s="5"/>
      <c r="N689" s="5"/>
      <c r="O689" s="5"/>
      <c r="P689" s="5"/>
      <c r="Q689" s="5"/>
      <c r="R689" s="5"/>
      <c r="S689" s="5"/>
      <c r="T689" s="5"/>
    </row>
    <row r="690" spans="1:20">
      <c r="A690" s="5"/>
      <c r="B690" s="5"/>
      <c r="C690" s="5"/>
      <c r="D690" s="5"/>
      <c r="E690" s="5"/>
      <c r="F690" s="5"/>
      <c r="G690" s="5"/>
      <c r="H690" s="5"/>
      <c r="I690" s="5"/>
      <c r="J690" s="5"/>
      <c r="K690" s="5"/>
      <c r="L690" s="5"/>
      <c r="M690" s="5"/>
      <c r="N690" s="5"/>
      <c r="O690" s="5"/>
      <c r="P690" s="5"/>
      <c r="Q690" s="5"/>
      <c r="R690" s="5"/>
      <c r="S690" s="5"/>
      <c r="T690" s="5"/>
    </row>
    <row r="691" spans="1:20">
      <c r="A691" s="5"/>
      <c r="B691" s="5"/>
      <c r="C691" s="5"/>
      <c r="D691" s="5"/>
      <c r="E691" s="5"/>
      <c r="F691" s="5"/>
      <c r="G691" s="5"/>
      <c r="H691" s="5"/>
      <c r="I691" s="5"/>
      <c r="J691" s="5"/>
      <c r="K691" s="5"/>
      <c r="L691" s="5"/>
      <c r="M691" s="5"/>
      <c r="N691" s="5"/>
      <c r="O691" s="5"/>
      <c r="P691" s="5"/>
      <c r="Q691" s="5"/>
      <c r="R691" s="5"/>
      <c r="S691" s="5"/>
      <c r="T691" s="5"/>
    </row>
    <row r="692" spans="1:20">
      <c r="A692" s="5"/>
      <c r="B692" s="5"/>
      <c r="C692" s="5"/>
      <c r="D692" s="5"/>
      <c r="E692" s="5"/>
      <c r="F692" s="5"/>
      <c r="G692" s="5"/>
      <c r="H692" s="5"/>
      <c r="I692" s="5"/>
      <c r="J692" s="5"/>
      <c r="K692" s="5"/>
      <c r="L692" s="5"/>
      <c r="M692" s="5"/>
      <c r="N692" s="5"/>
      <c r="O692" s="5"/>
      <c r="P692" s="5"/>
      <c r="Q692" s="5"/>
      <c r="R692" s="5"/>
      <c r="S692" s="5"/>
      <c r="T692" s="5"/>
    </row>
    <row r="693" spans="1:20">
      <c r="A693" s="5"/>
      <c r="B693" s="5"/>
      <c r="C693" s="5"/>
      <c r="D693" s="5"/>
      <c r="E693" s="5"/>
      <c r="F693" s="5"/>
      <c r="G693" s="5"/>
      <c r="H693" s="5"/>
      <c r="I693" s="5"/>
      <c r="J693" s="5"/>
      <c r="K693" s="5"/>
      <c r="L693" s="5"/>
      <c r="M693" s="5"/>
      <c r="N693" s="5"/>
      <c r="O693" s="5"/>
      <c r="P693" s="5"/>
      <c r="Q693" s="5"/>
      <c r="R693" s="5"/>
      <c r="S693" s="5"/>
      <c r="T693" s="5"/>
    </row>
    <row r="694" spans="1:20">
      <c r="A694" s="5"/>
      <c r="B694" s="5"/>
      <c r="C694" s="5"/>
      <c r="D694" s="5"/>
      <c r="E694" s="5"/>
      <c r="F694" s="5"/>
      <c r="G694" s="5"/>
      <c r="H694" s="5"/>
      <c r="I694" s="5"/>
      <c r="J694" s="5"/>
      <c r="K694" s="5"/>
      <c r="L694" s="5"/>
      <c r="M694" s="5"/>
      <c r="N694" s="5"/>
      <c r="O694" s="5"/>
      <c r="P694" s="5"/>
      <c r="Q694" s="5"/>
      <c r="R694" s="5"/>
      <c r="S694" s="5"/>
      <c r="T694" s="5"/>
    </row>
    <row r="695" spans="1:20">
      <c r="A695" s="5"/>
      <c r="B695" s="5"/>
      <c r="C695" s="5"/>
      <c r="D695" s="5"/>
      <c r="E695" s="5"/>
      <c r="F695" s="5"/>
      <c r="G695" s="5"/>
      <c r="H695" s="5"/>
      <c r="I695" s="5"/>
      <c r="J695" s="5"/>
      <c r="K695" s="5"/>
      <c r="L695" s="5"/>
      <c r="M695" s="5"/>
      <c r="N695" s="5"/>
      <c r="O695" s="5"/>
      <c r="P695" s="5"/>
      <c r="Q695" s="5"/>
      <c r="R695" s="5"/>
      <c r="S695" s="5"/>
      <c r="T695" s="5"/>
    </row>
    <row r="696" spans="1:20">
      <c r="A696" s="5"/>
      <c r="B696" s="5"/>
      <c r="C696" s="5"/>
      <c r="D696" s="5"/>
      <c r="E696" s="5"/>
      <c r="F696" s="5"/>
      <c r="G696" s="5"/>
      <c r="H696" s="5"/>
      <c r="I696" s="5"/>
      <c r="J696" s="5"/>
      <c r="K696" s="5"/>
      <c r="L696" s="5"/>
      <c r="M696" s="5"/>
      <c r="N696" s="5"/>
      <c r="O696" s="5"/>
      <c r="P696" s="5"/>
      <c r="Q696" s="5"/>
      <c r="R696" s="5"/>
      <c r="S696" s="5"/>
      <c r="T696" s="5"/>
    </row>
    <row r="697" spans="1:20">
      <c r="A697" s="5"/>
      <c r="B697" s="5"/>
      <c r="C697" s="5"/>
      <c r="D697" s="5"/>
      <c r="E697" s="5"/>
      <c r="F697" s="5"/>
      <c r="G697" s="5"/>
      <c r="H697" s="5"/>
      <c r="I697" s="5"/>
      <c r="J697" s="5"/>
      <c r="K697" s="5"/>
      <c r="L697" s="5"/>
      <c r="M697" s="5"/>
      <c r="N697" s="5"/>
      <c r="O697" s="5"/>
      <c r="P697" s="5"/>
      <c r="Q697" s="5"/>
      <c r="R697" s="5"/>
      <c r="S697" s="5"/>
      <c r="T697" s="5"/>
    </row>
    <row r="698" spans="1:20">
      <c r="A698" s="5"/>
      <c r="B698" s="5"/>
      <c r="C698" s="5"/>
      <c r="D698" s="5"/>
      <c r="E698" s="5"/>
      <c r="F698" s="5"/>
      <c r="G698" s="5"/>
      <c r="H698" s="5"/>
      <c r="I698" s="5"/>
      <c r="J698" s="5"/>
      <c r="K698" s="5"/>
      <c r="L698" s="5"/>
      <c r="M698" s="5"/>
      <c r="N698" s="5"/>
      <c r="O698" s="5"/>
      <c r="P698" s="5"/>
      <c r="Q698" s="5"/>
      <c r="R698" s="5"/>
      <c r="S698" s="5"/>
      <c r="T698" s="5"/>
    </row>
    <row r="699" spans="1:20">
      <c r="A699" s="5"/>
      <c r="B699" s="5"/>
      <c r="C699" s="5"/>
      <c r="D699" s="5"/>
      <c r="E699" s="5"/>
      <c r="F699" s="5"/>
      <c r="G699" s="5"/>
      <c r="H699" s="5"/>
      <c r="I699" s="5"/>
      <c r="J699" s="5"/>
      <c r="K699" s="5"/>
      <c r="L699" s="5"/>
      <c r="M699" s="5"/>
      <c r="N699" s="5"/>
      <c r="O699" s="5"/>
      <c r="P699" s="5"/>
      <c r="Q699" s="5"/>
      <c r="R699" s="5"/>
      <c r="S699" s="5"/>
      <c r="T699" s="5"/>
    </row>
    <row r="700" spans="1:20">
      <c r="A700" s="5"/>
      <c r="B700" s="5"/>
      <c r="C700" s="5"/>
      <c r="D700" s="5"/>
      <c r="E700" s="5"/>
      <c r="F700" s="5"/>
      <c r="G700" s="5"/>
      <c r="H700" s="5"/>
      <c r="I700" s="5"/>
      <c r="J700" s="5"/>
      <c r="K700" s="5"/>
      <c r="L700" s="5"/>
      <c r="M700" s="5"/>
      <c r="N700" s="5"/>
      <c r="O700" s="5"/>
      <c r="P700" s="5"/>
      <c r="Q700" s="5"/>
      <c r="R700" s="5"/>
      <c r="S700" s="5"/>
      <c r="T700" s="5"/>
    </row>
    <row r="701" spans="1:20">
      <c r="A701" s="5"/>
      <c r="B701" s="5"/>
      <c r="C701" s="5"/>
      <c r="D701" s="5"/>
      <c r="E701" s="5"/>
      <c r="F701" s="5"/>
      <c r="G701" s="5"/>
      <c r="H701" s="5"/>
      <c r="I701" s="5"/>
      <c r="J701" s="5"/>
      <c r="K701" s="5"/>
      <c r="L701" s="5"/>
      <c r="M701" s="5"/>
      <c r="N701" s="5"/>
      <c r="O701" s="5"/>
      <c r="P701" s="5"/>
      <c r="Q701" s="5"/>
      <c r="R701" s="5"/>
      <c r="S701" s="5"/>
      <c r="T701" s="5"/>
    </row>
    <row r="702" spans="1:20">
      <c r="A702" s="5"/>
      <c r="B702" s="5"/>
      <c r="C702" s="5"/>
      <c r="D702" s="5"/>
      <c r="E702" s="5"/>
      <c r="F702" s="5"/>
      <c r="G702" s="5"/>
      <c r="H702" s="5"/>
      <c r="I702" s="5"/>
      <c r="J702" s="5"/>
      <c r="K702" s="5"/>
      <c r="L702" s="5"/>
      <c r="M702" s="5"/>
      <c r="N702" s="5"/>
      <c r="O702" s="5"/>
      <c r="P702" s="5"/>
      <c r="Q702" s="5"/>
      <c r="R702" s="5"/>
      <c r="S702" s="5"/>
      <c r="T702" s="5"/>
    </row>
    <row r="703" spans="1:20">
      <c r="A703" s="5"/>
      <c r="B703" s="5"/>
      <c r="C703" s="5"/>
      <c r="D703" s="5"/>
      <c r="E703" s="5"/>
      <c r="F703" s="5"/>
      <c r="G703" s="5"/>
      <c r="H703" s="5"/>
      <c r="I703" s="5"/>
      <c r="J703" s="5"/>
      <c r="K703" s="5"/>
      <c r="L703" s="5"/>
      <c r="M703" s="5"/>
      <c r="N703" s="5"/>
      <c r="O703" s="5"/>
      <c r="P703" s="5"/>
      <c r="Q703" s="5"/>
      <c r="R703" s="5"/>
      <c r="S703" s="5"/>
      <c r="T703" s="5"/>
    </row>
    <row r="704" spans="1:20">
      <c r="A704" s="5"/>
      <c r="B704" s="5"/>
      <c r="C704" s="5"/>
      <c r="D704" s="5"/>
      <c r="E704" s="5"/>
      <c r="F704" s="5"/>
      <c r="G704" s="5"/>
      <c r="H704" s="5"/>
      <c r="I704" s="5"/>
      <c r="J704" s="5"/>
      <c r="K704" s="5"/>
      <c r="L704" s="5"/>
      <c r="M704" s="5"/>
      <c r="N704" s="5"/>
      <c r="O704" s="5"/>
      <c r="P704" s="5"/>
      <c r="Q704" s="5"/>
      <c r="R704" s="5"/>
      <c r="S704" s="5"/>
      <c r="T704" s="5"/>
    </row>
    <row r="705" spans="1:20">
      <c r="A705" s="5"/>
      <c r="B705" s="5"/>
      <c r="C705" s="5"/>
      <c r="D705" s="5"/>
      <c r="E705" s="5"/>
      <c r="F705" s="5"/>
      <c r="G705" s="5"/>
      <c r="H705" s="5"/>
      <c r="I705" s="5"/>
      <c r="J705" s="5"/>
      <c r="K705" s="5"/>
      <c r="L705" s="5"/>
      <c r="M705" s="5"/>
      <c r="N705" s="5"/>
      <c r="O705" s="5"/>
      <c r="P705" s="5"/>
      <c r="Q705" s="5"/>
      <c r="R705" s="5"/>
      <c r="S705" s="5"/>
      <c r="T705" s="5"/>
    </row>
    <row r="706" spans="1:20">
      <c r="A706" s="5"/>
      <c r="B706" s="5"/>
      <c r="C706" s="5"/>
      <c r="D706" s="5"/>
      <c r="E706" s="5"/>
      <c r="F706" s="5"/>
      <c r="G706" s="5"/>
      <c r="H706" s="5"/>
      <c r="I706" s="5"/>
      <c r="J706" s="5"/>
      <c r="K706" s="5"/>
      <c r="L706" s="5"/>
      <c r="M706" s="5"/>
      <c r="N706" s="5"/>
      <c r="O706" s="5"/>
      <c r="P706" s="5"/>
      <c r="Q706" s="5"/>
      <c r="R706" s="5"/>
      <c r="S706" s="5"/>
      <c r="T706" s="5"/>
    </row>
    <row r="707" spans="1:20">
      <c r="A707" s="5"/>
      <c r="B707" s="5"/>
      <c r="C707" s="5"/>
      <c r="D707" s="5"/>
      <c r="E707" s="5"/>
      <c r="F707" s="5"/>
      <c r="G707" s="5"/>
      <c r="H707" s="5"/>
      <c r="I707" s="5"/>
      <c r="J707" s="5"/>
      <c r="K707" s="5"/>
      <c r="L707" s="5"/>
      <c r="M707" s="5"/>
      <c r="N707" s="5"/>
      <c r="O707" s="5"/>
      <c r="P707" s="5"/>
      <c r="Q707" s="5"/>
      <c r="R707" s="5"/>
      <c r="S707" s="5"/>
      <c r="T707" s="5"/>
    </row>
    <row r="708" spans="1:20">
      <c r="A708" s="5"/>
      <c r="B708" s="5"/>
      <c r="C708" s="5"/>
      <c r="D708" s="5"/>
      <c r="E708" s="5"/>
      <c r="F708" s="5"/>
      <c r="G708" s="5"/>
      <c r="H708" s="5"/>
      <c r="I708" s="5"/>
      <c r="J708" s="5"/>
      <c r="K708" s="5"/>
      <c r="L708" s="5"/>
      <c r="M708" s="5"/>
      <c r="N708" s="5"/>
      <c r="O708" s="5"/>
      <c r="P708" s="5"/>
      <c r="Q708" s="5"/>
      <c r="R708" s="5"/>
      <c r="S708" s="5"/>
      <c r="T708" s="5"/>
    </row>
    <row r="709" spans="1:20">
      <c r="A709" s="5"/>
      <c r="B709" s="5"/>
      <c r="C709" s="5"/>
      <c r="D709" s="5"/>
      <c r="E709" s="5"/>
      <c r="F709" s="5"/>
      <c r="G709" s="5"/>
      <c r="H709" s="5"/>
      <c r="I709" s="5"/>
      <c r="J709" s="5"/>
      <c r="K709" s="5"/>
      <c r="L709" s="5"/>
      <c r="M709" s="5"/>
      <c r="N709" s="5"/>
      <c r="O709" s="5"/>
      <c r="P709" s="5"/>
      <c r="Q709" s="5"/>
      <c r="R709" s="5"/>
      <c r="S709" s="5"/>
      <c r="T709" s="5"/>
    </row>
    <row r="710" spans="1:20">
      <c r="A710" s="5"/>
      <c r="B710" s="5"/>
      <c r="C710" s="5"/>
      <c r="D710" s="5"/>
      <c r="E710" s="5"/>
      <c r="F710" s="5"/>
      <c r="G710" s="5"/>
      <c r="H710" s="5"/>
      <c r="I710" s="5"/>
      <c r="J710" s="5"/>
      <c r="K710" s="5"/>
      <c r="L710" s="5"/>
      <c r="M710" s="5"/>
      <c r="N710" s="5"/>
      <c r="O710" s="5"/>
      <c r="P710" s="5"/>
      <c r="Q710" s="5"/>
      <c r="R710" s="5"/>
      <c r="S710" s="5"/>
      <c r="T710" s="5"/>
    </row>
    <row r="711" spans="1:20">
      <c r="A711" s="5"/>
      <c r="B711" s="5"/>
      <c r="C711" s="5"/>
      <c r="D711" s="5"/>
      <c r="E711" s="5"/>
      <c r="F711" s="5"/>
      <c r="G711" s="5"/>
      <c r="H711" s="5"/>
      <c r="I711" s="5"/>
      <c r="J711" s="5"/>
      <c r="K711" s="5"/>
      <c r="L711" s="5"/>
      <c r="M711" s="5"/>
      <c r="N711" s="5"/>
      <c r="O711" s="5"/>
      <c r="P711" s="5"/>
      <c r="Q711" s="5"/>
      <c r="R711" s="5"/>
      <c r="S711" s="5"/>
      <c r="T711" s="5"/>
    </row>
    <row r="712" spans="1:20">
      <c r="A712" s="5"/>
      <c r="B712" s="5"/>
      <c r="C712" s="5"/>
      <c r="D712" s="5"/>
      <c r="E712" s="5"/>
      <c r="F712" s="5"/>
      <c r="G712" s="5"/>
      <c r="H712" s="5"/>
      <c r="I712" s="5"/>
      <c r="J712" s="5"/>
      <c r="K712" s="5"/>
      <c r="L712" s="5"/>
      <c r="M712" s="5"/>
      <c r="N712" s="5"/>
      <c r="O712" s="5"/>
      <c r="P712" s="5"/>
      <c r="Q712" s="5"/>
      <c r="R712" s="5"/>
      <c r="S712" s="5"/>
      <c r="T712" s="5"/>
    </row>
    <row r="713" spans="1:20">
      <c r="A713" s="5"/>
      <c r="B713" s="5"/>
      <c r="C713" s="5"/>
      <c r="D713" s="5"/>
      <c r="E713" s="5"/>
      <c r="F713" s="5"/>
      <c r="G713" s="5"/>
      <c r="H713" s="5"/>
      <c r="I713" s="5"/>
      <c r="J713" s="5"/>
      <c r="K713" s="5"/>
      <c r="L713" s="5"/>
      <c r="M713" s="5"/>
      <c r="N713" s="5"/>
      <c r="O713" s="5"/>
      <c r="P713" s="5"/>
      <c r="Q713" s="5"/>
      <c r="R713" s="5"/>
      <c r="S713" s="5"/>
      <c r="T713" s="5"/>
    </row>
    <row r="714" spans="1:20">
      <c r="A714" s="5"/>
      <c r="B714" s="5"/>
      <c r="C714" s="5"/>
      <c r="D714" s="5"/>
      <c r="E714" s="5"/>
      <c r="F714" s="5"/>
      <c r="G714" s="5"/>
      <c r="H714" s="5"/>
      <c r="I714" s="5"/>
      <c r="J714" s="5"/>
      <c r="K714" s="5"/>
      <c r="L714" s="5"/>
      <c r="M714" s="5"/>
      <c r="N714" s="5"/>
      <c r="O714" s="5"/>
      <c r="P714" s="5"/>
      <c r="Q714" s="5"/>
      <c r="R714" s="5"/>
      <c r="S714" s="5"/>
      <c r="T714" s="5"/>
    </row>
    <row r="715" spans="1:20">
      <c r="A715" s="5"/>
      <c r="B715" s="5"/>
      <c r="C715" s="5"/>
      <c r="D715" s="5"/>
      <c r="E715" s="5"/>
      <c r="F715" s="5"/>
      <c r="G715" s="5"/>
      <c r="H715" s="5"/>
      <c r="I715" s="5"/>
      <c r="J715" s="5"/>
      <c r="K715" s="5"/>
      <c r="L715" s="5"/>
      <c r="M715" s="5"/>
      <c r="N715" s="5"/>
      <c r="O715" s="5"/>
      <c r="P715" s="5"/>
      <c r="Q715" s="5"/>
      <c r="R715" s="5"/>
      <c r="S715" s="5"/>
      <c r="T715" s="5"/>
    </row>
    <row r="716" spans="1:20">
      <c r="A716" s="5"/>
      <c r="B716" s="5"/>
      <c r="C716" s="5"/>
      <c r="D716" s="5"/>
      <c r="E716" s="5"/>
      <c r="F716" s="5"/>
      <c r="G716" s="5"/>
      <c r="H716" s="5"/>
      <c r="I716" s="5"/>
      <c r="J716" s="5"/>
      <c r="K716" s="5"/>
      <c r="L716" s="5"/>
      <c r="M716" s="5"/>
      <c r="N716" s="5"/>
      <c r="O716" s="5"/>
      <c r="P716" s="5"/>
      <c r="Q716" s="5"/>
      <c r="R716" s="5"/>
      <c r="S716" s="5"/>
      <c r="T716" s="5"/>
    </row>
    <row r="717" spans="1:20">
      <c r="A717" s="5"/>
      <c r="B717" s="5"/>
      <c r="C717" s="5"/>
      <c r="D717" s="5"/>
      <c r="E717" s="5"/>
      <c r="F717" s="5"/>
      <c r="G717" s="5"/>
      <c r="H717" s="5"/>
      <c r="I717" s="5"/>
      <c r="J717" s="5"/>
      <c r="K717" s="5"/>
      <c r="L717" s="5"/>
      <c r="M717" s="5"/>
      <c r="N717" s="5"/>
      <c r="O717" s="5"/>
      <c r="P717" s="5"/>
      <c r="Q717" s="5"/>
      <c r="R717" s="5"/>
      <c r="S717" s="5"/>
      <c r="T717" s="5"/>
    </row>
    <row r="718" spans="1:20">
      <c r="A718" s="5"/>
      <c r="B718" s="5"/>
      <c r="C718" s="5"/>
      <c r="D718" s="5"/>
      <c r="E718" s="5"/>
      <c r="F718" s="5"/>
      <c r="G718" s="5"/>
      <c r="H718" s="5"/>
      <c r="I718" s="5"/>
      <c r="J718" s="5"/>
      <c r="K718" s="5"/>
      <c r="L718" s="5"/>
      <c r="M718" s="5"/>
      <c r="N718" s="5"/>
      <c r="O718" s="5"/>
      <c r="P718" s="5"/>
      <c r="Q718" s="5"/>
      <c r="R718" s="5"/>
      <c r="S718" s="5"/>
      <c r="T718" s="5"/>
    </row>
    <row r="719" spans="1:20">
      <c r="A719" s="5"/>
      <c r="B719" s="5"/>
      <c r="C719" s="5"/>
      <c r="D719" s="5"/>
      <c r="E719" s="5"/>
      <c r="F719" s="5"/>
      <c r="G719" s="5"/>
      <c r="H719" s="5"/>
      <c r="I719" s="5"/>
      <c r="J719" s="5"/>
      <c r="K719" s="5"/>
      <c r="L719" s="5"/>
      <c r="M719" s="5"/>
      <c r="N719" s="5"/>
      <c r="O719" s="5"/>
      <c r="P719" s="5"/>
      <c r="Q719" s="5"/>
      <c r="R719" s="5"/>
      <c r="S719" s="5"/>
      <c r="T719" s="5"/>
    </row>
    <row r="720" spans="1:20">
      <c r="A720" s="5"/>
      <c r="B720" s="5"/>
      <c r="C720" s="5"/>
      <c r="D720" s="5"/>
      <c r="E720" s="5"/>
      <c r="F720" s="5"/>
      <c r="G720" s="5"/>
      <c r="H720" s="5"/>
      <c r="I720" s="5"/>
      <c r="J720" s="5"/>
      <c r="K720" s="5"/>
      <c r="L720" s="5"/>
      <c r="M720" s="5"/>
      <c r="N720" s="5"/>
      <c r="O720" s="5"/>
      <c r="P720" s="5"/>
      <c r="Q720" s="5"/>
      <c r="R720" s="5"/>
      <c r="S720" s="5"/>
      <c r="T720" s="5"/>
    </row>
    <row r="721" spans="1:20">
      <c r="A721" s="5"/>
      <c r="B721" s="5"/>
      <c r="C721" s="5"/>
      <c r="D721" s="5"/>
      <c r="E721" s="5"/>
      <c r="F721" s="5"/>
      <c r="G721" s="5"/>
      <c r="H721" s="5"/>
      <c r="I721" s="5"/>
      <c r="J721" s="5"/>
      <c r="K721" s="5"/>
      <c r="L721" s="5"/>
      <c r="M721" s="5"/>
      <c r="N721" s="5"/>
      <c r="O721" s="5"/>
      <c r="P721" s="5"/>
      <c r="Q721" s="5"/>
      <c r="R721" s="5"/>
      <c r="S721" s="5"/>
      <c r="T721" s="5"/>
    </row>
    <row r="722" spans="1:20">
      <c r="A722" s="5"/>
      <c r="B722" s="5"/>
      <c r="C722" s="5"/>
      <c r="D722" s="5"/>
      <c r="E722" s="5"/>
      <c r="F722" s="5"/>
      <c r="G722" s="5"/>
      <c r="H722" s="5"/>
      <c r="I722" s="5"/>
      <c r="J722" s="5"/>
      <c r="K722" s="5"/>
      <c r="L722" s="5"/>
      <c r="M722" s="5"/>
      <c r="N722" s="5"/>
      <c r="O722" s="5"/>
      <c r="P722" s="5"/>
      <c r="Q722" s="5"/>
      <c r="R722" s="5"/>
      <c r="S722" s="5"/>
      <c r="T722" s="5"/>
    </row>
    <row r="723" spans="1:20">
      <c r="A723" s="5"/>
      <c r="B723" s="5"/>
      <c r="C723" s="5"/>
      <c r="D723" s="5"/>
      <c r="E723" s="5"/>
      <c r="F723" s="5"/>
      <c r="G723" s="5"/>
      <c r="H723" s="5"/>
      <c r="I723" s="5"/>
      <c r="J723" s="5"/>
      <c r="K723" s="5"/>
      <c r="L723" s="5"/>
      <c r="M723" s="5"/>
      <c r="N723" s="5"/>
      <c r="O723" s="5"/>
      <c r="P723" s="5"/>
      <c r="Q723" s="5"/>
      <c r="R723" s="5"/>
      <c r="S723" s="5"/>
      <c r="T723" s="5"/>
    </row>
    <row r="724" spans="1:20">
      <c r="A724" s="5"/>
      <c r="B724" s="5"/>
      <c r="C724" s="5"/>
      <c r="D724" s="5"/>
      <c r="E724" s="5"/>
      <c r="F724" s="5"/>
      <c r="G724" s="5"/>
      <c r="H724" s="5"/>
      <c r="I724" s="5"/>
      <c r="J724" s="5"/>
      <c r="K724" s="5"/>
      <c r="L724" s="5"/>
      <c r="M724" s="5"/>
      <c r="N724" s="5"/>
      <c r="O724" s="5"/>
      <c r="P724" s="5"/>
      <c r="Q724" s="5"/>
      <c r="R724" s="5"/>
      <c r="S724" s="5"/>
      <c r="T724" s="5"/>
    </row>
    <row r="725" spans="1:20">
      <c r="A725" s="5"/>
      <c r="B725" s="5"/>
      <c r="C725" s="5"/>
      <c r="D725" s="5"/>
      <c r="E725" s="5"/>
      <c r="F725" s="5"/>
      <c r="G725" s="5"/>
      <c r="H725" s="5"/>
      <c r="I725" s="5"/>
      <c r="J725" s="5"/>
      <c r="K725" s="5"/>
      <c r="L725" s="5"/>
      <c r="M725" s="5"/>
      <c r="N725" s="5"/>
      <c r="O725" s="5"/>
      <c r="P725" s="5"/>
      <c r="Q725" s="5"/>
      <c r="R725" s="5"/>
      <c r="S725" s="5"/>
      <c r="T725" s="5"/>
    </row>
    <row r="726" spans="1:20">
      <c r="A726" s="5"/>
      <c r="B726" s="5"/>
      <c r="C726" s="5"/>
      <c r="D726" s="5"/>
      <c r="E726" s="5"/>
      <c r="F726" s="5"/>
      <c r="G726" s="5"/>
      <c r="H726" s="5"/>
      <c r="I726" s="5"/>
      <c r="J726" s="5"/>
      <c r="K726" s="5"/>
      <c r="L726" s="5"/>
      <c r="M726" s="5"/>
      <c r="N726" s="5"/>
      <c r="O726" s="5"/>
      <c r="P726" s="5"/>
      <c r="Q726" s="5"/>
      <c r="R726" s="5"/>
      <c r="S726" s="5"/>
      <c r="T726" s="5"/>
    </row>
    <row r="727" spans="1:20">
      <c r="A727" s="5"/>
      <c r="B727" s="5"/>
      <c r="C727" s="5"/>
      <c r="D727" s="5"/>
      <c r="E727" s="5"/>
      <c r="F727" s="5"/>
      <c r="G727" s="5"/>
      <c r="H727" s="5"/>
      <c r="I727" s="5"/>
      <c r="J727" s="5"/>
      <c r="K727" s="5"/>
      <c r="L727" s="5"/>
      <c r="M727" s="5"/>
      <c r="N727" s="5"/>
      <c r="O727" s="5"/>
      <c r="P727" s="5"/>
      <c r="Q727" s="5"/>
      <c r="R727" s="5"/>
      <c r="S727" s="5"/>
      <c r="T727" s="5"/>
    </row>
    <row r="728" spans="1:20">
      <c r="A728" s="5"/>
      <c r="B728" s="5"/>
      <c r="C728" s="5"/>
      <c r="D728" s="5"/>
      <c r="E728" s="5"/>
      <c r="F728" s="5"/>
      <c r="G728" s="5"/>
      <c r="H728" s="5"/>
      <c r="I728" s="5"/>
      <c r="J728" s="5"/>
      <c r="K728" s="5"/>
      <c r="L728" s="5"/>
      <c r="M728" s="5"/>
      <c r="N728" s="5"/>
      <c r="O728" s="5"/>
      <c r="P728" s="5"/>
      <c r="Q728" s="5"/>
      <c r="R728" s="5"/>
      <c r="S728" s="5"/>
      <c r="T728" s="5"/>
    </row>
    <row r="729" spans="1:20">
      <c r="A729" s="5"/>
      <c r="B729" s="5"/>
      <c r="C729" s="5"/>
      <c r="D729" s="5"/>
      <c r="E729" s="5"/>
      <c r="F729" s="5"/>
      <c r="G729" s="5"/>
      <c r="H729" s="5"/>
      <c r="I729" s="5"/>
      <c r="J729" s="5"/>
      <c r="K729" s="5"/>
      <c r="L729" s="5"/>
      <c r="M729" s="5"/>
      <c r="N729" s="5"/>
      <c r="O729" s="5"/>
      <c r="P729" s="5"/>
      <c r="Q729" s="5"/>
      <c r="R729" s="5"/>
      <c r="S729" s="5"/>
      <c r="T729" s="5"/>
    </row>
    <row r="730" spans="1:20">
      <c r="A730" s="5"/>
      <c r="B730" s="5"/>
      <c r="C730" s="5"/>
      <c r="D730" s="5"/>
      <c r="E730" s="5"/>
      <c r="F730" s="5"/>
      <c r="G730" s="5"/>
      <c r="H730" s="5"/>
      <c r="I730" s="5"/>
      <c r="J730" s="5"/>
      <c r="K730" s="5"/>
      <c r="L730" s="5"/>
      <c r="M730" s="5"/>
      <c r="N730" s="5"/>
      <c r="O730" s="5"/>
      <c r="P730" s="5"/>
      <c r="Q730" s="5"/>
      <c r="R730" s="5"/>
      <c r="S730" s="5"/>
      <c r="T730" s="5"/>
    </row>
    <row r="731" spans="1:20">
      <c r="A731" s="5"/>
      <c r="B731" s="5"/>
      <c r="C731" s="5"/>
      <c r="D731" s="5"/>
      <c r="E731" s="5"/>
      <c r="F731" s="5"/>
      <c r="G731" s="5"/>
      <c r="H731" s="5"/>
      <c r="I731" s="5"/>
      <c r="J731" s="5"/>
      <c r="K731" s="5"/>
      <c r="L731" s="5"/>
      <c r="M731" s="5"/>
      <c r="N731" s="5"/>
      <c r="O731" s="5"/>
      <c r="P731" s="5"/>
      <c r="Q731" s="5"/>
      <c r="R731" s="5"/>
      <c r="S731" s="5"/>
      <c r="T731" s="5"/>
    </row>
    <row r="732" spans="1:20">
      <c r="A732" s="5"/>
      <c r="B732" s="5"/>
      <c r="C732" s="5"/>
      <c r="D732" s="5"/>
      <c r="E732" s="5"/>
      <c r="F732" s="5"/>
      <c r="G732" s="5"/>
      <c r="H732" s="5"/>
      <c r="I732" s="5"/>
      <c r="J732" s="5"/>
      <c r="K732" s="5"/>
      <c r="L732" s="5"/>
      <c r="M732" s="5"/>
      <c r="N732" s="5"/>
      <c r="O732" s="5"/>
      <c r="P732" s="5"/>
      <c r="Q732" s="5"/>
      <c r="R732" s="5"/>
      <c r="S732" s="5"/>
      <c r="T732" s="5"/>
    </row>
    <row r="733" spans="1:20">
      <c r="A733" s="5"/>
      <c r="B733" s="5"/>
      <c r="C733" s="5"/>
      <c r="D733" s="5"/>
      <c r="E733" s="5"/>
      <c r="F733" s="5"/>
      <c r="G733" s="5"/>
      <c r="H733" s="5"/>
      <c r="I733" s="5"/>
      <c r="J733" s="5"/>
      <c r="K733" s="5"/>
      <c r="L733" s="5"/>
      <c r="M733" s="5"/>
      <c r="N733" s="5"/>
      <c r="O733" s="5"/>
      <c r="P733" s="5"/>
      <c r="Q733" s="5"/>
      <c r="R733" s="5"/>
      <c r="S733" s="5"/>
      <c r="T733" s="5"/>
    </row>
    <row r="734" spans="1:20">
      <c r="A734" s="5"/>
      <c r="B734" s="5"/>
      <c r="C734" s="5"/>
      <c r="D734" s="5"/>
      <c r="E734" s="5"/>
      <c r="F734" s="5"/>
      <c r="G734" s="5"/>
      <c r="H734" s="5"/>
      <c r="I734" s="5"/>
      <c r="J734" s="5"/>
      <c r="K734" s="5"/>
      <c r="L734" s="5"/>
      <c r="M734" s="5"/>
      <c r="N734" s="5"/>
      <c r="O734" s="5"/>
      <c r="P734" s="5"/>
      <c r="Q734" s="5"/>
      <c r="R734" s="5"/>
      <c r="S734" s="5"/>
      <c r="T734" s="5"/>
    </row>
    <row r="735" spans="1:20">
      <c r="A735" s="5"/>
      <c r="B735" s="5"/>
      <c r="C735" s="5"/>
      <c r="D735" s="5"/>
      <c r="E735" s="5"/>
      <c r="F735" s="5"/>
      <c r="G735" s="5"/>
      <c r="H735" s="5"/>
      <c r="I735" s="5"/>
      <c r="J735" s="5"/>
      <c r="K735" s="5"/>
      <c r="L735" s="5"/>
      <c r="M735" s="5"/>
      <c r="N735" s="5"/>
      <c r="O735" s="5"/>
      <c r="P735" s="5"/>
      <c r="Q735" s="5"/>
      <c r="R735" s="5"/>
      <c r="S735" s="5"/>
      <c r="T735" s="5"/>
    </row>
    <row r="736" spans="1:20">
      <c r="A736" s="5"/>
      <c r="B736" s="5"/>
      <c r="C736" s="5"/>
      <c r="D736" s="5"/>
      <c r="E736" s="5"/>
      <c r="F736" s="5"/>
      <c r="G736" s="5"/>
      <c r="H736" s="5"/>
      <c r="I736" s="5"/>
      <c r="J736" s="5"/>
      <c r="K736" s="5"/>
      <c r="L736" s="5"/>
      <c r="M736" s="5"/>
      <c r="N736" s="5"/>
      <c r="O736" s="5"/>
      <c r="P736" s="5"/>
      <c r="Q736" s="5"/>
      <c r="R736" s="5"/>
      <c r="S736" s="5"/>
      <c r="T736" s="5"/>
    </row>
    <row r="737" spans="1:20">
      <c r="A737" s="5"/>
      <c r="B737" s="5"/>
      <c r="C737" s="5"/>
      <c r="D737" s="5"/>
      <c r="E737" s="5"/>
      <c r="F737" s="5"/>
      <c r="G737" s="5"/>
      <c r="H737" s="5"/>
      <c r="I737" s="5"/>
      <c r="J737" s="5"/>
      <c r="K737" s="5"/>
      <c r="L737" s="5"/>
      <c r="M737" s="5"/>
      <c r="N737" s="5"/>
      <c r="O737" s="5"/>
      <c r="P737" s="5"/>
      <c r="Q737" s="5"/>
      <c r="R737" s="5"/>
      <c r="S737" s="5"/>
      <c r="T737" s="5"/>
    </row>
    <row r="738" spans="1:20">
      <c r="A738" s="5"/>
      <c r="B738" s="5"/>
      <c r="C738" s="5"/>
      <c r="D738" s="5"/>
      <c r="E738" s="5"/>
      <c r="F738" s="5"/>
      <c r="G738" s="5"/>
      <c r="H738" s="5"/>
      <c r="I738" s="5"/>
      <c r="J738" s="5"/>
      <c r="K738" s="5"/>
      <c r="L738" s="5"/>
      <c r="M738" s="5"/>
      <c r="N738" s="5"/>
      <c r="O738" s="5"/>
      <c r="P738" s="5"/>
      <c r="Q738" s="5"/>
      <c r="R738" s="5"/>
      <c r="S738" s="5"/>
      <c r="T738" s="5"/>
    </row>
    <row r="739" spans="1:20">
      <c r="A739" s="5"/>
      <c r="B739" s="5"/>
      <c r="C739" s="5"/>
      <c r="D739" s="5"/>
      <c r="E739" s="5"/>
      <c r="F739" s="5"/>
      <c r="G739" s="5"/>
      <c r="H739" s="5"/>
      <c r="I739" s="5"/>
      <c r="J739" s="5"/>
      <c r="K739" s="5"/>
      <c r="L739" s="5"/>
      <c r="M739" s="5"/>
      <c r="N739" s="5"/>
      <c r="O739" s="5"/>
      <c r="P739" s="5"/>
      <c r="Q739" s="5"/>
      <c r="R739" s="5"/>
      <c r="S739" s="5"/>
      <c r="T739" s="5"/>
    </row>
    <row r="740" spans="1:20">
      <c r="A740" s="5"/>
      <c r="B740" s="5"/>
      <c r="C740" s="5"/>
      <c r="D740" s="5"/>
      <c r="E740" s="5"/>
      <c r="F740" s="5"/>
      <c r="G740" s="5"/>
      <c r="H740" s="5"/>
      <c r="I740" s="5"/>
      <c r="J740" s="5"/>
      <c r="K740" s="5"/>
      <c r="L740" s="5"/>
      <c r="M740" s="5"/>
      <c r="N740" s="5"/>
      <c r="O740" s="5"/>
      <c r="P740" s="5"/>
      <c r="Q740" s="5"/>
      <c r="R740" s="5"/>
      <c r="S740" s="5"/>
      <c r="T740" s="5"/>
    </row>
    <row r="741" spans="1:20">
      <c r="A741" s="5"/>
      <c r="B741" s="5"/>
      <c r="C741" s="5"/>
      <c r="D741" s="5"/>
      <c r="E741" s="5"/>
      <c r="F741" s="5"/>
      <c r="G741" s="5"/>
      <c r="H741" s="5"/>
      <c r="I741" s="5"/>
      <c r="J741" s="5"/>
      <c r="K741" s="5"/>
      <c r="L741" s="5"/>
      <c r="M741" s="5"/>
      <c r="N741" s="5"/>
      <c r="O741" s="5"/>
      <c r="P741" s="5"/>
      <c r="Q741" s="5"/>
      <c r="R741" s="5"/>
      <c r="S741" s="5"/>
      <c r="T741" s="5"/>
    </row>
    <row r="742" spans="1:20">
      <c r="A742" s="5"/>
      <c r="B742" s="5"/>
      <c r="C742" s="5"/>
      <c r="D742" s="5"/>
      <c r="E742" s="5"/>
      <c r="F742" s="5"/>
      <c r="G742" s="5"/>
      <c r="H742" s="5"/>
      <c r="I742" s="5"/>
      <c r="J742" s="5"/>
      <c r="K742" s="5"/>
      <c r="L742" s="5"/>
      <c r="M742" s="5"/>
      <c r="N742" s="5"/>
      <c r="O742" s="5"/>
      <c r="P742" s="5"/>
      <c r="Q742" s="5"/>
      <c r="R742" s="5"/>
      <c r="S742" s="5"/>
      <c r="T742" s="5"/>
    </row>
    <row r="743" spans="1:20">
      <c r="A743" s="5"/>
      <c r="B743" s="5"/>
      <c r="C743" s="5"/>
      <c r="D743" s="5"/>
      <c r="E743" s="5"/>
      <c r="F743" s="5"/>
      <c r="G743" s="5"/>
      <c r="H743" s="5"/>
      <c r="I743" s="5"/>
      <c r="J743" s="5"/>
      <c r="K743" s="5"/>
      <c r="L743" s="5"/>
      <c r="M743" s="5"/>
      <c r="N743" s="5"/>
      <c r="O743" s="5"/>
      <c r="P743" s="5"/>
      <c r="Q743" s="5"/>
      <c r="R743" s="5"/>
      <c r="S743" s="5"/>
      <c r="T743" s="5"/>
    </row>
    <row r="744" spans="1:20">
      <c r="A744" s="5"/>
      <c r="B744" s="5"/>
      <c r="C744" s="5"/>
      <c r="D744" s="5"/>
      <c r="E744" s="5"/>
      <c r="F744" s="5"/>
      <c r="G744" s="5"/>
      <c r="H744" s="5"/>
      <c r="I744" s="5"/>
      <c r="J744" s="5"/>
      <c r="K744" s="5"/>
      <c r="L744" s="5"/>
      <c r="M744" s="5"/>
      <c r="N744" s="5"/>
      <c r="O744" s="5"/>
      <c r="P744" s="5"/>
      <c r="Q744" s="5"/>
      <c r="R744" s="5"/>
      <c r="S744" s="5"/>
      <c r="T744" s="5"/>
    </row>
    <row r="745" spans="1:20">
      <c r="A745" s="5"/>
      <c r="B745" s="5"/>
      <c r="C745" s="5"/>
      <c r="D745" s="5"/>
      <c r="E745" s="5"/>
      <c r="F745" s="5"/>
      <c r="G745" s="5"/>
      <c r="H745" s="5"/>
      <c r="I745" s="5"/>
      <c r="J745" s="5"/>
      <c r="K745" s="5"/>
      <c r="L745" s="5"/>
      <c r="M745" s="5"/>
      <c r="N745" s="5"/>
      <c r="O745" s="5"/>
      <c r="P745" s="5"/>
      <c r="Q745" s="5"/>
      <c r="R745" s="5"/>
      <c r="S745" s="5"/>
      <c r="T745" s="5"/>
    </row>
    <row r="746" spans="1:20">
      <c r="A746" s="5"/>
      <c r="B746" s="5"/>
      <c r="C746" s="5"/>
      <c r="D746" s="5"/>
      <c r="E746" s="5"/>
      <c r="F746" s="5"/>
      <c r="G746" s="5"/>
      <c r="H746" s="5"/>
      <c r="I746" s="5"/>
      <c r="J746" s="5"/>
      <c r="K746" s="5"/>
      <c r="L746" s="5"/>
      <c r="M746" s="5"/>
      <c r="N746" s="5"/>
      <c r="O746" s="5"/>
      <c r="P746" s="5"/>
      <c r="Q746" s="5"/>
      <c r="R746" s="5"/>
      <c r="S746" s="5"/>
      <c r="T746" s="5"/>
    </row>
    <row r="747" spans="1:20">
      <c r="A747" s="5"/>
      <c r="B747" s="5"/>
      <c r="C747" s="5"/>
      <c r="D747" s="5"/>
      <c r="E747" s="5"/>
      <c r="F747" s="5"/>
      <c r="G747" s="5"/>
      <c r="H747" s="5"/>
      <c r="I747" s="5"/>
      <c r="J747" s="5"/>
      <c r="K747" s="5"/>
      <c r="L747" s="5"/>
      <c r="M747" s="5"/>
      <c r="N747" s="5"/>
      <c r="O747" s="5"/>
      <c r="P747" s="5"/>
      <c r="Q747" s="5"/>
      <c r="R747" s="5"/>
      <c r="S747" s="5"/>
      <c r="T747" s="5"/>
    </row>
    <row r="748" spans="1:20">
      <c r="A748" s="5"/>
      <c r="B748" s="5"/>
      <c r="C748" s="5"/>
      <c r="D748" s="5"/>
      <c r="E748" s="5"/>
      <c r="F748" s="5"/>
      <c r="G748" s="5"/>
      <c r="H748" s="5"/>
      <c r="I748" s="5"/>
      <c r="J748" s="5"/>
      <c r="K748" s="5"/>
      <c r="L748" s="5"/>
      <c r="M748" s="5"/>
      <c r="N748" s="5"/>
      <c r="O748" s="5"/>
      <c r="P748" s="5"/>
      <c r="Q748" s="5"/>
      <c r="R748" s="5"/>
      <c r="S748" s="5"/>
      <c r="T748" s="5"/>
    </row>
    <row r="749" spans="1:20">
      <c r="A749" s="5"/>
      <c r="B749" s="5"/>
      <c r="C749" s="5"/>
      <c r="D749" s="5"/>
      <c r="E749" s="5"/>
      <c r="F749" s="5"/>
      <c r="G749" s="5"/>
      <c r="H749" s="5"/>
      <c r="I749" s="5"/>
      <c r="J749" s="5"/>
      <c r="K749" s="5"/>
      <c r="L749" s="5"/>
      <c r="M749" s="5"/>
      <c r="N749" s="5"/>
      <c r="O749" s="5"/>
      <c r="P749" s="5"/>
      <c r="Q749" s="5"/>
      <c r="R749" s="5"/>
      <c r="S749" s="5"/>
      <c r="T749" s="5"/>
    </row>
    <row r="750" spans="1:20">
      <c r="A750" s="5"/>
      <c r="B750" s="5"/>
      <c r="C750" s="5"/>
      <c r="D750" s="5"/>
      <c r="E750" s="5"/>
      <c r="F750" s="5"/>
      <c r="G750" s="5"/>
      <c r="H750" s="5"/>
      <c r="I750" s="5"/>
      <c r="J750" s="5"/>
      <c r="K750" s="5"/>
      <c r="L750" s="5"/>
      <c r="M750" s="5"/>
      <c r="N750" s="5"/>
      <c r="O750" s="5"/>
      <c r="P750" s="5"/>
      <c r="Q750" s="5"/>
      <c r="R750" s="5"/>
      <c r="S750" s="5"/>
      <c r="T750" s="5"/>
    </row>
    <row r="751" spans="1:20">
      <c r="A751" s="5"/>
      <c r="B751" s="5"/>
      <c r="C751" s="5"/>
      <c r="D751" s="5"/>
      <c r="E751" s="5"/>
      <c r="F751" s="5"/>
      <c r="G751" s="5"/>
      <c r="H751" s="5"/>
      <c r="I751" s="5"/>
      <c r="J751" s="5"/>
      <c r="K751" s="5"/>
      <c r="L751" s="5"/>
      <c r="M751" s="5"/>
      <c r="N751" s="5"/>
      <c r="O751" s="5"/>
      <c r="P751" s="5"/>
      <c r="Q751" s="5"/>
      <c r="R751" s="5"/>
      <c r="S751" s="5"/>
      <c r="T751" s="5"/>
    </row>
    <row r="752" spans="1:20">
      <c r="A752" s="5"/>
      <c r="B752" s="5"/>
      <c r="C752" s="5"/>
      <c r="D752" s="5"/>
      <c r="E752" s="5"/>
      <c r="F752" s="5"/>
      <c r="G752" s="5"/>
      <c r="H752" s="5"/>
      <c r="I752" s="5"/>
      <c r="J752" s="5"/>
      <c r="K752" s="5"/>
      <c r="L752" s="5"/>
      <c r="M752" s="5"/>
      <c r="N752" s="5"/>
      <c r="O752" s="5"/>
      <c r="P752" s="5"/>
      <c r="Q752" s="5"/>
      <c r="R752" s="5"/>
      <c r="S752" s="5"/>
      <c r="T752" s="5"/>
    </row>
    <row r="753" spans="1:20">
      <c r="A753" s="5"/>
      <c r="B753" s="5"/>
      <c r="C753" s="5"/>
      <c r="D753" s="5"/>
      <c r="E753" s="5"/>
      <c r="F753" s="5"/>
      <c r="G753" s="5"/>
      <c r="H753" s="5"/>
      <c r="I753" s="5"/>
      <c r="J753" s="5"/>
      <c r="K753" s="5"/>
      <c r="L753" s="5"/>
      <c r="M753" s="5"/>
      <c r="N753" s="5"/>
      <c r="O753" s="5"/>
      <c r="P753" s="5"/>
      <c r="Q753" s="5"/>
      <c r="R753" s="5"/>
      <c r="S753" s="5"/>
      <c r="T753" s="5"/>
    </row>
    <row r="754" spans="1:20">
      <c r="A754" s="5"/>
      <c r="B754" s="5"/>
      <c r="C754" s="5"/>
      <c r="D754" s="5"/>
      <c r="E754" s="5"/>
      <c r="F754" s="5"/>
      <c r="G754" s="5"/>
      <c r="H754" s="5"/>
      <c r="I754" s="5"/>
      <c r="J754" s="5"/>
      <c r="K754" s="5"/>
      <c r="L754" s="5"/>
      <c r="M754" s="5"/>
      <c r="N754" s="5"/>
      <c r="O754" s="5"/>
      <c r="P754" s="5"/>
      <c r="Q754" s="5"/>
      <c r="R754" s="5"/>
      <c r="S754" s="5"/>
      <c r="T754" s="5"/>
    </row>
    <row r="755" spans="1:20">
      <c r="A755" s="5"/>
      <c r="B755" s="5"/>
      <c r="C755" s="5"/>
      <c r="D755" s="5"/>
      <c r="E755" s="5"/>
      <c r="F755" s="5"/>
      <c r="G755" s="5"/>
      <c r="H755" s="5"/>
      <c r="I755" s="5"/>
      <c r="J755" s="5"/>
      <c r="K755" s="5"/>
      <c r="L755" s="5"/>
      <c r="M755" s="5"/>
      <c r="N755" s="5"/>
      <c r="O755" s="5"/>
      <c r="P755" s="5"/>
      <c r="Q755" s="5"/>
      <c r="R755" s="5"/>
      <c r="S755" s="5"/>
      <c r="T755" s="5"/>
    </row>
    <row r="756" spans="1:20">
      <c r="A756" s="5"/>
      <c r="B756" s="5"/>
      <c r="C756" s="5"/>
      <c r="D756" s="5"/>
      <c r="E756" s="5"/>
      <c r="F756" s="5"/>
      <c r="G756" s="5"/>
      <c r="H756" s="5"/>
      <c r="I756" s="5"/>
      <c r="J756" s="5"/>
      <c r="K756" s="5"/>
      <c r="L756" s="5"/>
      <c r="M756" s="5"/>
      <c r="N756" s="5"/>
      <c r="O756" s="5"/>
      <c r="P756" s="5"/>
      <c r="Q756" s="5"/>
      <c r="R756" s="5"/>
      <c r="S756" s="5"/>
      <c r="T756" s="5"/>
    </row>
    <row r="757" spans="1:20">
      <c r="A757" s="5"/>
      <c r="B757" s="5"/>
      <c r="C757" s="5"/>
      <c r="D757" s="5"/>
      <c r="E757" s="5"/>
      <c r="F757" s="5"/>
      <c r="G757" s="5"/>
      <c r="H757" s="5"/>
      <c r="I757" s="5"/>
      <c r="J757" s="5"/>
      <c r="K757" s="5"/>
      <c r="L757" s="5"/>
      <c r="M757" s="5"/>
      <c r="N757" s="5"/>
      <c r="O757" s="5"/>
      <c r="P757" s="5"/>
      <c r="Q757" s="5"/>
      <c r="R757" s="5"/>
      <c r="S757" s="5"/>
      <c r="T757" s="5"/>
    </row>
    <row r="758" spans="1:20">
      <c r="A758" s="5"/>
      <c r="B758" s="5"/>
      <c r="C758" s="5"/>
      <c r="D758" s="5"/>
      <c r="E758" s="5"/>
      <c r="F758" s="5"/>
      <c r="G758" s="5"/>
      <c r="H758" s="5"/>
      <c r="I758" s="5"/>
      <c r="J758" s="5"/>
      <c r="K758" s="5"/>
      <c r="L758" s="5"/>
      <c r="M758" s="5"/>
      <c r="N758" s="5"/>
      <c r="O758" s="5"/>
      <c r="P758" s="5"/>
      <c r="Q758" s="5"/>
      <c r="R758" s="5"/>
      <c r="S758" s="5"/>
      <c r="T758" s="5"/>
    </row>
    <row r="759" spans="1:20">
      <c r="A759" s="5"/>
      <c r="B759" s="5"/>
      <c r="C759" s="5"/>
      <c r="D759" s="5"/>
      <c r="E759" s="5"/>
      <c r="F759" s="5"/>
      <c r="G759" s="5"/>
      <c r="H759" s="5"/>
      <c r="I759" s="5"/>
      <c r="J759" s="5"/>
      <c r="K759" s="5"/>
      <c r="L759" s="5"/>
      <c r="M759" s="5"/>
      <c r="N759" s="5"/>
      <c r="O759" s="5"/>
      <c r="P759" s="5"/>
      <c r="Q759" s="5"/>
      <c r="R759" s="5"/>
      <c r="S759" s="5"/>
      <c r="T759" s="5"/>
    </row>
    <row r="760" spans="1:20">
      <c r="A760" s="5"/>
      <c r="B760" s="5"/>
      <c r="C760" s="5"/>
      <c r="D760" s="5"/>
      <c r="E760" s="5"/>
      <c r="F760" s="5"/>
      <c r="G760" s="5"/>
      <c r="H760" s="5"/>
      <c r="I760" s="5"/>
      <c r="J760" s="5"/>
      <c r="K760" s="5"/>
      <c r="L760" s="5"/>
      <c r="M760" s="5"/>
      <c r="N760" s="5"/>
      <c r="O760" s="5"/>
      <c r="P760" s="5"/>
      <c r="Q760" s="5"/>
      <c r="R760" s="5"/>
      <c r="S760" s="5"/>
      <c r="T760" s="5"/>
    </row>
    <row r="761" spans="1:20">
      <c r="A761" s="5"/>
      <c r="B761" s="5"/>
      <c r="C761" s="5"/>
      <c r="D761" s="5"/>
      <c r="E761" s="5"/>
      <c r="F761" s="5"/>
      <c r="G761" s="5"/>
      <c r="H761" s="5"/>
      <c r="I761" s="5"/>
      <c r="J761" s="5"/>
      <c r="K761" s="5"/>
      <c r="L761" s="5"/>
      <c r="M761" s="5"/>
      <c r="N761" s="5"/>
      <c r="O761" s="5"/>
      <c r="P761" s="5"/>
      <c r="Q761" s="5"/>
      <c r="R761" s="5"/>
      <c r="S761" s="5"/>
      <c r="T761" s="5"/>
    </row>
    <row r="762" spans="1:20">
      <c r="A762" s="5"/>
      <c r="B762" s="5"/>
      <c r="C762" s="5"/>
      <c r="D762" s="5"/>
      <c r="E762" s="5"/>
      <c r="F762" s="5"/>
      <c r="G762" s="5"/>
      <c r="H762" s="5"/>
      <c r="I762" s="5"/>
      <c r="J762" s="5"/>
      <c r="K762" s="5"/>
      <c r="L762" s="5"/>
      <c r="M762" s="5"/>
      <c r="N762" s="5"/>
      <c r="O762" s="5"/>
      <c r="P762" s="5"/>
      <c r="Q762" s="5"/>
      <c r="R762" s="5"/>
      <c r="S762" s="5"/>
      <c r="T762" s="5"/>
    </row>
    <row r="763" spans="1:20">
      <c r="A763" s="5"/>
      <c r="B763" s="5"/>
      <c r="C763" s="5"/>
      <c r="D763" s="5"/>
      <c r="E763" s="5"/>
      <c r="F763" s="5"/>
      <c r="G763" s="5"/>
      <c r="H763" s="5"/>
      <c r="I763" s="5"/>
      <c r="J763" s="5"/>
      <c r="K763" s="5"/>
      <c r="L763" s="5"/>
      <c r="M763" s="5"/>
      <c r="N763" s="5"/>
      <c r="O763" s="5"/>
      <c r="P763" s="5"/>
      <c r="Q763" s="5"/>
      <c r="R763" s="5"/>
      <c r="S763" s="5"/>
      <c r="T763" s="5"/>
    </row>
    <row r="764" spans="1:20">
      <c r="A764" s="5"/>
      <c r="B764" s="5"/>
      <c r="C764" s="5"/>
      <c r="D764" s="5"/>
      <c r="E764" s="5"/>
      <c r="F764" s="5"/>
      <c r="G764" s="5"/>
      <c r="H764" s="5"/>
      <c r="I764" s="5"/>
      <c r="J764" s="5"/>
      <c r="K764" s="5"/>
      <c r="L764" s="5"/>
      <c r="M764" s="5"/>
      <c r="N764" s="5"/>
      <c r="O764" s="5"/>
      <c r="P764" s="5"/>
      <c r="Q764" s="5"/>
      <c r="R764" s="5"/>
      <c r="S764" s="5"/>
      <c r="T764" s="5"/>
    </row>
    <row r="765" spans="1:20">
      <c r="A765" s="5"/>
      <c r="B765" s="5"/>
      <c r="C765" s="5"/>
      <c r="D765" s="5"/>
      <c r="E765" s="5"/>
      <c r="F765" s="5"/>
      <c r="G765" s="5"/>
      <c r="H765" s="5"/>
      <c r="I765" s="5"/>
      <c r="J765" s="5"/>
      <c r="K765" s="5"/>
      <c r="L765" s="5"/>
      <c r="M765" s="5"/>
      <c r="N765" s="5"/>
      <c r="O765" s="5"/>
      <c r="P765" s="5"/>
      <c r="Q765" s="5"/>
      <c r="R765" s="5"/>
      <c r="S765" s="5"/>
      <c r="T765" s="5"/>
    </row>
    <row r="766" spans="1:20">
      <c r="A766" s="5"/>
      <c r="B766" s="5"/>
      <c r="C766" s="5"/>
      <c r="D766" s="5"/>
      <c r="E766" s="5"/>
      <c r="F766" s="5"/>
      <c r="G766" s="5"/>
      <c r="H766" s="5"/>
      <c r="I766" s="5"/>
      <c r="J766" s="5"/>
      <c r="K766" s="5"/>
      <c r="L766" s="5"/>
      <c r="M766" s="5"/>
      <c r="N766" s="5"/>
      <c r="O766" s="5"/>
      <c r="P766" s="5"/>
      <c r="Q766" s="5"/>
      <c r="R766" s="5"/>
      <c r="S766" s="5"/>
      <c r="T766" s="5"/>
    </row>
    <row r="767" spans="1:20">
      <c r="A767" s="5"/>
      <c r="B767" s="5"/>
      <c r="C767" s="5"/>
      <c r="D767" s="5"/>
      <c r="E767" s="5"/>
      <c r="F767" s="5"/>
      <c r="G767" s="5"/>
      <c r="H767" s="5"/>
      <c r="I767" s="5"/>
      <c r="J767" s="5"/>
      <c r="K767" s="5"/>
      <c r="L767" s="5"/>
      <c r="M767" s="5"/>
      <c r="N767" s="5"/>
      <c r="O767" s="5"/>
      <c r="P767" s="5"/>
      <c r="Q767" s="5"/>
      <c r="R767" s="5"/>
      <c r="S767" s="5"/>
      <c r="T767" s="5"/>
    </row>
    <row r="768" spans="1:20">
      <c r="A768" s="5"/>
      <c r="B768" s="5"/>
      <c r="C768" s="5"/>
      <c r="D768" s="5"/>
      <c r="E768" s="5"/>
      <c r="F768" s="5"/>
      <c r="G768" s="5"/>
      <c r="H768" s="5"/>
      <c r="I768" s="5"/>
      <c r="J768" s="5"/>
      <c r="K768" s="5"/>
      <c r="L768" s="5"/>
      <c r="M768" s="5"/>
      <c r="N768" s="5"/>
      <c r="O768" s="5"/>
      <c r="P768" s="5"/>
      <c r="Q768" s="5"/>
      <c r="R768" s="5"/>
      <c r="S768" s="5"/>
      <c r="T768" s="5"/>
    </row>
    <row r="769" spans="1:20">
      <c r="A769" s="5"/>
      <c r="B769" s="5"/>
      <c r="C769" s="5"/>
      <c r="D769" s="5"/>
      <c r="E769" s="5"/>
      <c r="F769" s="5"/>
      <c r="G769" s="5"/>
      <c r="H769" s="5"/>
      <c r="I769" s="5"/>
      <c r="J769" s="5"/>
      <c r="K769" s="5"/>
      <c r="L769" s="5"/>
      <c r="M769" s="5"/>
      <c r="N769" s="5"/>
      <c r="O769" s="5"/>
      <c r="P769" s="5"/>
      <c r="Q769" s="5"/>
      <c r="R769" s="5"/>
      <c r="S769" s="5"/>
      <c r="T769" s="5"/>
    </row>
    <row r="770" spans="1:20">
      <c r="A770" s="5"/>
      <c r="B770" s="5"/>
      <c r="C770" s="5"/>
      <c r="D770" s="5"/>
      <c r="E770" s="5"/>
      <c r="F770" s="5"/>
      <c r="G770" s="5"/>
      <c r="H770" s="5"/>
      <c r="I770" s="5"/>
      <c r="J770" s="5"/>
      <c r="K770" s="5"/>
      <c r="L770" s="5"/>
      <c r="M770" s="5"/>
      <c r="N770" s="5"/>
      <c r="O770" s="5"/>
      <c r="P770" s="5"/>
      <c r="Q770" s="5"/>
      <c r="R770" s="5"/>
      <c r="S770" s="5"/>
      <c r="T770" s="5"/>
    </row>
    <row r="771" spans="1:20">
      <c r="A771" s="5"/>
      <c r="B771" s="5"/>
      <c r="C771" s="5"/>
      <c r="D771" s="5"/>
      <c r="E771" s="5"/>
      <c r="F771" s="5"/>
      <c r="G771" s="5"/>
      <c r="H771" s="5"/>
      <c r="I771" s="5"/>
      <c r="J771" s="5"/>
      <c r="K771" s="5"/>
      <c r="L771" s="5"/>
      <c r="M771" s="5"/>
      <c r="N771" s="5"/>
      <c r="O771" s="5"/>
      <c r="P771" s="5"/>
      <c r="Q771" s="5"/>
      <c r="R771" s="5"/>
      <c r="S771" s="5"/>
      <c r="T771" s="5"/>
    </row>
    <row r="772" spans="1:20">
      <c r="A772" s="5"/>
      <c r="B772" s="5"/>
      <c r="C772" s="5"/>
      <c r="D772" s="5"/>
      <c r="E772" s="5"/>
      <c r="F772" s="5"/>
      <c r="G772" s="5"/>
      <c r="H772" s="5"/>
      <c r="I772" s="5"/>
      <c r="J772" s="5"/>
      <c r="K772" s="5"/>
      <c r="L772" s="5"/>
      <c r="M772" s="5"/>
      <c r="N772" s="5"/>
      <c r="O772" s="5"/>
      <c r="P772" s="5"/>
      <c r="Q772" s="5"/>
      <c r="R772" s="5"/>
      <c r="S772" s="5"/>
      <c r="T772" s="5"/>
    </row>
    <row r="773" spans="1:20">
      <c r="A773" s="5"/>
      <c r="B773" s="5"/>
      <c r="C773" s="5"/>
      <c r="D773" s="5"/>
      <c r="E773" s="5"/>
      <c r="F773" s="5"/>
      <c r="G773" s="5"/>
      <c r="H773" s="5"/>
      <c r="I773" s="5"/>
      <c r="J773" s="5"/>
      <c r="K773" s="5"/>
      <c r="L773" s="5"/>
      <c r="M773" s="5"/>
      <c r="N773" s="5"/>
      <c r="O773" s="5"/>
      <c r="P773" s="5"/>
      <c r="Q773" s="5"/>
      <c r="R773" s="5"/>
      <c r="S773" s="5"/>
      <c r="T773" s="5"/>
    </row>
    <row r="774" spans="1:20">
      <c r="A774" s="5"/>
      <c r="B774" s="5"/>
      <c r="C774" s="5"/>
      <c r="D774" s="5"/>
      <c r="E774" s="5"/>
      <c r="F774" s="5"/>
      <c r="G774" s="5"/>
      <c r="H774" s="5"/>
      <c r="I774" s="5"/>
      <c r="J774" s="5"/>
      <c r="K774" s="5"/>
      <c r="L774" s="5"/>
      <c r="M774" s="5"/>
      <c r="N774" s="5"/>
      <c r="O774" s="5"/>
      <c r="P774" s="5"/>
      <c r="Q774" s="5"/>
      <c r="R774" s="5"/>
      <c r="S774" s="5"/>
      <c r="T774" s="5"/>
    </row>
    <row r="775" spans="1:20">
      <c r="A775" s="5"/>
      <c r="B775" s="5"/>
      <c r="C775" s="5"/>
      <c r="D775" s="5"/>
      <c r="E775" s="5"/>
      <c r="F775" s="5"/>
      <c r="G775" s="5"/>
      <c r="H775" s="5"/>
      <c r="I775" s="5"/>
      <c r="J775" s="5"/>
      <c r="K775" s="5"/>
      <c r="L775" s="5"/>
      <c r="M775" s="5"/>
      <c r="N775" s="5"/>
      <c r="O775" s="5"/>
      <c r="P775" s="5"/>
      <c r="Q775" s="5"/>
      <c r="R775" s="5"/>
      <c r="S775" s="5"/>
      <c r="T775" s="5"/>
    </row>
    <row r="776" spans="1:20">
      <c r="A776" s="5"/>
      <c r="B776" s="5"/>
      <c r="C776" s="5"/>
      <c r="D776" s="5"/>
      <c r="E776" s="5"/>
      <c r="F776" s="5"/>
      <c r="G776" s="5"/>
      <c r="H776" s="5"/>
      <c r="I776" s="5"/>
      <c r="J776" s="5"/>
      <c r="K776" s="5"/>
      <c r="L776" s="5"/>
      <c r="M776" s="5"/>
      <c r="N776" s="5"/>
      <c r="O776" s="5"/>
      <c r="P776" s="5"/>
      <c r="Q776" s="5"/>
      <c r="R776" s="5"/>
      <c r="S776" s="5"/>
      <c r="T776" s="5"/>
    </row>
    <row r="777" spans="1:20">
      <c r="A777" s="5"/>
      <c r="B777" s="5"/>
      <c r="C777" s="5"/>
      <c r="D777" s="5"/>
      <c r="E777" s="5"/>
      <c r="F777" s="5"/>
      <c r="G777" s="5"/>
      <c r="H777" s="5"/>
      <c r="I777" s="5"/>
      <c r="J777" s="5"/>
      <c r="K777" s="5"/>
      <c r="L777" s="5"/>
      <c r="M777" s="5"/>
      <c r="N777" s="5"/>
      <c r="O777" s="5"/>
      <c r="P777" s="5"/>
      <c r="Q777" s="5"/>
      <c r="R777" s="5"/>
      <c r="S777" s="5"/>
      <c r="T777" s="5"/>
    </row>
    <row r="778" spans="1:20">
      <c r="A778" s="5"/>
      <c r="B778" s="5"/>
      <c r="C778" s="5"/>
      <c r="D778" s="5"/>
      <c r="E778" s="5"/>
      <c r="F778" s="5"/>
      <c r="G778" s="5"/>
      <c r="H778" s="5"/>
      <c r="I778" s="5"/>
      <c r="J778" s="5"/>
      <c r="K778" s="5"/>
      <c r="L778" s="5"/>
      <c r="M778" s="5"/>
      <c r="N778" s="5"/>
      <c r="O778" s="5"/>
      <c r="P778" s="5"/>
      <c r="Q778" s="5"/>
      <c r="R778" s="5"/>
      <c r="S778" s="5"/>
      <c r="T778" s="5"/>
    </row>
    <row r="779" spans="1:20">
      <c r="A779" s="5"/>
      <c r="B779" s="5"/>
      <c r="C779" s="5"/>
      <c r="D779" s="5"/>
      <c r="E779" s="5"/>
      <c r="F779" s="5"/>
      <c r="G779" s="5"/>
      <c r="H779" s="5"/>
      <c r="I779" s="5"/>
      <c r="J779" s="5"/>
      <c r="K779" s="5"/>
      <c r="L779" s="5"/>
      <c r="M779" s="5"/>
      <c r="N779" s="5"/>
      <c r="O779" s="5"/>
      <c r="P779" s="5"/>
      <c r="Q779" s="5"/>
      <c r="R779" s="5"/>
      <c r="S779" s="5"/>
      <c r="T779" s="5"/>
    </row>
    <row r="780" spans="1:20">
      <c r="A780" s="5"/>
      <c r="B780" s="5"/>
      <c r="C780" s="5"/>
      <c r="D780" s="5"/>
      <c r="E780" s="5"/>
      <c r="F780" s="5"/>
      <c r="G780" s="5"/>
      <c r="H780" s="5"/>
      <c r="I780" s="5"/>
      <c r="J780" s="5"/>
      <c r="K780" s="5"/>
      <c r="L780" s="5"/>
      <c r="M780" s="5"/>
      <c r="N780" s="5"/>
      <c r="O780" s="5"/>
      <c r="P780" s="5"/>
      <c r="Q780" s="5"/>
      <c r="R780" s="5"/>
      <c r="S780" s="5"/>
      <c r="T780" s="5"/>
    </row>
    <row r="781" spans="1:20">
      <c r="A781" s="5"/>
      <c r="B781" s="5"/>
      <c r="C781" s="5"/>
      <c r="D781" s="5"/>
      <c r="E781" s="5"/>
      <c r="F781" s="5"/>
      <c r="G781" s="5"/>
      <c r="H781" s="5"/>
      <c r="I781" s="5"/>
      <c r="J781" s="5"/>
      <c r="K781" s="5"/>
      <c r="L781" s="5"/>
      <c r="M781" s="5"/>
      <c r="N781" s="5"/>
      <c r="O781" s="5"/>
      <c r="P781" s="5"/>
      <c r="Q781" s="5"/>
      <c r="R781" s="5"/>
      <c r="S781" s="5"/>
      <c r="T781" s="5"/>
    </row>
    <row r="782" spans="1:20">
      <c r="A782" s="5"/>
      <c r="B782" s="5"/>
      <c r="C782" s="5"/>
      <c r="D782" s="5"/>
      <c r="E782" s="5"/>
      <c r="F782" s="5"/>
      <c r="G782" s="5"/>
      <c r="H782" s="5"/>
      <c r="I782" s="5"/>
      <c r="J782" s="5"/>
      <c r="K782" s="5"/>
      <c r="L782" s="5"/>
      <c r="M782" s="5"/>
      <c r="N782" s="5"/>
      <c r="O782" s="5"/>
      <c r="P782" s="5"/>
      <c r="Q782" s="5"/>
      <c r="R782" s="5"/>
      <c r="S782" s="5"/>
      <c r="T782" s="5"/>
    </row>
    <row r="783" spans="1:20">
      <c r="A783" s="5"/>
      <c r="B783" s="5"/>
      <c r="C783" s="5"/>
      <c r="D783" s="5"/>
      <c r="E783" s="5"/>
      <c r="F783" s="5"/>
      <c r="G783" s="5"/>
      <c r="H783" s="5"/>
      <c r="I783" s="5"/>
      <c r="J783" s="5"/>
      <c r="K783" s="5"/>
      <c r="L783" s="5"/>
      <c r="M783" s="5"/>
      <c r="N783" s="5"/>
      <c r="O783" s="5"/>
      <c r="P783" s="5"/>
      <c r="Q783" s="5"/>
      <c r="R783" s="5"/>
      <c r="S783" s="5"/>
      <c r="T783" s="5"/>
    </row>
    <row r="784" spans="1:20">
      <c r="A784" s="5"/>
      <c r="B784" s="5"/>
      <c r="C784" s="5"/>
      <c r="D784" s="5"/>
      <c r="E784" s="5"/>
      <c r="F784" s="5"/>
      <c r="G784" s="5"/>
      <c r="H784" s="5"/>
      <c r="I784" s="5"/>
      <c r="J784" s="5"/>
      <c r="K784" s="5"/>
      <c r="L784" s="5"/>
      <c r="M784" s="5"/>
      <c r="N784" s="5"/>
      <c r="O784" s="5"/>
      <c r="P784" s="5"/>
      <c r="Q784" s="5"/>
      <c r="R784" s="5"/>
      <c r="S784" s="5"/>
      <c r="T784" s="5"/>
    </row>
    <row r="785" spans="1:20">
      <c r="A785" s="5"/>
      <c r="B785" s="5"/>
      <c r="C785" s="5"/>
      <c r="D785" s="5"/>
      <c r="E785" s="5"/>
      <c r="F785" s="5"/>
      <c r="G785" s="5"/>
      <c r="H785" s="5"/>
      <c r="I785" s="5"/>
      <c r="J785" s="5"/>
      <c r="K785" s="5"/>
      <c r="L785" s="5"/>
      <c r="M785" s="5"/>
      <c r="N785" s="5"/>
      <c r="O785" s="5"/>
      <c r="P785" s="5"/>
      <c r="Q785" s="5"/>
      <c r="R785" s="5"/>
      <c r="S785" s="5"/>
      <c r="T785" s="5"/>
    </row>
    <row r="786" spans="1:20">
      <c r="A786" s="5"/>
      <c r="B786" s="5"/>
      <c r="C786" s="5"/>
      <c r="D786" s="5"/>
      <c r="E786" s="5"/>
      <c r="F786" s="5"/>
      <c r="G786" s="5"/>
      <c r="H786" s="5"/>
      <c r="I786" s="5"/>
      <c r="J786" s="5"/>
      <c r="K786" s="5"/>
      <c r="L786" s="5"/>
      <c r="M786" s="5"/>
      <c r="N786" s="5"/>
      <c r="O786" s="5"/>
      <c r="P786" s="5"/>
      <c r="Q786" s="5"/>
      <c r="R786" s="5"/>
      <c r="S786" s="5"/>
      <c r="T786" s="5"/>
    </row>
    <row r="787" spans="1:20">
      <c r="A787" s="5"/>
      <c r="B787" s="5"/>
      <c r="C787" s="5"/>
      <c r="D787" s="5"/>
      <c r="E787" s="5"/>
      <c r="F787" s="5"/>
      <c r="G787" s="5"/>
      <c r="H787" s="5"/>
      <c r="I787" s="5"/>
      <c r="J787" s="5"/>
      <c r="K787" s="5"/>
      <c r="L787" s="5"/>
      <c r="M787" s="5"/>
      <c r="N787" s="5"/>
      <c r="O787" s="5"/>
      <c r="P787" s="5"/>
      <c r="Q787" s="5"/>
      <c r="R787" s="5"/>
      <c r="S787" s="5"/>
      <c r="T787" s="5"/>
    </row>
    <row r="788" spans="1:20">
      <c r="A788" s="5"/>
      <c r="B788" s="5"/>
      <c r="C788" s="5"/>
      <c r="D788" s="5"/>
      <c r="E788" s="5"/>
      <c r="F788" s="5"/>
      <c r="G788" s="5"/>
      <c r="H788" s="5"/>
      <c r="I788" s="5"/>
      <c r="J788" s="5"/>
      <c r="K788" s="5"/>
      <c r="L788" s="5"/>
      <c r="M788" s="5"/>
      <c r="N788" s="5"/>
      <c r="O788" s="5"/>
      <c r="P788" s="5"/>
      <c r="Q788" s="5"/>
      <c r="R788" s="5"/>
      <c r="S788" s="5"/>
      <c r="T788" s="5"/>
    </row>
    <row r="789" spans="1:20">
      <c r="A789" s="5"/>
      <c r="B789" s="5"/>
      <c r="C789" s="5"/>
      <c r="D789" s="5"/>
      <c r="E789" s="5"/>
      <c r="F789" s="5"/>
      <c r="G789" s="5"/>
      <c r="H789" s="5"/>
      <c r="I789" s="5"/>
      <c r="J789" s="5"/>
      <c r="K789" s="5"/>
      <c r="L789" s="5"/>
      <c r="M789" s="5"/>
      <c r="N789" s="5"/>
      <c r="O789" s="5"/>
      <c r="P789" s="5"/>
      <c r="Q789" s="5"/>
      <c r="R789" s="5"/>
      <c r="S789" s="5"/>
      <c r="T789" s="5"/>
    </row>
    <row r="790" spans="1:20">
      <c r="A790" s="5"/>
      <c r="B790" s="5"/>
      <c r="C790" s="5"/>
      <c r="D790" s="5"/>
      <c r="E790" s="5"/>
      <c r="F790" s="5"/>
      <c r="G790" s="5"/>
      <c r="H790" s="5"/>
      <c r="I790" s="5"/>
      <c r="J790" s="5"/>
      <c r="K790" s="5"/>
      <c r="L790" s="5"/>
      <c r="M790" s="5"/>
      <c r="N790" s="5"/>
      <c r="O790" s="5"/>
      <c r="P790" s="5"/>
      <c r="Q790" s="5"/>
      <c r="R790" s="5"/>
      <c r="S790" s="5"/>
      <c r="T790" s="5"/>
    </row>
    <row r="791" spans="1:20">
      <c r="A791" s="5"/>
      <c r="B791" s="5"/>
      <c r="C791" s="5"/>
      <c r="D791" s="5"/>
      <c r="E791" s="5"/>
      <c r="F791" s="5"/>
      <c r="G791" s="5"/>
      <c r="H791" s="5"/>
      <c r="I791" s="5"/>
      <c r="J791" s="5"/>
      <c r="K791" s="5"/>
      <c r="L791" s="5"/>
      <c r="M791" s="5"/>
      <c r="N791" s="5"/>
      <c r="O791" s="5"/>
      <c r="P791" s="5"/>
      <c r="Q791" s="5"/>
      <c r="R791" s="5"/>
      <c r="S791" s="5"/>
      <c r="T791" s="5"/>
    </row>
    <row r="792" spans="1:20">
      <c r="A792" s="5"/>
      <c r="B792" s="5"/>
      <c r="C792" s="5"/>
      <c r="D792" s="5"/>
      <c r="E792" s="5"/>
      <c r="F792" s="5"/>
      <c r="G792" s="5"/>
      <c r="H792" s="5"/>
      <c r="I792" s="5"/>
      <c r="J792" s="5"/>
      <c r="K792" s="5"/>
      <c r="L792" s="5"/>
      <c r="M792" s="5"/>
      <c r="N792" s="5"/>
      <c r="O792" s="5"/>
      <c r="P792" s="5"/>
      <c r="Q792" s="5"/>
      <c r="R792" s="5"/>
      <c r="S792" s="5"/>
      <c r="T792" s="5"/>
    </row>
    <row r="793" spans="1:20">
      <c r="A793" s="5"/>
      <c r="B793" s="5"/>
      <c r="C793" s="5"/>
      <c r="D793" s="5"/>
      <c r="E793" s="5"/>
      <c r="F793" s="5"/>
      <c r="G793" s="5"/>
      <c r="H793" s="5"/>
      <c r="I793" s="5"/>
      <c r="J793" s="5"/>
      <c r="K793" s="5"/>
      <c r="L793" s="5"/>
      <c r="M793" s="5"/>
      <c r="N793" s="5"/>
      <c r="O793" s="5"/>
      <c r="P793" s="5"/>
      <c r="Q793" s="5"/>
      <c r="R793" s="5"/>
      <c r="S793" s="5"/>
      <c r="T793" s="5"/>
    </row>
    <row r="794" spans="1:20">
      <c r="A794" s="5"/>
      <c r="B794" s="5"/>
      <c r="C794" s="5"/>
      <c r="D794" s="5"/>
      <c r="E794" s="5"/>
      <c r="F794" s="5"/>
      <c r="G794" s="5"/>
      <c r="H794" s="5"/>
      <c r="I794" s="5"/>
      <c r="J794" s="5"/>
      <c r="K794" s="5"/>
      <c r="L794" s="5"/>
      <c r="M794" s="5"/>
      <c r="N794" s="5"/>
      <c r="O794" s="5"/>
      <c r="P794" s="5"/>
      <c r="Q794" s="5"/>
      <c r="R794" s="5"/>
      <c r="S794" s="5"/>
      <c r="T794" s="5"/>
    </row>
    <row r="795" spans="1:20">
      <c r="A795" s="5"/>
      <c r="B795" s="5"/>
      <c r="C795" s="5"/>
      <c r="D795" s="5"/>
      <c r="E795" s="5"/>
      <c r="F795" s="5"/>
      <c r="G795" s="5"/>
      <c r="H795" s="5"/>
      <c r="I795" s="5"/>
      <c r="J795" s="5"/>
      <c r="K795" s="5"/>
      <c r="L795" s="5"/>
      <c r="M795" s="5"/>
      <c r="N795" s="5"/>
      <c r="O795" s="5"/>
      <c r="P795" s="5"/>
      <c r="Q795" s="5"/>
      <c r="R795" s="5"/>
      <c r="S795" s="5"/>
      <c r="T795" s="5"/>
    </row>
    <row r="796" spans="1:20">
      <c r="A796" s="5"/>
      <c r="B796" s="5"/>
      <c r="C796" s="5"/>
      <c r="D796" s="5"/>
      <c r="E796" s="5"/>
      <c r="F796" s="5"/>
      <c r="G796" s="5"/>
      <c r="H796" s="5"/>
      <c r="I796" s="5"/>
      <c r="J796" s="5"/>
      <c r="K796" s="5"/>
      <c r="L796" s="5"/>
      <c r="M796" s="5"/>
      <c r="N796" s="5"/>
      <c r="O796" s="5"/>
      <c r="P796" s="5"/>
      <c r="Q796" s="5"/>
      <c r="R796" s="5"/>
      <c r="S796" s="5"/>
      <c r="T796" s="5"/>
    </row>
    <row r="797" spans="1:20">
      <c r="A797" s="5"/>
      <c r="B797" s="5"/>
      <c r="C797" s="5"/>
      <c r="D797" s="5"/>
      <c r="E797" s="5"/>
      <c r="F797" s="5"/>
      <c r="G797" s="5"/>
      <c r="H797" s="5"/>
      <c r="I797" s="5"/>
      <c r="J797" s="5"/>
      <c r="K797" s="5"/>
      <c r="L797" s="5"/>
      <c r="M797" s="5"/>
      <c r="N797" s="5"/>
      <c r="O797" s="5"/>
      <c r="P797" s="5"/>
      <c r="Q797" s="5"/>
      <c r="R797" s="5"/>
      <c r="S797" s="5"/>
      <c r="T797" s="5"/>
    </row>
    <row r="798" spans="1:20">
      <c r="A798" s="5"/>
      <c r="B798" s="5"/>
      <c r="C798" s="5"/>
      <c r="D798" s="5"/>
      <c r="E798" s="5"/>
      <c r="F798" s="5"/>
      <c r="G798" s="5"/>
      <c r="H798" s="5"/>
      <c r="I798" s="5"/>
      <c r="J798" s="5"/>
      <c r="K798" s="5"/>
      <c r="L798" s="5"/>
      <c r="M798" s="5"/>
      <c r="N798" s="5"/>
      <c r="O798" s="5"/>
      <c r="P798" s="5"/>
      <c r="Q798" s="5"/>
      <c r="R798" s="5"/>
      <c r="S798" s="5"/>
      <c r="T798" s="5"/>
    </row>
    <row r="799" spans="1:20">
      <c r="A799" s="5"/>
      <c r="B799" s="5"/>
      <c r="C799" s="5"/>
      <c r="D799" s="5"/>
      <c r="E799" s="5"/>
      <c r="F799" s="5"/>
      <c r="G799" s="5"/>
      <c r="H799" s="5"/>
      <c r="I799" s="5"/>
      <c r="J799" s="5"/>
      <c r="K799" s="5"/>
      <c r="L799" s="5"/>
      <c r="M799" s="5"/>
      <c r="N799" s="5"/>
      <c r="O799" s="5"/>
      <c r="P799" s="5"/>
      <c r="Q799" s="5"/>
      <c r="R799" s="5"/>
      <c r="S799" s="5"/>
      <c r="T799" s="5"/>
    </row>
    <row r="800" spans="1:20">
      <c r="A800" s="5"/>
      <c r="B800" s="5"/>
      <c r="C800" s="5"/>
      <c r="D800" s="5"/>
      <c r="E800" s="5"/>
      <c r="F800" s="5"/>
      <c r="G800" s="5"/>
      <c r="H800" s="5"/>
      <c r="I800" s="5"/>
      <c r="J800" s="5"/>
      <c r="K800" s="5"/>
      <c r="L800" s="5"/>
      <c r="M800" s="5"/>
      <c r="N800" s="5"/>
      <c r="O800" s="5"/>
      <c r="P800" s="5"/>
      <c r="Q800" s="5"/>
      <c r="R800" s="5"/>
      <c r="S800" s="5"/>
      <c r="T800" s="5"/>
    </row>
    <row r="801" spans="1:20">
      <c r="A801" s="5"/>
      <c r="B801" s="5"/>
      <c r="C801" s="5"/>
      <c r="D801" s="5"/>
      <c r="E801" s="5"/>
      <c r="F801" s="5"/>
      <c r="G801" s="5"/>
      <c r="H801" s="5"/>
      <c r="I801" s="5"/>
      <c r="J801" s="5"/>
      <c r="K801" s="5"/>
      <c r="L801" s="5"/>
      <c r="M801" s="5"/>
      <c r="N801" s="5"/>
      <c r="O801" s="5"/>
      <c r="P801" s="5"/>
      <c r="Q801" s="5"/>
      <c r="R801" s="5"/>
      <c r="S801" s="5"/>
      <c r="T801" s="5"/>
    </row>
    <row r="802" spans="1:20">
      <c r="A802" s="5"/>
      <c r="B802" s="5"/>
      <c r="C802" s="5"/>
      <c r="D802" s="5"/>
      <c r="E802" s="5"/>
      <c r="F802" s="5"/>
      <c r="G802" s="5"/>
      <c r="H802" s="5"/>
      <c r="I802" s="5"/>
      <c r="J802" s="5"/>
      <c r="K802" s="5"/>
      <c r="L802" s="5"/>
      <c r="M802" s="5"/>
      <c r="N802" s="5"/>
      <c r="O802" s="5"/>
      <c r="P802" s="5"/>
      <c r="Q802" s="5"/>
      <c r="R802" s="5"/>
      <c r="S802" s="5"/>
      <c r="T802" s="5"/>
    </row>
    <row r="803" spans="1:20">
      <c r="A803" s="5"/>
      <c r="B803" s="5"/>
      <c r="C803" s="5"/>
      <c r="D803" s="5"/>
      <c r="E803" s="5"/>
      <c r="F803" s="5"/>
      <c r="G803" s="5"/>
      <c r="H803" s="5"/>
      <c r="I803" s="5"/>
      <c r="J803" s="5"/>
      <c r="K803" s="5"/>
      <c r="L803" s="5"/>
      <c r="M803" s="5"/>
      <c r="N803" s="5"/>
      <c r="O803" s="5"/>
      <c r="P803" s="5"/>
      <c r="Q803" s="5"/>
      <c r="R803" s="5"/>
      <c r="S803" s="5"/>
      <c r="T803" s="5"/>
    </row>
    <row r="804" spans="1:20">
      <c r="A804" s="5"/>
      <c r="B804" s="5"/>
      <c r="C804" s="5"/>
      <c r="D804" s="5"/>
      <c r="E804" s="5"/>
      <c r="F804" s="5"/>
      <c r="G804" s="5"/>
      <c r="H804" s="5"/>
      <c r="I804" s="5"/>
      <c r="J804" s="5"/>
      <c r="K804" s="5"/>
      <c r="L804" s="5"/>
      <c r="M804" s="5"/>
      <c r="N804" s="5"/>
      <c r="O804" s="5"/>
      <c r="P804" s="5"/>
      <c r="Q804" s="5"/>
      <c r="R804" s="5"/>
      <c r="S804" s="5"/>
      <c r="T804" s="5"/>
    </row>
    <row r="805" spans="1:20">
      <c r="A805" s="5"/>
      <c r="B805" s="5"/>
      <c r="C805" s="5"/>
      <c r="D805" s="5"/>
      <c r="E805" s="5"/>
      <c r="F805" s="5"/>
      <c r="G805" s="5"/>
      <c r="H805" s="5"/>
      <c r="I805" s="5"/>
      <c r="J805" s="5"/>
      <c r="K805" s="5"/>
      <c r="L805" s="5"/>
      <c r="M805" s="5"/>
      <c r="N805" s="5"/>
      <c r="O805" s="5"/>
      <c r="P805" s="5"/>
      <c r="Q805" s="5"/>
      <c r="R805" s="5"/>
      <c r="S805" s="5"/>
      <c r="T805" s="5"/>
    </row>
    <row r="806" spans="1:20">
      <c r="A806" s="5"/>
      <c r="B806" s="5"/>
      <c r="C806" s="5"/>
      <c r="D806" s="5"/>
      <c r="E806" s="5"/>
      <c r="F806" s="5"/>
      <c r="G806" s="5"/>
      <c r="H806" s="5"/>
      <c r="I806" s="5"/>
      <c r="J806" s="5"/>
      <c r="K806" s="5"/>
      <c r="L806" s="5"/>
      <c r="M806" s="5"/>
      <c r="N806" s="5"/>
      <c r="O806" s="5"/>
      <c r="P806" s="5"/>
      <c r="Q806" s="5"/>
      <c r="R806" s="5"/>
      <c r="S806" s="5"/>
      <c r="T806" s="5"/>
    </row>
    <row r="807" spans="1:20">
      <c r="A807" s="5"/>
      <c r="B807" s="5"/>
      <c r="C807" s="5"/>
      <c r="D807" s="5"/>
      <c r="E807" s="5"/>
      <c r="F807" s="5"/>
      <c r="G807" s="5"/>
      <c r="H807" s="5"/>
      <c r="I807" s="5"/>
      <c r="J807" s="5"/>
      <c r="K807" s="5"/>
      <c r="L807" s="5"/>
      <c r="M807" s="5"/>
      <c r="N807" s="5"/>
      <c r="O807" s="5"/>
      <c r="P807" s="5"/>
      <c r="Q807" s="5"/>
      <c r="R807" s="5"/>
      <c r="S807" s="5"/>
      <c r="T807" s="5"/>
    </row>
    <row r="808" spans="1:20">
      <c r="A808" s="5"/>
      <c r="B808" s="5"/>
      <c r="C808" s="5"/>
      <c r="D808" s="5"/>
      <c r="E808" s="5"/>
      <c r="F808" s="5"/>
      <c r="G808" s="5"/>
      <c r="H808" s="5"/>
      <c r="I808" s="5"/>
      <c r="J808" s="5"/>
      <c r="K808" s="5"/>
      <c r="L808" s="5"/>
      <c r="M808" s="5"/>
      <c r="N808" s="5"/>
      <c r="O808" s="5"/>
      <c r="P808" s="5"/>
      <c r="Q808" s="5"/>
      <c r="R808" s="5"/>
      <c r="S808" s="5"/>
      <c r="T808" s="5"/>
    </row>
    <row r="809" spans="1:20">
      <c r="A809" s="5"/>
      <c r="B809" s="5"/>
      <c r="C809" s="5"/>
      <c r="D809" s="5"/>
      <c r="E809" s="5"/>
      <c r="F809" s="5"/>
      <c r="G809" s="5"/>
      <c r="H809" s="5"/>
      <c r="I809" s="5"/>
      <c r="J809" s="5"/>
      <c r="K809" s="5"/>
      <c r="L809" s="5"/>
      <c r="M809" s="5"/>
      <c r="N809" s="5"/>
      <c r="O809" s="5"/>
      <c r="P809" s="5"/>
      <c r="Q809" s="5"/>
      <c r="R809" s="5"/>
      <c r="S809" s="5"/>
      <c r="T809" s="5"/>
    </row>
    <row r="810" spans="1:20">
      <c r="A810" s="5"/>
      <c r="B810" s="5"/>
      <c r="C810" s="5"/>
      <c r="D810" s="5"/>
      <c r="E810" s="5"/>
      <c r="F810" s="5"/>
      <c r="G810" s="5"/>
      <c r="H810" s="5"/>
      <c r="I810" s="5"/>
      <c r="J810" s="5"/>
      <c r="K810" s="5"/>
      <c r="L810" s="5"/>
      <c r="M810" s="5"/>
      <c r="N810" s="5"/>
      <c r="O810" s="5"/>
      <c r="P810" s="5"/>
      <c r="Q810" s="5"/>
      <c r="R810" s="5"/>
      <c r="S810" s="5"/>
      <c r="T810" s="5"/>
    </row>
    <row r="811" spans="1:20">
      <c r="A811" s="5"/>
      <c r="B811" s="5"/>
      <c r="C811" s="5"/>
      <c r="D811" s="5"/>
      <c r="E811" s="5"/>
      <c r="F811" s="5"/>
      <c r="G811" s="5"/>
      <c r="H811" s="5"/>
      <c r="I811" s="5"/>
      <c r="J811" s="5"/>
      <c r="K811" s="5"/>
      <c r="L811" s="5"/>
      <c r="M811" s="5"/>
      <c r="N811" s="5"/>
      <c r="O811" s="5"/>
      <c r="P811" s="5"/>
      <c r="Q811" s="5"/>
      <c r="R811" s="5"/>
      <c r="S811" s="5"/>
      <c r="T811" s="5"/>
    </row>
    <row r="812" spans="1:20">
      <c r="A812" s="5"/>
      <c r="B812" s="5"/>
      <c r="C812" s="5"/>
      <c r="D812" s="5"/>
      <c r="E812" s="5"/>
      <c r="F812" s="5"/>
      <c r="G812" s="5"/>
      <c r="H812" s="5"/>
      <c r="I812" s="5"/>
      <c r="J812" s="5"/>
      <c r="K812" s="5"/>
      <c r="L812" s="5"/>
      <c r="M812" s="5"/>
      <c r="N812" s="5"/>
      <c r="O812" s="5"/>
      <c r="P812" s="5"/>
      <c r="Q812" s="5"/>
      <c r="R812" s="5"/>
      <c r="S812" s="5"/>
      <c r="T812" s="5"/>
    </row>
    <row r="813" spans="1:20">
      <c r="A813" s="5"/>
      <c r="B813" s="5"/>
      <c r="C813" s="5"/>
      <c r="D813" s="5"/>
      <c r="E813" s="5"/>
      <c r="F813" s="5"/>
      <c r="G813" s="5"/>
      <c r="H813" s="5"/>
      <c r="I813" s="5"/>
      <c r="J813" s="5"/>
      <c r="K813" s="5"/>
      <c r="L813" s="5"/>
      <c r="M813" s="5"/>
      <c r="N813" s="5"/>
      <c r="O813" s="5"/>
      <c r="P813" s="5"/>
      <c r="Q813" s="5"/>
      <c r="R813" s="5"/>
      <c r="S813" s="5"/>
      <c r="T813" s="5"/>
    </row>
    <row r="814" spans="1:20">
      <c r="A814" s="5"/>
      <c r="B814" s="5"/>
      <c r="C814" s="5"/>
      <c r="D814" s="5"/>
      <c r="E814" s="5"/>
      <c r="F814" s="5"/>
      <c r="G814" s="5"/>
      <c r="H814" s="5"/>
      <c r="I814" s="5"/>
      <c r="J814" s="5"/>
      <c r="K814" s="5"/>
      <c r="L814" s="5"/>
      <c r="M814" s="5"/>
      <c r="N814" s="5"/>
      <c r="O814" s="5"/>
      <c r="P814" s="5"/>
      <c r="Q814" s="5"/>
      <c r="R814" s="5"/>
      <c r="S814" s="5"/>
      <c r="T814" s="5"/>
    </row>
    <row r="815" spans="1:20">
      <c r="A815" s="5"/>
      <c r="B815" s="5"/>
      <c r="C815" s="5"/>
      <c r="D815" s="5"/>
      <c r="E815" s="5"/>
      <c r="F815" s="5"/>
      <c r="G815" s="5"/>
      <c r="H815" s="5"/>
      <c r="I815" s="5"/>
      <c r="J815" s="5"/>
      <c r="K815" s="5"/>
      <c r="L815" s="5"/>
      <c r="M815" s="5"/>
      <c r="N815" s="5"/>
      <c r="O815" s="5"/>
      <c r="P815" s="5"/>
      <c r="Q815" s="5"/>
      <c r="R815" s="5"/>
      <c r="S815" s="5"/>
      <c r="T815" s="5"/>
    </row>
    <row r="816" spans="1:20">
      <c r="A816" s="5"/>
      <c r="B816" s="5"/>
      <c r="C816" s="5"/>
      <c r="D816" s="5"/>
      <c r="E816" s="5"/>
      <c r="F816" s="5"/>
      <c r="G816" s="5"/>
      <c r="H816" s="5"/>
      <c r="I816" s="5"/>
      <c r="J816" s="5"/>
      <c r="K816" s="5"/>
      <c r="L816" s="5"/>
      <c r="M816" s="5"/>
      <c r="N816" s="5"/>
      <c r="O816" s="5"/>
      <c r="P816" s="5"/>
      <c r="Q816" s="5"/>
      <c r="R816" s="5"/>
      <c r="S816" s="5"/>
      <c r="T816" s="5"/>
    </row>
    <row r="817" spans="1:20">
      <c r="A817" s="5"/>
      <c r="B817" s="5"/>
      <c r="C817" s="5"/>
      <c r="D817" s="5"/>
      <c r="E817" s="5"/>
      <c r="F817" s="5"/>
      <c r="G817" s="5"/>
      <c r="H817" s="5"/>
      <c r="I817" s="5"/>
      <c r="J817" s="5"/>
      <c r="K817" s="5"/>
      <c r="L817" s="5"/>
      <c r="M817" s="5"/>
      <c r="N817" s="5"/>
      <c r="O817" s="5"/>
      <c r="P817" s="5"/>
      <c r="Q817" s="5"/>
      <c r="R817" s="5"/>
      <c r="S817" s="5"/>
      <c r="T817" s="5"/>
    </row>
    <row r="818" spans="1:20">
      <c r="A818" s="5"/>
      <c r="B818" s="5"/>
      <c r="C818" s="5"/>
      <c r="D818" s="5"/>
      <c r="E818" s="5"/>
      <c r="F818" s="5"/>
      <c r="G818" s="5"/>
      <c r="H818" s="5"/>
      <c r="I818" s="5"/>
      <c r="J818" s="5"/>
      <c r="K818" s="5"/>
      <c r="L818" s="5"/>
      <c r="M818" s="5"/>
      <c r="N818" s="5"/>
      <c r="O818" s="5"/>
      <c r="P818" s="5"/>
      <c r="Q818" s="5"/>
      <c r="R818" s="5"/>
      <c r="S818" s="5"/>
      <c r="T818" s="5"/>
    </row>
    <row r="819" spans="1:20">
      <c r="A819" s="5"/>
      <c r="B819" s="5"/>
      <c r="C819" s="5"/>
      <c r="D819" s="5"/>
      <c r="E819" s="5"/>
      <c r="F819" s="5"/>
      <c r="G819" s="5"/>
      <c r="H819" s="5"/>
      <c r="I819" s="5"/>
      <c r="J819" s="5"/>
      <c r="K819" s="5"/>
      <c r="L819" s="5"/>
      <c r="M819" s="5"/>
      <c r="N819" s="5"/>
      <c r="O819" s="5"/>
      <c r="P819" s="5"/>
      <c r="Q819" s="5"/>
      <c r="R819" s="5"/>
      <c r="S819" s="5"/>
      <c r="T819" s="5"/>
    </row>
    <row r="820" spans="1:20">
      <c r="A820" s="5"/>
      <c r="B820" s="5"/>
      <c r="C820" s="5"/>
      <c r="D820" s="5"/>
      <c r="E820" s="5"/>
      <c r="F820" s="5"/>
      <c r="G820" s="5"/>
      <c r="H820" s="5"/>
      <c r="I820" s="5"/>
      <c r="J820" s="5"/>
      <c r="K820" s="5"/>
      <c r="L820" s="5"/>
      <c r="M820" s="5"/>
      <c r="N820" s="5"/>
      <c r="O820" s="5"/>
      <c r="P820" s="5"/>
      <c r="Q820" s="5"/>
      <c r="R820" s="5"/>
      <c r="S820" s="5"/>
      <c r="T820" s="5"/>
    </row>
    <row r="821" spans="1:20">
      <c r="A821" s="5"/>
      <c r="B821" s="5"/>
      <c r="C821" s="5"/>
      <c r="D821" s="5"/>
      <c r="E821" s="5"/>
      <c r="F821" s="5"/>
      <c r="G821" s="5"/>
      <c r="H821" s="5"/>
      <c r="I821" s="5"/>
      <c r="J821" s="5"/>
      <c r="K821" s="5"/>
      <c r="L821" s="5"/>
      <c r="M821" s="5"/>
      <c r="N821" s="5"/>
      <c r="O821" s="5"/>
      <c r="P821" s="5"/>
      <c r="Q821" s="5"/>
      <c r="R821" s="5"/>
      <c r="S821" s="5"/>
      <c r="T821" s="5"/>
    </row>
    <row r="822" spans="1:20">
      <c r="A822" s="5"/>
      <c r="B822" s="5"/>
      <c r="C822" s="5"/>
      <c r="D822" s="5"/>
      <c r="E822" s="5"/>
      <c r="F822" s="5"/>
      <c r="G822" s="5"/>
      <c r="H822" s="5"/>
      <c r="I822" s="5"/>
      <c r="J822" s="5"/>
      <c r="K822" s="5"/>
      <c r="L822" s="5"/>
      <c r="M822" s="5"/>
      <c r="N822" s="5"/>
      <c r="O822" s="5"/>
      <c r="P822" s="5"/>
      <c r="Q822" s="5"/>
      <c r="R822" s="5"/>
      <c r="S822" s="5"/>
      <c r="T822" s="5"/>
    </row>
    <row r="823" spans="1:20">
      <c r="A823" s="5"/>
      <c r="B823" s="5"/>
      <c r="C823" s="5"/>
      <c r="D823" s="5"/>
      <c r="E823" s="5"/>
      <c r="F823" s="5"/>
      <c r="G823" s="5"/>
      <c r="H823" s="5"/>
      <c r="I823" s="5"/>
      <c r="J823" s="5"/>
      <c r="K823" s="5"/>
      <c r="L823" s="5"/>
      <c r="M823" s="5"/>
      <c r="N823" s="5"/>
      <c r="O823" s="5"/>
      <c r="P823" s="5"/>
      <c r="Q823" s="5"/>
      <c r="R823" s="5"/>
      <c r="S823" s="5"/>
      <c r="T823" s="5"/>
    </row>
    <row r="824" spans="1:20">
      <c r="A824" s="5"/>
      <c r="B824" s="5"/>
      <c r="C824" s="5"/>
      <c r="D824" s="5"/>
      <c r="E824" s="5"/>
      <c r="F824" s="5"/>
      <c r="G824" s="5"/>
      <c r="H824" s="5"/>
      <c r="I824" s="5"/>
      <c r="J824" s="5"/>
      <c r="K824" s="5"/>
      <c r="L824" s="5"/>
      <c r="M824" s="5"/>
      <c r="N824" s="5"/>
      <c r="O824" s="5"/>
      <c r="P824" s="5"/>
      <c r="Q824" s="5"/>
      <c r="R824" s="5"/>
      <c r="S824" s="5"/>
      <c r="T824" s="5"/>
    </row>
    <row r="825" spans="1:20">
      <c r="A825" s="5"/>
      <c r="B825" s="5"/>
      <c r="C825" s="5"/>
      <c r="D825" s="5"/>
      <c r="E825" s="5"/>
      <c r="F825" s="5"/>
      <c r="G825" s="5"/>
      <c r="H825" s="5"/>
      <c r="I825" s="5"/>
      <c r="J825" s="5"/>
      <c r="K825" s="5"/>
      <c r="L825" s="5"/>
      <c r="M825" s="5"/>
      <c r="N825" s="5"/>
      <c r="O825" s="5"/>
      <c r="P825" s="5"/>
      <c r="Q825" s="5"/>
      <c r="R825" s="5"/>
      <c r="S825" s="5"/>
      <c r="T825" s="5"/>
    </row>
    <row r="826" spans="1:20">
      <c r="A826" s="5"/>
      <c r="B826" s="5"/>
      <c r="C826" s="5"/>
      <c r="D826" s="5"/>
      <c r="E826" s="5"/>
      <c r="F826" s="5"/>
      <c r="G826" s="5"/>
      <c r="H826" s="5"/>
      <c r="I826" s="5"/>
      <c r="J826" s="5"/>
      <c r="K826" s="5"/>
      <c r="L826" s="5"/>
      <c r="M826" s="5"/>
      <c r="N826" s="5"/>
      <c r="O826" s="5"/>
      <c r="P826" s="5"/>
      <c r="Q826" s="5"/>
      <c r="R826" s="5"/>
      <c r="S826" s="5"/>
      <c r="T826" s="5"/>
    </row>
    <row r="827" spans="1:20">
      <c r="A827" s="5"/>
      <c r="B827" s="5"/>
      <c r="C827" s="5"/>
      <c r="D827" s="5"/>
      <c r="E827" s="5"/>
      <c r="F827" s="5"/>
      <c r="G827" s="5"/>
      <c r="H827" s="5"/>
      <c r="I827" s="5"/>
      <c r="J827" s="5"/>
      <c r="K827" s="5"/>
      <c r="L827" s="5"/>
      <c r="M827" s="5"/>
      <c r="N827" s="5"/>
      <c r="O827" s="5"/>
      <c r="P827" s="5"/>
      <c r="Q827" s="5"/>
      <c r="R827" s="5"/>
      <c r="S827" s="5"/>
      <c r="T827" s="5"/>
    </row>
    <row r="828" spans="1:20">
      <c r="A828" s="5"/>
      <c r="B828" s="5"/>
      <c r="C828" s="5"/>
      <c r="D828" s="5"/>
      <c r="E828" s="5"/>
      <c r="F828" s="5"/>
      <c r="G828" s="5"/>
      <c r="H828" s="5"/>
      <c r="I828" s="5"/>
      <c r="J828" s="5"/>
      <c r="K828" s="5"/>
      <c r="L828" s="5"/>
      <c r="M828" s="5"/>
      <c r="N828" s="5"/>
      <c r="O828" s="5"/>
      <c r="P828" s="5"/>
      <c r="Q828" s="5"/>
      <c r="R828" s="5"/>
      <c r="S828" s="5"/>
      <c r="T828" s="5"/>
    </row>
    <row r="829" spans="1:20">
      <c r="A829" s="5"/>
      <c r="B829" s="5"/>
      <c r="C829" s="5"/>
      <c r="D829" s="5"/>
      <c r="E829" s="5"/>
      <c r="F829" s="5"/>
      <c r="G829" s="5"/>
      <c r="H829" s="5"/>
      <c r="I829" s="5"/>
      <c r="J829" s="5"/>
      <c r="K829" s="5"/>
      <c r="L829" s="5"/>
      <c r="M829" s="5"/>
      <c r="N829" s="5"/>
      <c r="O829" s="5"/>
      <c r="P829" s="5"/>
      <c r="Q829" s="5"/>
      <c r="R829" s="5"/>
      <c r="S829" s="5"/>
      <c r="T829" s="5"/>
    </row>
    <row r="830" spans="1:20">
      <c r="A830" s="5"/>
      <c r="B830" s="5"/>
      <c r="C830" s="5"/>
      <c r="D830" s="5"/>
      <c r="E830" s="5"/>
      <c r="F830" s="5"/>
      <c r="G830" s="5"/>
      <c r="H830" s="5"/>
      <c r="I830" s="5"/>
      <c r="J830" s="5"/>
      <c r="K830" s="5"/>
      <c r="L830" s="5"/>
      <c r="M830" s="5"/>
      <c r="N830" s="5"/>
      <c r="O830" s="5"/>
      <c r="P830" s="5"/>
      <c r="Q830" s="5"/>
      <c r="R830" s="5"/>
      <c r="S830" s="5"/>
      <c r="T830" s="5"/>
    </row>
    <row r="831" spans="1:20">
      <c r="A831" s="5"/>
      <c r="B831" s="5"/>
      <c r="C831" s="5"/>
      <c r="D831" s="5"/>
      <c r="E831" s="5"/>
      <c r="F831" s="5"/>
      <c r="G831" s="5"/>
      <c r="H831" s="5"/>
      <c r="I831" s="5"/>
      <c r="J831" s="5"/>
      <c r="K831" s="5"/>
      <c r="L831" s="5"/>
      <c r="M831" s="5"/>
      <c r="N831" s="5"/>
      <c r="O831" s="5"/>
      <c r="P831" s="5"/>
      <c r="Q831" s="5"/>
      <c r="R831" s="5"/>
      <c r="S831" s="5"/>
      <c r="T831" s="5"/>
    </row>
    <row r="832" spans="1:20">
      <c r="A832" s="5"/>
      <c r="B832" s="5"/>
      <c r="C832" s="5"/>
      <c r="D832" s="5"/>
      <c r="E832" s="5"/>
      <c r="F832" s="5"/>
      <c r="G832" s="5"/>
      <c r="H832" s="5"/>
      <c r="I832" s="5"/>
      <c r="J832" s="5"/>
      <c r="K832" s="5"/>
      <c r="L832" s="5"/>
      <c r="M832" s="5"/>
      <c r="N832" s="5"/>
      <c r="O832" s="5"/>
      <c r="P832" s="5"/>
      <c r="Q832" s="5"/>
      <c r="R832" s="5"/>
      <c r="S832" s="5"/>
      <c r="T832" s="5"/>
    </row>
    <row r="833" spans="1:20">
      <c r="A833" s="5"/>
      <c r="B833" s="5"/>
      <c r="C833" s="5"/>
      <c r="D833" s="5"/>
      <c r="E833" s="5"/>
      <c r="F833" s="5"/>
      <c r="G833" s="5"/>
      <c r="H833" s="5"/>
      <c r="I833" s="5"/>
      <c r="J833" s="5"/>
      <c r="K833" s="5"/>
      <c r="L833" s="5"/>
      <c r="M833" s="5"/>
      <c r="N833" s="5"/>
      <c r="O833" s="5"/>
      <c r="P833" s="5"/>
      <c r="Q833" s="5"/>
      <c r="R833" s="5"/>
      <c r="S833" s="5"/>
      <c r="T833" s="5"/>
    </row>
    <row r="834" spans="1:20">
      <c r="A834" s="5"/>
      <c r="B834" s="5"/>
      <c r="C834" s="5"/>
      <c r="D834" s="5"/>
      <c r="E834" s="5"/>
      <c r="F834" s="5"/>
      <c r="G834" s="5"/>
      <c r="H834" s="5"/>
      <c r="I834" s="5"/>
      <c r="J834" s="5"/>
      <c r="K834" s="5"/>
      <c r="L834" s="5"/>
      <c r="M834" s="5"/>
      <c r="N834" s="5"/>
      <c r="O834" s="5"/>
      <c r="P834" s="5"/>
      <c r="Q834" s="5"/>
      <c r="R834" s="5"/>
      <c r="S834" s="5"/>
      <c r="T834" s="5"/>
    </row>
    <row r="835" spans="1:20">
      <c r="A835" s="5"/>
      <c r="B835" s="5"/>
      <c r="C835" s="5"/>
      <c r="D835" s="5"/>
      <c r="E835" s="5"/>
      <c r="F835" s="5"/>
      <c r="G835" s="5"/>
      <c r="H835" s="5"/>
      <c r="I835" s="5"/>
      <c r="J835" s="5"/>
      <c r="K835" s="5"/>
      <c r="L835" s="5"/>
      <c r="M835" s="5"/>
      <c r="N835" s="5"/>
      <c r="O835" s="5"/>
      <c r="P835" s="5"/>
      <c r="Q835" s="5"/>
      <c r="R835" s="5"/>
      <c r="S835" s="5"/>
      <c r="T835" s="5"/>
    </row>
    <row r="836" spans="1:20">
      <c r="A836" s="5"/>
      <c r="B836" s="5"/>
      <c r="C836" s="5"/>
      <c r="D836" s="5"/>
      <c r="E836" s="5"/>
      <c r="F836" s="5"/>
      <c r="G836" s="5"/>
      <c r="H836" s="5"/>
      <c r="I836" s="5"/>
      <c r="J836" s="5"/>
      <c r="K836" s="5"/>
      <c r="L836" s="5"/>
      <c r="M836" s="5"/>
      <c r="N836" s="5"/>
      <c r="O836" s="5"/>
      <c r="P836" s="5"/>
      <c r="Q836" s="5"/>
      <c r="R836" s="5"/>
      <c r="S836" s="5"/>
      <c r="T836" s="5"/>
    </row>
    <row r="837" spans="1:20">
      <c r="A837" s="5"/>
      <c r="B837" s="5"/>
      <c r="C837" s="5"/>
      <c r="D837" s="5"/>
      <c r="E837" s="5"/>
      <c r="F837" s="5"/>
      <c r="G837" s="5"/>
      <c r="H837" s="5"/>
      <c r="I837" s="5"/>
      <c r="J837" s="5"/>
      <c r="K837" s="5"/>
      <c r="L837" s="5"/>
      <c r="M837" s="5"/>
      <c r="N837" s="5"/>
      <c r="O837" s="5"/>
      <c r="P837" s="5"/>
      <c r="Q837" s="5"/>
      <c r="R837" s="5"/>
      <c r="S837" s="5"/>
      <c r="T837" s="5"/>
    </row>
    <row r="838" spans="1:20">
      <c r="A838" s="5"/>
      <c r="B838" s="5"/>
      <c r="C838" s="5"/>
      <c r="D838" s="5"/>
      <c r="E838" s="5"/>
      <c r="F838" s="5"/>
      <c r="G838" s="5"/>
      <c r="H838" s="5"/>
      <c r="I838" s="5"/>
      <c r="J838" s="5"/>
      <c r="K838" s="5"/>
      <c r="L838" s="5"/>
      <c r="M838" s="5"/>
      <c r="N838" s="5"/>
      <c r="O838" s="5"/>
      <c r="P838" s="5"/>
      <c r="Q838" s="5"/>
      <c r="R838" s="5"/>
      <c r="S838" s="5"/>
      <c r="T838" s="5"/>
    </row>
    <row r="839" spans="1:20">
      <c r="A839" s="5"/>
      <c r="B839" s="5"/>
      <c r="C839" s="5"/>
      <c r="D839" s="5"/>
      <c r="E839" s="5"/>
      <c r="F839" s="5"/>
      <c r="G839" s="5"/>
      <c r="H839" s="5"/>
      <c r="I839" s="5"/>
      <c r="J839" s="5"/>
      <c r="K839" s="5"/>
      <c r="L839" s="5"/>
      <c r="M839" s="5"/>
      <c r="N839" s="5"/>
      <c r="O839" s="5"/>
      <c r="P839" s="5"/>
      <c r="Q839" s="5"/>
      <c r="R839" s="5"/>
      <c r="S839" s="5"/>
      <c r="T839" s="5"/>
    </row>
    <row r="840" spans="1:20">
      <c r="A840" s="5"/>
      <c r="B840" s="5"/>
      <c r="C840" s="5"/>
      <c r="D840" s="5"/>
      <c r="E840" s="5"/>
      <c r="F840" s="5"/>
      <c r="G840" s="5"/>
      <c r="H840" s="5"/>
      <c r="I840" s="5"/>
      <c r="J840" s="5"/>
      <c r="K840" s="5"/>
      <c r="L840" s="5"/>
      <c r="M840" s="5"/>
      <c r="N840" s="5"/>
      <c r="O840" s="5"/>
      <c r="P840" s="5"/>
      <c r="Q840" s="5"/>
      <c r="R840" s="5"/>
      <c r="S840" s="5"/>
      <c r="T840" s="5"/>
    </row>
    <row r="841" spans="1:20">
      <c r="A841" s="5"/>
      <c r="B841" s="5"/>
      <c r="C841" s="5"/>
      <c r="D841" s="5"/>
      <c r="E841" s="5"/>
      <c r="F841" s="5"/>
      <c r="G841" s="5"/>
      <c r="H841" s="5"/>
      <c r="I841" s="5"/>
      <c r="J841" s="5"/>
      <c r="K841" s="5"/>
      <c r="L841" s="5"/>
      <c r="M841" s="5"/>
      <c r="N841" s="5"/>
      <c r="O841" s="5"/>
      <c r="P841" s="5"/>
      <c r="Q841" s="5"/>
      <c r="R841" s="5"/>
      <c r="S841" s="5"/>
      <c r="T841" s="5"/>
    </row>
    <row r="842" spans="1:20">
      <c r="A842" s="5"/>
      <c r="B842" s="5"/>
      <c r="C842" s="5"/>
      <c r="D842" s="5"/>
      <c r="E842" s="5"/>
      <c r="F842" s="5"/>
      <c r="G842" s="5"/>
      <c r="H842" s="5"/>
      <c r="I842" s="5"/>
      <c r="J842" s="5"/>
      <c r="K842" s="5"/>
      <c r="L842" s="5"/>
      <c r="M842" s="5"/>
      <c r="N842" s="5"/>
      <c r="O842" s="5"/>
      <c r="P842" s="5"/>
      <c r="Q842" s="5"/>
      <c r="R842" s="5"/>
      <c r="S842" s="5"/>
      <c r="T842" s="5"/>
    </row>
    <row r="843" spans="1:20">
      <c r="A843" s="5"/>
      <c r="B843" s="5"/>
      <c r="C843" s="5"/>
      <c r="D843" s="5"/>
      <c r="E843" s="5"/>
      <c r="F843" s="5"/>
      <c r="G843" s="5"/>
      <c r="H843" s="5"/>
      <c r="I843" s="5"/>
      <c r="J843" s="5"/>
      <c r="K843" s="5"/>
      <c r="L843" s="5"/>
      <c r="M843" s="5"/>
      <c r="N843" s="5"/>
      <c r="O843" s="5"/>
      <c r="P843" s="5"/>
      <c r="Q843" s="5"/>
      <c r="R843" s="5"/>
      <c r="S843" s="5"/>
      <c r="T843" s="5"/>
    </row>
    <row r="844" spans="1:20">
      <c r="A844" s="5"/>
      <c r="B844" s="5"/>
      <c r="C844" s="5"/>
      <c r="D844" s="5"/>
      <c r="E844" s="5"/>
      <c r="F844" s="5"/>
      <c r="G844" s="5"/>
      <c r="H844" s="5"/>
      <c r="I844" s="5"/>
      <c r="J844" s="5"/>
      <c r="K844" s="5"/>
      <c r="L844" s="5"/>
      <c r="M844" s="5"/>
      <c r="N844" s="5"/>
      <c r="O844" s="5"/>
      <c r="P844" s="5"/>
      <c r="Q844" s="5"/>
      <c r="R844" s="5"/>
      <c r="S844" s="5"/>
      <c r="T844" s="5"/>
    </row>
    <row r="845" spans="1:20">
      <c r="A845" s="5"/>
      <c r="B845" s="5"/>
      <c r="C845" s="5"/>
      <c r="D845" s="5"/>
      <c r="E845" s="5"/>
      <c r="F845" s="5"/>
      <c r="G845" s="5"/>
      <c r="H845" s="5"/>
      <c r="I845" s="5"/>
      <c r="J845" s="5"/>
      <c r="K845" s="5"/>
      <c r="L845" s="5"/>
      <c r="M845" s="5"/>
      <c r="N845" s="5"/>
      <c r="O845" s="5"/>
      <c r="P845" s="5"/>
      <c r="Q845" s="5"/>
      <c r="R845" s="5"/>
      <c r="S845" s="5"/>
      <c r="T845" s="5"/>
    </row>
    <row r="846" spans="1:20">
      <c r="A846" s="5"/>
      <c r="B846" s="5"/>
      <c r="C846" s="5"/>
      <c r="D846" s="5"/>
      <c r="E846" s="5"/>
      <c r="F846" s="5"/>
      <c r="G846" s="5"/>
      <c r="H846" s="5"/>
      <c r="I846" s="5"/>
      <c r="J846" s="5"/>
      <c r="K846" s="5"/>
      <c r="L846" s="5"/>
      <c r="M846" s="5"/>
      <c r="N846" s="5"/>
      <c r="O846" s="5"/>
      <c r="P846" s="5"/>
      <c r="Q846" s="5"/>
      <c r="R846" s="5"/>
      <c r="S846" s="5"/>
      <c r="T846" s="5"/>
    </row>
    <row r="847" spans="1:20">
      <c r="A847" s="5"/>
      <c r="B847" s="5"/>
      <c r="C847" s="5"/>
      <c r="D847" s="5"/>
      <c r="E847" s="5"/>
      <c r="F847" s="5"/>
      <c r="G847" s="5"/>
      <c r="H847" s="5"/>
      <c r="I847" s="5"/>
      <c r="J847" s="5"/>
      <c r="K847" s="5"/>
      <c r="L847" s="5"/>
      <c r="M847" s="5"/>
      <c r="N847" s="5"/>
      <c r="O847" s="5"/>
      <c r="P847" s="5"/>
      <c r="Q847" s="5"/>
      <c r="R847" s="5"/>
      <c r="S847" s="5"/>
      <c r="T847" s="5"/>
    </row>
    <row r="848" spans="1:20">
      <c r="A848" s="5"/>
      <c r="B848" s="5"/>
      <c r="C848" s="5"/>
      <c r="D848" s="5"/>
      <c r="E848" s="5"/>
      <c r="F848" s="5"/>
      <c r="G848" s="5"/>
      <c r="H848" s="5"/>
      <c r="I848" s="5"/>
      <c r="J848" s="5"/>
      <c r="K848" s="5"/>
      <c r="L848" s="5"/>
      <c r="M848" s="5"/>
      <c r="N848" s="5"/>
      <c r="O848" s="5"/>
      <c r="P848" s="5"/>
      <c r="Q848" s="5"/>
      <c r="R848" s="5"/>
      <c r="S848" s="5"/>
      <c r="T848" s="5"/>
    </row>
    <row r="849" spans="1:20">
      <c r="A849" s="5"/>
      <c r="B849" s="5"/>
      <c r="C849" s="5"/>
      <c r="D849" s="5"/>
      <c r="E849" s="5"/>
      <c r="F849" s="5"/>
      <c r="G849" s="5"/>
      <c r="H849" s="5"/>
      <c r="I849" s="5"/>
      <c r="J849" s="5"/>
      <c r="K849" s="5"/>
      <c r="L849" s="5"/>
      <c r="M849" s="5"/>
      <c r="N849" s="5"/>
      <c r="O849" s="5"/>
      <c r="P849" s="5"/>
      <c r="Q849" s="5"/>
      <c r="R849" s="5"/>
      <c r="S849" s="5"/>
      <c r="T849" s="5"/>
    </row>
    <row r="850" spans="1:20">
      <c r="A850" s="5"/>
      <c r="B850" s="5"/>
      <c r="C850" s="5"/>
      <c r="D850" s="5"/>
      <c r="E850" s="5"/>
      <c r="F850" s="5"/>
      <c r="G850" s="5"/>
      <c r="H850" s="5"/>
      <c r="I850" s="5"/>
      <c r="J850" s="5"/>
      <c r="K850" s="5"/>
      <c r="L850" s="5"/>
      <c r="M850" s="5"/>
      <c r="N850" s="5"/>
      <c r="O850" s="5"/>
      <c r="P850" s="5"/>
      <c r="Q850" s="5"/>
      <c r="R850" s="5"/>
      <c r="S850" s="5"/>
      <c r="T850" s="5"/>
    </row>
    <row r="851" spans="1:20">
      <c r="A851" s="5"/>
      <c r="B851" s="5"/>
      <c r="C851" s="5"/>
      <c r="D851" s="5"/>
      <c r="E851" s="5"/>
      <c r="F851" s="5"/>
      <c r="G851" s="5"/>
      <c r="H851" s="5"/>
      <c r="I851" s="5"/>
      <c r="J851" s="5"/>
      <c r="K851" s="5"/>
      <c r="L851" s="5"/>
      <c r="M851" s="5"/>
      <c r="N851" s="5"/>
      <c r="O851" s="5"/>
      <c r="P851" s="5"/>
      <c r="Q851" s="5"/>
      <c r="R851" s="5"/>
      <c r="S851" s="5"/>
      <c r="T851" s="5"/>
    </row>
    <row r="852" spans="1:20">
      <c r="A852" s="5"/>
      <c r="B852" s="5"/>
      <c r="C852" s="5"/>
      <c r="D852" s="5"/>
      <c r="E852" s="5"/>
      <c r="F852" s="5"/>
      <c r="G852" s="5"/>
      <c r="H852" s="5"/>
      <c r="I852" s="5"/>
      <c r="J852" s="5"/>
      <c r="K852" s="5"/>
      <c r="L852" s="5"/>
      <c r="M852" s="5"/>
      <c r="N852" s="5"/>
      <c r="O852" s="5"/>
      <c r="P852" s="5"/>
      <c r="Q852" s="5"/>
      <c r="R852" s="5"/>
      <c r="S852" s="5"/>
      <c r="T852" s="5"/>
    </row>
    <row r="853" spans="1:20">
      <c r="A853" s="5"/>
      <c r="B853" s="5"/>
      <c r="C853" s="5"/>
      <c r="D853" s="5"/>
      <c r="E853" s="5"/>
      <c r="F853" s="5"/>
      <c r="G853" s="5"/>
      <c r="H853" s="5"/>
      <c r="I853" s="5"/>
      <c r="J853" s="5"/>
      <c r="K853" s="5"/>
      <c r="L853" s="5"/>
      <c r="M853" s="5"/>
      <c r="N853" s="5"/>
      <c r="O853" s="5"/>
      <c r="P853" s="5"/>
      <c r="Q853" s="5"/>
      <c r="R853" s="5"/>
      <c r="S853" s="5"/>
      <c r="T853" s="5"/>
    </row>
    <row r="854" spans="1:20">
      <c r="A854" s="5"/>
      <c r="B854" s="5"/>
      <c r="C854" s="5"/>
      <c r="D854" s="5"/>
      <c r="E854" s="5"/>
      <c r="F854" s="5"/>
      <c r="G854" s="5"/>
      <c r="H854" s="5"/>
      <c r="I854" s="5"/>
      <c r="J854" s="5"/>
      <c r="K854" s="5"/>
      <c r="L854" s="5"/>
      <c r="M854" s="5"/>
      <c r="N854" s="5"/>
      <c r="O854" s="5"/>
      <c r="P854" s="5"/>
      <c r="Q854" s="5"/>
      <c r="R854" s="5"/>
      <c r="S854" s="5"/>
      <c r="T854" s="5"/>
    </row>
    <row r="855" spans="1:20">
      <c r="A855" s="5"/>
      <c r="B855" s="5"/>
      <c r="C855" s="5"/>
      <c r="D855" s="5"/>
      <c r="E855" s="5"/>
      <c r="F855" s="5"/>
      <c r="G855" s="5"/>
      <c r="H855" s="5"/>
      <c r="I855" s="5"/>
      <c r="J855" s="5"/>
      <c r="K855" s="5"/>
      <c r="L855" s="5"/>
      <c r="M855" s="5"/>
      <c r="N855" s="5"/>
      <c r="O855" s="5"/>
      <c r="P855" s="5"/>
      <c r="Q855" s="5"/>
      <c r="R855" s="5"/>
      <c r="S855" s="5"/>
      <c r="T855" s="5"/>
    </row>
    <row r="856" spans="1:20">
      <c r="A856" s="5"/>
      <c r="B856" s="5"/>
      <c r="C856" s="5"/>
      <c r="D856" s="5"/>
      <c r="E856" s="5"/>
      <c r="F856" s="5"/>
      <c r="G856" s="5"/>
      <c r="H856" s="5"/>
      <c r="I856" s="5"/>
      <c r="J856" s="5"/>
      <c r="K856" s="5"/>
      <c r="L856" s="5"/>
      <c r="M856" s="5"/>
      <c r="N856" s="5"/>
      <c r="O856" s="5"/>
      <c r="P856" s="5"/>
      <c r="Q856" s="5"/>
      <c r="R856" s="5"/>
      <c r="S856" s="5"/>
      <c r="T856" s="5"/>
    </row>
    <row r="857" spans="1:20">
      <c r="A857" s="5"/>
      <c r="B857" s="5"/>
      <c r="C857" s="5"/>
      <c r="D857" s="5"/>
      <c r="E857" s="5"/>
      <c r="F857" s="5"/>
      <c r="G857" s="5"/>
      <c r="H857" s="5"/>
      <c r="I857" s="5"/>
      <c r="J857" s="5"/>
      <c r="K857" s="5"/>
      <c r="L857" s="5"/>
      <c r="M857" s="5"/>
      <c r="N857" s="5"/>
      <c r="O857" s="5"/>
      <c r="P857" s="5"/>
      <c r="Q857" s="5"/>
      <c r="R857" s="5"/>
      <c r="S857" s="5"/>
      <c r="T857" s="5"/>
    </row>
    <row r="858" spans="1:20">
      <c r="A858" s="5"/>
      <c r="B858" s="5"/>
      <c r="C858" s="5"/>
      <c r="D858" s="5"/>
      <c r="E858" s="5"/>
      <c r="F858" s="5"/>
      <c r="G858" s="5"/>
      <c r="H858" s="5"/>
      <c r="I858" s="5"/>
      <c r="J858" s="5"/>
      <c r="K858" s="5"/>
      <c r="L858" s="5"/>
      <c r="M858" s="5"/>
      <c r="N858" s="5"/>
      <c r="O858" s="5"/>
      <c r="P858" s="5"/>
      <c r="Q858" s="5"/>
      <c r="R858" s="5"/>
      <c r="S858" s="5"/>
      <c r="T858" s="5"/>
    </row>
    <row r="859" spans="1:20">
      <c r="A859" s="5"/>
      <c r="B859" s="5"/>
      <c r="C859" s="5"/>
      <c r="D859" s="5"/>
      <c r="E859" s="5"/>
      <c r="F859" s="5"/>
      <c r="G859" s="5"/>
      <c r="H859" s="5"/>
      <c r="I859" s="5"/>
      <c r="J859" s="5"/>
      <c r="K859" s="5"/>
      <c r="L859" s="5"/>
      <c r="M859" s="5"/>
      <c r="N859" s="5"/>
      <c r="O859" s="5"/>
      <c r="P859" s="5"/>
      <c r="Q859" s="5"/>
      <c r="R859" s="5"/>
      <c r="S859" s="5"/>
      <c r="T859" s="5"/>
    </row>
    <row r="860" spans="1:20">
      <c r="A860" s="5"/>
      <c r="B860" s="5"/>
      <c r="C860" s="5"/>
      <c r="D860" s="5"/>
      <c r="E860" s="5"/>
      <c r="F860" s="5"/>
      <c r="G860" s="5"/>
      <c r="H860" s="5"/>
      <c r="I860" s="5"/>
      <c r="J860" s="5"/>
      <c r="K860" s="5"/>
      <c r="L860" s="5"/>
      <c r="M860" s="5"/>
      <c r="N860" s="5"/>
      <c r="O860" s="5"/>
      <c r="P860" s="5"/>
      <c r="Q860" s="5"/>
      <c r="R860" s="5"/>
      <c r="S860" s="5"/>
      <c r="T860" s="5"/>
    </row>
    <row r="861" spans="1:20">
      <c r="A861" s="5"/>
      <c r="B861" s="5"/>
      <c r="C861" s="5"/>
      <c r="D861" s="5"/>
      <c r="E861" s="5"/>
      <c r="F861" s="5"/>
      <c r="G861" s="5"/>
      <c r="H861" s="5"/>
      <c r="I861" s="5"/>
      <c r="J861" s="5"/>
      <c r="K861" s="5"/>
      <c r="L861" s="5"/>
      <c r="M861" s="5"/>
      <c r="N861" s="5"/>
      <c r="O861" s="5"/>
      <c r="P861" s="5"/>
      <c r="Q861" s="5"/>
      <c r="R861" s="5"/>
      <c r="S861" s="5"/>
      <c r="T861" s="5"/>
    </row>
    <row r="862" spans="1:20">
      <c r="A862" s="5"/>
      <c r="B862" s="5"/>
      <c r="C862" s="5"/>
      <c r="D862" s="5"/>
      <c r="E862" s="5"/>
      <c r="F862" s="5"/>
      <c r="G862" s="5"/>
      <c r="H862" s="5"/>
      <c r="I862" s="5"/>
      <c r="J862" s="5"/>
      <c r="K862" s="5"/>
      <c r="L862" s="5"/>
      <c r="M862" s="5"/>
      <c r="N862" s="5"/>
      <c r="O862" s="5"/>
      <c r="P862" s="5"/>
      <c r="Q862" s="5"/>
      <c r="R862" s="5"/>
      <c r="S862" s="5"/>
      <c r="T862" s="5"/>
    </row>
    <row r="863" spans="1:20">
      <c r="A863" s="5"/>
      <c r="B863" s="5"/>
      <c r="C863" s="5"/>
      <c r="D863" s="5"/>
      <c r="E863" s="5"/>
      <c r="F863" s="5"/>
      <c r="G863" s="5"/>
      <c r="H863" s="5"/>
      <c r="I863" s="5"/>
      <c r="J863" s="5"/>
      <c r="K863" s="5"/>
      <c r="L863" s="5"/>
      <c r="M863" s="5"/>
      <c r="N863" s="5"/>
      <c r="O863" s="5"/>
      <c r="P863" s="5"/>
      <c r="Q863" s="5"/>
      <c r="R863" s="5"/>
      <c r="S863" s="5"/>
      <c r="T863" s="5"/>
    </row>
    <row r="864" spans="1:20">
      <c r="A864" s="5"/>
      <c r="B864" s="5"/>
      <c r="C864" s="5"/>
      <c r="D864" s="5"/>
      <c r="E864" s="5"/>
      <c r="F864" s="5"/>
      <c r="G864" s="5"/>
      <c r="H864" s="5"/>
      <c r="I864" s="5"/>
      <c r="J864" s="5"/>
      <c r="K864" s="5"/>
      <c r="L864" s="5"/>
      <c r="M864" s="5"/>
      <c r="N864" s="5"/>
      <c r="O864" s="5"/>
      <c r="P864" s="5"/>
      <c r="Q864" s="5"/>
      <c r="R864" s="5"/>
      <c r="S864" s="5"/>
      <c r="T864" s="5"/>
    </row>
    <row r="865" spans="1:20">
      <c r="A865" s="5"/>
      <c r="B865" s="5"/>
      <c r="C865" s="5"/>
      <c r="D865" s="5"/>
      <c r="E865" s="5"/>
      <c r="F865" s="5"/>
      <c r="G865" s="5"/>
      <c r="H865" s="5"/>
      <c r="I865" s="5"/>
      <c r="J865" s="5"/>
      <c r="K865" s="5"/>
      <c r="L865" s="5"/>
      <c r="M865" s="5"/>
      <c r="N865" s="5"/>
      <c r="O865" s="5"/>
      <c r="P865" s="5"/>
      <c r="Q865" s="5"/>
      <c r="R865" s="5"/>
      <c r="S865" s="5"/>
      <c r="T865" s="5"/>
    </row>
    <row r="866" spans="1:20">
      <c r="A866" s="5"/>
      <c r="B866" s="5"/>
      <c r="C866" s="5"/>
      <c r="D866" s="5"/>
      <c r="E866" s="5"/>
      <c r="F866" s="5"/>
      <c r="G866" s="5"/>
      <c r="H866" s="5"/>
      <c r="I866" s="5"/>
      <c r="J866" s="5"/>
      <c r="K866" s="5"/>
      <c r="L866" s="5"/>
      <c r="M866" s="5"/>
      <c r="N866" s="5"/>
      <c r="O866" s="5"/>
      <c r="P866" s="5"/>
      <c r="Q866" s="5"/>
      <c r="R866" s="5"/>
      <c r="S866" s="5"/>
      <c r="T866" s="5"/>
    </row>
    <row r="867" spans="1:20">
      <c r="A867" s="5"/>
      <c r="B867" s="5"/>
      <c r="C867" s="5"/>
      <c r="D867" s="5"/>
      <c r="E867" s="5"/>
      <c r="F867" s="5"/>
      <c r="G867" s="5"/>
      <c r="H867" s="5"/>
      <c r="I867" s="5"/>
      <c r="J867" s="5"/>
      <c r="K867" s="5"/>
      <c r="L867" s="5"/>
      <c r="M867" s="5"/>
      <c r="N867" s="5"/>
      <c r="O867" s="5"/>
      <c r="P867" s="5"/>
      <c r="Q867" s="5"/>
      <c r="R867" s="5"/>
      <c r="S867" s="5"/>
      <c r="T867" s="5"/>
    </row>
    <row r="868" spans="1:20">
      <c r="A868" s="5"/>
      <c r="B868" s="5"/>
      <c r="C868" s="5"/>
      <c r="D868" s="5"/>
      <c r="E868" s="5"/>
      <c r="F868" s="5"/>
      <c r="G868" s="5"/>
      <c r="H868" s="5"/>
      <c r="I868" s="5"/>
      <c r="J868" s="5"/>
      <c r="K868" s="5"/>
      <c r="L868" s="5"/>
      <c r="M868" s="5"/>
      <c r="N868" s="5"/>
      <c r="O868" s="5"/>
      <c r="P868" s="5"/>
      <c r="Q868" s="5"/>
      <c r="R868" s="5"/>
      <c r="S868" s="5"/>
      <c r="T868" s="5"/>
    </row>
    <row r="869" spans="1:20">
      <c r="A869" s="5"/>
      <c r="B869" s="5"/>
      <c r="C869" s="5"/>
      <c r="D869" s="5"/>
      <c r="E869" s="5"/>
      <c r="F869" s="5"/>
      <c r="G869" s="5"/>
      <c r="H869" s="5"/>
      <c r="I869" s="5"/>
      <c r="J869" s="5"/>
      <c r="K869" s="5"/>
      <c r="L869" s="5"/>
      <c r="M869" s="5"/>
      <c r="N869" s="5"/>
      <c r="O869" s="5"/>
      <c r="P869" s="5"/>
      <c r="Q869" s="5"/>
      <c r="R869" s="5"/>
      <c r="S869" s="5"/>
      <c r="T869" s="5"/>
    </row>
    <row r="870" spans="1:20">
      <c r="A870" s="5"/>
      <c r="B870" s="5"/>
      <c r="C870" s="5"/>
      <c r="D870" s="5"/>
      <c r="E870" s="5"/>
      <c r="F870" s="5"/>
      <c r="G870" s="5"/>
      <c r="H870" s="5"/>
      <c r="I870" s="5"/>
      <c r="J870" s="5"/>
      <c r="K870" s="5"/>
      <c r="L870" s="5"/>
      <c r="M870" s="5"/>
      <c r="N870" s="5"/>
      <c r="O870" s="5"/>
      <c r="P870" s="5"/>
      <c r="Q870" s="5"/>
      <c r="R870" s="5"/>
      <c r="S870" s="5"/>
      <c r="T870" s="5"/>
    </row>
    <row r="871" spans="1:20">
      <c r="A871" s="5"/>
      <c r="B871" s="5"/>
      <c r="C871" s="5"/>
      <c r="D871" s="5"/>
      <c r="E871" s="5"/>
      <c r="F871" s="5"/>
      <c r="G871" s="5"/>
      <c r="H871" s="5"/>
      <c r="I871" s="5"/>
      <c r="J871" s="5"/>
      <c r="K871" s="5"/>
      <c r="L871" s="5"/>
      <c r="M871" s="5"/>
      <c r="N871" s="5"/>
      <c r="O871" s="5"/>
      <c r="P871" s="5"/>
      <c r="Q871" s="5"/>
      <c r="R871" s="5"/>
      <c r="S871" s="5"/>
      <c r="T871" s="5"/>
    </row>
    <row r="872" spans="1:20">
      <c r="A872" s="5"/>
      <c r="B872" s="5"/>
      <c r="C872" s="5"/>
      <c r="D872" s="5"/>
      <c r="E872" s="5"/>
      <c r="F872" s="5"/>
      <c r="G872" s="5"/>
      <c r="H872" s="5"/>
      <c r="I872" s="5"/>
      <c r="J872" s="5"/>
      <c r="K872" s="5"/>
      <c r="L872" s="5"/>
      <c r="M872" s="5"/>
      <c r="N872" s="5"/>
      <c r="O872" s="5"/>
      <c r="P872" s="5"/>
      <c r="Q872" s="5"/>
      <c r="R872" s="5"/>
      <c r="S872" s="5"/>
      <c r="T872" s="5"/>
    </row>
    <row r="873" spans="1:20">
      <c r="A873" s="5"/>
      <c r="B873" s="5"/>
      <c r="C873" s="5"/>
      <c r="D873" s="5"/>
      <c r="E873" s="5"/>
      <c r="F873" s="5"/>
      <c r="G873" s="5"/>
      <c r="H873" s="5"/>
      <c r="I873" s="5"/>
      <c r="J873" s="5"/>
      <c r="K873" s="5"/>
      <c r="L873" s="5"/>
      <c r="M873" s="5"/>
      <c r="N873" s="5"/>
      <c r="O873" s="5"/>
      <c r="P873" s="5"/>
      <c r="Q873" s="5"/>
      <c r="R873" s="5"/>
      <c r="S873" s="5"/>
      <c r="T873" s="5"/>
    </row>
    <row r="874" spans="1:20">
      <c r="A874" s="5"/>
      <c r="B874" s="5"/>
      <c r="C874" s="5"/>
      <c r="D874" s="5"/>
      <c r="E874" s="5"/>
      <c r="F874" s="5"/>
      <c r="G874" s="5"/>
      <c r="H874" s="5"/>
      <c r="I874" s="5"/>
      <c r="J874" s="5"/>
      <c r="K874" s="5"/>
      <c r="L874" s="5"/>
      <c r="M874" s="5"/>
      <c r="N874" s="5"/>
      <c r="O874" s="5"/>
      <c r="P874" s="5"/>
      <c r="Q874" s="5"/>
      <c r="R874" s="5"/>
      <c r="S874" s="5"/>
      <c r="T874" s="5"/>
    </row>
    <row r="875" spans="1:20">
      <c r="A875" s="5"/>
      <c r="B875" s="5"/>
      <c r="C875" s="5"/>
      <c r="D875" s="5"/>
      <c r="E875" s="5"/>
      <c r="F875" s="5"/>
      <c r="G875" s="5"/>
      <c r="H875" s="5"/>
      <c r="I875" s="5"/>
      <c r="J875" s="5"/>
      <c r="K875" s="5"/>
      <c r="L875" s="5"/>
      <c r="M875" s="5"/>
      <c r="N875" s="5"/>
      <c r="O875" s="5"/>
      <c r="P875" s="5"/>
      <c r="Q875" s="5"/>
      <c r="R875" s="5"/>
      <c r="S875" s="5"/>
      <c r="T875" s="5"/>
    </row>
    <row r="876" spans="1:20">
      <c r="A876" s="5"/>
      <c r="B876" s="5"/>
      <c r="C876" s="5"/>
      <c r="D876" s="5"/>
      <c r="E876" s="5"/>
      <c r="F876" s="5"/>
      <c r="G876" s="5"/>
      <c r="H876" s="5"/>
      <c r="I876" s="5"/>
      <c r="J876" s="5"/>
      <c r="K876" s="5"/>
      <c r="L876" s="5"/>
      <c r="M876" s="5"/>
      <c r="N876" s="5"/>
      <c r="O876" s="5"/>
      <c r="P876" s="5"/>
      <c r="Q876" s="5"/>
      <c r="R876" s="5"/>
      <c r="S876" s="5"/>
      <c r="T876" s="5"/>
    </row>
    <row r="877" spans="1:20">
      <c r="A877" s="5"/>
      <c r="B877" s="5"/>
      <c r="C877" s="5"/>
      <c r="D877" s="5"/>
      <c r="E877" s="5"/>
      <c r="F877" s="5"/>
      <c r="G877" s="5"/>
      <c r="H877" s="5"/>
      <c r="I877" s="5"/>
      <c r="J877" s="5"/>
      <c r="K877" s="5"/>
      <c r="L877" s="5"/>
      <c r="M877" s="5"/>
      <c r="N877" s="5"/>
      <c r="O877" s="5"/>
      <c r="P877" s="5"/>
      <c r="Q877" s="5"/>
      <c r="R877" s="5"/>
      <c r="S877" s="5"/>
      <c r="T877" s="5"/>
    </row>
    <row r="878" spans="1:20">
      <c r="A878" s="5"/>
      <c r="B878" s="5"/>
      <c r="C878" s="5"/>
      <c r="D878" s="5"/>
      <c r="E878" s="5"/>
      <c r="F878" s="5"/>
      <c r="G878" s="5"/>
      <c r="H878" s="5"/>
      <c r="I878" s="5"/>
      <c r="J878" s="5"/>
      <c r="K878" s="5"/>
      <c r="L878" s="5"/>
      <c r="M878" s="5"/>
      <c r="N878" s="5"/>
      <c r="O878" s="5"/>
      <c r="P878" s="5"/>
      <c r="Q878" s="5"/>
      <c r="R878" s="5"/>
      <c r="S878" s="5"/>
      <c r="T878" s="5"/>
    </row>
    <row r="879" spans="1:20">
      <c r="A879" s="5"/>
      <c r="B879" s="5"/>
      <c r="C879" s="5"/>
      <c r="D879" s="5"/>
      <c r="E879" s="5"/>
      <c r="F879" s="5"/>
      <c r="G879" s="5"/>
      <c r="H879" s="5"/>
      <c r="I879" s="5"/>
      <c r="J879" s="5"/>
      <c r="K879" s="5"/>
      <c r="L879" s="5"/>
      <c r="M879" s="5"/>
      <c r="N879" s="5"/>
      <c r="O879" s="5"/>
      <c r="P879" s="5"/>
      <c r="Q879" s="5"/>
      <c r="R879" s="5"/>
      <c r="S879" s="5"/>
      <c r="T879" s="5"/>
    </row>
    <row r="880" spans="1:20">
      <c r="A880" s="5"/>
      <c r="B880" s="5"/>
      <c r="C880" s="5"/>
      <c r="D880" s="5"/>
      <c r="E880" s="5"/>
      <c r="F880" s="5"/>
      <c r="G880" s="5"/>
      <c r="H880" s="5"/>
      <c r="I880" s="5"/>
      <c r="J880" s="5"/>
      <c r="K880" s="5"/>
      <c r="L880" s="5"/>
      <c r="M880" s="5"/>
      <c r="N880" s="5"/>
      <c r="O880" s="5"/>
      <c r="P880" s="5"/>
      <c r="Q880" s="5"/>
      <c r="R880" s="5"/>
      <c r="S880" s="5"/>
      <c r="T880" s="5"/>
    </row>
    <row r="881" spans="1:20">
      <c r="A881" s="5"/>
      <c r="B881" s="5"/>
      <c r="C881" s="5"/>
      <c r="D881" s="5"/>
      <c r="E881" s="5"/>
      <c r="F881" s="5"/>
      <c r="G881" s="5"/>
      <c r="H881" s="5"/>
      <c r="I881" s="5"/>
      <c r="J881" s="5"/>
      <c r="K881" s="5"/>
      <c r="L881" s="5"/>
      <c r="M881" s="5"/>
      <c r="N881" s="5"/>
      <c r="O881" s="5"/>
      <c r="P881" s="5"/>
      <c r="Q881" s="5"/>
      <c r="R881" s="5"/>
      <c r="S881" s="5"/>
      <c r="T881" s="5"/>
    </row>
    <row r="882" spans="1:20">
      <c r="A882" s="5"/>
      <c r="B882" s="5"/>
      <c r="C882" s="5"/>
      <c r="D882" s="5"/>
      <c r="E882" s="5"/>
      <c r="F882" s="5"/>
      <c r="G882" s="5"/>
      <c r="H882" s="5"/>
      <c r="I882" s="5"/>
      <c r="J882" s="5"/>
      <c r="K882" s="5"/>
      <c r="L882" s="5"/>
      <c r="M882" s="5"/>
      <c r="N882" s="5"/>
      <c r="O882" s="5"/>
      <c r="P882" s="5"/>
      <c r="Q882" s="5"/>
      <c r="R882" s="5"/>
      <c r="S882" s="5"/>
      <c r="T882" s="5"/>
    </row>
    <row r="883" spans="1:20">
      <c r="A883" s="5"/>
      <c r="B883" s="5"/>
      <c r="C883" s="5"/>
      <c r="D883" s="5"/>
      <c r="E883" s="5"/>
      <c r="F883" s="5"/>
      <c r="G883" s="5"/>
      <c r="H883" s="5"/>
      <c r="I883" s="5"/>
      <c r="J883" s="5"/>
      <c r="K883" s="5"/>
      <c r="L883" s="5"/>
      <c r="M883" s="5"/>
      <c r="N883" s="5"/>
      <c r="O883" s="5"/>
      <c r="P883" s="5"/>
      <c r="Q883" s="5"/>
      <c r="R883" s="5"/>
      <c r="S883" s="5"/>
      <c r="T883" s="5"/>
    </row>
    <row r="884" spans="1:20">
      <c r="A884" s="5"/>
      <c r="B884" s="5"/>
      <c r="C884" s="5"/>
      <c r="D884" s="5"/>
      <c r="E884" s="5"/>
      <c r="F884" s="5"/>
      <c r="G884" s="5"/>
      <c r="H884" s="5"/>
      <c r="I884" s="5"/>
      <c r="J884" s="5"/>
      <c r="K884" s="5"/>
      <c r="L884" s="5"/>
      <c r="M884" s="5"/>
      <c r="N884" s="5"/>
      <c r="O884" s="5"/>
      <c r="P884" s="5"/>
      <c r="Q884" s="5"/>
      <c r="R884" s="5"/>
      <c r="S884" s="5"/>
      <c r="T884" s="5"/>
    </row>
    <row r="885" spans="1:20">
      <c r="A885" s="5"/>
      <c r="B885" s="5"/>
      <c r="C885" s="5"/>
      <c r="D885" s="5"/>
      <c r="E885" s="5"/>
      <c r="F885" s="5"/>
      <c r="G885" s="5"/>
      <c r="H885" s="5"/>
      <c r="I885" s="5"/>
      <c r="J885" s="5"/>
      <c r="K885" s="5"/>
      <c r="L885" s="5"/>
      <c r="M885" s="5"/>
      <c r="N885" s="5"/>
      <c r="O885" s="5"/>
      <c r="P885" s="5"/>
      <c r="Q885" s="5"/>
      <c r="R885" s="5"/>
      <c r="S885" s="5"/>
      <c r="T885" s="5"/>
    </row>
    <row r="886" spans="1:20">
      <c r="A886" s="5"/>
      <c r="B886" s="5"/>
      <c r="C886" s="5"/>
      <c r="D886" s="5"/>
      <c r="E886" s="5"/>
      <c r="F886" s="5"/>
      <c r="G886" s="5"/>
      <c r="H886" s="5"/>
      <c r="I886" s="5"/>
      <c r="J886" s="5"/>
      <c r="K886" s="5"/>
      <c r="L886" s="5"/>
      <c r="M886" s="5"/>
      <c r="N886" s="5"/>
      <c r="O886" s="5"/>
      <c r="P886" s="5"/>
      <c r="Q886" s="5"/>
      <c r="R886" s="5"/>
      <c r="S886" s="5"/>
      <c r="T886" s="5"/>
    </row>
    <row r="887" spans="1:20">
      <c r="A887" s="5"/>
      <c r="B887" s="5"/>
      <c r="C887" s="5"/>
      <c r="D887" s="5"/>
      <c r="E887" s="5"/>
      <c r="F887" s="5"/>
      <c r="G887" s="5"/>
      <c r="H887" s="5"/>
      <c r="I887" s="5"/>
      <c r="J887" s="5"/>
      <c r="K887" s="5"/>
      <c r="L887" s="5"/>
      <c r="M887" s="5"/>
      <c r="N887" s="5"/>
      <c r="O887" s="5"/>
      <c r="P887" s="5"/>
      <c r="Q887" s="5"/>
      <c r="R887" s="5"/>
      <c r="S887" s="5"/>
      <c r="T887" s="5"/>
    </row>
    <row r="888" spans="1:20">
      <c r="A888" s="5"/>
      <c r="B888" s="5"/>
      <c r="C888" s="5"/>
      <c r="D888" s="5"/>
      <c r="E888" s="5"/>
      <c r="F888" s="5"/>
      <c r="G888" s="5"/>
      <c r="H888" s="5"/>
      <c r="I888" s="5"/>
      <c r="J888" s="5"/>
      <c r="K888" s="5"/>
      <c r="L888" s="5"/>
      <c r="M888" s="5"/>
      <c r="N888" s="5"/>
      <c r="O888" s="5"/>
      <c r="P888" s="5"/>
      <c r="Q888" s="5"/>
      <c r="R888" s="5"/>
      <c r="S888" s="5"/>
      <c r="T888" s="5"/>
    </row>
    <row r="889" spans="1:20">
      <c r="A889" s="5"/>
      <c r="B889" s="5"/>
      <c r="C889" s="5"/>
      <c r="D889" s="5"/>
      <c r="E889" s="5"/>
      <c r="F889" s="5"/>
      <c r="G889" s="5"/>
      <c r="H889" s="5"/>
      <c r="I889" s="5"/>
      <c r="J889" s="5"/>
      <c r="K889" s="5"/>
      <c r="L889" s="5"/>
      <c r="M889" s="5"/>
      <c r="N889" s="5"/>
      <c r="O889" s="5"/>
      <c r="P889" s="5"/>
      <c r="Q889" s="5"/>
      <c r="R889" s="5"/>
      <c r="S889" s="5"/>
      <c r="T889" s="5"/>
    </row>
    <row r="890" spans="1:20">
      <c r="A890" s="5"/>
      <c r="B890" s="5"/>
      <c r="C890" s="5"/>
      <c r="D890" s="5"/>
      <c r="E890" s="5"/>
      <c r="F890" s="5"/>
      <c r="G890" s="5"/>
      <c r="H890" s="5"/>
      <c r="I890" s="5"/>
      <c r="J890" s="5"/>
      <c r="K890" s="5"/>
      <c r="L890" s="5"/>
      <c r="M890" s="5"/>
      <c r="N890" s="5"/>
      <c r="O890" s="5"/>
      <c r="P890" s="5"/>
      <c r="Q890" s="5"/>
      <c r="R890" s="5"/>
      <c r="S890" s="5"/>
      <c r="T890" s="5"/>
    </row>
    <row r="891" spans="1:20">
      <c r="A891" s="5"/>
      <c r="B891" s="5"/>
      <c r="C891" s="5"/>
      <c r="D891" s="5"/>
      <c r="E891" s="5"/>
      <c r="F891" s="5"/>
      <c r="G891" s="5"/>
      <c r="H891" s="5"/>
      <c r="I891" s="5"/>
      <c r="J891" s="5"/>
      <c r="K891" s="5"/>
      <c r="L891" s="5"/>
      <c r="M891" s="5"/>
      <c r="N891" s="5"/>
      <c r="O891" s="5"/>
      <c r="P891" s="5"/>
      <c r="Q891" s="5"/>
      <c r="R891" s="5"/>
      <c r="S891" s="5"/>
      <c r="T891" s="5"/>
    </row>
    <row r="892" spans="1:20">
      <c r="A892" s="5"/>
      <c r="B892" s="5"/>
      <c r="C892" s="5"/>
      <c r="D892" s="5"/>
      <c r="E892" s="5"/>
      <c r="F892" s="5"/>
      <c r="G892" s="5"/>
      <c r="H892" s="5"/>
      <c r="I892" s="5"/>
      <c r="J892" s="5"/>
      <c r="K892" s="5"/>
      <c r="L892" s="5"/>
      <c r="M892" s="5"/>
      <c r="N892" s="5"/>
      <c r="O892" s="5"/>
      <c r="P892" s="5"/>
      <c r="Q892" s="5"/>
      <c r="R892" s="5"/>
      <c r="S892" s="5"/>
      <c r="T892" s="5"/>
    </row>
    <row r="893" spans="1:20">
      <c r="A893" s="5"/>
      <c r="B893" s="5"/>
      <c r="C893" s="5"/>
      <c r="D893" s="5"/>
      <c r="E893" s="5"/>
      <c r="F893" s="5"/>
      <c r="G893" s="5"/>
      <c r="H893" s="5"/>
      <c r="I893" s="5"/>
      <c r="J893" s="5"/>
      <c r="K893" s="5"/>
      <c r="L893" s="5"/>
      <c r="M893" s="5"/>
      <c r="N893" s="5"/>
      <c r="O893" s="5"/>
      <c r="P893" s="5"/>
      <c r="Q893" s="5"/>
      <c r="R893" s="5"/>
      <c r="S893" s="5"/>
      <c r="T893" s="5"/>
    </row>
    <row r="894" spans="1:20">
      <c r="A894" s="5"/>
      <c r="B894" s="5"/>
      <c r="C894" s="5"/>
      <c r="D894" s="5"/>
      <c r="E894" s="5"/>
      <c r="F894" s="5"/>
      <c r="G894" s="5"/>
      <c r="H894" s="5"/>
      <c r="I894" s="5"/>
      <c r="J894" s="5"/>
      <c r="K894" s="5"/>
      <c r="L894" s="5"/>
      <c r="M894" s="5"/>
      <c r="N894" s="5"/>
      <c r="O894" s="5"/>
      <c r="P894" s="5"/>
      <c r="Q894" s="5"/>
      <c r="R894" s="5"/>
      <c r="S894" s="5"/>
      <c r="T894" s="5"/>
    </row>
    <row r="895" spans="1:20">
      <c r="A895" s="5"/>
      <c r="B895" s="5"/>
      <c r="C895" s="5"/>
      <c r="D895" s="5"/>
      <c r="E895" s="5"/>
      <c r="F895" s="5"/>
      <c r="G895" s="5"/>
      <c r="H895" s="5"/>
      <c r="I895" s="5"/>
      <c r="J895" s="5"/>
      <c r="K895" s="5"/>
      <c r="L895" s="5"/>
      <c r="M895" s="5"/>
      <c r="N895" s="5"/>
      <c r="O895" s="5"/>
      <c r="P895" s="5"/>
      <c r="Q895" s="5"/>
      <c r="R895" s="5"/>
      <c r="S895" s="5"/>
      <c r="T895" s="5"/>
    </row>
    <row r="896" spans="1:20">
      <c r="A896" s="5"/>
      <c r="B896" s="5"/>
      <c r="C896" s="5"/>
      <c r="D896" s="5"/>
      <c r="E896" s="5"/>
      <c r="F896" s="5"/>
      <c r="G896" s="5"/>
      <c r="H896" s="5"/>
      <c r="I896" s="5"/>
      <c r="J896" s="5"/>
      <c r="K896" s="5"/>
      <c r="L896" s="5"/>
      <c r="M896" s="5"/>
      <c r="N896" s="5"/>
      <c r="O896" s="5"/>
      <c r="P896" s="5"/>
      <c r="Q896" s="5"/>
      <c r="R896" s="5"/>
      <c r="S896" s="5"/>
      <c r="T896" s="5"/>
    </row>
    <row r="897" spans="1:20">
      <c r="A897" s="5"/>
      <c r="B897" s="5"/>
      <c r="C897" s="5"/>
      <c r="D897" s="5"/>
      <c r="E897" s="5"/>
      <c r="F897" s="5"/>
      <c r="G897" s="5"/>
      <c r="H897" s="5"/>
      <c r="I897" s="5"/>
      <c r="J897" s="5"/>
      <c r="K897" s="5"/>
      <c r="L897" s="5"/>
      <c r="M897" s="5"/>
      <c r="N897" s="5"/>
      <c r="O897" s="5"/>
      <c r="P897" s="5"/>
      <c r="Q897" s="5"/>
      <c r="R897" s="5"/>
      <c r="S897" s="5"/>
      <c r="T897" s="5"/>
    </row>
    <row r="898" spans="1:20">
      <c r="A898" s="5"/>
      <c r="B898" s="5"/>
      <c r="C898" s="5"/>
      <c r="D898" s="5"/>
      <c r="E898" s="5"/>
      <c r="F898" s="5"/>
      <c r="G898" s="5"/>
      <c r="H898" s="5"/>
      <c r="I898" s="5"/>
      <c r="J898" s="5"/>
      <c r="K898" s="5"/>
      <c r="L898" s="5"/>
      <c r="M898" s="5"/>
      <c r="N898" s="5"/>
      <c r="O898" s="5"/>
      <c r="P898" s="5"/>
      <c r="Q898" s="5"/>
      <c r="R898" s="5"/>
      <c r="S898" s="5"/>
      <c r="T898" s="5"/>
    </row>
    <row r="899" spans="1:20">
      <c r="A899" s="5"/>
      <c r="B899" s="5"/>
      <c r="C899" s="5"/>
      <c r="D899" s="5"/>
      <c r="E899" s="5"/>
      <c r="F899" s="5"/>
      <c r="G899" s="5"/>
      <c r="H899" s="5"/>
      <c r="I899" s="5"/>
      <c r="J899" s="5"/>
      <c r="K899" s="5"/>
      <c r="L899" s="5"/>
      <c r="M899" s="5"/>
      <c r="N899" s="5"/>
      <c r="O899" s="5"/>
      <c r="P899" s="5"/>
      <c r="Q899" s="5"/>
      <c r="R899" s="5"/>
      <c r="S899" s="5"/>
      <c r="T899" s="5"/>
    </row>
    <row r="900" spans="1:20">
      <c r="A900" s="5"/>
      <c r="B900" s="5"/>
      <c r="C900" s="5"/>
      <c r="D900" s="5"/>
      <c r="E900" s="5"/>
      <c r="F900" s="5"/>
      <c r="G900" s="5"/>
      <c r="H900" s="5"/>
      <c r="I900" s="5"/>
      <c r="J900" s="5"/>
      <c r="K900" s="5"/>
      <c r="L900" s="5"/>
      <c r="M900" s="5"/>
      <c r="N900" s="5"/>
      <c r="O900" s="5"/>
      <c r="P900" s="5"/>
      <c r="Q900" s="5"/>
      <c r="R900" s="5"/>
      <c r="S900" s="5"/>
      <c r="T900" s="5"/>
    </row>
    <row r="901" spans="1:20">
      <c r="A901" s="5"/>
      <c r="B901" s="5"/>
      <c r="C901" s="5"/>
      <c r="D901" s="5"/>
      <c r="E901" s="5"/>
      <c r="F901" s="5"/>
      <c r="G901" s="5"/>
      <c r="H901" s="5"/>
      <c r="I901" s="5"/>
      <c r="J901" s="5"/>
      <c r="K901" s="5"/>
      <c r="L901" s="5"/>
      <c r="M901" s="5"/>
      <c r="N901" s="5"/>
      <c r="O901" s="5"/>
      <c r="P901" s="5"/>
      <c r="Q901" s="5"/>
      <c r="R901" s="5"/>
      <c r="S901" s="5"/>
      <c r="T901" s="5"/>
    </row>
    <row r="902" spans="1:20">
      <c r="A902" s="5"/>
      <c r="B902" s="5"/>
      <c r="C902" s="5"/>
      <c r="D902" s="5"/>
      <c r="E902" s="5"/>
      <c r="F902" s="5"/>
      <c r="G902" s="5"/>
      <c r="H902" s="5"/>
      <c r="I902" s="5"/>
      <c r="J902" s="5"/>
      <c r="K902" s="5"/>
      <c r="L902" s="5"/>
      <c r="M902" s="5"/>
      <c r="N902" s="5"/>
      <c r="O902" s="5"/>
      <c r="P902" s="5"/>
      <c r="Q902" s="5"/>
      <c r="R902" s="5"/>
      <c r="S902" s="5"/>
      <c r="T902" s="5"/>
    </row>
    <row r="903" spans="1:20">
      <c r="A903" s="5"/>
      <c r="B903" s="5"/>
      <c r="C903" s="5"/>
      <c r="D903" s="5"/>
      <c r="E903" s="5"/>
      <c r="F903" s="5"/>
      <c r="G903" s="5"/>
      <c r="H903" s="5"/>
      <c r="I903" s="5"/>
      <c r="J903" s="5"/>
      <c r="K903" s="5"/>
      <c r="L903" s="5"/>
      <c r="M903" s="5"/>
      <c r="N903" s="5"/>
      <c r="O903" s="5"/>
      <c r="P903" s="5"/>
      <c r="Q903" s="5"/>
      <c r="R903" s="5"/>
      <c r="S903" s="5"/>
      <c r="T903" s="5"/>
    </row>
    <row r="904" spans="1:20">
      <c r="A904" s="5"/>
      <c r="B904" s="5"/>
      <c r="C904" s="5"/>
      <c r="D904" s="5"/>
      <c r="E904" s="5"/>
      <c r="F904" s="5"/>
      <c r="G904" s="5"/>
      <c r="H904" s="5"/>
      <c r="I904" s="5"/>
      <c r="J904" s="5"/>
      <c r="K904" s="5"/>
      <c r="L904" s="5"/>
      <c r="M904" s="5"/>
      <c r="N904" s="5"/>
      <c r="O904" s="5"/>
      <c r="P904" s="5"/>
      <c r="Q904" s="5"/>
      <c r="R904" s="5"/>
      <c r="S904" s="5"/>
      <c r="T904" s="5"/>
    </row>
    <row r="905" spans="1:20">
      <c r="A905" s="5"/>
      <c r="B905" s="5"/>
      <c r="C905" s="5"/>
      <c r="D905" s="5"/>
      <c r="E905" s="5"/>
      <c r="F905" s="5"/>
      <c r="G905" s="5"/>
      <c r="H905" s="5"/>
      <c r="I905" s="5"/>
      <c r="J905" s="5"/>
      <c r="K905" s="5"/>
      <c r="L905" s="5"/>
      <c r="M905" s="5"/>
      <c r="N905" s="5"/>
      <c r="O905" s="5"/>
      <c r="P905" s="5"/>
      <c r="Q905" s="5"/>
      <c r="R905" s="5"/>
      <c r="S905" s="5"/>
      <c r="T905" s="5"/>
    </row>
    <row r="906" spans="1:20">
      <c r="A906" s="5"/>
      <c r="B906" s="5"/>
      <c r="C906" s="5"/>
      <c r="D906" s="5"/>
      <c r="E906" s="5"/>
      <c r="F906" s="5"/>
      <c r="G906" s="5"/>
      <c r="H906" s="5"/>
      <c r="I906" s="5"/>
      <c r="J906" s="5"/>
      <c r="K906" s="5"/>
      <c r="L906" s="5"/>
      <c r="M906" s="5"/>
      <c r="N906" s="5"/>
      <c r="O906" s="5"/>
      <c r="P906" s="5"/>
      <c r="Q906" s="5"/>
      <c r="R906" s="5"/>
      <c r="S906" s="5"/>
      <c r="T906" s="5"/>
    </row>
    <row r="907" spans="1:20">
      <c r="A907" s="5"/>
      <c r="B907" s="5"/>
      <c r="C907" s="5"/>
      <c r="D907" s="5"/>
      <c r="E907" s="5"/>
      <c r="F907" s="5"/>
      <c r="G907" s="5"/>
      <c r="H907" s="5"/>
      <c r="I907" s="5"/>
      <c r="J907" s="5"/>
      <c r="K907" s="5"/>
      <c r="L907" s="5"/>
      <c r="M907" s="5"/>
      <c r="N907" s="5"/>
      <c r="O907" s="5"/>
      <c r="P907" s="5"/>
      <c r="Q907" s="5"/>
      <c r="R907" s="5"/>
      <c r="S907" s="5"/>
      <c r="T907" s="5"/>
    </row>
    <row r="908" spans="1:20">
      <c r="A908" s="5"/>
      <c r="B908" s="5"/>
      <c r="C908" s="5"/>
      <c r="D908" s="5"/>
      <c r="E908" s="5"/>
      <c r="F908" s="5"/>
      <c r="G908" s="5"/>
      <c r="H908" s="5"/>
      <c r="I908" s="5"/>
      <c r="J908" s="5"/>
      <c r="K908" s="5"/>
      <c r="L908" s="5"/>
      <c r="M908" s="5"/>
      <c r="N908" s="5"/>
      <c r="O908" s="5"/>
      <c r="P908" s="5"/>
      <c r="Q908" s="5"/>
      <c r="R908" s="5"/>
      <c r="S908" s="5"/>
      <c r="T908" s="5"/>
    </row>
    <row r="909" spans="1:20">
      <c r="A909" s="5"/>
      <c r="B909" s="5"/>
      <c r="C909" s="5"/>
      <c r="D909" s="5"/>
      <c r="E909" s="5"/>
      <c r="F909" s="5"/>
      <c r="G909" s="5"/>
      <c r="H909" s="5"/>
      <c r="I909" s="5"/>
      <c r="J909" s="5"/>
      <c r="K909" s="5"/>
      <c r="L909" s="5"/>
      <c r="M909" s="5"/>
      <c r="N909" s="5"/>
      <c r="O909" s="5"/>
      <c r="P909" s="5"/>
      <c r="Q909" s="5"/>
      <c r="R909" s="5"/>
      <c r="S909" s="5"/>
      <c r="T909" s="5"/>
    </row>
    <row r="910" spans="1:20">
      <c r="A910" s="5"/>
      <c r="B910" s="5"/>
      <c r="C910" s="5"/>
      <c r="D910" s="5"/>
      <c r="E910" s="5"/>
      <c r="F910" s="5"/>
      <c r="G910" s="5"/>
      <c r="H910" s="5"/>
      <c r="I910" s="5"/>
      <c r="J910" s="5"/>
      <c r="K910" s="5"/>
      <c r="L910" s="5"/>
      <c r="M910" s="5"/>
      <c r="N910" s="5"/>
      <c r="O910" s="5"/>
      <c r="P910" s="5"/>
      <c r="Q910" s="5"/>
      <c r="R910" s="5"/>
      <c r="S910" s="5"/>
      <c r="T910" s="5"/>
    </row>
    <row r="911" spans="1:20">
      <c r="A911" s="5"/>
      <c r="B911" s="5"/>
      <c r="C911" s="5"/>
      <c r="D911" s="5"/>
      <c r="E911" s="5"/>
      <c r="F911" s="5"/>
      <c r="G911" s="5"/>
      <c r="H911" s="5"/>
      <c r="I911" s="5"/>
      <c r="J911" s="5"/>
      <c r="K911" s="5"/>
      <c r="L911" s="5"/>
      <c r="M911" s="5"/>
      <c r="N911" s="5"/>
      <c r="O911" s="5"/>
      <c r="P911" s="5"/>
      <c r="Q911" s="5"/>
      <c r="R911" s="5"/>
      <c r="S911" s="5"/>
      <c r="T911" s="5"/>
    </row>
    <row r="912" spans="1:20">
      <c r="A912" s="5"/>
      <c r="B912" s="5"/>
      <c r="C912" s="5"/>
      <c r="D912" s="5"/>
      <c r="E912" s="5"/>
      <c r="F912" s="5"/>
      <c r="G912" s="5"/>
      <c r="H912" s="5"/>
      <c r="I912" s="5"/>
      <c r="J912" s="5"/>
      <c r="K912" s="5"/>
      <c r="L912" s="5"/>
      <c r="M912" s="5"/>
      <c r="N912" s="5"/>
      <c r="O912" s="5"/>
      <c r="P912" s="5"/>
      <c r="Q912" s="5"/>
      <c r="R912" s="5"/>
      <c r="S912" s="5"/>
      <c r="T912" s="5"/>
    </row>
    <row r="913" spans="1:20">
      <c r="A913" s="5"/>
      <c r="B913" s="5"/>
      <c r="C913" s="5"/>
      <c r="D913" s="5"/>
      <c r="E913" s="5"/>
      <c r="F913" s="5"/>
      <c r="G913" s="5"/>
      <c r="H913" s="5"/>
      <c r="I913" s="5"/>
      <c r="J913" s="5"/>
      <c r="K913" s="5"/>
      <c r="L913" s="5"/>
      <c r="M913" s="5"/>
      <c r="N913" s="5"/>
      <c r="O913" s="5"/>
      <c r="P913" s="5"/>
      <c r="Q913" s="5"/>
      <c r="R913" s="5"/>
      <c r="S913" s="5"/>
      <c r="T913" s="5"/>
    </row>
    <row r="914" spans="1:20">
      <c r="A914" s="5"/>
      <c r="B914" s="5"/>
      <c r="C914" s="5"/>
      <c r="D914" s="5"/>
      <c r="E914" s="5"/>
      <c r="F914" s="5"/>
      <c r="G914" s="5"/>
      <c r="H914" s="5"/>
      <c r="I914" s="5"/>
      <c r="J914" s="5"/>
      <c r="K914" s="5"/>
      <c r="L914" s="5"/>
      <c r="M914" s="5"/>
      <c r="N914" s="5"/>
      <c r="O914" s="5"/>
      <c r="P914" s="5"/>
      <c r="Q914" s="5"/>
      <c r="R914" s="5"/>
      <c r="S914" s="5"/>
      <c r="T914" s="5"/>
    </row>
    <row r="915" spans="1:20">
      <c r="A915" s="5"/>
      <c r="B915" s="5"/>
      <c r="C915" s="5"/>
      <c r="D915" s="5"/>
      <c r="E915" s="5"/>
      <c r="F915" s="5"/>
      <c r="G915" s="5"/>
      <c r="H915" s="5"/>
      <c r="I915" s="5"/>
      <c r="J915" s="5"/>
      <c r="K915" s="5"/>
      <c r="L915" s="5"/>
      <c r="M915" s="5"/>
      <c r="N915" s="5"/>
      <c r="O915" s="5"/>
      <c r="P915" s="5"/>
      <c r="Q915" s="5"/>
      <c r="R915" s="5"/>
      <c r="S915" s="5"/>
      <c r="T915" s="5"/>
    </row>
    <row r="916" spans="1:20">
      <c r="A916" s="5"/>
      <c r="B916" s="5"/>
      <c r="C916" s="5"/>
      <c r="D916" s="5"/>
      <c r="E916" s="5"/>
      <c r="F916" s="5"/>
      <c r="G916" s="5"/>
      <c r="H916" s="5"/>
      <c r="I916" s="5"/>
      <c r="J916" s="5"/>
      <c r="K916" s="5"/>
      <c r="L916" s="5"/>
      <c r="M916" s="5"/>
      <c r="N916" s="5"/>
      <c r="O916" s="5"/>
      <c r="P916" s="5"/>
      <c r="Q916" s="5"/>
      <c r="R916" s="5"/>
      <c r="S916" s="5"/>
      <c r="T916" s="5"/>
    </row>
    <row r="917" spans="1:20">
      <c r="A917" s="5"/>
      <c r="B917" s="5"/>
      <c r="C917" s="5"/>
      <c r="D917" s="5"/>
      <c r="E917" s="5"/>
      <c r="F917" s="5"/>
      <c r="G917" s="5"/>
      <c r="H917" s="5"/>
      <c r="I917" s="5"/>
      <c r="J917" s="5"/>
      <c r="K917" s="5"/>
      <c r="L917" s="5"/>
      <c r="M917" s="5"/>
      <c r="N917" s="5"/>
      <c r="O917" s="5"/>
      <c r="P917" s="5"/>
      <c r="Q917" s="5"/>
      <c r="R917" s="5"/>
      <c r="S917" s="5"/>
      <c r="T917" s="5"/>
    </row>
    <row r="918" spans="1:20">
      <c r="A918" s="5"/>
      <c r="B918" s="5"/>
      <c r="C918" s="5"/>
      <c r="D918" s="5"/>
      <c r="E918" s="5"/>
      <c r="F918" s="5"/>
      <c r="G918" s="5"/>
      <c r="H918" s="5"/>
      <c r="I918" s="5"/>
      <c r="J918" s="5"/>
      <c r="K918" s="5"/>
      <c r="L918" s="5"/>
      <c r="M918" s="5"/>
      <c r="N918" s="5"/>
      <c r="O918" s="5"/>
      <c r="P918" s="5"/>
      <c r="Q918" s="5"/>
      <c r="R918" s="5"/>
      <c r="S918" s="5"/>
      <c r="T918" s="5"/>
    </row>
    <row r="919" spans="1:20">
      <c r="A919" s="5"/>
      <c r="B919" s="5"/>
      <c r="C919" s="5"/>
      <c r="D919" s="5"/>
      <c r="E919" s="5"/>
      <c r="F919" s="5"/>
      <c r="G919" s="5"/>
      <c r="H919" s="5"/>
      <c r="I919" s="5"/>
      <c r="J919" s="5"/>
      <c r="K919" s="5"/>
      <c r="L919" s="5"/>
      <c r="M919" s="5"/>
      <c r="N919" s="5"/>
      <c r="O919" s="5"/>
      <c r="P919" s="5"/>
      <c r="Q919" s="5"/>
      <c r="R919" s="5"/>
      <c r="S919" s="5"/>
      <c r="T919" s="5"/>
    </row>
    <row r="920" spans="1:20">
      <c r="A920" s="5"/>
      <c r="B920" s="5"/>
      <c r="C920" s="5"/>
      <c r="D920" s="5"/>
      <c r="E920" s="5"/>
      <c r="F920" s="5"/>
      <c r="G920" s="5"/>
      <c r="H920" s="5"/>
      <c r="I920" s="5"/>
      <c r="J920" s="5"/>
      <c r="K920" s="5"/>
      <c r="L920" s="5"/>
      <c r="M920" s="5"/>
      <c r="N920" s="5"/>
      <c r="O920" s="5"/>
      <c r="P920" s="5"/>
      <c r="Q920" s="5"/>
      <c r="R920" s="5"/>
      <c r="S920" s="5"/>
      <c r="T920" s="5"/>
    </row>
    <row r="921" spans="1:20">
      <c r="A921" s="5"/>
      <c r="B921" s="5"/>
      <c r="C921" s="5"/>
      <c r="D921" s="5"/>
      <c r="E921" s="5"/>
      <c r="F921" s="5"/>
      <c r="G921" s="5"/>
      <c r="H921" s="5"/>
      <c r="I921" s="5"/>
      <c r="J921" s="5"/>
      <c r="K921" s="5"/>
      <c r="L921" s="5"/>
      <c r="M921" s="5"/>
      <c r="N921" s="5"/>
      <c r="O921" s="5"/>
      <c r="P921" s="5"/>
      <c r="Q921" s="5"/>
      <c r="R921" s="5"/>
      <c r="S921" s="5"/>
      <c r="T921" s="5"/>
    </row>
    <row r="922" spans="1:20">
      <c r="A922" s="5"/>
      <c r="B922" s="5"/>
      <c r="C922" s="5"/>
      <c r="D922" s="5"/>
      <c r="E922" s="5"/>
      <c r="F922" s="5"/>
      <c r="G922" s="5"/>
      <c r="H922" s="5"/>
      <c r="I922" s="5"/>
      <c r="J922" s="5"/>
      <c r="K922" s="5"/>
      <c r="L922" s="5"/>
      <c r="M922" s="5"/>
      <c r="N922" s="5"/>
      <c r="O922" s="5"/>
      <c r="P922" s="5"/>
      <c r="Q922" s="5"/>
      <c r="R922" s="5"/>
      <c r="S922" s="5"/>
      <c r="T922" s="5"/>
    </row>
    <row r="923" spans="1:20">
      <c r="A923" s="5"/>
      <c r="B923" s="5"/>
      <c r="C923" s="5"/>
      <c r="D923" s="5"/>
      <c r="E923" s="5"/>
      <c r="F923" s="5"/>
      <c r="G923" s="5"/>
      <c r="H923" s="5"/>
      <c r="I923" s="5"/>
      <c r="J923" s="5"/>
      <c r="K923" s="5"/>
      <c r="L923" s="5"/>
      <c r="M923" s="5"/>
      <c r="N923" s="5"/>
      <c r="O923" s="5"/>
      <c r="P923" s="5"/>
      <c r="Q923" s="5"/>
      <c r="R923" s="5"/>
      <c r="S923" s="5"/>
      <c r="T923" s="5"/>
    </row>
    <row r="924" spans="1:20">
      <c r="A924" s="5"/>
      <c r="B924" s="5"/>
      <c r="C924" s="5"/>
      <c r="D924" s="5"/>
      <c r="E924" s="5"/>
      <c r="F924" s="5"/>
      <c r="G924" s="5"/>
      <c r="H924" s="5"/>
      <c r="I924" s="5"/>
      <c r="J924" s="5"/>
      <c r="K924" s="5"/>
      <c r="L924" s="5"/>
      <c r="M924" s="5"/>
      <c r="N924" s="5"/>
      <c r="O924" s="5"/>
      <c r="P924" s="5"/>
      <c r="Q924" s="5"/>
      <c r="R924" s="5"/>
      <c r="S924" s="5"/>
      <c r="T924" s="5"/>
    </row>
    <row r="925" spans="1:20">
      <c r="A925" s="5"/>
      <c r="B925" s="5"/>
      <c r="C925" s="5"/>
      <c r="D925" s="5"/>
      <c r="E925" s="5"/>
      <c r="F925" s="5"/>
      <c r="G925" s="5"/>
      <c r="H925" s="5"/>
      <c r="I925" s="5"/>
      <c r="J925" s="5"/>
      <c r="K925" s="5"/>
      <c r="L925" s="5"/>
      <c r="M925" s="5"/>
      <c r="N925" s="5"/>
      <c r="O925" s="5"/>
      <c r="P925" s="5"/>
      <c r="Q925" s="5"/>
      <c r="R925" s="5"/>
      <c r="S925" s="5"/>
      <c r="T925" s="5"/>
    </row>
    <row r="926" spans="1:20">
      <c r="A926" s="5"/>
      <c r="B926" s="5"/>
      <c r="C926" s="5"/>
      <c r="D926" s="5"/>
      <c r="E926" s="5"/>
      <c r="F926" s="5"/>
      <c r="G926" s="5"/>
      <c r="H926" s="5"/>
      <c r="I926" s="5"/>
      <c r="J926" s="5"/>
      <c r="K926" s="5"/>
      <c r="L926" s="5"/>
      <c r="M926" s="5"/>
      <c r="N926" s="5"/>
      <c r="O926" s="5"/>
      <c r="P926" s="5"/>
      <c r="Q926" s="5"/>
      <c r="R926" s="5"/>
      <c r="S926" s="5"/>
      <c r="T926" s="5"/>
    </row>
    <row r="927" spans="1:20">
      <c r="A927" s="5"/>
      <c r="B927" s="5"/>
      <c r="C927" s="5"/>
      <c r="D927" s="5"/>
      <c r="E927" s="5"/>
      <c r="F927" s="5"/>
      <c r="G927" s="5"/>
      <c r="H927" s="5"/>
      <c r="I927" s="5"/>
      <c r="J927" s="5"/>
      <c r="K927" s="5"/>
      <c r="L927" s="5"/>
      <c r="M927" s="5"/>
      <c r="N927" s="5"/>
      <c r="O927" s="5"/>
      <c r="P927" s="5"/>
      <c r="Q927" s="5"/>
      <c r="R927" s="5"/>
      <c r="S927" s="5"/>
      <c r="T927" s="5"/>
    </row>
    <row r="928" spans="1:20">
      <c r="A928" s="5"/>
      <c r="B928" s="5"/>
      <c r="C928" s="5"/>
      <c r="D928" s="5"/>
      <c r="E928" s="5"/>
      <c r="F928" s="5"/>
      <c r="G928" s="5"/>
      <c r="H928" s="5"/>
      <c r="I928" s="5"/>
      <c r="J928" s="5"/>
      <c r="K928" s="5"/>
      <c r="L928" s="5"/>
      <c r="M928" s="5"/>
      <c r="N928" s="5"/>
      <c r="O928" s="5"/>
      <c r="P928" s="5"/>
      <c r="Q928" s="5"/>
      <c r="R928" s="5"/>
      <c r="S928" s="5"/>
      <c r="T928" s="5"/>
    </row>
    <row r="929" spans="1:20">
      <c r="A929" s="5"/>
      <c r="B929" s="5"/>
      <c r="C929" s="5"/>
      <c r="D929" s="5"/>
      <c r="E929" s="5"/>
      <c r="F929" s="5"/>
      <c r="G929" s="5"/>
      <c r="H929" s="5"/>
      <c r="I929" s="5"/>
      <c r="J929" s="5"/>
      <c r="K929" s="5"/>
      <c r="L929" s="5"/>
      <c r="M929" s="5"/>
      <c r="N929" s="5"/>
      <c r="O929" s="5"/>
      <c r="P929" s="5"/>
      <c r="Q929" s="5"/>
      <c r="R929" s="5"/>
      <c r="S929" s="5"/>
      <c r="T929" s="5"/>
    </row>
    <row r="930" spans="1:20">
      <c r="A930" s="5"/>
      <c r="B930" s="5"/>
      <c r="C930" s="5"/>
      <c r="D930" s="5"/>
      <c r="E930" s="5"/>
      <c r="F930" s="5"/>
      <c r="G930" s="5"/>
      <c r="H930" s="5"/>
      <c r="I930" s="5"/>
      <c r="J930" s="5"/>
      <c r="K930" s="5"/>
      <c r="L930" s="5"/>
      <c r="M930" s="5"/>
      <c r="N930" s="5"/>
      <c r="O930" s="5"/>
      <c r="P930" s="5"/>
      <c r="Q930" s="5"/>
      <c r="R930" s="5"/>
      <c r="S930" s="5"/>
      <c r="T930" s="5"/>
    </row>
    <row r="931" spans="1:20">
      <c r="A931" s="5"/>
      <c r="B931" s="5"/>
      <c r="C931" s="5"/>
      <c r="D931" s="5"/>
      <c r="E931" s="5"/>
      <c r="F931" s="5"/>
      <c r="G931" s="5"/>
      <c r="H931" s="5"/>
      <c r="I931" s="5"/>
      <c r="J931" s="5"/>
      <c r="K931" s="5"/>
      <c r="L931" s="5"/>
      <c r="M931" s="5"/>
      <c r="N931" s="5"/>
      <c r="O931" s="5"/>
      <c r="P931" s="5"/>
      <c r="Q931" s="5"/>
      <c r="R931" s="5"/>
      <c r="S931" s="5"/>
      <c r="T931" s="5"/>
    </row>
    <row r="932" spans="1:20">
      <c r="A932" s="5"/>
      <c r="B932" s="5"/>
      <c r="C932" s="5"/>
      <c r="D932" s="5"/>
      <c r="E932" s="5"/>
      <c r="F932" s="5"/>
      <c r="G932" s="5"/>
      <c r="H932" s="5"/>
      <c r="I932" s="5"/>
      <c r="J932" s="5"/>
      <c r="K932" s="5"/>
      <c r="L932" s="5"/>
      <c r="M932" s="5"/>
      <c r="N932" s="5"/>
      <c r="O932" s="5"/>
      <c r="P932" s="5"/>
      <c r="Q932" s="5"/>
      <c r="R932" s="5"/>
      <c r="S932" s="5"/>
      <c r="T932" s="5"/>
    </row>
    <row r="933" spans="1:20">
      <c r="A933" s="5"/>
      <c r="B933" s="5"/>
      <c r="C933" s="5"/>
      <c r="D933" s="5"/>
      <c r="E933" s="5"/>
      <c r="F933" s="5"/>
      <c r="G933" s="5"/>
      <c r="H933" s="5"/>
      <c r="I933" s="5"/>
      <c r="J933" s="5"/>
      <c r="K933" s="5"/>
      <c r="L933" s="5"/>
      <c r="M933" s="5"/>
      <c r="N933" s="5"/>
      <c r="O933" s="5"/>
      <c r="P933" s="5"/>
      <c r="Q933" s="5"/>
      <c r="R933" s="5"/>
      <c r="S933" s="5"/>
      <c r="T933" s="5"/>
    </row>
    <row r="934" spans="1:20">
      <c r="A934" s="5"/>
      <c r="B934" s="5"/>
      <c r="C934" s="5"/>
      <c r="D934" s="5"/>
      <c r="E934" s="5"/>
      <c r="F934" s="5"/>
      <c r="G934" s="5"/>
      <c r="H934" s="5"/>
      <c r="I934" s="5"/>
      <c r="J934" s="5"/>
      <c r="K934" s="5"/>
      <c r="L934" s="5"/>
      <c r="M934" s="5"/>
      <c r="N934" s="5"/>
      <c r="O934" s="5"/>
      <c r="P934" s="5"/>
      <c r="Q934" s="5"/>
      <c r="R934" s="5"/>
      <c r="S934" s="5"/>
      <c r="T934" s="5"/>
    </row>
    <row r="935" spans="1:20">
      <c r="A935" s="5"/>
      <c r="B935" s="5"/>
      <c r="C935" s="5"/>
      <c r="D935" s="5"/>
      <c r="E935" s="5"/>
      <c r="F935" s="5"/>
      <c r="G935" s="5"/>
      <c r="H935" s="5"/>
      <c r="I935" s="5"/>
      <c r="J935" s="5"/>
      <c r="K935" s="5"/>
      <c r="L935" s="5"/>
      <c r="M935" s="5"/>
      <c r="N935" s="5"/>
      <c r="O935" s="5"/>
      <c r="P935" s="5"/>
      <c r="Q935" s="5"/>
      <c r="R935" s="5"/>
      <c r="S935" s="5"/>
      <c r="T935" s="5"/>
    </row>
    <row r="936" spans="1:20">
      <c r="A936" s="5"/>
      <c r="B936" s="5"/>
      <c r="C936" s="5"/>
      <c r="D936" s="5"/>
      <c r="E936" s="5"/>
      <c r="F936" s="5"/>
      <c r="G936" s="5"/>
      <c r="H936" s="5"/>
      <c r="I936" s="5"/>
      <c r="J936" s="5"/>
      <c r="K936" s="5"/>
      <c r="L936" s="5"/>
      <c r="M936" s="5"/>
      <c r="N936" s="5"/>
      <c r="O936" s="5"/>
      <c r="P936" s="5"/>
      <c r="Q936" s="5"/>
      <c r="R936" s="5"/>
      <c r="S936" s="5"/>
      <c r="T936" s="5"/>
    </row>
    <row r="937" spans="1:20">
      <c r="A937" s="5"/>
      <c r="B937" s="5"/>
      <c r="C937" s="5"/>
      <c r="D937" s="5"/>
      <c r="E937" s="5"/>
      <c r="F937" s="5"/>
      <c r="G937" s="5"/>
      <c r="H937" s="5"/>
      <c r="I937" s="5"/>
      <c r="J937" s="5"/>
      <c r="K937" s="5"/>
      <c r="L937" s="5"/>
      <c r="M937" s="5"/>
      <c r="N937" s="5"/>
      <c r="O937" s="5"/>
      <c r="P937" s="5"/>
      <c r="Q937" s="5"/>
      <c r="R937" s="5"/>
      <c r="S937" s="5"/>
      <c r="T937" s="5"/>
    </row>
    <row r="938" spans="1:20">
      <c r="A938" s="5"/>
      <c r="B938" s="5"/>
      <c r="C938" s="5"/>
      <c r="D938" s="5"/>
      <c r="E938" s="5"/>
      <c r="F938" s="5"/>
      <c r="G938" s="5"/>
      <c r="H938" s="5"/>
      <c r="I938" s="5"/>
      <c r="J938" s="5"/>
      <c r="K938" s="5"/>
      <c r="L938" s="5"/>
      <c r="M938" s="5"/>
      <c r="N938" s="5"/>
      <c r="O938" s="5"/>
      <c r="P938" s="5"/>
      <c r="Q938" s="5"/>
      <c r="R938" s="5"/>
      <c r="S938" s="5"/>
      <c r="T938" s="5"/>
    </row>
    <row r="939" spans="1:20">
      <c r="A939" s="5"/>
      <c r="B939" s="5"/>
      <c r="C939" s="5"/>
      <c r="D939" s="5"/>
      <c r="E939" s="5"/>
      <c r="F939" s="5"/>
      <c r="G939" s="5"/>
      <c r="H939" s="5"/>
      <c r="I939" s="5"/>
      <c r="J939" s="5"/>
      <c r="K939" s="5"/>
      <c r="L939" s="5"/>
      <c r="M939" s="5"/>
      <c r="N939" s="5"/>
      <c r="O939" s="5"/>
      <c r="P939" s="5"/>
      <c r="Q939" s="5"/>
      <c r="R939" s="5"/>
      <c r="S939" s="5"/>
      <c r="T939" s="5"/>
    </row>
    <row r="940" spans="1:20">
      <c r="A940" s="5"/>
      <c r="B940" s="5"/>
      <c r="C940" s="5"/>
      <c r="D940" s="5"/>
      <c r="E940" s="5"/>
      <c r="F940" s="5"/>
      <c r="G940" s="5"/>
      <c r="H940" s="5"/>
      <c r="I940" s="5"/>
      <c r="J940" s="5"/>
      <c r="K940" s="5"/>
      <c r="L940" s="5"/>
      <c r="M940" s="5"/>
      <c r="N940" s="5"/>
      <c r="O940" s="5"/>
      <c r="P940" s="5"/>
      <c r="Q940" s="5"/>
      <c r="R940" s="5"/>
      <c r="S940" s="5"/>
      <c r="T940" s="5"/>
    </row>
    <row r="941" spans="1:20">
      <c r="A941" s="5"/>
      <c r="B941" s="5"/>
      <c r="C941" s="5"/>
      <c r="D941" s="5"/>
      <c r="E941" s="5"/>
      <c r="F941" s="5"/>
      <c r="G941" s="5"/>
      <c r="H941" s="5"/>
      <c r="I941" s="5"/>
      <c r="J941" s="5"/>
      <c r="K941" s="5"/>
      <c r="L941" s="5"/>
      <c r="M941" s="5"/>
      <c r="N941" s="5"/>
      <c r="O941" s="5"/>
      <c r="P941" s="5"/>
      <c r="Q941" s="5"/>
      <c r="R941" s="5"/>
      <c r="S941" s="5"/>
      <c r="T941" s="5"/>
    </row>
    <row r="942" spans="1:20">
      <c r="A942" s="5"/>
      <c r="B942" s="5"/>
      <c r="C942" s="5"/>
      <c r="D942" s="5"/>
      <c r="E942" s="5"/>
      <c r="F942" s="5"/>
      <c r="G942" s="5"/>
      <c r="H942" s="5"/>
      <c r="I942" s="5"/>
      <c r="J942" s="5"/>
      <c r="K942" s="5"/>
      <c r="L942" s="5"/>
      <c r="M942" s="5"/>
      <c r="N942" s="5"/>
      <c r="O942" s="5"/>
      <c r="P942" s="5"/>
      <c r="Q942" s="5"/>
      <c r="R942" s="5"/>
      <c r="S942" s="5"/>
      <c r="T942" s="5"/>
    </row>
    <row r="943" spans="1:20">
      <c r="A943" s="5"/>
      <c r="B943" s="5"/>
      <c r="C943" s="5"/>
      <c r="D943" s="5"/>
      <c r="E943" s="5"/>
      <c r="F943" s="5"/>
      <c r="G943" s="5"/>
      <c r="H943" s="5"/>
      <c r="I943" s="5"/>
      <c r="J943" s="5"/>
      <c r="K943" s="5"/>
      <c r="L943" s="5"/>
      <c r="M943" s="5"/>
      <c r="N943" s="5"/>
      <c r="O943" s="5"/>
      <c r="P943" s="5"/>
      <c r="Q943" s="5"/>
      <c r="R943" s="5"/>
      <c r="S943" s="5"/>
      <c r="T943" s="5"/>
    </row>
    <row r="944" spans="1:20">
      <c r="A944" s="5"/>
      <c r="B944" s="5"/>
      <c r="C944" s="5"/>
      <c r="D944" s="5"/>
      <c r="E944" s="5"/>
      <c r="F944" s="5"/>
      <c r="G944" s="5"/>
      <c r="H944" s="5"/>
      <c r="I944" s="5"/>
      <c r="J944" s="5"/>
      <c r="K944" s="5"/>
      <c r="L944" s="5"/>
      <c r="M944" s="5"/>
      <c r="N944" s="5"/>
      <c r="O944" s="5"/>
      <c r="P944" s="5"/>
      <c r="Q944" s="5"/>
      <c r="R944" s="5"/>
      <c r="S944" s="5"/>
      <c r="T944" s="5"/>
    </row>
    <row r="945" spans="1:20">
      <c r="A945" s="5"/>
      <c r="B945" s="5"/>
      <c r="C945" s="5"/>
      <c r="D945" s="5"/>
      <c r="E945" s="5"/>
      <c r="F945" s="5"/>
      <c r="G945" s="5"/>
      <c r="H945" s="5"/>
      <c r="I945" s="5"/>
      <c r="J945" s="5"/>
      <c r="K945" s="5"/>
      <c r="L945" s="5"/>
      <c r="M945" s="5"/>
      <c r="N945" s="5"/>
      <c r="O945" s="5"/>
      <c r="P945" s="5"/>
      <c r="Q945" s="5"/>
      <c r="R945" s="5"/>
      <c r="S945" s="5"/>
      <c r="T945" s="5"/>
    </row>
    <row r="946" spans="1:20">
      <c r="A946" s="5"/>
      <c r="B946" s="5"/>
      <c r="C946" s="5"/>
      <c r="D946" s="5"/>
      <c r="E946" s="5"/>
      <c r="F946" s="5"/>
      <c r="G946" s="5"/>
      <c r="H946" s="5"/>
      <c r="I946" s="5"/>
      <c r="J946" s="5"/>
      <c r="K946" s="5"/>
      <c r="L946" s="5"/>
      <c r="M946" s="5"/>
      <c r="N946" s="5"/>
      <c r="O946" s="5"/>
      <c r="P946" s="5"/>
      <c r="Q946" s="5"/>
      <c r="R946" s="5"/>
      <c r="S946" s="5"/>
      <c r="T946" s="5"/>
    </row>
    <row r="947" spans="1:20">
      <c r="A947" s="5"/>
      <c r="B947" s="5"/>
      <c r="C947" s="5"/>
      <c r="D947" s="5"/>
      <c r="E947" s="5"/>
      <c r="F947" s="5"/>
      <c r="G947" s="5"/>
      <c r="H947" s="5"/>
      <c r="I947" s="5"/>
      <c r="J947" s="5"/>
      <c r="K947" s="5"/>
      <c r="L947" s="5"/>
      <c r="M947" s="5"/>
      <c r="N947" s="5"/>
      <c r="O947" s="5"/>
      <c r="P947" s="5"/>
      <c r="Q947" s="5"/>
      <c r="R947" s="5"/>
      <c r="S947" s="5"/>
      <c r="T947" s="5"/>
    </row>
    <row r="948" spans="1:20">
      <c r="A948" s="5"/>
      <c r="B948" s="5"/>
      <c r="C948" s="5"/>
      <c r="D948" s="5"/>
      <c r="E948" s="5"/>
      <c r="F948" s="5"/>
      <c r="G948" s="5"/>
      <c r="H948" s="5"/>
      <c r="I948" s="5"/>
      <c r="J948" s="5"/>
      <c r="K948" s="5"/>
      <c r="L948" s="5"/>
      <c r="M948" s="5"/>
      <c r="N948" s="5"/>
      <c r="O948" s="5"/>
      <c r="P948" s="5"/>
      <c r="Q948" s="5"/>
      <c r="R948" s="5"/>
      <c r="S948" s="5"/>
      <c r="T948" s="5"/>
    </row>
    <row r="949" spans="1:20">
      <c r="A949" s="5"/>
      <c r="B949" s="5"/>
      <c r="C949" s="5"/>
      <c r="D949" s="5"/>
      <c r="E949" s="5"/>
      <c r="F949" s="5"/>
      <c r="G949" s="5"/>
      <c r="H949" s="5"/>
      <c r="I949" s="5"/>
      <c r="J949" s="5"/>
      <c r="K949" s="5"/>
      <c r="L949" s="5"/>
      <c r="M949" s="5"/>
      <c r="N949" s="5"/>
      <c r="O949" s="5"/>
      <c r="P949" s="5"/>
      <c r="Q949" s="5"/>
      <c r="R949" s="5"/>
      <c r="S949" s="5"/>
      <c r="T949" s="5"/>
    </row>
    <row r="950" spans="1:20">
      <c r="A950" s="5"/>
      <c r="B950" s="5"/>
      <c r="C950" s="5"/>
      <c r="D950" s="5"/>
      <c r="E950" s="5"/>
      <c r="F950" s="5"/>
      <c r="G950" s="5"/>
      <c r="H950" s="5"/>
      <c r="I950" s="5"/>
      <c r="J950" s="5"/>
      <c r="K950" s="5"/>
      <c r="L950" s="5"/>
      <c r="M950" s="5"/>
      <c r="N950" s="5"/>
      <c r="O950" s="5"/>
      <c r="P950" s="5"/>
      <c r="Q950" s="5"/>
      <c r="R950" s="5"/>
      <c r="S950" s="5"/>
      <c r="T950" s="5"/>
    </row>
    <row r="951" spans="1:20">
      <c r="A951" s="5"/>
      <c r="B951" s="5"/>
      <c r="C951" s="5"/>
      <c r="D951" s="5"/>
      <c r="E951" s="5"/>
      <c r="F951" s="5"/>
      <c r="G951" s="5"/>
      <c r="H951" s="5"/>
      <c r="I951" s="5"/>
      <c r="J951" s="5"/>
      <c r="K951" s="5"/>
      <c r="L951" s="5"/>
      <c r="M951" s="5"/>
      <c r="N951" s="5"/>
      <c r="O951" s="5"/>
      <c r="P951" s="5"/>
      <c r="Q951" s="5"/>
      <c r="R951" s="5"/>
      <c r="S951" s="5"/>
      <c r="T951" s="5"/>
    </row>
    <row r="952" spans="1:20">
      <c r="A952" s="5"/>
      <c r="B952" s="5"/>
      <c r="C952" s="5"/>
      <c r="D952" s="5"/>
      <c r="E952" s="5"/>
      <c r="F952" s="5"/>
      <c r="G952" s="5"/>
      <c r="H952" s="5"/>
      <c r="I952" s="5"/>
      <c r="J952" s="5"/>
      <c r="K952" s="5"/>
      <c r="L952" s="5"/>
      <c r="M952" s="5"/>
      <c r="N952" s="5"/>
      <c r="O952" s="5"/>
      <c r="P952" s="5"/>
      <c r="Q952" s="5"/>
      <c r="R952" s="5"/>
      <c r="S952" s="5"/>
      <c r="T952" s="5"/>
    </row>
    <row r="953" spans="1:20">
      <c r="A953" s="5"/>
      <c r="B953" s="5"/>
      <c r="C953" s="5"/>
      <c r="D953" s="5"/>
      <c r="E953" s="5"/>
      <c r="F953" s="5"/>
      <c r="G953" s="5"/>
      <c r="H953" s="5"/>
      <c r="I953" s="5"/>
      <c r="J953" s="5"/>
      <c r="K953" s="5"/>
      <c r="L953" s="5"/>
      <c r="M953" s="5"/>
      <c r="N953" s="5"/>
      <c r="O953" s="5"/>
      <c r="P953" s="5"/>
      <c r="Q953" s="5"/>
      <c r="R953" s="5"/>
      <c r="S953" s="5"/>
      <c r="T953" s="5"/>
    </row>
    <row r="954" spans="1:20">
      <c r="A954" s="5"/>
      <c r="B954" s="5"/>
      <c r="C954" s="5"/>
      <c r="D954" s="5"/>
      <c r="E954" s="5"/>
      <c r="F954" s="5"/>
      <c r="G954" s="5"/>
      <c r="H954" s="5"/>
      <c r="I954" s="5"/>
      <c r="J954" s="5"/>
      <c r="K954" s="5"/>
      <c r="L954" s="5"/>
      <c r="M954" s="5"/>
      <c r="N954" s="5"/>
      <c r="O954" s="5"/>
      <c r="P954" s="5"/>
      <c r="Q954" s="5"/>
      <c r="R954" s="5"/>
      <c r="S954" s="5"/>
      <c r="T954" s="5"/>
    </row>
    <row r="955" spans="1:20">
      <c r="A955" s="5"/>
      <c r="B955" s="5"/>
      <c r="C955" s="5"/>
      <c r="D955" s="5"/>
      <c r="E955" s="5"/>
      <c r="F955" s="5"/>
      <c r="G955" s="5"/>
      <c r="H955" s="5"/>
      <c r="I955" s="5"/>
      <c r="J955" s="5"/>
      <c r="K955" s="5"/>
      <c r="L955" s="5"/>
      <c r="M955" s="5"/>
      <c r="N955" s="5"/>
      <c r="O955" s="5"/>
      <c r="P955" s="5"/>
      <c r="Q955" s="5"/>
      <c r="R955" s="5"/>
      <c r="S955" s="5"/>
      <c r="T955" s="5"/>
    </row>
    <row r="956" spans="1:20">
      <c r="A956" s="5"/>
      <c r="B956" s="5"/>
      <c r="C956" s="5"/>
      <c r="D956" s="5"/>
      <c r="E956" s="5"/>
      <c r="F956" s="5"/>
      <c r="G956" s="5"/>
      <c r="H956" s="5"/>
      <c r="I956" s="5"/>
      <c r="J956" s="5"/>
      <c r="K956" s="5"/>
      <c r="L956" s="5"/>
      <c r="M956" s="5"/>
      <c r="N956" s="5"/>
      <c r="O956" s="5"/>
      <c r="P956" s="5"/>
      <c r="Q956" s="5"/>
      <c r="R956" s="5"/>
      <c r="S956" s="5"/>
      <c r="T956" s="5"/>
    </row>
    <row r="957" spans="1:20">
      <c r="A957" s="5"/>
      <c r="B957" s="5"/>
      <c r="C957" s="5"/>
      <c r="D957" s="5"/>
      <c r="E957" s="5"/>
      <c r="F957" s="5"/>
      <c r="G957" s="5"/>
      <c r="H957" s="5"/>
      <c r="I957" s="5"/>
      <c r="J957" s="5"/>
      <c r="K957" s="5"/>
      <c r="L957" s="5"/>
      <c r="M957" s="5"/>
      <c r="N957" s="5"/>
      <c r="O957" s="5"/>
      <c r="P957" s="5"/>
      <c r="Q957" s="5"/>
      <c r="R957" s="5"/>
      <c r="S957" s="5"/>
      <c r="T957" s="5"/>
    </row>
    <row r="958" spans="1:20">
      <c r="A958" s="5"/>
      <c r="B958" s="5"/>
      <c r="C958" s="5"/>
      <c r="D958" s="5"/>
      <c r="E958" s="5"/>
      <c r="F958" s="5"/>
      <c r="G958" s="5"/>
      <c r="H958" s="5"/>
      <c r="I958" s="5"/>
      <c r="J958" s="5"/>
      <c r="K958" s="5"/>
      <c r="L958" s="5"/>
      <c r="M958" s="5"/>
      <c r="N958" s="5"/>
      <c r="O958" s="5"/>
      <c r="P958" s="5"/>
      <c r="Q958" s="5"/>
      <c r="R958" s="5"/>
      <c r="S958" s="5"/>
      <c r="T958" s="5"/>
    </row>
    <row r="959" spans="1:20">
      <c r="A959" s="5"/>
      <c r="B959" s="5"/>
      <c r="C959" s="5"/>
      <c r="D959" s="5"/>
      <c r="E959" s="5"/>
      <c r="F959" s="5"/>
      <c r="G959" s="5"/>
      <c r="H959" s="5"/>
      <c r="I959" s="5"/>
      <c r="J959" s="5"/>
      <c r="K959" s="5"/>
      <c r="L959" s="5"/>
      <c r="M959" s="5"/>
      <c r="N959" s="5"/>
      <c r="O959" s="5"/>
      <c r="P959" s="5"/>
      <c r="Q959" s="5"/>
      <c r="R959" s="5"/>
      <c r="S959" s="5"/>
      <c r="T959" s="5"/>
    </row>
    <row r="960" spans="1:20">
      <c r="A960" s="5"/>
      <c r="B960" s="5"/>
      <c r="C960" s="5"/>
      <c r="D960" s="5"/>
      <c r="E960" s="5"/>
      <c r="F960" s="5"/>
      <c r="G960" s="5"/>
      <c r="H960" s="5"/>
      <c r="I960" s="5"/>
      <c r="J960" s="5"/>
      <c r="K960" s="5"/>
      <c r="L960" s="5"/>
      <c r="M960" s="5"/>
      <c r="N960" s="5"/>
      <c r="O960" s="5"/>
      <c r="P960" s="5"/>
      <c r="Q960" s="5"/>
      <c r="R960" s="5"/>
      <c r="S960" s="5"/>
      <c r="T960" s="5"/>
    </row>
    <row r="961" spans="1:20">
      <c r="A961" s="5"/>
      <c r="B961" s="5"/>
      <c r="C961" s="5"/>
      <c r="D961" s="5"/>
      <c r="E961" s="5"/>
      <c r="F961" s="5"/>
      <c r="G961" s="5"/>
      <c r="H961" s="5"/>
      <c r="I961" s="5"/>
      <c r="J961" s="5"/>
      <c r="K961" s="5"/>
      <c r="L961" s="5"/>
      <c r="M961" s="5"/>
      <c r="N961" s="5"/>
      <c r="O961" s="5"/>
      <c r="P961" s="5"/>
      <c r="Q961" s="5"/>
      <c r="R961" s="5"/>
      <c r="S961" s="5"/>
      <c r="T961" s="5"/>
    </row>
    <row r="962" spans="1:20">
      <c r="A962" s="5"/>
      <c r="B962" s="5"/>
      <c r="C962" s="5"/>
      <c r="D962" s="5"/>
      <c r="E962" s="5"/>
      <c r="F962" s="5"/>
      <c r="G962" s="5"/>
      <c r="H962" s="5"/>
      <c r="I962" s="5"/>
      <c r="J962" s="5"/>
      <c r="K962" s="5"/>
      <c r="L962" s="5"/>
      <c r="M962" s="5"/>
      <c r="N962" s="5"/>
      <c r="O962" s="5"/>
      <c r="P962" s="5"/>
      <c r="Q962" s="5"/>
      <c r="R962" s="5"/>
      <c r="S962" s="5"/>
      <c r="T962" s="5"/>
    </row>
    <row r="963" spans="1:20">
      <c r="A963" s="5"/>
      <c r="B963" s="5"/>
      <c r="C963" s="5"/>
      <c r="D963" s="5"/>
      <c r="E963" s="5"/>
      <c r="F963" s="5"/>
      <c r="G963" s="5"/>
      <c r="H963" s="5"/>
      <c r="I963" s="5"/>
      <c r="J963" s="5"/>
      <c r="K963" s="5"/>
      <c r="L963" s="5"/>
      <c r="M963" s="5"/>
      <c r="N963" s="5"/>
      <c r="O963" s="5"/>
      <c r="P963" s="5"/>
      <c r="Q963" s="5"/>
      <c r="R963" s="5"/>
      <c r="S963" s="5"/>
      <c r="T963" s="5"/>
    </row>
    <row r="964" spans="1:20">
      <c r="A964" s="5"/>
      <c r="B964" s="5"/>
      <c r="C964" s="5"/>
      <c r="D964" s="5"/>
      <c r="E964" s="5"/>
      <c r="F964" s="5"/>
      <c r="G964" s="5"/>
      <c r="H964" s="5"/>
      <c r="I964" s="5"/>
      <c r="J964" s="5"/>
      <c r="K964" s="5"/>
      <c r="L964" s="5"/>
      <c r="M964" s="5"/>
      <c r="N964" s="5"/>
      <c r="O964" s="5"/>
      <c r="P964" s="5"/>
      <c r="Q964" s="5"/>
      <c r="R964" s="5"/>
      <c r="S964" s="5"/>
      <c r="T964" s="5"/>
    </row>
    <row r="965" spans="1:20">
      <c r="A965" s="5"/>
      <c r="B965" s="5"/>
      <c r="C965" s="5"/>
      <c r="D965" s="5"/>
      <c r="E965" s="5"/>
      <c r="F965" s="5"/>
      <c r="G965" s="5"/>
      <c r="H965" s="5"/>
      <c r="I965" s="5"/>
      <c r="J965" s="5"/>
      <c r="K965" s="5"/>
      <c r="L965" s="5"/>
      <c r="M965" s="5"/>
      <c r="N965" s="5"/>
      <c r="O965" s="5"/>
      <c r="P965" s="5"/>
      <c r="Q965" s="5"/>
      <c r="R965" s="5"/>
      <c r="S965" s="5"/>
      <c r="T965" s="5"/>
    </row>
    <row r="966" spans="1:20">
      <c r="A966" s="5"/>
      <c r="B966" s="5"/>
      <c r="C966" s="5"/>
      <c r="D966" s="5"/>
      <c r="E966" s="5"/>
      <c r="F966" s="5"/>
      <c r="G966" s="5"/>
      <c r="H966" s="5"/>
      <c r="I966" s="5"/>
      <c r="J966" s="5"/>
      <c r="K966" s="5"/>
      <c r="L966" s="5"/>
      <c r="M966" s="5"/>
      <c r="N966" s="5"/>
      <c r="O966" s="5"/>
      <c r="P966" s="5"/>
      <c r="Q966" s="5"/>
      <c r="R966" s="5"/>
      <c r="S966" s="5"/>
      <c r="T966" s="5"/>
    </row>
    <row r="967" spans="1:20">
      <c r="A967" s="5"/>
      <c r="B967" s="5"/>
      <c r="C967" s="5"/>
      <c r="D967" s="5"/>
      <c r="E967" s="5"/>
      <c r="F967" s="5"/>
      <c r="G967" s="5"/>
      <c r="H967" s="5"/>
      <c r="I967" s="5"/>
      <c r="J967" s="5"/>
      <c r="K967" s="5"/>
      <c r="L967" s="5"/>
      <c r="M967" s="5"/>
      <c r="N967" s="5"/>
      <c r="O967" s="5"/>
      <c r="P967" s="5"/>
      <c r="Q967" s="5"/>
      <c r="R967" s="5"/>
      <c r="S967" s="5"/>
      <c r="T967" s="5"/>
    </row>
    <row r="968" spans="1:20">
      <c r="A968" s="5"/>
      <c r="B968" s="5"/>
      <c r="C968" s="5"/>
      <c r="D968" s="5"/>
      <c r="E968" s="5"/>
      <c r="F968" s="5"/>
      <c r="G968" s="5"/>
      <c r="H968" s="5"/>
      <c r="I968" s="5"/>
      <c r="J968" s="5"/>
      <c r="K968" s="5"/>
      <c r="L968" s="5"/>
      <c r="M968" s="5"/>
      <c r="N968" s="5"/>
      <c r="O968" s="5"/>
      <c r="P968" s="5"/>
      <c r="Q968" s="5"/>
      <c r="R968" s="5"/>
      <c r="S968" s="5"/>
      <c r="T968" s="5"/>
    </row>
    <row r="969" spans="1:20">
      <c r="A969" s="5"/>
      <c r="B969" s="5"/>
      <c r="C969" s="5"/>
      <c r="D969" s="5"/>
      <c r="E969" s="5"/>
      <c r="F969" s="5"/>
      <c r="G969" s="5"/>
      <c r="H969" s="5"/>
      <c r="I969" s="5"/>
      <c r="J969" s="5"/>
      <c r="K969" s="5"/>
      <c r="L969" s="5"/>
      <c r="M969" s="5"/>
      <c r="N969" s="5"/>
      <c r="O969" s="5"/>
      <c r="P969" s="5"/>
      <c r="Q969" s="5"/>
      <c r="R969" s="5"/>
      <c r="S969" s="5"/>
      <c r="T969" s="5"/>
    </row>
    <row r="970" spans="1:20">
      <c r="A970" s="5"/>
      <c r="B970" s="5"/>
      <c r="C970" s="5"/>
      <c r="D970" s="5"/>
      <c r="E970" s="5"/>
      <c r="F970" s="5"/>
      <c r="G970" s="5"/>
      <c r="H970" s="5"/>
      <c r="I970" s="5"/>
      <c r="J970" s="5"/>
      <c r="K970" s="5"/>
      <c r="L970" s="5"/>
      <c r="M970" s="5"/>
      <c r="N970" s="5"/>
      <c r="O970" s="5"/>
      <c r="P970" s="5"/>
      <c r="Q970" s="5"/>
      <c r="R970" s="5"/>
      <c r="S970" s="5"/>
      <c r="T970" s="5"/>
    </row>
    <row r="971" spans="1:20">
      <c r="A971" s="5"/>
      <c r="B971" s="5"/>
      <c r="C971" s="5"/>
      <c r="D971" s="5"/>
      <c r="E971" s="5"/>
      <c r="F971" s="5"/>
      <c r="G971" s="5"/>
      <c r="H971" s="5"/>
      <c r="I971" s="5"/>
      <c r="J971" s="5"/>
      <c r="K971" s="5"/>
      <c r="L971" s="5"/>
      <c r="M971" s="5"/>
      <c r="N971" s="5"/>
      <c r="O971" s="5"/>
      <c r="P971" s="5"/>
      <c r="Q971" s="5"/>
      <c r="R971" s="5"/>
      <c r="S971" s="5"/>
      <c r="T971" s="5"/>
    </row>
    <row r="972" spans="1:20">
      <c r="A972" s="5"/>
      <c r="B972" s="5"/>
      <c r="C972" s="5"/>
      <c r="D972" s="5"/>
      <c r="E972" s="5"/>
      <c r="F972" s="5"/>
      <c r="G972" s="5"/>
      <c r="H972" s="5"/>
      <c r="I972" s="5"/>
      <c r="J972" s="5"/>
      <c r="K972" s="5"/>
      <c r="L972" s="5"/>
      <c r="M972" s="5"/>
      <c r="N972" s="5"/>
      <c r="O972" s="5"/>
      <c r="P972" s="5"/>
      <c r="Q972" s="5"/>
      <c r="R972" s="5"/>
      <c r="S972" s="5"/>
      <c r="T972" s="5"/>
    </row>
    <row r="973" spans="1:20">
      <c r="A973" s="5"/>
      <c r="B973" s="5"/>
      <c r="C973" s="5"/>
      <c r="D973" s="5"/>
      <c r="E973" s="5"/>
      <c r="F973" s="5"/>
      <c r="G973" s="5"/>
      <c r="H973" s="5"/>
      <c r="I973" s="5"/>
      <c r="J973" s="5"/>
      <c r="K973" s="5"/>
      <c r="L973" s="5"/>
      <c r="M973" s="5"/>
      <c r="N973" s="5"/>
      <c r="O973" s="5"/>
      <c r="P973" s="5"/>
      <c r="Q973" s="5"/>
      <c r="R973" s="5"/>
      <c r="S973" s="5"/>
      <c r="T973" s="5"/>
    </row>
    <row r="974" spans="1:20">
      <c r="A974" s="5"/>
      <c r="B974" s="5"/>
      <c r="C974" s="5"/>
      <c r="D974" s="5"/>
      <c r="E974" s="5"/>
      <c r="F974" s="5"/>
      <c r="G974" s="5"/>
      <c r="H974" s="5"/>
      <c r="I974" s="5"/>
      <c r="J974" s="5"/>
      <c r="K974" s="5"/>
      <c r="L974" s="5"/>
      <c r="M974" s="5"/>
      <c r="N974" s="5"/>
      <c r="O974" s="5"/>
      <c r="P974" s="5"/>
      <c r="Q974" s="5"/>
      <c r="R974" s="5"/>
      <c r="S974" s="5"/>
      <c r="T974" s="5"/>
    </row>
    <row r="975" spans="1:20">
      <c r="A975" s="5"/>
      <c r="B975" s="5"/>
      <c r="C975" s="5"/>
      <c r="D975" s="5"/>
      <c r="E975" s="5"/>
      <c r="F975" s="5"/>
      <c r="G975" s="5"/>
      <c r="H975" s="5"/>
      <c r="I975" s="5"/>
      <c r="J975" s="5"/>
      <c r="K975" s="5"/>
      <c r="L975" s="5"/>
      <c r="M975" s="5"/>
      <c r="N975" s="5"/>
      <c r="O975" s="5"/>
      <c r="P975" s="5"/>
      <c r="Q975" s="5"/>
      <c r="R975" s="5"/>
      <c r="S975" s="5"/>
      <c r="T975" s="5"/>
    </row>
    <row r="976" spans="1:20">
      <c r="A976" s="5"/>
      <c r="B976" s="5"/>
      <c r="C976" s="5"/>
      <c r="D976" s="5"/>
      <c r="E976" s="5"/>
      <c r="F976" s="5"/>
      <c r="G976" s="5"/>
      <c r="H976" s="5"/>
      <c r="I976" s="5"/>
      <c r="J976" s="5"/>
      <c r="K976" s="5"/>
      <c r="L976" s="5"/>
      <c r="M976" s="5"/>
      <c r="N976" s="5"/>
      <c r="O976" s="5"/>
      <c r="P976" s="5"/>
      <c r="Q976" s="5"/>
      <c r="R976" s="5"/>
      <c r="S976" s="5"/>
      <c r="T976" s="5"/>
    </row>
    <row r="977" spans="1:20">
      <c r="A977" s="5"/>
      <c r="B977" s="5"/>
      <c r="C977" s="5"/>
      <c r="D977" s="5"/>
      <c r="E977" s="5"/>
      <c r="F977" s="5"/>
      <c r="G977" s="5"/>
      <c r="H977" s="5"/>
      <c r="I977" s="5"/>
      <c r="J977" s="5"/>
      <c r="K977" s="5"/>
      <c r="L977" s="5"/>
      <c r="M977" s="5"/>
      <c r="N977" s="5"/>
      <c r="O977" s="5"/>
      <c r="P977" s="5"/>
      <c r="Q977" s="5"/>
      <c r="R977" s="5"/>
      <c r="S977" s="5"/>
      <c r="T977" s="5"/>
    </row>
    <row r="978" spans="1:20">
      <c r="A978" s="5"/>
      <c r="B978" s="5"/>
      <c r="C978" s="5"/>
      <c r="D978" s="5"/>
      <c r="E978" s="5"/>
      <c r="F978" s="5"/>
      <c r="G978" s="5"/>
      <c r="H978" s="5"/>
      <c r="I978" s="5"/>
      <c r="J978" s="5"/>
      <c r="K978" s="5"/>
      <c r="L978" s="5"/>
      <c r="M978" s="5"/>
      <c r="N978" s="5"/>
      <c r="O978" s="5"/>
      <c r="P978" s="5"/>
      <c r="Q978" s="5"/>
      <c r="R978" s="5"/>
      <c r="S978" s="5"/>
      <c r="T978" s="5"/>
    </row>
    <row r="979" spans="1:20">
      <c r="A979" s="5"/>
      <c r="B979" s="5"/>
      <c r="C979" s="5"/>
      <c r="D979" s="5"/>
      <c r="E979" s="5"/>
      <c r="F979" s="5"/>
      <c r="G979" s="5"/>
      <c r="H979" s="5"/>
      <c r="I979" s="5"/>
      <c r="J979" s="5"/>
      <c r="K979" s="5"/>
      <c r="L979" s="5"/>
      <c r="M979" s="5"/>
      <c r="N979" s="5"/>
      <c r="O979" s="5"/>
      <c r="P979" s="5"/>
      <c r="Q979" s="5"/>
      <c r="R979" s="5"/>
      <c r="S979" s="5"/>
      <c r="T979" s="5"/>
    </row>
    <row r="980" spans="1:20">
      <c r="A980" s="5"/>
      <c r="B980" s="5"/>
      <c r="C980" s="5"/>
      <c r="D980" s="5"/>
      <c r="E980" s="5"/>
      <c r="F980" s="5"/>
      <c r="G980" s="5"/>
      <c r="H980" s="5"/>
      <c r="I980" s="5"/>
      <c r="J980" s="5"/>
      <c r="K980" s="5"/>
      <c r="L980" s="5"/>
      <c r="M980" s="5"/>
      <c r="N980" s="5"/>
      <c r="O980" s="5"/>
      <c r="P980" s="5"/>
      <c r="Q980" s="5"/>
      <c r="R980" s="5"/>
      <c r="S980" s="5"/>
      <c r="T980" s="5"/>
    </row>
    <row r="981" spans="1:20">
      <c r="A981" s="5"/>
      <c r="B981" s="5"/>
      <c r="C981" s="5"/>
      <c r="D981" s="5"/>
      <c r="E981" s="5"/>
      <c r="F981" s="5"/>
      <c r="G981" s="5"/>
      <c r="H981" s="5"/>
      <c r="I981" s="5"/>
      <c r="J981" s="5"/>
      <c r="K981" s="5"/>
      <c r="L981" s="5"/>
      <c r="M981" s="5"/>
      <c r="N981" s="5"/>
      <c r="O981" s="5"/>
      <c r="P981" s="5"/>
      <c r="Q981" s="5"/>
      <c r="R981" s="5"/>
      <c r="S981" s="5"/>
      <c r="T981" s="5"/>
    </row>
    <row r="982" spans="1:20">
      <c r="A982" s="5"/>
      <c r="B982" s="5"/>
      <c r="C982" s="5"/>
      <c r="D982" s="5"/>
      <c r="E982" s="5"/>
      <c r="F982" s="5"/>
      <c r="G982" s="5"/>
      <c r="H982" s="5"/>
      <c r="I982" s="5"/>
      <c r="J982" s="5"/>
      <c r="K982" s="5"/>
      <c r="L982" s="5"/>
      <c r="M982" s="5"/>
      <c r="N982" s="5"/>
      <c r="O982" s="5"/>
      <c r="P982" s="5"/>
      <c r="Q982" s="5"/>
      <c r="R982" s="5"/>
      <c r="S982" s="5"/>
      <c r="T982" s="5"/>
    </row>
    <row r="983" spans="1:20">
      <c r="A983" s="5"/>
      <c r="B983" s="5"/>
      <c r="C983" s="5"/>
      <c r="D983" s="5"/>
      <c r="E983" s="5"/>
      <c r="F983" s="5"/>
      <c r="G983" s="5"/>
      <c r="H983" s="5"/>
      <c r="I983" s="5"/>
      <c r="J983" s="5"/>
      <c r="K983" s="5"/>
      <c r="L983" s="5"/>
      <c r="M983" s="5"/>
      <c r="N983" s="5"/>
      <c r="O983" s="5"/>
      <c r="P983" s="5"/>
      <c r="Q983" s="5"/>
      <c r="R983" s="5"/>
      <c r="S983" s="5"/>
      <c r="T983" s="5"/>
    </row>
    <row r="984" spans="1:20">
      <c r="A984" s="5"/>
      <c r="B984" s="5"/>
      <c r="C984" s="5"/>
      <c r="D984" s="5"/>
      <c r="E984" s="5"/>
      <c r="F984" s="5"/>
      <c r="G984" s="5"/>
      <c r="H984" s="5"/>
      <c r="I984" s="5"/>
      <c r="J984" s="5"/>
      <c r="K984" s="5"/>
      <c r="L984" s="5"/>
      <c r="M984" s="5"/>
      <c r="N984" s="5"/>
      <c r="O984" s="5"/>
      <c r="P984" s="5"/>
      <c r="Q984" s="5"/>
      <c r="R984" s="5"/>
      <c r="S984" s="5"/>
      <c r="T984" s="5"/>
    </row>
    <row r="985" spans="1:20">
      <c r="A985" s="5"/>
      <c r="B985" s="5"/>
      <c r="C985" s="5"/>
      <c r="D985" s="5"/>
      <c r="E985" s="5"/>
      <c r="F985" s="5"/>
      <c r="G985" s="5"/>
      <c r="H985" s="5"/>
      <c r="I985" s="5"/>
      <c r="J985" s="5"/>
      <c r="K985" s="5"/>
      <c r="L985" s="5"/>
      <c r="M985" s="5"/>
      <c r="N985" s="5"/>
      <c r="O985" s="5"/>
      <c r="P985" s="5"/>
      <c r="Q985" s="5"/>
      <c r="R985" s="5"/>
      <c r="S985" s="5"/>
      <c r="T985" s="5"/>
    </row>
    <row r="986" spans="1:20">
      <c r="A986" s="5"/>
      <c r="B986" s="5"/>
      <c r="C986" s="5"/>
      <c r="D986" s="5"/>
      <c r="E986" s="5"/>
      <c r="F986" s="5"/>
      <c r="G986" s="5"/>
      <c r="H986" s="5"/>
      <c r="I986" s="5"/>
      <c r="J986" s="5"/>
      <c r="K986" s="5"/>
      <c r="L986" s="5"/>
      <c r="M986" s="5"/>
      <c r="N986" s="5"/>
      <c r="O986" s="5"/>
      <c r="P986" s="5"/>
      <c r="Q986" s="5"/>
      <c r="R986" s="5"/>
      <c r="S986" s="5"/>
      <c r="T986" s="5"/>
    </row>
    <row r="987" spans="1:20">
      <c r="A987" s="5"/>
      <c r="B987" s="5"/>
      <c r="C987" s="5"/>
      <c r="D987" s="5"/>
      <c r="E987" s="5"/>
      <c r="F987" s="5"/>
      <c r="G987" s="5"/>
      <c r="H987" s="5"/>
      <c r="I987" s="5"/>
      <c r="J987" s="5"/>
      <c r="K987" s="5"/>
      <c r="L987" s="5"/>
      <c r="M987" s="5"/>
      <c r="N987" s="5"/>
      <c r="O987" s="5"/>
      <c r="P987" s="5"/>
      <c r="Q987" s="5"/>
      <c r="R987" s="5"/>
      <c r="S987" s="5"/>
      <c r="T987" s="5"/>
    </row>
    <row r="988" spans="1:20">
      <c r="A988" s="5"/>
      <c r="B988" s="5"/>
      <c r="C988" s="5"/>
      <c r="D988" s="5"/>
      <c r="E988" s="5"/>
      <c r="F988" s="5"/>
      <c r="G988" s="5"/>
      <c r="H988" s="5"/>
      <c r="I988" s="5"/>
      <c r="J988" s="5"/>
      <c r="K988" s="5"/>
      <c r="L988" s="5"/>
      <c r="M988" s="5"/>
      <c r="N988" s="5"/>
      <c r="O988" s="5"/>
      <c r="P988" s="5"/>
      <c r="Q988" s="5"/>
      <c r="R988" s="5"/>
      <c r="S988" s="5"/>
      <c r="T988" s="5"/>
    </row>
    <row r="989" spans="1:20">
      <c r="A989" s="5"/>
      <c r="B989" s="5"/>
      <c r="C989" s="5"/>
      <c r="D989" s="5"/>
      <c r="E989" s="5"/>
      <c r="F989" s="5"/>
      <c r="G989" s="5"/>
      <c r="H989" s="5"/>
      <c r="I989" s="5"/>
      <c r="J989" s="5"/>
      <c r="K989" s="5"/>
      <c r="L989" s="5"/>
      <c r="M989" s="5"/>
      <c r="N989" s="5"/>
      <c r="O989" s="5"/>
      <c r="P989" s="5"/>
      <c r="Q989" s="5"/>
      <c r="R989" s="5"/>
      <c r="S989" s="5"/>
      <c r="T989" s="5"/>
    </row>
    <row r="990" spans="1:20">
      <c r="A990" s="5"/>
      <c r="B990" s="5"/>
      <c r="C990" s="5"/>
      <c r="D990" s="5"/>
      <c r="E990" s="5"/>
      <c r="F990" s="5"/>
      <c r="G990" s="5"/>
      <c r="H990" s="5"/>
      <c r="I990" s="5"/>
      <c r="J990" s="5"/>
      <c r="K990" s="5"/>
      <c r="L990" s="5"/>
      <c r="M990" s="5"/>
      <c r="N990" s="5"/>
      <c r="O990" s="5"/>
      <c r="P990" s="5"/>
      <c r="Q990" s="5"/>
      <c r="R990" s="5"/>
      <c r="S990" s="5"/>
      <c r="T990" s="5"/>
    </row>
    <row r="991" spans="1:20">
      <c r="A991" s="5"/>
      <c r="B991" s="5"/>
      <c r="C991" s="5"/>
      <c r="D991" s="5"/>
      <c r="E991" s="5"/>
      <c r="F991" s="5"/>
      <c r="G991" s="5"/>
      <c r="H991" s="5"/>
      <c r="I991" s="5"/>
      <c r="J991" s="5"/>
      <c r="K991" s="5"/>
      <c r="L991" s="5"/>
      <c r="M991" s="5"/>
      <c r="N991" s="5"/>
      <c r="O991" s="5"/>
      <c r="P991" s="5"/>
      <c r="Q991" s="5"/>
      <c r="R991" s="5"/>
      <c r="S991" s="5"/>
      <c r="T991" s="5"/>
    </row>
    <row r="992" spans="1:20">
      <c r="A992" s="5"/>
      <c r="B992" s="5"/>
      <c r="C992" s="5"/>
      <c r="D992" s="5"/>
      <c r="E992" s="5"/>
      <c r="F992" s="5"/>
      <c r="G992" s="5"/>
      <c r="H992" s="5"/>
      <c r="I992" s="5"/>
      <c r="J992" s="5"/>
      <c r="K992" s="5"/>
      <c r="L992" s="5"/>
      <c r="M992" s="5"/>
      <c r="N992" s="5"/>
      <c r="O992" s="5"/>
      <c r="P992" s="5"/>
      <c r="Q992" s="5"/>
      <c r="R992" s="5"/>
      <c r="S992" s="5"/>
      <c r="T992" s="5"/>
    </row>
    <row r="993" spans="1:20">
      <c r="A993" s="5"/>
      <c r="B993" s="5"/>
      <c r="C993" s="5"/>
      <c r="D993" s="5"/>
      <c r="E993" s="5"/>
      <c r="F993" s="5"/>
      <c r="G993" s="5"/>
      <c r="H993" s="5"/>
      <c r="I993" s="5"/>
      <c r="J993" s="5"/>
      <c r="K993" s="5"/>
      <c r="L993" s="5"/>
      <c r="M993" s="5"/>
      <c r="N993" s="5"/>
      <c r="O993" s="5"/>
      <c r="P993" s="5"/>
      <c r="Q993" s="5"/>
      <c r="R993" s="5"/>
      <c r="S993" s="5"/>
      <c r="T993" s="5"/>
    </row>
    <row r="994" spans="1:20">
      <c r="A994" s="5"/>
      <c r="B994" s="5"/>
      <c r="C994" s="5"/>
      <c r="D994" s="5"/>
      <c r="E994" s="5"/>
      <c r="F994" s="5"/>
      <c r="G994" s="5"/>
      <c r="H994" s="5"/>
      <c r="I994" s="5"/>
      <c r="J994" s="5"/>
      <c r="K994" s="5"/>
      <c r="L994" s="5"/>
      <c r="M994" s="5"/>
      <c r="N994" s="5"/>
      <c r="O994" s="5"/>
      <c r="P994" s="5"/>
      <c r="Q994" s="5"/>
      <c r="R994" s="5"/>
      <c r="S994" s="5"/>
      <c r="T994" s="5"/>
    </row>
    <row r="995" spans="1:20">
      <c r="A995" s="5"/>
      <c r="B995" s="5"/>
      <c r="C995" s="5"/>
      <c r="D995" s="5"/>
      <c r="E995" s="5"/>
      <c r="F995" s="5"/>
      <c r="G995" s="5"/>
      <c r="H995" s="5"/>
      <c r="I995" s="5"/>
      <c r="J995" s="5"/>
      <c r="K995" s="5"/>
      <c r="L995" s="5"/>
      <c r="M995" s="5"/>
      <c r="N995" s="5"/>
      <c r="O995" s="5"/>
      <c r="P995" s="5"/>
      <c r="Q995" s="5"/>
      <c r="R995" s="5"/>
      <c r="S995" s="5"/>
      <c r="T995" s="5"/>
    </row>
    <row r="996" spans="1:20">
      <c r="A996" s="5"/>
      <c r="B996" s="5"/>
      <c r="C996" s="5"/>
      <c r="D996" s="5"/>
      <c r="E996" s="5"/>
      <c r="F996" s="5"/>
      <c r="G996" s="5"/>
      <c r="H996" s="5"/>
      <c r="I996" s="5"/>
      <c r="J996" s="5"/>
      <c r="K996" s="5"/>
      <c r="L996" s="5"/>
      <c r="M996" s="5"/>
      <c r="N996" s="5"/>
      <c r="O996" s="5"/>
      <c r="P996" s="5"/>
      <c r="Q996" s="5"/>
      <c r="R996" s="5"/>
      <c r="S996" s="5"/>
      <c r="T996" s="5"/>
    </row>
    <row r="997" spans="1:20">
      <c r="A997" s="5"/>
      <c r="B997" s="5"/>
      <c r="C997" s="5"/>
      <c r="D997" s="5"/>
      <c r="E997" s="5"/>
      <c r="F997" s="5"/>
      <c r="G997" s="5"/>
      <c r="H997" s="5"/>
      <c r="I997" s="5"/>
      <c r="J997" s="5"/>
      <c r="K997" s="5"/>
      <c r="L997" s="5"/>
      <c r="M997" s="5"/>
      <c r="N997" s="5"/>
      <c r="O997" s="5"/>
      <c r="P997" s="5"/>
      <c r="Q997" s="5"/>
      <c r="R997" s="5"/>
      <c r="S997" s="5"/>
      <c r="T997" s="5"/>
    </row>
    <row r="998" spans="1:20">
      <c r="A998" s="5"/>
      <c r="B998" s="5"/>
      <c r="C998" s="5"/>
      <c r="D998" s="5"/>
      <c r="E998" s="5"/>
      <c r="F998" s="5"/>
      <c r="G998" s="5"/>
      <c r="H998" s="5"/>
      <c r="I998" s="5"/>
      <c r="J998" s="5"/>
      <c r="K998" s="5"/>
      <c r="L998" s="5"/>
      <c r="M998" s="5"/>
      <c r="N998" s="5"/>
      <c r="O998" s="5"/>
      <c r="P998" s="5"/>
      <c r="Q998" s="5"/>
      <c r="R998" s="5"/>
      <c r="S998" s="5"/>
      <c r="T998" s="5"/>
    </row>
    <row r="999" spans="1:20">
      <c r="A999" s="5"/>
      <c r="B999" s="5"/>
      <c r="C999" s="5"/>
      <c r="D999" s="5"/>
      <c r="E999" s="5"/>
      <c r="F999" s="5"/>
      <c r="G999" s="5"/>
      <c r="H999" s="5"/>
      <c r="I999" s="5"/>
      <c r="J999" s="5"/>
      <c r="K999" s="5"/>
      <c r="L999" s="5"/>
      <c r="M999" s="5"/>
      <c r="N999" s="5"/>
      <c r="O999" s="5"/>
      <c r="P999" s="5"/>
      <c r="Q999" s="5"/>
      <c r="R999" s="5"/>
      <c r="S999" s="5"/>
      <c r="T999" s="5"/>
    </row>
    <row r="1000" spans="1:20">
      <c r="A1000" s="5"/>
      <c r="B1000" s="5"/>
      <c r="C1000" s="5"/>
      <c r="D1000" s="5"/>
      <c r="E1000" s="5"/>
      <c r="F1000" s="5"/>
      <c r="G1000" s="5"/>
      <c r="H1000" s="5"/>
      <c r="I1000" s="5"/>
      <c r="J1000" s="5"/>
      <c r="K1000" s="5"/>
      <c r="L1000" s="5"/>
      <c r="M1000" s="5"/>
      <c r="N1000" s="5"/>
      <c r="O1000" s="5"/>
      <c r="P1000" s="5"/>
      <c r="Q1000" s="5"/>
      <c r="R1000" s="5"/>
      <c r="S1000" s="5"/>
      <c r="T1000" s="5"/>
    </row>
    <row r="1001" spans="1:20">
      <c r="A1001" s="5"/>
      <c r="B1001" s="5"/>
      <c r="C1001" s="5"/>
      <c r="D1001" s="5"/>
      <c r="E1001" s="5"/>
      <c r="F1001" s="5"/>
      <c r="G1001" s="5"/>
      <c r="H1001" s="5"/>
      <c r="I1001" s="5"/>
      <c r="J1001" s="5"/>
      <c r="K1001" s="5"/>
      <c r="L1001" s="5"/>
      <c r="M1001" s="5"/>
      <c r="N1001" s="5"/>
      <c r="O1001" s="5"/>
      <c r="P1001" s="5"/>
      <c r="Q1001" s="5"/>
      <c r="R1001" s="5"/>
      <c r="S1001" s="5"/>
      <c r="T1001" s="5"/>
    </row>
    <row r="1002" spans="1:20">
      <c r="A1002" s="27" t="s">
        <v>90</v>
      </c>
      <c r="B1002" s="27" t="s">
        <v>90</v>
      </c>
      <c r="C1002" s="27" t="s">
        <v>90</v>
      </c>
      <c r="D1002" s="27" t="s">
        <v>90</v>
      </c>
      <c r="E1002" s="28"/>
      <c r="F1002" s="28"/>
      <c r="G1002" s="28"/>
      <c r="H1002" s="28"/>
      <c r="I1002" s="28"/>
      <c r="J1002" s="28"/>
      <c r="K1002" s="28"/>
      <c r="L1002" s="28"/>
      <c r="M1002" s="28"/>
      <c r="N1002" s="28"/>
      <c r="O1002" s="28"/>
      <c r="P1002" s="28"/>
      <c r="Q1002" s="28"/>
      <c r="R1002" s="28"/>
      <c r="S1002" s="28"/>
      <c r="T1002" s="28"/>
    </row>
  </sheetData>
  <mergeCells count="12">
    <mergeCell ref="O4:P4"/>
    <mergeCell ref="C5:C6"/>
    <mergeCell ref="D5:D6"/>
    <mergeCell ref="E5:E6"/>
    <mergeCell ref="I7:J8"/>
    <mergeCell ref="K7:K8"/>
    <mergeCell ref="L7:L8"/>
    <mergeCell ref="I9:J9"/>
    <mergeCell ref="I12:I13"/>
    <mergeCell ref="J12:J13"/>
    <mergeCell ref="K12:L12"/>
    <mergeCell ref="I4:J4"/>
  </mergeCells>
  <dataValidations count="1">
    <dataValidation type="list" allowBlank="1" showInputMessage="1" showErrorMessage="1" sqref="K6" xr:uid="{00000000-0002-0000-0400-000000000000}">
      <formula1>$Y$2:$Y$4</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9"/>
  </sheetPr>
  <dimension ref="A1:W1002"/>
  <sheetViews>
    <sheetView workbookViewId="0">
      <selection activeCell="C7" sqref="C7"/>
    </sheetView>
  </sheetViews>
  <sheetFormatPr baseColWidth="10" defaultColWidth="11" defaultRowHeight="16"/>
  <cols>
    <col min="1" max="1" width="5.33203125" customWidth="1"/>
    <col min="2" max="2" width="14.5" customWidth="1"/>
    <col min="3" max="6" width="17.1640625" customWidth="1"/>
    <col min="9" max="12" width="21.6640625" customWidth="1"/>
    <col min="14" max="16" width="12.6640625" customWidth="1"/>
  </cols>
  <sheetData>
    <row r="1" spans="1:23" ht="23">
      <c r="A1" s="2"/>
      <c r="B1" s="3" t="s">
        <v>88</v>
      </c>
      <c r="C1" s="2"/>
      <c r="D1" s="2"/>
      <c r="E1" s="2"/>
      <c r="F1" s="2"/>
      <c r="G1" s="2"/>
      <c r="H1" s="2"/>
      <c r="I1" s="2"/>
      <c r="J1" s="2"/>
      <c r="K1" s="2"/>
      <c r="L1" s="2"/>
      <c r="M1" s="2"/>
      <c r="N1" s="2"/>
      <c r="O1" s="2"/>
      <c r="P1" s="2"/>
      <c r="Q1" s="2"/>
      <c r="R1" s="2"/>
      <c r="W1" t="s">
        <v>31</v>
      </c>
    </row>
    <row r="2" spans="1:23" ht="17" customHeight="1">
      <c r="A2" s="7"/>
      <c r="B2" s="6"/>
      <c r="C2" s="6"/>
      <c r="D2" s="6"/>
      <c r="E2" s="6"/>
      <c r="F2" s="6"/>
      <c r="G2" s="6"/>
      <c r="H2" s="7"/>
      <c r="I2" s="17"/>
      <c r="J2" s="17"/>
      <c r="K2" s="17"/>
      <c r="L2" s="7"/>
      <c r="M2" s="6"/>
      <c r="N2" s="6"/>
      <c r="O2" s="6"/>
      <c r="P2" s="6"/>
      <c r="Q2" s="5"/>
      <c r="R2" s="5"/>
      <c r="W2" t="s">
        <v>28</v>
      </c>
    </row>
    <row r="3" spans="1:23" ht="17" customHeight="1">
      <c r="A3" s="6"/>
      <c r="B3" s="6"/>
      <c r="C3" s="7"/>
      <c r="D3" s="7"/>
      <c r="E3" s="7"/>
      <c r="F3" s="7"/>
      <c r="G3" s="7"/>
      <c r="H3" s="7"/>
      <c r="I3" s="7"/>
      <c r="J3" s="7"/>
      <c r="K3" s="7"/>
      <c r="L3" s="7"/>
      <c r="M3" s="65"/>
      <c r="N3" s="65"/>
      <c r="O3" s="65"/>
      <c r="P3" s="65"/>
      <c r="Q3" s="5"/>
      <c r="R3" s="5"/>
      <c r="W3" t="s">
        <v>10</v>
      </c>
    </row>
    <row r="4" spans="1:23" ht="17" customHeight="1" thickBot="1">
      <c r="A4" s="6"/>
      <c r="B4" s="6"/>
      <c r="C4" s="8" t="s">
        <v>76</v>
      </c>
      <c r="D4" s="9"/>
      <c r="E4" s="9"/>
      <c r="F4" s="10"/>
      <c r="G4" s="7"/>
      <c r="H4" s="7"/>
      <c r="I4" s="168" t="s">
        <v>3</v>
      </c>
      <c r="J4" s="169"/>
      <c r="K4" s="9"/>
      <c r="L4" s="10"/>
      <c r="M4" s="65"/>
      <c r="N4" s="217" t="s">
        <v>77</v>
      </c>
      <c r="O4" s="218"/>
      <c r="P4" s="219"/>
      <c r="Q4" s="5"/>
      <c r="R4" s="5"/>
      <c r="W4" t="s">
        <v>32</v>
      </c>
    </row>
    <row r="5" spans="1:23" ht="17" customHeight="1">
      <c r="A5" s="32"/>
      <c r="B5" s="6"/>
      <c r="C5" s="176" t="s">
        <v>78</v>
      </c>
      <c r="D5" s="215" t="s">
        <v>4</v>
      </c>
      <c r="E5" s="176" t="s">
        <v>120</v>
      </c>
      <c r="F5" s="214"/>
      <c r="G5" s="7"/>
      <c r="H5" s="7"/>
      <c r="I5" s="11" t="s">
        <v>91</v>
      </c>
      <c r="J5" s="76" t="s">
        <v>93</v>
      </c>
      <c r="K5" s="11" t="s">
        <v>9</v>
      </c>
      <c r="L5" s="76" t="s">
        <v>95</v>
      </c>
      <c r="M5" s="65"/>
      <c r="N5" s="77" t="s">
        <v>83</v>
      </c>
      <c r="O5" s="78"/>
      <c r="P5" s="79"/>
      <c r="Q5" s="5"/>
      <c r="R5" s="5"/>
    </row>
    <row r="6" spans="1:23" ht="17" customHeight="1" thickBot="1">
      <c r="A6" s="32"/>
      <c r="B6" s="6"/>
      <c r="C6" s="177"/>
      <c r="D6" s="220"/>
      <c r="E6" s="177"/>
      <c r="F6" s="221"/>
      <c r="G6" s="7"/>
      <c r="H6" s="7"/>
      <c r="I6" s="80" t="s">
        <v>92</v>
      </c>
      <c r="J6" s="91" t="s">
        <v>94</v>
      </c>
      <c r="K6" s="81" t="s">
        <v>10</v>
      </c>
      <c r="L6" s="91" t="s">
        <v>96</v>
      </c>
      <c r="M6" s="65"/>
      <c r="N6" s="65"/>
      <c r="O6" s="152"/>
      <c r="P6" s="149">
        <f>D7*I10</f>
        <v>48</v>
      </c>
      <c r="Q6" s="140"/>
      <c r="R6" s="5"/>
    </row>
    <row r="7" spans="1:23" ht="17" customHeight="1" thickBot="1">
      <c r="A7" s="32"/>
      <c r="B7" s="6"/>
      <c r="C7" s="82">
        <v>48</v>
      </c>
      <c r="D7" s="82">
        <v>120</v>
      </c>
      <c r="E7" s="83">
        <f>C7/D7</f>
        <v>0.4</v>
      </c>
      <c r="F7" s="84" t="s">
        <v>83</v>
      </c>
      <c r="G7" s="7"/>
      <c r="H7" s="7"/>
      <c r="I7" s="186" t="s">
        <v>84</v>
      </c>
      <c r="J7" s="188" t="s">
        <v>85</v>
      </c>
      <c r="K7" s="182" t="s">
        <v>81</v>
      </c>
      <c r="L7" s="193" t="s">
        <v>14</v>
      </c>
      <c r="M7" s="65"/>
      <c r="N7" s="65"/>
      <c r="O7" s="139"/>
      <c r="P7" s="149">
        <f>D7*(1-I10)</f>
        <v>72</v>
      </c>
      <c r="Q7" s="140"/>
      <c r="R7" s="5"/>
    </row>
    <row r="8" spans="1:23" ht="17" customHeight="1" thickBot="1">
      <c r="A8" s="6"/>
      <c r="B8" s="6"/>
      <c r="C8" s="82">
        <v>40</v>
      </c>
      <c r="D8" s="82">
        <v>90</v>
      </c>
      <c r="E8" s="83">
        <f>C8/D8</f>
        <v>0.44444444444444442</v>
      </c>
      <c r="F8" s="84" t="s">
        <v>86</v>
      </c>
      <c r="G8" s="7"/>
      <c r="H8" s="7"/>
      <c r="I8" s="186"/>
      <c r="J8" s="188"/>
      <c r="K8" s="182"/>
      <c r="L8" s="193"/>
      <c r="M8" s="65"/>
      <c r="N8" s="77" t="s">
        <v>86</v>
      </c>
      <c r="O8" s="85"/>
      <c r="P8" s="86"/>
      <c r="Q8" s="140"/>
      <c r="R8" s="5"/>
    </row>
    <row r="9" spans="1:23" ht="17" customHeight="1">
      <c r="A9" s="6"/>
      <c r="B9" s="6"/>
      <c r="C9" s="7"/>
      <c r="D9" s="7"/>
      <c r="E9" s="7"/>
      <c r="F9" s="7"/>
      <c r="G9" s="7"/>
      <c r="H9" s="7"/>
      <c r="I9" s="187"/>
      <c r="J9" s="189"/>
      <c r="K9" s="183"/>
      <c r="L9" s="194"/>
      <c r="M9" s="65"/>
      <c r="N9" s="65"/>
      <c r="O9" s="139"/>
      <c r="P9" s="149">
        <f>D8*J10</f>
        <v>40</v>
      </c>
      <c r="Q9" s="140"/>
      <c r="R9" s="5"/>
    </row>
    <row r="10" spans="1:23" ht="17" customHeight="1" thickBot="1">
      <c r="A10" s="6"/>
      <c r="B10" s="6"/>
      <c r="C10" s="8" t="s">
        <v>15</v>
      </c>
      <c r="D10" s="87"/>
      <c r="E10" s="88"/>
      <c r="F10" s="89"/>
      <c r="G10" s="7"/>
      <c r="H10" s="7"/>
      <c r="I10" s="11">
        <f>E7</f>
        <v>0.4</v>
      </c>
      <c r="J10" s="11">
        <f>E8</f>
        <v>0.44444444444444442</v>
      </c>
      <c r="K10" s="11">
        <f>(I10-J10)/SQRT((C7+C8)/(D7+D8)*(1-(C7+C8)/(D7+D8))*((1/D7)+(1/D8)))</f>
        <v>-0.64597804173391504</v>
      </c>
      <c r="L10" s="11">
        <f>IF(K6="&lt;",_xlfn.NORM.S.DIST(K10,TRUE),IF(K6="&gt;",1-_xlfn.NORM.S.DIST(K10,TRUE),2*MIN(_xlfn.NORM.S.DIST(K10,TRUE),1-_xlfn.NORM.S.DIST(K10,TRUE))))</f>
        <v>0.51829357615010174</v>
      </c>
      <c r="M10" s="65"/>
      <c r="N10" s="65"/>
      <c r="O10" s="139"/>
      <c r="P10" s="149">
        <f>D8*(1-J10)</f>
        <v>50</v>
      </c>
      <c r="Q10" s="140"/>
      <c r="R10" s="5"/>
    </row>
    <row r="11" spans="1:23" ht="17" customHeight="1">
      <c r="A11" s="6"/>
      <c r="B11" s="6"/>
      <c r="C11" s="7"/>
      <c r="D11" s="7"/>
      <c r="E11" s="141">
        <f>1-E7</f>
        <v>0.6</v>
      </c>
      <c r="F11" s="7"/>
      <c r="G11" s="7"/>
      <c r="H11" s="7"/>
      <c r="I11" s="7"/>
      <c r="J11" s="7"/>
      <c r="K11" s="7"/>
      <c r="L11" s="7"/>
      <c r="M11" s="65"/>
      <c r="N11" s="65"/>
      <c r="O11" s="65"/>
      <c r="P11" s="65"/>
      <c r="Q11" s="5"/>
      <c r="R11" s="5"/>
    </row>
    <row r="12" spans="1:23" ht="17" customHeight="1" thickBot="1">
      <c r="A12" s="6"/>
      <c r="B12" s="6"/>
      <c r="C12" s="7"/>
      <c r="D12" s="7"/>
      <c r="E12" s="141">
        <f>1-E8</f>
        <v>0.55555555555555558</v>
      </c>
      <c r="F12" s="7"/>
      <c r="G12" s="7"/>
      <c r="H12" s="7"/>
      <c r="I12" s="21">
        <v>0.95</v>
      </c>
      <c r="J12" s="9" t="s">
        <v>194</v>
      </c>
      <c r="K12" s="9"/>
      <c r="L12" s="10"/>
      <c r="M12" s="65"/>
      <c r="N12" s="65"/>
      <c r="O12" s="65"/>
      <c r="P12" s="65"/>
      <c r="Q12" s="5"/>
      <c r="R12" s="5"/>
    </row>
    <row r="13" spans="1:23" ht="17" customHeight="1">
      <c r="A13" s="6"/>
      <c r="B13" s="6"/>
      <c r="C13" s="7"/>
      <c r="D13" s="7"/>
      <c r="E13" s="7"/>
      <c r="F13" s="7"/>
      <c r="G13" s="7"/>
      <c r="H13" s="7"/>
      <c r="I13" s="172" t="s">
        <v>89</v>
      </c>
      <c r="J13" s="176" t="s">
        <v>87</v>
      </c>
      <c r="K13" s="180" t="s">
        <v>16</v>
      </c>
      <c r="L13" s="181"/>
      <c r="M13" s="65"/>
      <c r="N13" s="65"/>
      <c r="O13" s="65"/>
      <c r="P13" s="65"/>
      <c r="Q13" s="5"/>
      <c r="R13" s="5"/>
    </row>
    <row r="14" spans="1:23" ht="17" customHeight="1">
      <c r="A14" s="6"/>
      <c r="B14" s="6"/>
      <c r="C14" s="7"/>
      <c r="D14" s="7"/>
      <c r="E14" s="7"/>
      <c r="F14" s="7"/>
      <c r="G14" s="7"/>
      <c r="H14" s="7"/>
      <c r="I14" s="171"/>
      <c r="J14" s="177"/>
      <c r="K14" s="58" t="s">
        <v>19</v>
      </c>
      <c r="L14" s="58" t="s">
        <v>20</v>
      </c>
      <c r="M14" s="65"/>
      <c r="N14" s="65"/>
      <c r="O14" s="65"/>
      <c r="P14" s="65"/>
      <c r="Q14" s="5"/>
      <c r="R14" s="5"/>
    </row>
    <row r="15" spans="1:23" ht="17" customHeight="1">
      <c r="A15" s="6"/>
      <c r="B15" s="6"/>
      <c r="C15" s="7"/>
      <c r="D15" s="7"/>
      <c r="E15" s="7"/>
      <c r="F15" s="7"/>
      <c r="G15" s="7"/>
      <c r="H15" s="7"/>
      <c r="I15" s="11">
        <f>I10-J10</f>
        <v>-4.4444444444444398E-2</v>
      </c>
      <c r="J15" s="11">
        <f>_xlfn.NORM.INV(1-(1-I12)/2,0,1)*SQRT((I10*(1-I10)/D7)+(J10*(1-J10)/D8))</f>
        <v>0.13498851549971924</v>
      </c>
      <c r="K15" s="11">
        <f>I15-J15</f>
        <v>-0.17943295994416364</v>
      </c>
      <c r="L15" s="11">
        <f>I15+J15</f>
        <v>9.0544071055274844E-2</v>
      </c>
      <c r="M15" s="65"/>
      <c r="N15" s="65"/>
      <c r="O15" s="65"/>
      <c r="P15" s="65"/>
      <c r="Q15" s="5"/>
      <c r="R15" s="5"/>
    </row>
    <row r="16" spans="1:23" ht="17" customHeight="1">
      <c r="A16" s="6"/>
      <c r="B16" s="6"/>
      <c r="C16" s="7"/>
      <c r="D16" s="7"/>
      <c r="E16" s="7"/>
      <c r="F16" s="7"/>
      <c r="G16" s="7"/>
      <c r="H16" s="7"/>
      <c r="I16" s="23"/>
      <c r="J16" s="151" t="str">
        <f>"z*=±"&amp;ROUND(_xlfn.NORM.INV(1-(1-I12)/2,0,1),3)</f>
        <v>z*=±1.96</v>
      </c>
      <c r="K16" s="24"/>
      <c r="L16" s="25"/>
      <c r="M16" s="65"/>
      <c r="N16" s="65"/>
      <c r="O16" s="65"/>
      <c r="P16" s="65"/>
      <c r="Q16" s="5"/>
      <c r="R16" s="5"/>
    </row>
    <row r="17" spans="1:18" ht="17" customHeight="1">
      <c r="A17" s="6"/>
      <c r="B17" s="6"/>
      <c r="C17" s="7"/>
      <c r="D17" s="7"/>
      <c r="E17" s="7"/>
      <c r="F17" s="7"/>
      <c r="G17" s="7"/>
      <c r="H17" s="7"/>
      <c r="I17" s="7"/>
      <c r="J17" s="7"/>
      <c r="K17" s="7"/>
      <c r="L17" s="7"/>
      <c r="M17" s="65"/>
      <c r="N17" s="65"/>
      <c r="O17" s="65"/>
      <c r="P17" s="65"/>
      <c r="Q17" s="5"/>
      <c r="R17" s="5"/>
    </row>
    <row r="18" spans="1:18" ht="17" customHeight="1">
      <c r="A18" s="6"/>
      <c r="B18" s="6"/>
      <c r="C18" s="7"/>
      <c r="D18" s="7"/>
      <c r="E18" s="7"/>
      <c r="F18" s="7"/>
      <c r="G18" s="7"/>
      <c r="H18" s="7"/>
      <c r="I18" s="7"/>
      <c r="J18" s="7"/>
      <c r="K18" s="7"/>
      <c r="L18" s="7"/>
      <c r="M18" s="65"/>
      <c r="N18" s="65"/>
      <c r="O18" s="65"/>
      <c r="P18" s="65"/>
      <c r="Q18" s="5"/>
      <c r="R18" s="5"/>
    </row>
    <row r="19" spans="1:18" ht="17" customHeight="1">
      <c r="A19" s="6"/>
      <c r="B19" s="6"/>
      <c r="C19" s="7"/>
      <c r="D19" s="7"/>
      <c r="E19" s="7"/>
      <c r="F19" s="7"/>
      <c r="G19" s="7"/>
      <c r="H19" s="7"/>
      <c r="I19" s="7"/>
      <c r="J19" s="7"/>
      <c r="K19" s="7"/>
      <c r="L19" s="7"/>
      <c r="M19" s="65"/>
      <c r="N19" s="65"/>
      <c r="O19" s="65"/>
      <c r="P19" s="65"/>
      <c r="Q19" s="5"/>
      <c r="R19" s="5"/>
    </row>
    <row r="20" spans="1:18" ht="17" customHeight="1">
      <c r="A20" s="6"/>
      <c r="B20" s="6"/>
      <c r="C20" s="7"/>
      <c r="D20" s="7"/>
      <c r="E20" s="7"/>
      <c r="F20" s="7"/>
      <c r="G20" s="7"/>
      <c r="H20" s="7"/>
      <c r="I20" s="7"/>
      <c r="J20" s="7"/>
      <c r="K20" s="7"/>
      <c r="L20" s="7"/>
      <c r="M20" s="65"/>
      <c r="N20" s="65"/>
      <c r="O20" s="65"/>
      <c r="P20" s="65"/>
      <c r="Q20" s="5"/>
      <c r="R20" s="5"/>
    </row>
    <row r="21" spans="1:18" ht="17" customHeight="1">
      <c r="A21" s="6"/>
      <c r="B21" s="6"/>
      <c r="C21" s="7"/>
      <c r="D21" s="7"/>
      <c r="E21" s="7"/>
      <c r="F21" s="7"/>
      <c r="G21" s="7"/>
      <c r="H21" s="7"/>
      <c r="I21" s="7"/>
      <c r="J21" s="7"/>
      <c r="K21" s="7"/>
      <c r="L21" s="7"/>
      <c r="M21" s="65"/>
      <c r="N21" s="65"/>
      <c r="O21" s="65"/>
      <c r="P21" s="65"/>
      <c r="Q21" s="5"/>
      <c r="R21" s="5"/>
    </row>
    <row r="22" spans="1:18" ht="17" customHeight="1">
      <c r="A22" s="6"/>
      <c r="B22" s="6"/>
      <c r="C22" s="7"/>
      <c r="D22" s="7"/>
      <c r="E22" s="7"/>
      <c r="F22" s="7"/>
      <c r="G22" s="7"/>
      <c r="H22" s="7"/>
      <c r="I22" s="7"/>
      <c r="J22" s="7"/>
      <c r="K22" s="7"/>
      <c r="L22" s="7"/>
      <c r="M22" s="65"/>
      <c r="N22" s="65"/>
      <c r="O22" s="65"/>
      <c r="P22" s="65"/>
      <c r="Q22" s="5"/>
      <c r="R22" s="5"/>
    </row>
    <row r="23" spans="1:18" ht="17" customHeight="1">
      <c r="A23" s="6"/>
      <c r="B23" s="6"/>
      <c r="C23" s="7"/>
      <c r="D23" s="7"/>
      <c r="E23" s="7"/>
      <c r="F23" s="7"/>
      <c r="G23" s="7"/>
      <c r="H23" s="7"/>
      <c r="I23" s="7"/>
      <c r="J23" s="7"/>
      <c r="K23" s="7"/>
      <c r="L23" s="7"/>
      <c r="M23" s="65"/>
      <c r="N23" s="65"/>
      <c r="O23" s="65"/>
      <c r="P23" s="65"/>
      <c r="Q23" s="5"/>
      <c r="R23" s="5"/>
    </row>
    <row r="24" spans="1:18" ht="17" customHeight="1">
      <c r="A24" s="6"/>
      <c r="B24" s="6"/>
      <c r="C24" s="7"/>
      <c r="D24" s="7"/>
      <c r="E24" s="7"/>
      <c r="F24" s="7"/>
      <c r="G24" s="7"/>
      <c r="H24" s="7"/>
      <c r="I24" s="7"/>
      <c r="J24" s="7"/>
      <c r="K24" s="7"/>
      <c r="L24" s="7"/>
      <c r="M24" s="65"/>
      <c r="N24" s="65"/>
      <c r="O24" s="65"/>
      <c r="P24" s="65"/>
      <c r="Q24" s="5"/>
      <c r="R24" s="5"/>
    </row>
    <row r="25" spans="1:18" ht="17" customHeight="1">
      <c r="A25" s="6"/>
      <c r="B25" s="6"/>
      <c r="C25" s="7"/>
      <c r="D25" s="7"/>
      <c r="E25" s="7"/>
      <c r="F25" s="7"/>
      <c r="G25" s="7"/>
      <c r="H25" s="7"/>
      <c r="I25" s="7"/>
      <c r="J25" s="7"/>
      <c r="K25" s="7"/>
      <c r="L25" s="7"/>
      <c r="M25" s="65"/>
      <c r="N25" s="65"/>
      <c r="O25" s="65"/>
      <c r="P25" s="65"/>
      <c r="Q25" s="5"/>
      <c r="R25" s="5"/>
    </row>
    <row r="26" spans="1:18" ht="17" customHeight="1">
      <c r="A26" s="6"/>
      <c r="B26" s="6"/>
      <c r="C26" s="7"/>
      <c r="D26" s="7"/>
      <c r="E26" s="7"/>
      <c r="F26" s="7"/>
      <c r="G26" s="7"/>
      <c r="H26" s="7"/>
      <c r="I26" s="7"/>
      <c r="J26" s="7"/>
      <c r="K26" s="7"/>
      <c r="L26" s="7"/>
      <c r="M26" s="65"/>
      <c r="N26" s="65"/>
      <c r="O26" s="65"/>
      <c r="P26" s="65"/>
      <c r="Q26" s="5"/>
      <c r="R26" s="5"/>
    </row>
    <row r="27" spans="1:18">
      <c r="A27" s="6"/>
      <c r="B27" s="6"/>
      <c r="C27" s="73"/>
      <c r="D27" s="74"/>
      <c r="E27" s="154"/>
      <c r="F27" s="154"/>
      <c r="G27" s="7"/>
      <c r="H27" s="7"/>
      <c r="I27" s="7"/>
      <c r="J27" s="7"/>
      <c r="K27" s="7"/>
      <c r="L27" s="7"/>
      <c r="M27" s="65"/>
      <c r="N27" s="65"/>
      <c r="O27" s="65"/>
      <c r="P27" s="65"/>
      <c r="Q27" s="5"/>
      <c r="R27" s="5"/>
    </row>
    <row r="28" spans="1:18">
      <c r="A28" s="6"/>
      <c r="B28" s="6"/>
      <c r="C28" s="7"/>
      <c r="D28" s="7"/>
      <c r="E28" s="7"/>
      <c r="F28" s="7"/>
      <c r="G28" s="7"/>
      <c r="H28" s="7"/>
      <c r="I28" s="7"/>
      <c r="J28" s="7"/>
      <c r="K28" s="7"/>
      <c r="L28" s="7"/>
      <c r="M28" s="65"/>
      <c r="N28" s="65"/>
      <c r="O28" s="65"/>
      <c r="P28" s="65"/>
      <c r="Q28" s="5"/>
      <c r="R28" s="5"/>
    </row>
    <row r="29" spans="1:18">
      <c r="A29" s="6"/>
      <c r="B29" s="6"/>
      <c r="C29" s="7"/>
      <c r="D29" s="7"/>
      <c r="E29" s="7"/>
      <c r="F29" s="7"/>
      <c r="G29" s="7"/>
      <c r="H29" s="7"/>
      <c r="I29" s="7"/>
      <c r="J29" s="7"/>
      <c r="K29" s="7"/>
      <c r="L29" s="7"/>
      <c r="M29" s="65"/>
      <c r="N29" s="65"/>
      <c r="O29" s="65"/>
      <c r="P29" s="65"/>
      <c r="Q29" s="5"/>
      <c r="R29" s="5"/>
    </row>
    <row r="30" spans="1:18">
      <c r="A30" s="6"/>
      <c r="B30" s="6"/>
      <c r="C30" s="7"/>
      <c r="D30" s="7"/>
      <c r="E30" s="7"/>
      <c r="F30" s="7"/>
      <c r="G30" s="7"/>
      <c r="H30" s="7"/>
      <c r="I30" s="7"/>
      <c r="J30" s="7"/>
      <c r="K30" s="7"/>
      <c r="L30" s="7"/>
      <c r="M30" s="65"/>
      <c r="N30" s="65"/>
      <c r="O30" s="65"/>
      <c r="P30" s="65"/>
      <c r="Q30" s="5"/>
      <c r="R30" s="5"/>
    </row>
    <row r="31" spans="1:18">
      <c r="A31" s="6"/>
      <c r="B31" s="6"/>
      <c r="C31" s="7"/>
      <c r="D31" s="7"/>
      <c r="E31" s="7"/>
      <c r="F31" s="7"/>
      <c r="G31" s="7"/>
      <c r="H31" s="7"/>
      <c r="I31" s="7"/>
      <c r="J31" s="7"/>
      <c r="K31" s="7"/>
      <c r="L31" s="7"/>
      <c r="M31" s="65"/>
      <c r="N31" s="65"/>
      <c r="O31" s="65"/>
      <c r="P31" s="65"/>
      <c r="Q31" s="5"/>
      <c r="R31" s="5"/>
    </row>
    <row r="32" spans="1:18">
      <c r="A32" s="6"/>
      <c r="B32" s="6"/>
      <c r="C32" s="7"/>
      <c r="D32" s="7"/>
      <c r="E32" s="7"/>
      <c r="F32" s="7"/>
      <c r="G32" s="7"/>
      <c r="H32" s="7"/>
      <c r="I32" s="7"/>
      <c r="J32" s="7"/>
      <c r="K32" s="7"/>
      <c r="L32" s="7"/>
      <c r="M32" s="65"/>
      <c r="N32" s="65"/>
      <c r="O32" s="65"/>
      <c r="P32" s="65"/>
      <c r="Q32" s="5"/>
      <c r="R32" s="5"/>
    </row>
    <row r="33" spans="1:18">
      <c r="A33" s="6"/>
      <c r="B33" s="6"/>
      <c r="C33" s="7"/>
      <c r="D33" s="7"/>
      <c r="E33" s="7"/>
      <c r="F33" s="7"/>
      <c r="G33" s="7"/>
      <c r="H33" s="7"/>
      <c r="I33" s="7"/>
      <c r="J33" s="7"/>
      <c r="K33" s="7"/>
      <c r="L33" s="7"/>
      <c r="M33" s="65"/>
      <c r="N33" s="65"/>
      <c r="O33" s="65"/>
      <c r="P33" s="65"/>
      <c r="Q33" s="5"/>
      <c r="R33" s="5"/>
    </row>
    <row r="34" spans="1:18">
      <c r="A34" s="6"/>
      <c r="B34" s="6"/>
      <c r="C34" s="7"/>
      <c r="D34" s="7"/>
      <c r="E34" s="7"/>
      <c r="F34" s="7"/>
      <c r="G34" s="7"/>
      <c r="H34" s="7"/>
      <c r="I34" s="7"/>
      <c r="J34" s="7"/>
      <c r="K34" s="7"/>
      <c r="L34" s="7"/>
      <c r="M34" s="65"/>
      <c r="N34" s="65"/>
      <c r="O34" s="65"/>
      <c r="P34" s="65"/>
      <c r="Q34" s="5"/>
      <c r="R34" s="5"/>
    </row>
    <row r="35" spans="1:18">
      <c r="A35" s="5"/>
      <c r="B35" s="5"/>
      <c r="C35" s="5"/>
      <c r="D35" s="5"/>
      <c r="E35" s="5"/>
      <c r="F35" s="5"/>
      <c r="G35" s="5"/>
      <c r="H35" s="5"/>
      <c r="I35" s="5"/>
      <c r="J35" s="5"/>
      <c r="K35" s="5"/>
      <c r="L35" s="5"/>
      <c r="M35" s="5"/>
      <c r="N35" s="5"/>
      <c r="O35" s="5"/>
      <c r="P35" s="5"/>
      <c r="Q35" s="5"/>
      <c r="R35" s="5"/>
    </row>
    <row r="36" spans="1:18">
      <c r="A36" s="5"/>
      <c r="B36" s="5"/>
      <c r="C36" s="5"/>
      <c r="D36" s="5"/>
      <c r="E36" s="5"/>
      <c r="F36" s="5"/>
      <c r="G36" s="5"/>
      <c r="H36" s="5"/>
      <c r="I36" s="5"/>
      <c r="J36" s="5"/>
      <c r="K36" s="5"/>
      <c r="L36" s="5"/>
      <c r="M36" s="5"/>
      <c r="N36" s="5"/>
      <c r="O36" s="5"/>
      <c r="P36" s="5"/>
      <c r="Q36" s="5"/>
      <c r="R36" s="5"/>
    </row>
    <row r="37" spans="1:18">
      <c r="A37" s="5"/>
      <c r="B37" s="5"/>
      <c r="C37" s="5"/>
      <c r="D37" s="5"/>
      <c r="E37" s="5"/>
      <c r="F37" s="5"/>
      <c r="G37" s="5"/>
      <c r="H37" s="5"/>
      <c r="I37" s="5"/>
      <c r="J37" s="5"/>
      <c r="K37" s="5"/>
      <c r="L37" s="5"/>
      <c r="M37" s="5"/>
      <c r="N37" s="5"/>
      <c r="O37" s="5"/>
      <c r="P37" s="5"/>
      <c r="Q37" s="5"/>
      <c r="R37" s="5"/>
    </row>
    <row r="38" spans="1:18">
      <c r="A38" s="5"/>
      <c r="B38" s="5"/>
      <c r="C38" s="5"/>
      <c r="D38" s="5"/>
      <c r="E38" s="5"/>
      <c r="F38" s="5"/>
      <c r="G38" s="5"/>
      <c r="H38" s="5"/>
      <c r="I38" s="5"/>
      <c r="J38" s="5"/>
      <c r="K38" s="5"/>
      <c r="L38" s="5"/>
      <c r="M38" s="5"/>
      <c r="N38" s="5"/>
      <c r="O38" s="5"/>
      <c r="P38" s="5"/>
      <c r="Q38" s="5"/>
      <c r="R38" s="5"/>
    </row>
    <row r="39" spans="1:18">
      <c r="A39" s="5"/>
      <c r="B39" s="5"/>
      <c r="C39" s="5"/>
      <c r="D39" s="5"/>
      <c r="E39" s="5"/>
      <c r="F39" s="5"/>
      <c r="G39" s="5"/>
      <c r="H39" s="5"/>
      <c r="I39" s="5"/>
      <c r="J39" s="5"/>
      <c r="K39" s="5"/>
      <c r="L39" s="5"/>
      <c r="M39" s="5"/>
      <c r="N39" s="5"/>
      <c r="O39" s="5"/>
      <c r="P39" s="5"/>
      <c r="Q39" s="5"/>
      <c r="R39" s="5"/>
    </row>
    <row r="40" spans="1:18">
      <c r="A40" s="5"/>
      <c r="B40" s="5"/>
      <c r="C40" s="5"/>
      <c r="D40" s="5"/>
      <c r="E40" s="5"/>
      <c r="F40" s="5"/>
      <c r="G40" s="5"/>
      <c r="H40" s="5"/>
      <c r="I40" s="5"/>
      <c r="J40" s="5"/>
      <c r="K40" s="5"/>
      <c r="L40" s="5"/>
      <c r="M40" s="5"/>
      <c r="N40" s="5"/>
      <c r="O40" s="5"/>
      <c r="P40" s="5"/>
      <c r="Q40" s="5"/>
      <c r="R40" s="5"/>
    </row>
    <row r="41" spans="1:18">
      <c r="A41" s="5"/>
      <c r="B41" s="5"/>
      <c r="C41" s="5"/>
      <c r="D41" s="5"/>
      <c r="E41" s="5"/>
      <c r="F41" s="5"/>
      <c r="G41" s="5"/>
      <c r="H41" s="5"/>
      <c r="I41" s="5"/>
      <c r="J41" s="5"/>
      <c r="K41" s="5"/>
      <c r="L41" s="5"/>
      <c r="M41" s="5"/>
      <c r="N41" s="5"/>
      <c r="O41" s="5"/>
      <c r="P41" s="5"/>
      <c r="Q41" s="5"/>
      <c r="R41" s="5"/>
    </row>
    <row r="42" spans="1:18">
      <c r="A42" s="5"/>
      <c r="B42" s="5"/>
      <c r="C42" s="5"/>
      <c r="D42" s="5"/>
      <c r="E42" s="5"/>
      <c r="F42" s="5"/>
      <c r="G42" s="5"/>
      <c r="H42" s="5"/>
      <c r="I42" s="5"/>
      <c r="J42" s="5"/>
      <c r="K42" s="5"/>
      <c r="L42" s="5"/>
      <c r="M42" s="5"/>
      <c r="N42" s="5"/>
      <c r="O42" s="5"/>
      <c r="P42" s="5"/>
      <c r="Q42" s="5"/>
      <c r="R42" s="5"/>
    </row>
    <row r="43" spans="1:18">
      <c r="A43" s="5"/>
      <c r="B43" s="5"/>
      <c r="C43" s="5"/>
      <c r="D43" s="5"/>
      <c r="E43" s="5"/>
      <c r="F43" s="5"/>
      <c r="G43" s="5"/>
      <c r="H43" s="5"/>
      <c r="I43" s="5"/>
      <c r="J43" s="5"/>
      <c r="K43" s="5"/>
      <c r="L43" s="5"/>
      <c r="M43" s="5"/>
      <c r="N43" s="5"/>
      <c r="O43" s="5"/>
      <c r="P43" s="5"/>
      <c r="Q43" s="5"/>
      <c r="R43" s="5"/>
    </row>
    <row r="44" spans="1:18">
      <c r="A44" s="5"/>
      <c r="B44" s="5"/>
      <c r="C44" s="5"/>
      <c r="D44" s="5"/>
      <c r="E44" s="5"/>
      <c r="F44" s="5"/>
      <c r="G44" s="5"/>
      <c r="H44" s="5"/>
      <c r="I44" s="5"/>
      <c r="J44" s="5"/>
      <c r="K44" s="5"/>
      <c r="L44" s="5"/>
      <c r="M44" s="5"/>
      <c r="N44" s="5"/>
      <c r="O44" s="5"/>
      <c r="P44" s="5"/>
      <c r="Q44" s="5"/>
      <c r="R44" s="5"/>
    </row>
    <row r="45" spans="1:18">
      <c r="A45" s="5"/>
      <c r="B45" s="5"/>
      <c r="C45" s="5"/>
      <c r="D45" s="5"/>
      <c r="E45" s="5"/>
      <c r="F45" s="5"/>
      <c r="G45" s="5"/>
      <c r="H45" s="5"/>
      <c r="I45" s="5"/>
      <c r="J45" s="5"/>
      <c r="K45" s="5"/>
      <c r="L45" s="5"/>
      <c r="M45" s="5"/>
      <c r="N45" s="5"/>
      <c r="O45" s="5"/>
      <c r="P45" s="5"/>
      <c r="Q45" s="5"/>
      <c r="R45" s="5"/>
    </row>
    <row r="46" spans="1:18">
      <c r="A46" s="5"/>
      <c r="B46" s="5"/>
      <c r="C46" s="5"/>
      <c r="D46" s="5"/>
      <c r="E46" s="5"/>
      <c r="F46" s="5"/>
      <c r="G46" s="5"/>
      <c r="H46" s="5"/>
      <c r="I46" s="5"/>
      <c r="J46" s="5"/>
      <c r="K46" s="5"/>
      <c r="L46" s="5"/>
      <c r="M46" s="5"/>
      <c r="N46" s="5"/>
      <c r="O46" s="5"/>
      <c r="P46" s="5"/>
      <c r="Q46" s="5"/>
      <c r="R46" s="5"/>
    </row>
    <row r="47" spans="1:18">
      <c r="A47" s="5"/>
      <c r="B47" s="5"/>
      <c r="C47" s="5"/>
      <c r="D47" s="5"/>
      <c r="E47" s="5"/>
      <c r="F47" s="5"/>
      <c r="G47" s="5"/>
      <c r="H47" s="5"/>
      <c r="I47" s="5"/>
      <c r="J47" s="5"/>
      <c r="K47" s="5"/>
      <c r="L47" s="5"/>
      <c r="M47" s="5"/>
      <c r="N47" s="5"/>
      <c r="O47" s="5"/>
      <c r="P47" s="5"/>
      <c r="Q47" s="5"/>
      <c r="R47" s="5"/>
    </row>
    <row r="48" spans="1:18">
      <c r="A48" s="5"/>
      <c r="B48" s="5"/>
      <c r="C48" s="5"/>
      <c r="D48" s="5"/>
      <c r="E48" s="5"/>
      <c r="F48" s="5"/>
      <c r="G48" s="5"/>
      <c r="H48" s="5"/>
      <c r="I48" s="5"/>
      <c r="J48" s="5"/>
      <c r="K48" s="5"/>
      <c r="L48" s="5"/>
      <c r="M48" s="5"/>
      <c r="N48" s="5"/>
      <c r="O48" s="5"/>
      <c r="P48" s="5"/>
      <c r="Q48" s="5"/>
      <c r="R48" s="5"/>
    </row>
    <row r="49" spans="1:18">
      <c r="A49" s="5"/>
      <c r="B49" s="5"/>
      <c r="C49" s="5"/>
      <c r="D49" s="5"/>
      <c r="E49" s="5"/>
      <c r="F49" s="5"/>
      <c r="G49" s="5"/>
      <c r="H49" s="5"/>
      <c r="I49" s="5"/>
      <c r="J49" s="5"/>
      <c r="K49" s="5"/>
      <c r="L49" s="5"/>
      <c r="M49" s="5"/>
      <c r="N49" s="5"/>
      <c r="O49" s="5"/>
      <c r="P49" s="5"/>
      <c r="Q49" s="5"/>
      <c r="R49" s="5"/>
    </row>
    <row r="50" spans="1:18">
      <c r="A50" s="5"/>
      <c r="B50" s="5"/>
      <c r="C50" s="5"/>
      <c r="D50" s="5"/>
      <c r="E50" s="5"/>
      <c r="F50" s="5"/>
      <c r="G50" s="5"/>
      <c r="H50" s="5"/>
      <c r="I50" s="5"/>
      <c r="J50" s="5"/>
      <c r="K50" s="5"/>
      <c r="L50" s="5"/>
      <c r="M50" s="5"/>
      <c r="N50" s="5"/>
      <c r="O50" s="5"/>
      <c r="P50" s="5"/>
      <c r="Q50" s="5"/>
      <c r="R50" s="5"/>
    </row>
    <row r="51" spans="1:18">
      <c r="A51" s="5"/>
      <c r="B51" s="5"/>
      <c r="C51" s="5"/>
      <c r="D51" s="5"/>
      <c r="E51" s="5"/>
      <c r="F51" s="5"/>
      <c r="G51" s="5"/>
      <c r="H51" s="5"/>
      <c r="I51" s="5"/>
      <c r="J51" s="5"/>
      <c r="K51" s="5"/>
      <c r="L51" s="5"/>
      <c r="M51" s="5"/>
      <c r="N51" s="5"/>
      <c r="O51" s="5"/>
      <c r="P51" s="5"/>
      <c r="Q51" s="5"/>
      <c r="R51" s="5"/>
    </row>
    <row r="52" spans="1:18">
      <c r="A52" s="5"/>
      <c r="B52" s="5"/>
      <c r="C52" s="5"/>
      <c r="D52" s="5"/>
      <c r="E52" s="5"/>
      <c r="F52" s="5"/>
      <c r="G52" s="5"/>
      <c r="H52" s="5"/>
      <c r="I52" s="5"/>
      <c r="J52" s="5"/>
      <c r="K52" s="5"/>
      <c r="L52" s="5"/>
      <c r="M52" s="5"/>
      <c r="N52" s="5"/>
      <c r="O52" s="5"/>
      <c r="P52" s="5"/>
      <c r="Q52" s="5"/>
      <c r="R52" s="5"/>
    </row>
    <row r="53" spans="1:18">
      <c r="A53" s="5"/>
      <c r="B53" s="5"/>
      <c r="C53" s="5"/>
      <c r="D53" s="5"/>
      <c r="E53" s="5"/>
      <c r="F53" s="5"/>
      <c r="G53" s="5"/>
      <c r="H53" s="5"/>
      <c r="I53" s="5"/>
      <c r="J53" s="5"/>
      <c r="K53" s="5"/>
      <c r="L53" s="5"/>
      <c r="M53" s="5"/>
      <c r="N53" s="5"/>
      <c r="O53" s="5"/>
      <c r="P53" s="5"/>
      <c r="Q53" s="5"/>
      <c r="R53" s="5"/>
    </row>
    <row r="54" spans="1:18">
      <c r="A54" s="5"/>
      <c r="B54" s="5"/>
      <c r="C54" s="5"/>
      <c r="D54" s="5"/>
      <c r="E54" s="5"/>
      <c r="F54" s="5"/>
      <c r="G54" s="5"/>
      <c r="H54" s="5"/>
      <c r="I54" s="5"/>
      <c r="J54" s="5"/>
      <c r="K54" s="5"/>
      <c r="L54" s="5"/>
      <c r="M54" s="5"/>
      <c r="N54" s="5"/>
      <c r="O54" s="5"/>
      <c r="P54" s="5"/>
      <c r="Q54" s="5"/>
      <c r="R54" s="5"/>
    </row>
    <row r="55" spans="1:18">
      <c r="A55" s="5"/>
      <c r="B55" s="5"/>
      <c r="C55" s="5"/>
      <c r="D55" s="5"/>
      <c r="E55" s="5"/>
      <c r="F55" s="5"/>
      <c r="G55" s="5"/>
      <c r="H55" s="5"/>
      <c r="I55" s="5"/>
      <c r="J55" s="5"/>
      <c r="K55" s="5"/>
      <c r="L55" s="5"/>
      <c r="M55" s="5"/>
      <c r="N55" s="5"/>
      <c r="O55" s="5"/>
      <c r="P55" s="5"/>
      <c r="Q55" s="5"/>
      <c r="R55" s="5"/>
    </row>
    <row r="56" spans="1:18">
      <c r="A56" s="5"/>
      <c r="B56" s="5"/>
      <c r="C56" s="5"/>
      <c r="D56" s="5"/>
      <c r="E56" s="5"/>
      <c r="F56" s="5"/>
      <c r="G56" s="5"/>
      <c r="H56" s="5"/>
      <c r="I56" s="5"/>
      <c r="J56" s="5"/>
      <c r="K56" s="5"/>
      <c r="L56" s="5"/>
      <c r="M56" s="5"/>
      <c r="N56" s="5"/>
      <c r="O56" s="5"/>
      <c r="P56" s="5"/>
      <c r="Q56" s="5"/>
      <c r="R56" s="5"/>
    </row>
    <row r="57" spans="1:18">
      <c r="A57" s="5"/>
      <c r="B57" s="5"/>
      <c r="C57" s="5"/>
      <c r="D57" s="5"/>
      <c r="E57" s="5"/>
      <c r="F57" s="5"/>
      <c r="G57" s="5"/>
      <c r="H57" s="5"/>
      <c r="I57" s="5"/>
      <c r="J57" s="5"/>
      <c r="K57" s="5"/>
      <c r="L57" s="5"/>
      <c r="M57" s="5"/>
      <c r="N57" s="5"/>
      <c r="O57" s="5"/>
      <c r="P57" s="5"/>
      <c r="Q57" s="5"/>
      <c r="R57" s="5"/>
    </row>
    <row r="58" spans="1:18">
      <c r="A58" s="5"/>
      <c r="B58" s="5"/>
      <c r="C58" s="5"/>
      <c r="D58" s="5"/>
      <c r="E58" s="5"/>
      <c r="F58" s="5"/>
      <c r="G58" s="5"/>
      <c r="H58" s="5"/>
      <c r="I58" s="5"/>
      <c r="J58" s="5"/>
      <c r="K58" s="5"/>
      <c r="L58" s="5"/>
      <c r="M58" s="5"/>
      <c r="N58" s="5"/>
      <c r="O58" s="5"/>
      <c r="P58" s="5"/>
      <c r="Q58" s="5"/>
      <c r="R58" s="5"/>
    </row>
    <row r="59" spans="1:18">
      <c r="A59" s="5"/>
      <c r="B59" s="5"/>
      <c r="C59" s="5"/>
      <c r="D59" s="5"/>
      <c r="E59" s="5"/>
      <c r="F59" s="5"/>
      <c r="G59" s="5"/>
      <c r="H59" s="5"/>
      <c r="I59" s="5"/>
      <c r="J59" s="5"/>
      <c r="K59" s="5"/>
      <c r="L59" s="5"/>
      <c r="M59" s="5"/>
      <c r="N59" s="5"/>
      <c r="O59" s="5"/>
      <c r="P59" s="5"/>
      <c r="Q59" s="5"/>
      <c r="R59" s="5"/>
    </row>
    <row r="60" spans="1:18">
      <c r="A60" s="5"/>
      <c r="B60" s="5"/>
      <c r="C60" s="5"/>
      <c r="D60" s="5"/>
      <c r="E60" s="5"/>
      <c r="F60" s="5"/>
      <c r="G60" s="5"/>
      <c r="H60" s="5"/>
      <c r="I60" s="5"/>
      <c r="J60" s="5"/>
      <c r="K60" s="5"/>
      <c r="L60" s="5"/>
      <c r="M60" s="5"/>
      <c r="N60" s="5"/>
      <c r="O60" s="5"/>
      <c r="P60" s="5"/>
      <c r="Q60" s="5"/>
      <c r="R60" s="5"/>
    </row>
    <row r="61" spans="1:18">
      <c r="A61" s="5"/>
      <c r="B61" s="5"/>
      <c r="C61" s="5"/>
      <c r="D61" s="5"/>
      <c r="E61" s="5"/>
      <c r="F61" s="5"/>
      <c r="G61" s="5"/>
      <c r="H61" s="5"/>
      <c r="I61" s="5"/>
      <c r="J61" s="5"/>
      <c r="K61" s="5"/>
      <c r="L61" s="5"/>
      <c r="M61" s="5"/>
      <c r="N61" s="5"/>
      <c r="O61" s="5"/>
      <c r="P61" s="5"/>
      <c r="Q61" s="5"/>
      <c r="R61" s="5"/>
    </row>
    <row r="62" spans="1:18">
      <c r="A62" s="5"/>
      <c r="B62" s="5"/>
      <c r="C62" s="5"/>
      <c r="D62" s="5"/>
      <c r="E62" s="5"/>
      <c r="F62" s="5"/>
      <c r="G62" s="5"/>
      <c r="H62" s="5"/>
      <c r="I62" s="5"/>
      <c r="J62" s="5"/>
      <c r="K62" s="5"/>
      <c r="L62" s="5"/>
      <c r="M62" s="5"/>
      <c r="N62" s="5"/>
      <c r="O62" s="5"/>
      <c r="P62" s="5"/>
      <c r="Q62" s="5"/>
      <c r="R62" s="5"/>
    </row>
    <row r="63" spans="1:18">
      <c r="A63" s="5"/>
      <c r="B63" s="5"/>
      <c r="C63" s="5"/>
      <c r="D63" s="5"/>
      <c r="E63" s="5"/>
      <c r="F63" s="5"/>
      <c r="G63" s="5"/>
      <c r="H63" s="5"/>
      <c r="I63" s="5"/>
      <c r="J63" s="5"/>
      <c r="K63" s="5"/>
      <c r="L63" s="5"/>
      <c r="M63" s="5"/>
      <c r="N63" s="5"/>
      <c r="O63" s="5"/>
      <c r="P63" s="5"/>
      <c r="Q63" s="5"/>
      <c r="R63" s="5"/>
    </row>
    <row r="64" spans="1:18">
      <c r="A64" s="5"/>
      <c r="B64" s="5"/>
      <c r="C64" s="5"/>
      <c r="D64" s="5"/>
      <c r="E64" s="5"/>
      <c r="F64" s="5"/>
      <c r="G64" s="5"/>
      <c r="H64" s="5"/>
      <c r="I64" s="5"/>
      <c r="J64" s="5"/>
      <c r="K64" s="5"/>
      <c r="L64" s="5"/>
      <c r="M64" s="5"/>
      <c r="N64" s="5"/>
      <c r="O64" s="5"/>
      <c r="P64" s="5"/>
      <c r="Q64" s="5"/>
      <c r="R64" s="5"/>
    </row>
    <row r="65" spans="1:18">
      <c r="A65" s="5"/>
      <c r="B65" s="5"/>
      <c r="C65" s="5"/>
      <c r="D65" s="5"/>
      <c r="E65" s="5"/>
      <c r="F65" s="5"/>
      <c r="G65" s="5"/>
      <c r="H65" s="5"/>
      <c r="I65" s="5"/>
      <c r="J65" s="5"/>
      <c r="K65" s="5"/>
      <c r="L65" s="5"/>
      <c r="M65" s="5"/>
      <c r="N65" s="5"/>
      <c r="O65" s="5"/>
      <c r="P65" s="5"/>
      <c r="Q65" s="5"/>
      <c r="R65" s="5"/>
    </row>
    <row r="66" spans="1:18">
      <c r="A66" s="5"/>
      <c r="B66" s="5"/>
      <c r="C66" s="5"/>
      <c r="D66" s="5"/>
      <c r="E66" s="5"/>
      <c r="F66" s="5"/>
      <c r="G66" s="5"/>
      <c r="H66" s="5"/>
      <c r="I66" s="5"/>
      <c r="J66" s="5"/>
      <c r="K66" s="5"/>
      <c r="L66" s="5"/>
      <c r="M66" s="5"/>
      <c r="N66" s="5"/>
      <c r="O66" s="5"/>
      <c r="P66" s="5"/>
      <c r="Q66" s="5"/>
      <c r="R66" s="5"/>
    </row>
    <row r="67" spans="1:18">
      <c r="A67" s="5"/>
      <c r="B67" s="5"/>
      <c r="C67" s="5"/>
      <c r="D67" s="5"/>
      <c r="E67" s="5"/>
      <c r="F67" s="5"/>
      <c r="G67" s="5"/>
      <c r="H67" s="5"/>
      <c r="I67" s="5"/>
      <c r="J67" s="5"/>
      <c r="K67" s="5"/>
      <c r="L67" s="5"/>
      <c r="M67" s="5"/>
      <c r="N67" s="5"/>
      <c r="O67" s="5"/>
      <c r="P67" s="5"/>
      <c r="Q67" s="5"/>
      <c r="R67" s="5"/>
    </row>
    <row r="68" spans="1:18">
      <c r="A68" s="5"/>
      <c r="B68" s="5"/>
      <c r="C68" s="5"/>
      <c r="D68" s="5"/>
      <c r="E68" s="5"/>
      <c r="F68" s="5"/>
      <c r="G68" s="5"/>
      <c r="H68" s="5"/>
      <c r="I68" s="5"/>
      <c r="J68" s="5"/>
      <c r="K68" s="5"/>
      <c r="L68" s="5"/>
      <c r="M68" s="5"/>
      <c r="N68" s="5"/>
      <c r="O68" s="5"/>
      <c r="P68" s="5"/>
      <c r="Q68" s="5"/>
      <c r="R68" s="5"/>
    </row>
    <row r="69" spans="1:18">
      <c r="A69" s="5"/>
      <c r="B69" s="5"/>
      <c r="C69" s="5"/>
      <c r="D69" s="5"/>
      <c r="E69" s="5"/>
      <c r="F69" s="5"/>
      <c r="G69" s="5"/>
      <c r="H69" s="5"/>
      <c r="I69" s="5"/>
      <c r="J69" s="5"/>
      <c r="K69" s="5"/>
      <c r="L69" s="5"/>
      <c r="M69" s="5"/>
      <c r="N69" s="5"/>
      <c r="O69" s="5"/>
      <c r="P69" s="5"/>
      <c r="Q69" s="5"/>
      <c r="R69" s="5"/>
    </row>
    <row r="70" spans="1:18">
      <c r="A70" s="5"/>
      <c r="B70" s="5"/>
      <c r="C70" s="5"/>
      <c r="D70" s="5"/>
      <c r="E70" s="5"/>
      <c r="F70" s="5"/>
      <c r="G70" s="5"/>
      <c r="H70" s="5"/>
      <c r="I70" s="5"/>
      <c r="J70" s="5"/>
      <c r="K70" s="5"/>
      <c r="L70" s="5"/>
      <c r="M70" s="5"/>
      <c r="N70" s="5"/>
      <c r="O70" s="5"/>
      <c r="P70" s="5"/>
      <c r="Q70" s="5"/>
      <c r="R70" s="5"/>
    </row>
    <row r="71" spans="1:18">
      <c r="A71" s="5"/>
      <c r="B71" s="5"/>
      <c r="C71" s="5"/>
      <c r="D71" s="5"/>
      <c r="E71" s="5"/>
      <c r="F71" s="5"/>
      <c r="G71" s="5"/>
      <c r="H71" s="5"/>
      <c r="I71" s="5"/>
      <c r="J71" s="5"/>
      <c r="K71" s="5"/>
      <c r="L71" s="5"/>
      <c r="M71" s="5"/>
      <c r="N71" s="5"/>
      <c r="O71" s="5"/>
      <c r="P71" s="5"/>
      <c r="Q71" s="5"/>
      <c r="R71" s="5"/>
    </row>
    <row r="72" spans="1:18">
      <c r="A72" s="5"/>
      <c r="B72" s="5"/>
      <c r="C72" s="5"/>
      <c r="D72" s="5"/>
      <c r="E72" s="5"/>
      <c r="F72" s="5"/>
      <c r="G72" s="5"/>
      <c r="H72" s="5"/>
      <c r="I72" s="5"/>
      <c r="J72" s="5"/>
      <c r="K72" s="5"/>
      <c r="L72" s="5"/>
      <c r="M72" s="5"/>
      <c r="N72" s="5"/>
      <c r="O72" s="5"/>
      <c r="P72" s="5"/>
      <c r="Q72" s="5"/>
      <c r="R72" s="5"/>
    </row>
    <row r="73" spans="1:18">
      <c r="A73" s="5"/>
      <c r="B73" s="5"/>
      <c r="C73" s="5"/>
      <c r="D73" s="5"/>
      <c r="E73" s="5"/>
      <c r="F73" s="5"/>
      <c r="G73" s="5"/>
      <c r="H73" s="5"/>
      <c r="I73" s="5"/>
      <c r="J73" s="5"/>
      <c r="K73" s="5"/>
      <c r="L73" s="5"/>
      <c r="M73" s="5"/>
      <c r="N73" s="5"/>
      <c r="O73" s="5"/>
      <c r="P73" s="5"/>
      <c r="Q73" s="5"/>
      <c r="R73" s="5"/>
    </row>
    <row r="74" spans="1:18">
      <c r="A74" s="5"/>
      <c r="B74" s="5"/>
      <c r="C74" s="5"/>
      <c r="D74" s="5"/>
      <c r="E74" s="5"/>
      <c r="F74" s="5"/>
      <c r="G74" s="5"/>
      <c r="H74" s="5"/>
      <c r="I74" s="5"/>
      <c r="J74" s="5"/>
      <c r="K74" s="5"/>
      <c r="L74" s="5"/>
      <c r="M74" s="5"/>
      <c r="N74" s="5"/>
      <c r="O74" s="5"/>
      <c r="P74" s="5"/>
      <c r="Q74" s="5"/>
      <c r="R74" s="5"/>
    </row>
    <row r="75" spans="1:18">
      <c r="A75" s="5"/>
      <c r="B75" s="5"/>
      <c r="C75" s="5"/>
      <c r="D75" s="5"/>
      <c r="E75" s="5"/>
      <c r="F75" s="5"/>
      <c r="G75" s="5"/>
      <c r="H75" s="5"/>
      <c r="I75" s="5"/>
      <c r="J75" s="5"/>
      <c r="K75" s="5"/>
      <c r="L75" s="5"/>
      <c r="M75" s="5"/>
      <c r="N75" s="5"/>
      <c r="O75" s="5"/>
      <c r="P75" s="5"/>
      <c r="Q75" s="5"/>
      <c r="R75" s="5"/>
    </row>
    <row r="76" spans="1:18">
      <c r="A76" s="5"/>
      <c r="B76" s="5"/>
      <c r="C76" s="5"/>
      <c r="D76" s="5"/>
      <c r="E76" s="5"/>
      <c r="F76" s="5"/>
      <c r="G76" s="5"/>
      <c r="H76" s="5"/>
      <c r="I76" s="5"/>
      <c r="J76" s="5"/>
      <c r="K76" s="5"/>
      <c r="L76" s="5"/>
      <c r="M76" s="5"/>
      <c r="N76" s="5"/>
      <c r="O76" s="5"/>
      <c r="P76" s="5"/>
      <c r="Q76" s="5"/>
      <c r="R76" s="5"/>
    </row>
    <row r="77" spans="1:18">
      <c r="A77" s="5"/>
      <c r="B77" s="5"/>
      <c r="C77" s="5"/>
      <c r="D77" s="5"/>
      <c r="E77" s="5"/>
      <c r="F77" s="5"/>
      <c r="G77" s="5"/>
      <c r="H77" s="5"/>
      <c r="I77" s="5"/>
      <c r="J77" s="5"/>
      <c r="K77" s="5"/>
      <c r="L77" s="5"/>
      <c r="M77" s="5"/>
      <c r="N77" s="5"/>
      <c r="O77" s="5"/>
      <c r="P77" s="5"/>
      <c r="Q77" s="5"/>
      <c r="R77" s="5"/>
    </row>
    <row r="78" spans="1:18">
      <c r="A78" s="5"/>
      <c r="B78" s="5"/>
      <c r="C78" s="5"/>
      <c r="D78" s="5"/>
      <c r="E78" s="5"/>
      <c r="F78" s="5"/>
      <c r="G78" s="5"/>
      <c r="H78" s="5"/>
      <c r="I78" s="5"/>
      <c r="J78" s="5"/>
      <c r="K78" s="5"/>
      <c r="L78" s="5"/>
      <c r="M78" s="5"/>
      <c r="N78" s="5"/>
      <c r="O78" s="5"/>
      <c r="P78" s="5"/>
      <c r="Q78" s="5"/>
      <c r="R78" s="5"/>
    </row>
    <row r="79" spans="1:18">
      <c r="A79" s="5"/>
      <c r="B79" s="5"/>
      <c r="C79" s="5"/>
      <c r="D79" s="5"/>
      <c r="E79" s="5"/>
      <c r="F79" s="5"/>
      <c r="G79" s="5"/>
      <c r="H79" s="5"/>
      <c r="I79" s="5"/>
      <c r="J79" s="5"/>
      <c r="K79" s="5"/>
      <c r="L79" s="5"/>
      <c r="M79" s="5"/>
      <c r="N79" s="5"/>
      <c r="O79" s="5"/>
      <c r="P79" s="5"/>
      <c r="Q79" s="5"/>
      <c r="R79" s="5"/>
    </row>
    <row r="80" spans="1:18">
      <c r="A80" s="5"/>
      <c r="B80" s="5"/>
      <c r="C80" s="5"/>
      <c r="D80" s="5"/>
      <c r="E80" s="5"/>
      <c r="F80" s="5"/>
      <c r="G80" s="5"/>
      <c r="H80" s="5"/>
      <c r="I80" s="5"/>
      <c r="J80" s="5"/>
      <c r="K80" s="5"/>
      <c r="L80" s="5"/>
      <c r="M80" s="5"/>
      <c r="N80" s="5"/>
      <c r="O80" s="5"/>
      <c r="P80" s="5"/>
      <c r="Q80" s="5"/>
      <c r="R80" s="5"/>
    </row>
    <row r="81" spans="1:18">
      <c r="A81" s="5"/>
      <c r="B81" s="5"/>
      <c r="C81" s="5"/>
      <c r="D81" s="5"/>
      <c r="E81" s="5"/>
      <c r="F81" s="5"/>
      <c r="G81" s="5"/>
      <c r="H81" s="5"/>
      <c r="I81" s="5"/>
      <c r="J81" s="5"/>
      <c r="K81" s="5"/>
      <c r="L81" s="5"/>
      <c r="M81" s="5"/>
      <c r="N81" s="5"/>
      <c r="O81" s="5"/>
      <c r="P81" s="5"/>
      <c r="Q81" s="5"/>
      <c r="R81" s="5"/>
    </row>
    <row r="82" spans="1:18">
      <c r="A82" s="5"/>
      <c r="B82" s="5"/>
      <c r="C82" s="5"/>
      <c r="D82" s="5"/>
      <c r="E82" s="5"/>
      <c r="F82" s="5"/>
      <c r="G82" s="5"/>
      <c r="H82" s="5"/>
      <c r="I82" s="5"/>
      <c r="J82" s="5"/>
      <c r="K82" s="5"/>
      <c r="L82" s="5"/>
      <c r="M82" s="5"/>
      <c r="N82" s="5"/>
      <c r="O82" s="5"/>
      <c r="P82" s="5"/>
      <c r="Q82" s="5"/>
      <c r="R82" s="5"/>
    </row>
    <row r="83" spans="1:18">
      <c r="A83" s="5"/>
      <c r="B83" s="5"/>
      <c r="C83" s="5"/>
      <c r="D83" s="5"/>
      <c r="E83" s="5"/>
      <c r="F83" s="5"/>
      <c r="G83" s="5"/>
      <c r="H83" s="5"/>
      <c r="I83" s="5"/>
      <c r="J83" s="5"/>
      <c r="K83" s="5"/>
      <c r="L83" s="5"/>
      <c r="M83" s="5"/>
      <c r="N83" s="5"/>
      <c r="O83" s="5"/>
      <c r="P83" s="5"/>
      <c r="Q83" s="5"/>
      <c r="R83" s="5"/>
    </row>
    <row r="84" spans="1:18">
      <c r="A84" s="5"/>
      <c r="B84" s="5"/>
      <c r="C84" s="5"/>
      <c r="D84" s="5"/>
      <c r="E84" s="5"/>
      <c r="F84" s="5"/>
      <c r="G84" s="5"/>
      <c r="H84" s="5"/>
      <c r="I84" s="5"/>
      <c r="J84" s="5"/>
      <c r="K84" s="5"/>
      <c r="L84" s="5"/>
      <c r="M84" s="5"/>
      <c r="N84" s="5"/>
      <c r="O84" s="5"/>
      <c r="P84" s="5"/>
      <c r="Q84" s="5"/>
      <c r="R84" s="5"/>
    </row>
    <row r="85" spans="1:18">
      <c r="A85" s="5"/>
      <c r="B85" s="5"/>
      <c r="C85" s="5"/>
      <c r="D85" s="5"/>
      <c r="E85" s="5"/>
      <c r="F85" s="5"/>
      <c r="G85" s="5"/>
      <c r="H85" s="5"/>
      <c r="I85" s="5"/>
      <c r="J85" s="5"/>
      <c r="K85" s="5"/>
      <c r="L85" s="5"/>
      <c r="M85" s="5"/>
      <c r="N85" s="5"/>
      <c r="O85" s="5"/>
      <c r="P85" s="5"/>
      <c r="Q85" s="5"/>
      <c r="R85" s="5"/>
    </row>
    <row r="86" spans="1:18">
      <c r="A86" s="5"/>
      <c r="B86" s="5"/>
      <c r="C86" s="5"/>
      <c r="D86" s="5"/>
      <c r="E86" s="5"/>
      <c r="F86" s="5"/>
      <c r="G86" s="5"/>
      <c r="H86" s="5"/>
      <c r="I86" s="5"/>
      <c r="J86" s="5"/>
      <c r="K86" s="5"/>
      <c r="L86" s="5"/>
      <c r="M86" s="5"/>
      <c r="N86" s="5"/>
      <c r="O86" s="5"/>
      <c r="P86" s="5"/>
      <c r="Q86" s="5"/>
      <c r="R86" s="5"/>
    </row>
    <row r="87" spans="1:18">
      <c r="A87" s="5"/>
      <c r="B87" s="5"/>
      <c r="C87" s="5"/>
      <c r="D87" s="5"/>
      <c r="E87" s="5"/>
      <c r="F87" s="5"/>
      <c r="G87" s="5"/>
      <c r="H87" s="5"/>
      <c r="I87" s="5"/>
      <c r="J87" s="5"/>
      <c r="K87" s="5"/>
      <c r="L87" s="5"/>
      <c r="M87" s="5"/>
      <c r="N87" s="5"/>
      <c r="O87" s="5"/>
      <c r="P87" s="5"/>
      <c r="Q87" s="5"/>
      <c r="R87" s="5"/>
    </row>
    <row r="88" spans="1:18">
      <c r="A88" s="5"/>
      <c r="B88" s="5"/>
      <c r="C88" s="5"/>
      <c r="D88" s="5"/>
      <c r="E88" s="5"/>
      <c r="F88" s="5"/>
      <c r="G88" s="5"/>
      <c r="H88" s="5"/>
      <c r="I88" s="5"/>
      <c r="J88" s="5"/>
      <c r="K88" s="5"/>
      <c r="L88" s="5"/>
      <c r="M88" s="5"/>
      <c r="N88" s="5"/>
      <c r="O88" s="5"/>
      <c r="P88" s="5"/>
      <c r="Q88" s="5"/>
      <c r="R88" s="5"/>
    </row>
    <row r="89" spans="1:18">
      <c r="A89" s="5"/>
      <c r="B89" s="5"/>
      <c r="C89" s="5"/>
      <c r="D89" s="5"/>
      <c r="E89" s="5"/>
      <c r="F89" s="5"/>
      <c r="G89" s="5"/>
      <c r="H89" s="5"/>
      <c r="I89" s="5"/>
      <c r="J89" s="5"/>
      <c r="K89" s="5"/>
      <c r="L89" s="5"/>
      <c r="M89" s="5"/>
      <c r="N89" s="5"/>
      <c r="O89" s="5"/>
      <c r="P89" s="5"/>
      <c r="Q89" s="5"/>
      <c r="R89" s="5"/>
    </row>
    <row r="90" spans="1:18">
      <c r="A90" s="5"/>
      <c r="B90" s="5"/>
      <c r="C90" s="5"/>
      <c r="D90" s="5"/>
      <c r="E90" s="5"/>
      <c r="F90" s="5"/>
      <c r="G90" s="5"/>
      <c r="H90" s="5"/>
      <c r="I90" s="5"/>
      <c r="J90" s="5"/>
      <c r="K90" s="5"/>
      <c r="L90" s="5"/>
      <c r="M90" s="5"/>
      <c r="N90" s="5"/>
      <c r="O90" s="5"/>
      <c r="P90" s="5"/>
      <c r="Q90" s="5"/>
      <c r="R90" s="5"/>
    </row>
    <row r="91" spans="1:18">
      <c r="A91" s="5"/>
      <c r="B91" s="5"/>
      <c r="C91" s="5"/>
      <c r="D91" s="5"/>
      <c r="E91" s="5"/>
      <c r="F91" s="5"/>
      <c r="G91" s="5"/>
      <c r="H91" s="5"/>
      <c r="I91" s="5"/>
      <c r="J91" s="5"/>
      <c r="K91" s="5"/>
      <c r="L91" s="5"/>
      <c r="M91" s="5"/>
      <c r="N91" s="5"/>
      <c r="O91" s="5"/>
      <c r="P91" s="5"/>
      <c r="Q91" s="5"/>
      <c r="R91" s="5"/>
    </row>
    <row r="92" spans="1:18">
      <c r="A92" s="5"/>
      <c r="B92" s="5"/>
      <c r="C92" s="5"/>
      <c r="D92" s="5"/>
      <c r="E92" s="5"/>
      <c r="F92" s="5"/>
      <c r="G92" s="5"/>
      <c r="H92" s="5"/>
      <c r="I92" s="5"/>
      <c r="J92" s="5"/>
      <c r="K92" s="5"/>
      <c r="L92" s="5"/>
      <c r="M92" s="5"/>
      <c r="N92" s="5"/>
      <c r="O92" s="5"/>
      <c r="P92" s="5"/>
      <c r="Q92" s="5"/>
      <c r="R92" s="5"/>
    </row>
    <row r="93" spans="1:18">
      <c r="A93" s="5"/>
      <c r="B93" s="5"/>
      <c r="C93" s="5"/>
      <c r="D93" s="5"/>
      <c r="E93" s="5"/>
      <c r="F93" s="5"/>
      <c r="G93" s="5"/>
      <c r="H93" s="5"/>
      <c r="I93" s="5"/>
      <c r="J93" s="5"/>
      <c r="K93" s="5"/>
      <c r="L93" s="5"/>
      <c r="M93" s="5"/>
      <c r="N93" s="5"/>
      <c r="O93" s="5"/>
      <c r="P93" s="5"/>
      <c r="Q93" s="5"/>
      <c r="R93" s="5"/>
    </row>
    <row r="94" spans="1:18">
      <c r="A94" s="5"/>
      <c r="B94" s="5"/>
      <c r="C94" s="5"/>
      <c r="D94" s="5"/>
      <c r="E94" s="5"/>
      <c r="F94" s="5"/>
      <c r="G94" s="5"/>
      <c r="H94" s="5"/>
      <c r="I94" s="5"/>
      <c r="J94" s="5"/>
      <c r="K94" s="5"/>
      <c r="L94" s="5"/>
      <c r="M94" s="5"/>
      <c r="N94" s="5"/>
      <c r="O94" s="5"/>
      <c r="P94" s="5"/>
      <c r="Q94" s="5"/>
      <c r="R94" s="5"/>
    </row>
    <row r="95" spans="1:18">
      <c r="A95" s="5"/>
      <c r="B95" s="5"/>
      <c r="C95" s="5"/>
      <c r="D95" s="5"/>
      <c r="E95" s="5"/>
      <c r="F95" s="5"/>
      <c r="G95" s="5"/>
      <c r="H95" s="5"/>
      <c r="I95" s="5"/>
      <c r="J95" s="5"/>
      <c r="K95" s="5"/>
      <c r="L95" s="5"/>
      <c r="M95" s="5"/>
      <c r="N95" s="5"/>
      <c r="O95" s="5"/>
      <c r="P95" s="5"/>
      <c r="Q95" s="5"/>
      <c r="R95" s="5"/>
    </row>
    <row r="96" spans="1:18">
      <c r="A96" s="5"/>
      <c r="B96" s="5"/>
      <c r="C96" s="5"/>
      <c r="D96" s="5"/>
      <c r="E96" s="5"/>
      <c r="F96" s="5"/>
      <c r="G96" s="5"/>
      <c r="H96" s="5"/>
      <c r="I96" s="5"/>
      <c r="J96" s="5"/>
      <c r="K96" s="5"/>
      <c r="L96" s="5"/>
      <c r="M96" s="5"/>
      <c r="N96" s="5"/>
      <c r="O96" s="5"/>
      <c r="P96" s="5"/>
      <c r="Q96" s="5"/>
      <c r="R96" s="5"/>
    </row>
    <row r="97" spans="1:18">
      <c r="A97" s="5"/>
      <c r="B97" s="5"/>
      <c r="C97" s="5"/>
      <c r="D97" s="5"/>
      <c r="E97" s="5"/>
      <c r="F97" s="5"/>
      <c r="G97" s="5"/>
      <c r="H97" s="5"/>
      <c r="I97" s="5"/>
      <c r="J97" s="5"/>
      <c r="K97" s="5"/>
      <c r="L97" s="5"/>
      <c r="M97" s="5"/>
      <c r="N97" s="5"/>
      <c r="O97" s="5"/>
      <c r="P97" s="5"/>
      <c r="Q97" s="5"/>
      <c r="R97" s="5"/>
    </row>
    <row r="98" spans="1:18">
      <c r="A98" s="5"/>
      <c r="B98" s="5"/>
      <c r="C98" s="5"/>
      <c r="D98" s="5"/>
      <c r="E98" s="5"/>
      <c r="F98" s="5"/>
      <c r="G98" s="5"/>
      <c r="H98" s="5"/>
      <c r="I98" s="5"/>
      <c r="J98" s="5"/>
      <c r="K98" s="5"/>
      <c r="L98" s="5"/>
      <c r="M98" s="5"/>
      <c r="N98" s="5"/>
      <c r="O98" s="5"/>
      <c r="P98" s="5"/>
      <c r="Q98" s="5"/>
      <c r="R98" s="5"/>
    </row>
    <row r="99" spans="1:18">
      <c r="A99" s="5"/>
      <c r="B99" s="5"/>
      <c r="C99" s="5"/>
      <c r="D99" s="5"/>
      <c r="E99" s="5"/>
      <c r="F99" s="5"/>
      <c r="G99" s="5"/>
      <c r="H99" s="5"/>
      <c r="I99" s="5"/>
      <c r="J99" s="5"/>
      <c r="K99" s="5"/>
      <c r="L99" s="5"/>
      <c r="M99" s="5"/>
      <c r="N99" s="5"/>
      <c r="O99" s="5"/>
      <c r="P99" s="5"/>
      <c r="Q99" s="5"/>
      <c r="R99" s="5"/>
    </row>
    <row r="100" spans="1:18">
      <c r="A100" s="5"/>
      <c r="B100" s="5"/>
      <c r="C100" s="5"/>
      <c r="D100" s="5"/>
      <c r="E100" s="5"/>
      <c r="F100" s="5"/>
      <c r="G100" s="5"/>
      <c r="H100" s="5"/>
      <c r="I100" s="5"/>
      <c r="J100" s="5"/>
      <c r="K100" s="5"/>
      <c r="L100" s="5"/>
      <c r="M100" s="5"/>
      <c r="N100" s="5"/>
      <c r="O100" s="5"/>
      <c r="P100" s="5"/>
      <c r="Q100" s="5"/>
      <c r="R100" s="5"/>
    </row>
    <row r="101" spans="1:18">
      <c r="A101" s="5"/>
      <c r="B101" s="5"/>
      <c r="C101" s="5"/>
      <c r="D101" s="5"/>
      <c r="E101" s="5"/>
      <c r="F101" s="5"/>
      <c r="G101" s="5"/>
      <c r="H101" s="5"/>
      <c r="I101" s="5"/>
      <c r="J101" s="5"/>
      <c r="K101" s="5"/>
      <c r="L101" s="5"/>
      <c r="M101" s="5"/>
      <c r="N101" s="5"/>
      <c r="O101" s="5"/>
      <c r="P101" s="5"/>
      <c r="Q101" s="5"/>
      <c r="R101" s="5"/>
    </row>
    <row r="102" spans="1:18">
      <c r="A102" s="5"/>
      <c r="B102" s="5"/>
      <c r="C102" s="5"/>
      <c r="D102" s="5"/>
      <c r="E102" s="5"/>
      <c r="F102" s="5"/>
      <c r="G102" s="5"/>
      <c r="H102" s="5"/>
      <c r="I102" s="5"/>
      <c r="J102" s="5"/>
      <c r="K102" s="5"/>
      <c r="L102" s="5"/>
      <c r="M102" s="5"/>
      <c r="N102" s="5"/>
      <c r="O102" s="5"/>
      <c r="P102" s="5"/>
      <c r="Q102" s="5"/>
      <c r="R102" s="5"/>
    </row>
    <row r="103" spans="1:18">
      <c r="A103" s="5"/>
      <c r="B103" s="5"/>
      <c r="C103" s="5"/>
      <c r="D103" s="5"/>
      <c r="E103" s="5"/>
      <c r="F103" s="5"/>
      <c r="G103" s="5"/>
      <c r="H103" s="5"/>
      <c r="I103" s="5"/>
      <c r="J103" s="5"/>
      <c r="K103" s="5"/>
      <c r="L103" s="5"/>
      <c r="M103" s="5"/>
      <c r="N103" s="5"/>
      <c r="O103" s="5"/>
      <c r="P103" s="5"/>
      <c r="Q103" s="5"/>
      <c r="R103" s="5"/>
    </row>
    <row r="104" spans="1:18">
      <c r="A104" s="5"/>
      <c r="B104" s="5"/>
      <c r="C104" s="5"/>
      <c r="D104" s="5"/>
      <c r="E104" s="5"/>
      <c r="F104" s="5"/>
      <c r="G104" s="5"/>
      <c r="H104" s="5"/>
      <c r="I104" s="5"/>
      <c r="J104" s="5"/>
      <c r="K104" s="5"/>
      <c r="L104" s="5"/>
      <c r="M104" s="5"/>
      <c r="N104" s="5"/>
      <c r="O104" s="5"/>
      <c r="P104" s="5"/>
      <c r="Q104" s="5"/>
      <c r="R104" s="5"/>
    </row>
    <row r="105" spans="1:18">
      <c r="A105" s="5"/>
      <c r="B105" s="5"/>
      <c r="C105" s="5"/>
      <c r="D105" s="5"/>
      <c r="E105" s="5"/>
      <c r="F105" s="5"/>
      <c r="G105" s="5"/>
      <c r="H105" s="5"/>
      <c r="I105" s="5"/>
      <c r="J105" s="5"/>
      <c r="K105" s="5"/>
      <c r="L105" s="5"/>
      <c r="M105" s="5"/>
      <c r="N105" s="5"/>
      <c r="O105" s="5"/>
      <c r="P105" s="5"/>
      <c r="Q105" s="5"/>
      <c r="R105" s="5"/>
    </row>
    <row r="106" spans="1:18">
      <c r="A106" s="5"/>
      <c r="B106" s="5"/>
      <c r="C106" s="5"/>
      <c r="D106" s="5"/>
      <c r="E106" s="5"/>
      <c r="F106" s="5"/>
      <c r="G106" s="5"/>
      <c r="H106" s="5"/>
      <c r="I106" s="5"/>
      <c r="J106" s="5"/>
      <c r="K106" s="5"/>
      <c r="L106" s="5"/>
      <c r="M106" s="5"/>
      <c r="N106" s="5"/>
      <c r="O106" s="5"/>
      <c r="P106" s="5"/>
      <c r="Q106" s="5"/>
      <c r="R106" s="5"/>
    </row>
    <row r="107" spans="1:18">
      <c r="A107" s="5"/>
      <c r="B107" s="5"/>
      <c r="C107" s="5"/>
      <c r="D107" s="5"/>
      <c r="E107" s="5"/>
      <c r="F107" s="5"/>
      <c r="G107" s="5"/>
      <c r="H107" s="5"/>
      <c r="I107" s="5"/>
      <c r="J107" s="5"/>
      <c r="K107" s="5"/>
      <c r="L107" s="5"/>
      <c r="M107" s="5"/>
      <c r="N107" s="5"/>
      <c r="O107" s="5"/>
      <c r="P107" s="5"/>
      <c r="Q107" s="5"/>
      <c r="R107" s="5"/>
    </row>
    <row r="108" spans="1:18">
      <c r="A108" s="5"/>
      <c r="B108" s="5"/>
      <c r="C108" s="5"/>
      <c r="D108" s="5"/>
      <c r="E108" s="5"/>
      <c r="F108" s="5"/>
      <c r="G108" s="5"/>
      <c r="H108" s="5"/>
      <c r="I108" s="5"/>
      <c r="J108" s="5"/>
      <c r="K108" s="5"/>
      <c r="L108" s="5"/>
      <c r="M108" s="5"/>
      <c r="N108" s="5"/>
      <c r="O108" s="5"/>
      <c r="P108" s="5"/>
      <c r="Q108" s="5"/>
      <c r="R108" s="5"/>
    </row>
    <row r="109" spans="1:18">
      <c r="A109" s="5"/>
      <c r="B109" s="5"/>
      <c r="C109" s="5"/>
      <c r="D109" s="5"/>
      <c r="E109" s="5"/>
      <c r="F109" s="5"/>
      <c r="G109" s="5"/>
      <c r="H109" s="5"/>
      <c r="I109" s="5"/>
      <c r="J109" s="5"/>
      <c r="K109" s="5"/>
      <c r="L109" s="5"/>
      <c r="M109" s="5"/>
      <c r="N109" s="5"/>
      <c r="O109" s="5"/>
      <c r="P109" s="5"/>
      <c r="Q109" s="5"/>
      <c r="R109" s="5"/>
    </row>
    <row r="110" spans="1:18">
      <c r="A110" s="5"/>
      <c r="B110" s="5"/>
      <c r="C110" s="5"/>
      <c r="D110" s="5"/>
      <c r="E110" s="5"/>
      <c r="F110" s="5"/>
      <c r="G110" s="5"/>
      <c r="H110" s="5"/>
      <c r="I110" s="5"/>
      <c r="J110" s="5"/>
      <c r="K110" s="5"/>
      <c r="L110" s="5"/>
      <c r="M110" s="5"/>
      <c r="N110" s="5"/>
      <c r="O110" s="5"/>
      <c r="P110" s="5"/>
      <c r="Q110" s="5"/>
      <c r="R110" s="5"/>
    </row>
    <row r="111" spans="1:18">
      <c r="A111" s="5"/>
      <c r="B111" s="5"/>
      <c r="C111" s="5"/>
      <c r="D111" s="5"/>
      <c r="E111" s="5"/>
      <c r="F111" s="5"/>
      <c r="G111" s="5"/>
      <c r="H111" s="5"/>
      <c r="I111" s="5"/>
      <c r="J111" s="5"/>
      <c r="K111" s="5"/>
      <c r="L111" s="5"/>
      <c r="M111" s="5"/>
      <c r="N111" s="5"/>
      <c r="O111" s="5"/>
      <c r="P111" s="5"/>
      <c r="Q111" s="5"/>
      <c r="R111" s="5"/>
    </row>
    <row r="112" spans="1:18">
      <c r="A112" s="5"/>
      <c r="B112" s="5"/>
      <c r="C112" s="5"/>
      <c r="D112" s="5"/>
      <c r="E112" s="5"/>
      <c r="F112" s="5"/>
      <c r="G112" s="5"/>
      <c r="H112" s="5"/>
      <c r="I112" s="5"/>
      <c r="J112" s="5"/>
      <c r="K112" s="5"/>
      <c r="L112" s="5"/>
      <c r="M112" s="5"/>
      <c r="N112" s="5"/>
      <c r="O112" s="5"/>
      <c r="P112" s="5"/>
      <c r="Q112" s="5"/>
      <c r="R112" s="5"/>
    </row>
    <row r="113" spans="1:18">
      <c r="A113" s="5"/>
      <c r="B113" s="5"/>
      <c r="C113" s="5"/>
      <c r="D113" s="5"/>
      <c r="E113" s="5"/>
      <c r="F113" s="5"/>
      <c r="G113" s="5"/>
      <c r="H113" s="5"/>
      <c r="I113" s="5"/>
      <c r="J113" s="5"/>
      <c r="K113" s="5"/>
      <c r="L113" s="5"/>
      <c r="M113" s="5"/>
      <c r="N113" s="5"/>
      <c r="O113" s="5"/>
      <c r="P113" s="5"/>
      <c r="Q113" s="5"/>
      <c r="R113" s="5"/>
    </row>
    <row r="114" spans="1:18">
      <c r="A114" s="5"/>
      <c r="B114" s="5"/>
      <c r="C114" s="5"/>
      <c r="D114" s="5"/>
      <c r="E114" s="5"/>
      <c r="F114" s="5"/>
      <c r="G114" s="5"/>
      <c r="H114" s="5"/>
      <c r="I114" s="5"/>
      <c r="J114" s="5"/>
      <c r="K114" s="5"/>
      <c r="L114" s="5"/>
      <c r="M114" s="5"/>
      <c r="N114" s="5"/>
      <c r="O114" s="5"/>
      <c r="P114" s="5"/>
      <c r="Q114" s="5"/>
      <c r="R114" s="5"/>
    </row>
    <row r="115" spans="1:18">
      <c r="A115" s="5"/>
      <c r="B115" s="5"/>
      <c r="C115" s="5"/>
      <c r="D115" s="5"/>
      <c r="E115" s="5"/>
      <c r="F115" s="5"/>
      <c r="G115" s="5"/>
      <c r="H115" s="5"/>
      <c r="I115" s="5"/>
      <c r="J115" s="5"/>
      <c r="K115" s="5"/>
      <c r="L115" s="5"/>
      <c r="M115" s="5"/>
      <c r="N115" s="5"/>
      <c r="O115" s="5"/>
      <c r="P115" s="5"/>
      <c r="Q115" s="5"/>
      <c r="R115" s="5"/>
    </row>
    <row r="116" spans="1:18">
      <c r="A116" s="5"/>
      <c r="B116" s="5"/>
      <c r="C116" s="5"/>
      <c r="D116" s="5"/>
      <c r="E116" s="5"/>
      <c r="F116" s="5"/>
      <c r="G116" s="5"/>
      <c r="H116" s="5"/>
      <c r="I116" s="5"/>
      <c r="J116" s="5"/>
      <c r="K116" s="5"/>
      <c r="L116" s="5"/>
      <c r="M116" s="5"/>
      <c r="N116" s="5"/>
      <c r="O116" s="5"/>
      <c r="P116" s="5"/>
      <c r="Q116" s="5"/>
      <c r="R116" s="5"/>
    </row>
    <row r="117" spans="1:18">
      <c r="A117" s="5"/>
      <c r="B117" s="5"/>
      <c r="C117" s="5"/>
      <c r="D117" s="5"/>
      <c r="E117" s="5"/>
      <c r="F117" s="5"/>
      <c r="G117" s="5"/>
      <c r="H117" s="5"/>
      <c r="I117" s="5"/>
      <c r="J117" s="5"/>
      <c r="K117" s="5"/>
      <c r="L117" s="5"/>
      <c r="M117" s="5"/>
      <c r="N117" s="5"/>
      <c r="O117" s="5"/>
      <c r="P117" s="5"/>
      <c r="Q117" s="5"/>
      <c r="R117" s="5"/>
    </row>
    <row r="118" spans="1:18">
      <c r="A118" s="5"/>
      <c r="B118" s="5"/>
      <c r="C118" s="5"/>
      <c r="D118" s="5"/>
      <c r="E118" s="5"/>
      <c r="F118" s="5"/>
      <c r="G118" s="5"/>
      <c r="H118" s="5"/>
      <c r="I118" s="5"/>
      <c r="J118" s="5"/>
      <c r="K118" s="5"/>
      <c r="L118" s="5"/>
      <c r="M118" s="5"/>
      <c r="N118" s="5"/>
      <c r="O118" s="5"/>
      <c r="P118" s="5"/>
      <c r="Q118" s="5"/>
      <c r="R118" s="5"/>
    </row>
    <row r="119" spans="1:18">
      <c r="A119" s="5"/>
      <c r="B119" s="5"/>
      <c r="C119" s="5"/>
      <c r="D119" s="5"/>
      <c r="E119" s="5"/>
      <c r="F119" s="5"/>
      <c r="G119" s="5"/>
      <c r="H119" s="5"/>
      <c r="I119" s="5"/>
      <c r="J119" s="5"/>
      <c r="K119" s="5"/>
      <c r="L119" s="5"/>
      <c r="M119" s="5"/>
      <c r="N119" s="5"/>
      <c r="O119" s="5"/>
      <c r="P119" s="5"/>
      <c r="Q119" s="5"/>
      <c r="R119" s="5"/>
    </row>
    <row r="120" spans="1:18">
      <c r="A120" s="5"/>
      <c r="B120" s="5"/>
      <c r="C120" s="5"/>
      <c r="D120" s="5"/>
      <c r="E120" s="5"/>
      <c r="F120" s="5"/>
      <c r="G120" s="5"/>
      <c r="H120" s="5"/>
      <c r="I120" s="5"/>
      <c r="J120" s="5"/>
      <c r="K120" s="5"/>
      <c r="L120" s="5"/>
      <c r="M120" s="5"/>
      <c r="N120" s="5"/>
      <c r="O120" s="5"/>
      <c r="P120" s="5"/>
      <c r="Q120" s="5"/>
      <c r="R120" s="5"/>
    </row>
    <row r="121" spans="1:18">
      <c r="A121" s="5"/>
      <c r="B121" s="5"/>
      <c r="C121" s="5"/>
      <c r="D121" s="5"/>
      <c r="E121" s="5"/>
      <c r="F121" s="5"/>
      <c r="G121" s="5"/>
      <c r="H121" s="5"/>
      <c r="I121" s="5"/>
      <c r="J121" s="5"/>
      <c r="K121" s="5"/>
      <c r="L121" s="5"/>
      <c r="M121" s="5"/>
      <c r="N121" s="5"/>
      <c r="O121" s="5"/>
      <c r="P121" s="5"/>
      <c r="Q121" s="5"/>
      <c r="R121" s="5"/>
    </row>
    <row r="122" spans="1:18">
      <c r="A122" s="5"/>
      <c r="B122" s="5"/>
      <c r="C122" s="5"/>
      <c r="D122" s="5"/>
      <c r="E122" s="5"/>
      <c r="F122" s="5"/>
      <c r="G122" s="5"/>
      <c r="H122" s="5"/>
      <c r="I122" s="5"/>
      <c r="J122" s="5"/>
      <c r="K122" s="5"/>
      <c r="L122" s="5"/>
      <c r="M122" s="5"/>
      <c r="N122" s="5"/>
      <c r="O122" s="5"/>
      <c r="P122" s="5"/>
      <c r="Q122" s="5"/>
      <c r="R122" s="5"/>
    </row>
    <row r="123" spans="1:18">
      <c r="A123" s="5"/>
      <c r="B123" s="5"/>
      <c r="C123" s="5"/>
      <c r="D123" s="5"/>
      <c r="E123" s="5"/>
      <c r="F123" s="5"/>
      <c r="G123" s="5"/>
      <c r="H123" s="5"/>
      <c r="I123" s="5"/>
      <c r="J123" s="5"/>
      <c r="K123" s="5"/>
      <c r="L123" s="5"/>
      <c r="M123" s="5"/>
      <c r="N123" s="5"/>
      <c r="O123" s="5"/>
      <c r="P123" s="5"/>
      <c r="Q123" s="5"/>
      <c r="R123" s="5"/>
    </row>
    <row r="124" spans="1:18">
      <c r="A124" s="5"/>
      <c r="B124" s="5"/>
      <c r="C124" s="5"/>
      <c r="D124" s="5"/>
      <c r="E124" s="5"/>
      <c r="F124" s="5"/>
      <c r="G124" s="5"/>
      <c r="H124" s="5"/>
      <c r="I124" s="5"/>
      <c r="J124" s="5"/>
      <c r="K124" s="5"/>
      <c r="L124" s="5"/>
      <c r="M124" s="5"/>
      <c r="N124" s="5"/>
      <c r="O124" s="5"/>
      <c r="P124" s="5"/>
      <c r="Q124" s="5"/>
      <c r="R124" s="5"/>
    </row>
    <row r="125" spans="1:18">
      <c r="A125" s="5"/>
      <c r="B125" s="5"/>
      <c r="C125" s="5"/>
      <c r="D125" s="5"/>
      <c r="E125" s="5"/>
      <c r="F125" s="5"/>
      <c r="G125" s="5"/>
      <c r="H125" s="5"/>
      <c r="I125" s="5"/>
      <c r="J125" s="5"/>
      <c r="K125" s="5"/>
      <c r="L125" s="5"/>
      <c r="M125" s="5"/>
      <c r="N125" s="5"/>
      <c r="O125" s="5"/>
      <c r="P125" s="5"/>
      <c r="Q125" s="5"/>
      <c r="R125" s="5"/>
    </row>
    <row r="126" spans="1:18">
      <c r="A126" s="5"/>
      <c r="B126" s="5"/>
      <c r="C126" s="5"/>
      <c r="D126" s="5"/>
      <c r="E126" s="5"/>
      <c r="F126" s="5"/>
      <c r="G126" s="5"/>
      <c r="H126" s="5"/>
      <c r="I126" s="5"/>
      <c r="J126" s="5"/>
      <c r="K126" s="5"/>
      <c r="L126" s="5"/>
      <c r="M126" s="5"/>
      <c r="N126" s="5"/>
      <c r="O126" s="5"/>
      <c r="P126" s="5"/>
      <c r="Q126" s="5"/>
      <c r="R126" s="5"/>
    </row>
    <row r="127" spans="1:18">
      <c r="A127" s="5"/>
      <c r="B127" s="5"/>
      <c r="C127" s="5"/>
      <c r="D127" s="5"/>
      <c r="E127" s="5"/>
      <c r="F127" s="5"/>
      <c r="G127" s="5"/>
      <c r="H127" s="5"/>
      <c r="I127" s="5"/>
      <c r="J127" s="5"/>
      <c r="K127" s="5"/>
      <c r="L127" s="5"/>
      <c r="M127" s="5"/>
      <c r="N127" s="5"/>
      <c r="O127" s="5"/>
      <c r="P127" s="5"/>
      <c r="Q127" s="5"/>
      <c r="R127" s="5"/>
    </row>
    <row r="128" spans="1:18">
      <c r="A128" s="5"/>
      <c r="B128" s="5"/>
      <c r="C128" s="5"/>
      <c r="D128" s="5"/>
      <c r="E128" s="5"/>
      <c r="F128" s="5"/>
      <c r="G128" s="5"/>
      <c r="H128" s="5"/>
      <c r="I128" s="5"/>
      <c r="J128" s="5"/>
      <c r="K128" s="5"/>
      <c r="L128" s="5"/>
      <c r="M128" s="5"/>
      <c r="N128" s="5"/>
      <c r="O128" s="5"/>
      <c r="P128" s="5"/>
      <c r="Q128" s="5"/>
      <c r="R128" s="5"/>
    </row>
    <row r="129" spans="1:18">
      <c r="A129" s="5"/>
      <c r="B129" s="5"/>
      <c r="C129" s="5"/>
      <c r="D129" s="5"/>
      <c r="E129" s="5"/>
      <c r="F129" s="5"/>
      <c r="G129" s="5"/>
      <c r="H129" s="5"/>
      <c r="I129" s="5"/>
      <c r="J129" s="5"/>
      <c r="K129" s="5"/>
      <c r="L129" s="5"/>
      <c r="M129" s="5"/>
      <c r="N129" s="5"/>
      <c r="O129" s="5"/>
      <c r="P129" s="5"/>
      <c r="Q129" s="5"/>
      <c r="R129" s="5"/>
    </row>
    <row r="130" spans="1:18">
      <c r="A130" s="5"/>
      <c r="B130" s="5"/>
      <c r="C130" s="5"/>
      <c r="D130" s="5"/>
      <c r="E130" s="5"/>
      <c r="F130" s="5"/>
      <c r="G130" s="5"/>
      <c r="H130" s="5"/>
      <c r="I130" s="5"/>
      <c r="J130" s="5"/>
      <c r="K130" s="5"/>
      <c r="L130" s="5"/>
      <c r="M130" s="5"/>
      <c r="N130" s="5"/>
      <c r="O130" s="5"/>
      <c r="P130" s="5"/>
      <c r="Q130" s="5"/>
      <c r="R130" s="5"/>
    </row>
    <row r="131" spans="1:18">
      <c r="A131" s="5"/>
      <c r="B131" s="5"/>
      <c r="C131" s="5"/>
      <c r="D131" s="5"/>
      <c r="E131" s="5"/>
      <c r="F131" s="5"/>
      <c r="G131" s="5"/>
      <c r="H131" s="5"/>
      <c r="I131" s="5"/>
      <c r="J131" s="5"/>
      <c r="K131" s="5"/>
      <c r="L131" s="5"/>
      <c r="M131" s="5"/>
      <c r="N131" s="5"/>
      <c r="O131" s="5"/>
      <c r="P131" s="5"/>
      <c r="Q131" s="5"/>
      <c r="R131" s="5"/>
    </row>
    <row r="132" spans="1:18">
      <c r="A132" s="5"/>
      <c r="B132" s="5"/>
      <c r="C132" s="5"/>
      <c r="D132" s="5"/>
      <c r="E132" s="5"/>
      <c r="F132" s="5"/>
      <c r="G132" s="5"/>
      <c r="H132" s="5"/>
      <c r="I132" s="5"/>
      <c r="J132" s="5"/>
      <c r="K132" s="5"/>
      <c r="L132" s="5"/>
      <c r="M132" s="5"/>
      <c r="N132" s="5"/>
      <c r="O132" s="5"/>
      <c r="P132" s="5"/>
      <c r="Q132" s="5"/>
      <c r="R132" s="5"/>
    </row>
    <row r="133" spans="1:18">
      <c r="A133" s="5"/>
      <c r="B133" s="5"/>
      <c r="C133" s="5"/>
      <c r="D133" s="5"/>
      <c r="E133" s="5"/>
      <c r="F133" s="5"/>
      <c r="G133" s="5"/>
      <c r="H133" s="5"/>
      <c r="I133" s="5"/>
      <c r="J133" s="5"/>
      <c r="K133" s="5"/>
      <c r="L133" s="5"/>
      <c r="M133" s="5"/>
      <c r="N133" s="5"/>
      <c r="O133" s="5"/>
      <c r="P133" s="5"/>
      <c r="Q133" s="5"/>
      <c r="R133" s="5"/>
    </row>
    <row r="134" spans="1:18">
      <c r="A134" s="5"/>
      <c r="B134" s="5"/>
      <c r="C134" s="5"/>
      <c r="D134" s="5"/>
      <c r="E134" s="5"/>
      <c r="F134" s="5"/>
      <c r="G134" s="5"/>
      <c r="H134" s="5"/>
      <c r="I134" s="5"/>
      <c r="J134" s="5"/>
      <c r="K134" s="5"/>
      <c r="L134" s="5"/>
      <c r="M134" s="5"/>
      <c r="N134" s="5"/>
      <c r="O134" s="5"/>
      <c r="P134" s="5"/>
      <c r="Q134" s="5"/>
      <c r="R134" s="5"/>
    </row>
    <row r="135" spans="1:18">
      <c r="A135" s="5"/>
      <c r="B135" s="5"/>
      <c r="C135" s="5"/>
      <c r="D135" s="5"/>
      <c r="E135" s="5"/>
      <c r="F135" s="5"/>
      <c r="G135" s="5"/>
      <c r="H135" s="5"/>
      <c r="I135" s="5"/>
      <c r="J135" s="5"/>
      <c r="K135" s="5"/>
      <c r="L135" s="5"/>
      <c r="M135" s="5"/>
      <c r="N135" s="5"/>
      <c r="O135" s="5"/>
      <c r="P135" s="5"/>
      <c r="Q135" s="5"/>
      <c r="R135" s="5"/>
    </row>
    <row r="136" spans="1:18">
      <c r="A136" s="5"/>
      <c r="B136" s="5"/>
      <c r="C136" s="5"/>
      <c r="D136" s="5"/>
      <c r="E136" s="5"/>
      <c r="F136" s="5"/>
      <c r="G136" s="5"/>
      <c r="H136" s="5"/>
      <c r="I136" s="5"/>
      <c r="J136" s="5"/>
      <c r="K136" s="5"/>
      <c r="L136" s="5"/>
      <c r="M136" s="5"/>
      <c r="N136" s="5"/>
      <c r="O136" s="5"/>
      <c r="P136" s="5"/>
      <c r="Q136" s="5"/>
      <c r="R136" s="5"/>
    </row>
    <row r="137" spans="1:18">
      <c r="A137" s="5"/>
      <c r="B137" s="5"/>
      <c r="C137" s="5"/>
      <c r="D137" s="5"/>
      <c r="E137" s="5"/>
      <c r="F137" s="5"/>
      <c r="G137" s="5"/>
      <c r="H137" s="5"/>
      <c r="I137" s="5"/>
      <c r="J137" s="5"/>
      <c r="K137" s="5"/>
      <c r="L137" s="5"/>
      <c r="M137" s="5"/>
      <c r="N137" s="5"/>
      <c r="O137" s="5"/>
      <c r="P137" s="5"/>
      <c r="Q137" s="5"/>
      <c r="R137" s="5"/>
    </row>
    <row r="138" spans="1:18">
      <c r="A138" s="5"/>
      <c r="B138" s="5"/>
      <c r="C138" s="5"/>
      <c r="D138" s="5"/>
      <c r="E138" s="5"/>
      <c r="F138" s="5"/>
      <c r="G138" s="5"/>
      <c r="H138" s="5"/>
      <c r="I138" s="5"/>
      <c r="J138" s="5"/>
      <c r="K138" s="5"/>
      <c r="L138" s="5"/>
      <c r="M138" s="5"/>
      <c r="N138" s="5"/>
      <c r="O138" s="5"/>
      <c r="P138" s="5"/>
      <c r="Q138" s="5"/>
      <c r="R138" s="5"/>
    </row>
    <row r="139" spans="1:18">
      <c r="A139" s="5"/>
      <c r="B139" s="5"/>
      <c r="C139" s="5"/>
      <c r="D139" s="5"/>
      <c r="E139" s="5"/>
      <c r="F139" s="5"/>
      <c r="G139" s="5"/>
      <c r="H139" s="5"/>
      <c r="I139" s="5"/>
      <c r="J139" s="5"/>
      <c r="K139" s="5"/>
      <c r="L139" s="5"/>
      <c r="M139" s="5"/>
      <c r="N139" s="5"/>
      <c r="O139" s="5"/>
      <c r="P139" s="5"/>
      <c r="Q139" s="5"/>
      <c r="R139" s="5"/>
    </row>
    <row r="140" spans="1:18">
      <c r="A140" s="5"/>
      <c r="B140" s="5"/>
      <c r="C140" s="5"/>
      <c r="D140" s="5"/>
      <c r="E140" s="5"/>
      <c r="F140" s="5"/>
      <c r="G140" s="5"/>
      <c r="H140" s="5"/>
      <c r="I140" s="5"/>
      <c r="J140" s="5"/>
      <c r="K140" s="5"/>
      <c r="L140" s="5"/>
      <c r="M140" s="5"/>
      <c r="N140" s="5"/>
      <c r="O140" s="5"/>
      <c r="P140" s="5"/>
      <c r="Q140" s="5"/>
      <c r="R140" s="5"/>
    </row>
    <row r="141" spans="1:18">
      <c r="A141" s="5"/>
      <c r="B141" s="5"/>
      <c r="C141" s="5"/>
      <c r="D141" s="5"/>
      <c r="E141" s="5"/>
      <c r="F141" s="5"/>
      <c r="G141" s="5"/>
      <c r="H141" s="5"/>
      <c r="I141" s="5"/>
      <c r="J141" s="5"/>
      <c r="K141" s="5"/>
      <c r="L141" s="5"/>
      <c r="M141" s="5"/>
      <c r="N141" s="5"/>
      <c r="O141" s="5"/>
      <c r="P141" s="5"/>
      <c r="Q141" s="5"/>
      <c r="R141" s="5"/>
    </row>
    <row r="142" spans="1:18">
      <c r="A142" s="5"/>
      <c r="B142" s="5"/>
      <c r="C142" s="5"/>
      <c r="D142" s="5"/>
      <c r="E142" s="5"/>
      <c r="F142" s="5"/>
      <c r="G142" s="5"/>
      <c r="H142" s="5"/>
      <c r="I142" s="5"/>
      <c r="J142" s="5"/>
      <c r="K142" s="5"/>
      <c r="L142" s="5"/>
      <c r="M142" s="5"/>
      <c r="N142" s="5"/>
      <c r="O142" s="5"/>
      <c r="P142" s="5"/>
      <c r="Q142" s="5"/>
      <c r="R142" s="5"/>
    </row>
    <row r="143" spans="1:18">
      <c r="A143" s="5"/>
      <c r="B143" s="5"/>
      <c r="C143" s="5"/>
      <c r="D143" s="5"/>
      <c r="E143" s="5"/>
      <c r="F143" s="5"/>
      <c r="G143" s="5"/>
      <c r="H143" s="5"/>
      <c r="I143" s="5"/>
      <c r="J143" s="5"/>
      <c r="K143" s="5"/>
      <c r="L143" s="5"/>
      <c r="M143" s="5"/>
      <c r="N143" s="5"/>
      <c r="O143" s="5"/>
      <c r="P143" s="5"/>
      <c r="Q143" s="5"/>
      <c r="R143" s="5"/>
    </row>
    <row r="144" spans="1:18">
      <c r="A144" s="5"/>
      <c r="B144" s="5"/>
      <c r="C144" s="5"/>
      <c r="D144" s="5"/>
      <c r="E144" s="5"/>
      <c r="F144" s="5"/>
      <c r="G144" s="5"/>
      <c r="H144" s="5"/>
      <c r="I144" s="5"/>
      <c r="J144" s="5"/>
      <c r="K144" s="5"/>
      <c r="L144" s="5"/>
      <c r="M144" s="5"/>
      <c r="N144" s="5"/>
      <c r="O144" s="5"/>
      <c r="P144" s="5"/>
      <c r="Q144" s="5"/>
      <c r="R144" s="5"/>
    </row>
    <row r="145" spans="1:18">
      <c r="A145" s="5"/>
      <c r="B145" s="5"/>
      <c r="C145" s="5"/>
      <c r="D145" s="5"/>
      <c r="E145" s="5"/>
      <c r="F145" s="5"/>
      <c r="G145" s="5"/>
      <c r="H145" s="5"/>
      <c r="I145" s="5"/>
      <c r="J145" s="5"/>
      <c r="K145" s="5"/>
      <c r="L145" s="5"/>
      <c r="M145" s="5"/>
      <c r="N145" s="5"/>
      <c r="O145" s="5"/>
      <c r="P145" s="5"/>
      <c r="Q145" s="5"/>
      <c r="R145" s="5"/>
    </row>
    <row r="146" spans="1:18">
      <c r="A146" s="5"/>
      <c r="B146" s="5"/>
      <c r="C146" s="5"/>
      <c r="D146" s="5"/>
      <c r="E146" s="5"/>
      <c r="F146" s="5"/>
      <c r="G146" s="5"/>
      <c r="H146" s="5"/>
      <c r="I146" s="5"/>
      <c r="J146" s="5"/>
      <c r="K146" s="5"/>
      <c r="L146" s="5"/>
      <c r="M146" s="5"/>
      <c r="N146" s="5"/>
      <c r="O146" s="5"/>
      <c r="P146" s="5"/>
      <c r="Q146" s="5"/>
      <c r="R146" s="5"/>
    </row>
    <row r="147" spans="1:18">
      <c r="A147" s="5"/>
      <c r="B147" s="5"/>
      <c r="C147" s="5"/>
      <c r="D147" s="5"/>
      <c r="E147" s="5"/>
      <c r="F147" s="5"/>
      <c r="G147" s="5"/>
      <c r="H147" s="5"/>
      <c r="I147" s="5"/>
      <c r="J147" s="5"/>
      <c r="K147" s="5"/>
      <c r="L147" s="5"/>
      <c r="M147" s="5"/>
      <c r="N147" s="5"/>
      <c r="O147" s="5"/>
      <c r="P147" s="5"/>
      <c r="Q147" s="5"/>
      <c r="R147" s="5"/>
    </row>
    <row r="148" spans="1:18">
      <c r="A148" s="5"/>
      <c r="B148" s="5"/>
      <c r="C148" s="5"/>
      <c r="D148" s="5"/>
      <c r="E148" s="5"/>
      <c r="F148" s="5"/>
      <c r="G148" s="5"/>
      <c r="H148" s="5"/>
      <c r="I148" s="5"/>
      <c r="J148" s="5"/>
      <c r="K148" s="5"/>
      <c r="L148" s="5"/>
      <c r="M148" s="5"/>
      <c r="N148" s="5"/>
      <c r="O148" s="5"/>
      <c r="P148" s="5"/>
      <c r="Q148" s="5"/>
      <c r="R148" s="5"/>
    </row>
    <row r="149" spans="1:18">
      <c r="A149" s="5"/>
      <c r="B149" s="5"/>
      <c r="C149" s="5"/>
      <c r="D149" s="5"/>
      <c r="E149" s="5"/>
      <c r="F149" s="5"/>
      <c r="G149" s="5"/>
      <c r="H149" s="5"/>
      <c r="I149" s="5"/>
      <c r="J149" s="5"/>
      <c r="K149" s="5"/>
      <c r="L149" s="5"/>
      <c r="M149" s="5"/>
      <c r="N149" s="5"/>
      <c r="O149" s="5"/>
      <c r="P149" s="5"/>
      <c r="Q149" s="5"/>
      <c r="R149" s="5"/>
    </row>
    <row r="150" spans="1:18">
      <c r="A150" s="5"/>
      <c r="B150" s="5"/>
      <c r="C150" s="5"/>
      <c r="D150" s="5"/>
      <c r="E150" s="5"/>
      <c r="F150" s="5"/>
      <c r="G150" s="5"/>
      <c r="H150" s="5"/>
      <c r="I150" s="5"/>
      <c r="J150" s="5"/>
      <c r="K150" s="5"/>
      <c r="L150" s="5"/>
      <c r="M150" s="5"/>
      <c r="N150" s="5"/>
      <c r="O150" s="5"/>
      <c r="P150" s="5"/>
      <c r="Q150" s="5"/>
      <c r="R150" s="5"/>
    </row>
    <row r="151" spans="1:18">
      <c r="A151" s="5"/>
      <c r="B151" s="5"/>
      <c r="C151" s="5"/>
      <c r="D151" s="5"/>
      <c r="E151" s="5"/>
      <c r="F151" s="5"/>
      <c r="G151" s="5"/>
      <c r="H151" s="5"/>
      <c r="I151" s="5"/>
      <c r="J151" s="5"/>
      <c r="K151" s="5"/>
      <c r="L151" s="5"/>
      <c r="M151" s="5"/>
      <c r="N151" s="5"/>
      <c r="O151" s="5"/>
      <c r="P151" s="5"/>
      <c r="Q151" s="5"/>
      <c r="R151" s="5"/>
    </row>
    <row r="152" spans="1:18">
      <c r="A152" s="5"/>
      <c r="B152" s="5"/>
      <c r="C152" s="5"/>
      <c r="D152" s="5"/>
      <c r="E152" s="5"/>
      <c r="F152" s="5"/>
      <c r="G152" s="5"/>
      <c r="H152" s="5"/>
      <c r="I152" s="5"/>
      <c r="J152" s="5"/>
      <c r="K152" s="5"/>
      <c r="L152" s="5"/>
      <c r="M152" s="5"/>
      <c r="N152" s="5"/>
      <c r="O152" s="5"/>
      <c r="P152" s="5"/>
      <c r="Q152" s="5"/>
      <c r="R152" s="5"/>
    </row>
    <row r="153" spans="1:18">
      <c r="A153" s="5"/>
      <c r="B153" s="5"/>
      <c r="C153" s="5"/>
      <c r="D153" s="5"/>
      <c r="E153" s="5"/>
      <c r="F153" s="5"/>
      <c r="G153" s="5"/>
      <c r="H153" s="5"/>
      <c r="I153" s="5"/>
      <c r="J153" s="5"/>
      <c r="K153" s="5"/>
      <c r="L153" s="5"/>
      <c r="M153" s="5"/>
      <c r="N153" s="5"/>
      <c r="O153" s="5"/>
      <c r="P153" s="5"/>
      <c r="Q153" s="5"/>
      <c r="R153" s="5"/>
    </row>
    <row r="154" spans="1:18">
      <c r="A154" s="5"/>
      <c r="B154" s="5"/>
      <c r="C154" s="5"/>
      <c r="D154" s="5"/>
      <c r="E154" s="5"/>
      <c r="F154" s="5"/>
      <c r="G154" s="5"/>
      <c r="H154" s="5"/>
      <c r="I154" s="5"/>
      <c r="J154" s="5"/>
      <c r="K154" s="5"/>
      <c r="L154" s="5"/>
      <c r="M154" s="5"/>
      <c r="N154" s="5"/>
      <c r="O154" s="5"/>
      <c r="P154" s="5"/>
      <c r="Q154" s="5"/>
      <c r="R154" s="5"/>
    </row>
    <row r="155" spans="1:18">
      <c r="A155" s="5"/>
      <c r="B155" s="5"/>
      <c r="C155" s="5"/>
      <c r="D155" s="5"/>
      <c r="E155" s="5"/>
      <c r="F155" s="5"/>
      <c r="G155" s="5"/>
      <c r="H155" s="5"/>
      <c r="I155" s="5"/>
      <c r="J155" s="5"/>
      <c r="K155" s="5"/>
      <c r="L155" s="5"/>
      <c r="M155" s="5"/>
      <c r="N155" s="5"/>
      <c r="O155" s="5"/>
      <c r="P155" s="5"/>
      <c r="Q155" s="5"/>
      <c r="R155" s="5"/>
    </row>
    <row r="156" spans="1:18">
      <c r="A156" s="5"/>
      <c r="B156" s="5"/>
      <c r="C156" s="5"/>
      <c r="D156" s="5"/>
      <c r="E156" s="5"/>
      <c r="F156" s="5"/>
      <c r="G156" s="5"/>
      <c r="H156" s="5"/>
      <c r="I156" s="5"/>
      <c r="J156" s="5"/>
      <c r="K156" s="5"/>
      <c r="L156" s="5"/>
      <c r="M156" s="5"/>
      <c r="N156" s="5"/>
      <c r="O156" s="5"/>
      <c r="P156" s="5"/>
      <c r="Q156" s="5"/>
      <c r="R156" s="5"/>
    </row>
    <row r="157" spans="1:18">
      <c r="A157" s="5"/>
      <c r="B157" s="5"/>
      <c r="C157" s="5"/>
      <c r="D157" s="5"/>
      <c r="E157" s="5"/>
      <c r="F157" s="5"/>
      <c r="G157" s="5"/>
      <c r="H157" s="5"/>
      <c r="I157" s="5"/>
      <c r="J157" s="5"/>
      <c r="K157" s="5"/>
      <c r="L157" s="5"/>
      <c r="M157" s="5"/>
      <c r="N157" s="5"/>
      <c r="O157" s="5"/>
      <c r="P157" s="5"/>
      <c r="Q157" s="5"/>
      <c r="R157" s="5"/>
    </row>
    <row r="158" spans="1:18">
      <c r="A158" s="5"/>
      <c r="B158" s="5"/>
      <c r="C158" s="5"/>
      <c r="D158" s="5"/>
      <c r="E158" s="5"/>
      <c r="F158" s="5"/>
      <c r="G158" s="5"/>
      <c r="H158" s="5"/>
      <c r="I158" s="5"/>
      <c r="J158" s="5"/>
      <c r="K158" s="5"/>
      <c r="L158" s="5"/>
      <c r="M158" s="5"/>
      <c r="N158" s="5"/>
      <c r="O158" s="5"/>
      <c r="P158" s="5"/>
      <c r="Q158" s="5"/>
      <c r="R158" s="5"/>
    </row>
    <row r="159" spans="1:18">
      <c r="A159" s="5"/>
      <c r="B159" s="5"/>
      <c r="C159" s="5"/>
      <c r="D159" s="5"/>
      <c r="E159" s="5"/>
      <c r="F159" s="5"/>
      <c r="G159" s="5"/>
      <c r="H159" s="5"/>
      <c r="I159" s="5"/>
      <c r="J159" s="5"/>
      <c r="K159" s="5"/>
      <c r="L159" s="5"/>
      <c r="M159" s="5"/>
      <c r="N159" s="5"/>
      <c r="O159" s="5"/>
      <c r="P159" s="5"/>
      <c r="Q159" s="5"/>
      <c r="R159" s="5"/>
    </row>
    <row r="160" spans="1:18">
      <c r="A160" s="5"/>
      <c r="B160" s="5"/>
      <c r="C160" s="5"/>
      <c r="D160" s="5"/>
      <c r="E160" s="5"/>
      <c r="F160" s="5"/>
      <c r="G160" s="5"/>
      <c r="H160" s="5"/>
      <c r="I160" s="5"/>
      <c r="J160" s="5"/>
      <c r="K160" s="5"/>
      <c r="L160" s="5"/>
      <c r="M160" s="5"/>
      <c r="N160" s="5"/>
      <c r="O160" s="5"/>
      <c r="P160" s="5"/>
      <c r="Q160" s="5"/>
      <c r="R160" s="5"/>
    </row>
    <row r="161" spans="1:18">
      <c r="A161" s="5"/>
      <c r="B161" s="5"/>
      <c r="C161" s="5"/>
      <c r="D161" s="5"/>
      <c r="E161" s="5"/>
      <c r="F161" s="5"/>
      <c r="G161" s="5"/>
      <c r="H161" s="5"/>
      <c r="I161" s="5"/>
      <c r="J161" s="5"/>
      <c r="K161" s="5"/>
      <c r="L161" s="5"/>
      <c r="M161" s="5"/>
      <c r="N161" s="5"/>
      <c r="O161" s="5"/>
      <c r="P161" s="5"/>
      <c r="Q161" s="5"/>
      <c r="R161" s="5"/>
    </row>
    <row r="162" spans="1:18">
      <c r="A162" s="5"/>
      <c r="B162" s="5"/>
      <c r="C162" s="5"/>
      <c r="D162" s="5"/>
      <c r="E162" s="5"/>
      <c r="F162" s="5"/>
      <c r="G162" s="5"/>
      <c r="H162" s="5"/>
      <c r="I162" s="5"/>
      <c r="J162" s="5"/>
      <c r="K162" s="5"/>
      <c r="L162" s="5"/>
      <c r="M162" s="5"/>
      <c r="N162" s="5"/>
      <c r="O162" s="5"/>
      <c r="P162" s="5"/>
      <c r="Q162" s="5"/>
      <c r="R162" s="5"/>
    </row>
    <row r="163" spans="1:18">
      <c r="A163" s="5"/>
      <c r="B163" s="5"/>
      <c r="C163" s="5"/>
      <c r="D163" s="5"/>
      <c r="E163" s="5"/>
      <c r="F163" s="5"/>
      <c r="G163" s="5"/>
      <c r="H163" s="5"/>
      <c r="I163" s="5"/>
      <c r="J163" s="5"/>
      <c r="K163" s="5"/>
      <c r="L163" s="5"/>
      <c r="M163" s="5"/>
      <c r="N163" s="5"/>
      <c r="O163" s="5"/>
      <c r="P163" s="5"/>
      <c r="Q163" s="5"/>
      <c r="R163" s="5"/>
    </row>
    <row r="164" spans="1:18">
      <c r="A164" s="5"/>
      <c r="B164" s="5"/>
      <c r="C164" s="5"/>
      <c r="D164" s="5"/>
      <c r="E164" s="5"/>
      <c r="F164" s="5"/>
      <c r="G164" s="5"/>
      <c r="H164" s="5"/>
      <c r="I164" s="5"/>
      <c r="J164" s="5"/>
      <c r="K164" s="5"/>
      <c r="L164" s="5"/>
      <c r="M164" s="5"/>
      <c r="N164" s="5"/>
      <c r="O164" s="5"/>
      <c r="P164" s="5"/>
      <c r="Q164" s="5"/>
      <c r="R164" s="5"/>
    </row>
    <row r="165" spans="1:18">
      <c r="A165" s="5"/>
      <c r="B165" s="5"/>
      <c r="C165" s="5"/>
      <c r="D165" s="5"/>
      <c r="E165" s="5"/>
      <c r="F165" s="5"/>
      <c r="G165" s="5"/>
      <c r="H165" s="5"/>
      <c r="I165" s="5"/>
      <c r="J165" s="5"/>
      <c r="K165" s="5"/>
      <c r="L165" s="5"/>
      <c r="M165" s="5"/>
      <c r="N165" s="5"/>
      <c r="O165" s="5"/>
      <c r="P165" s="5"/>
      <c r="Q165" s="5"/>
      <c r="R165" s="5"/>
    </row>
    <row r="166" spans="1:18">
      <c r="A166" s="5"/>
      <c r="B166" s="5"/>
      <c r="C166" s="5"/>
      <c r="D166" s="5"/>
      <c r="E166" s="5"/>
      <c r="F166" s="5"/>
      <c r="G166" s="5"/>
      <c r="H166" s="5"/>
      <c r="I166" s="5"/>
      <c r="J166" s="5"/>
      <c r="K166" s="5"/>
      <c r="L166" s="5"/>
      <c r="M166" s="5"/>
      <c r="N166" s="5"/>
      <c r="O166" s="5"/>
      <c r="P166" s="5"/>
      <c r="Q166" s="5"/>
      <c r="R166" s="5"/>
    </row>
    <row r="167" spans="1:18">
      <c r="A167" s="5"/>
      <c r="B167" s="5"/>
      <c r="C167" s="5"/>
      <c r="D167" s="5"/>
      <c r="E167" s="5"/>
      <c r="F167" s="5"/>
      <c r="G167" s="5"/>
      <c r="H167" s="5"/>
      <c r="I167" s="5"/>
      <c r="J167" s="5"/>
      <c r="K167" s="5"/>
      <c r="L167" s="5"/>
      <c r="M167" s="5"/>
      <c r="N167" s="5"/>
      <c r="O167" s="5"/>
      <c r="P167" s="5"/>
      <c r="Q167" s="5"/>
      <c r="R167" s="5"/>
    </row>
    <row r="168" spans="1:18">
      <c r="A168" s="5"/>
      <c r="B168" s="5"/>
      <c r="C168" s="5"/>
      <c r="D168" s="5"/>
      <c r="E168" s="5"/>
      <c r="F168" s="5"/>
      <c r="G168" s="5"/>
      <c r="H168" s="5"/>
      <c r="I168" s="5"/>
      <c r="J168" s="5"/>
      <c r="K168" s="5"/>
      <c r="L168" s="5"/>
      <c r="M168" s="5"/>
      <c r="N168" s="5"/>
      <c r="O168" s="5"/>
      <c r="P168" s="5"/>
      <c r="Q168" s="5"/>
      <c r="R168" s="5"/>
    </row>
    <row r="169" spans="1:18">
      <c r="A169" s="5"/>
      <c r="B169" s="5"/>
      <c r="C169" s="5"/>
      <c r="D169" s="5"/>
      <c r="E169" s="5"/>
      <c r="F169" s="5"/>
      <c r="G169" s="5"/>
      <c r="H169" s="5"/>
      <c r="I169" s="5"/>
      <c r="J169" s="5"/>
      <c r="K169" s="5"/>
      <c r="L169" s="5"/>
      <c r="M169" s="5"/>
      <c r="N169" s="5"/>
      <c r="O169" s="5"/>
      <c r="P169" s="5"/>
      <c r="Q169" s="5"/>
      <c r="R169" s="5"/>
    </row>
    <row r="170" spans="1:18">
      <c r="A170" s="5"/>
      <c r="B170" s="5"/>
      <c r="C170" s="5"/>
      <c r="D170" s="5"/>
      <c r="E170" s="5"/>
      <c r="F170" s="5"/>
      <c r="G170" s="5"/>
      <c r="H170" s="5"/>
      <c r="I170" s="5"/>
      <c r="J170" s="5"/>
      <c r="K170" s="5"/>
      <c r="L170" s="5"/>
      <c r="M170" s="5"/>
      <c r="N170" s="5"/>
      <c r="O170" s="5"/>
      <c r="P170" s="5"/>
      <c r="Q170" s="5"/>
      <c r="R170" s="5"/>
    </row>
    <row r="171" spans="1:18">
      <c r="A171" s="5"/>
      <c r="B171" s="5"/>
      <c r="C171" s="5"/>
      <c r="D171" s="5"/>
      <c r="E171" s="5"/>
      <c r="F171" s="5"/>
      <c r="G171" s="5"/>
      <c r="H171" s="5"/>
      <c r="I171" s="5"/>
      <c r="J171" s="5"/>
      <c r="K171" s="5"/>
      <c r="L171" s="5"/>
      <c r="M171" s="5"/>
      <c r="N171" s="5"/>
      <c r="O171" s="5"/>
      <c r="P171" s="5"/>
      <c r="Q171" s="5"/>
      <c r="R171" s="5"/>
    </row>
    <row r="172" spans="1:18">
      <c r="A172" s="5"/>
      <c r="B172" s="5"/>
      <c r="C172" s="5"/>
      <c r="D172" s="5"/>
      <c r="E172" s="5"/>
      <c r="F172" s="5"/>
      <c r="G172" s="5"/>
      <c r="H172" s="5"/>
      <c r="I172" s="5"/>
      <c r="J172" s="5"/>
      <c r="K172" s="5"/>
      <c r="L172" s="5"/>
      <c r="M172" s="5"/>
      <c r="N172" s="5"/>
      <c r="O172" s="5"/>
      <c r="P172" s="5"/>
      <c r="Q172" s="5"/>
      <c r="R172" s="5"/>
    </row>
    <row r="173" spans="1:18">
      <c r="A173" s="5"/>
      <c r="B173" s="5"/>
      <c r="C173" s="5"/>
      <c r="D173" s="5"/>
      <c r="E173" s="5"/>
      <c r="F173" s="5"/>
      <c r="G173" s="5"/>
      <c r="H173" s="5"/>
      <c r="I173" s="5"/>
      <c r="J173" s="5"/>
      <c r="K173" s="5"/>
      <c r="L173" s="5"/>
      <c r="M173" s="5"/>
      <c r="N173" s="5"/>
      <c r="O173" s="5"/>
      <c r="P173" s="5"/>
      <c r="Q173" s="5"/>
      <c r="R173" s="5"/>
    </row>
    <row r="174" spans="1:18">
      <c r="A174" s="5"/>
      <c r="B174" s="5"/>
      <c r="C174" s="5"/>
      <c r="D174" s="5"/>
      <c r="E174" s="5"/>
      <c r="F174" s="5"/>
      <c r="G174" s="5"/>
      <c r="H174" s="5"/>
      <c r="I174" s="5"/>
      <c r="J174" s="5"/>
      <c r="K174" s="5"/>
      <c r="L174" s="5"/>
      <c r="M174" s="5"/>
      <c r="N174" s="5"/>
      <c r="O174" s="5"/>
      <c r="P174" s="5"/>
      <c r="Q174" s="5"/>
      <c r="R174" s="5"/>
    </row>
    <row r="175" spans="1:18">
      <c r="A175" s="5"/>
      <c r="B175" s="5"/>
      <c r="C175" s="5"/>
      <c r="D175" s="5"/>
      <c r="E175" s="5"/>
      <c r="F175" s="5"/>
      <c r="G175" s="5"/>
      <c r="H175" s="5"/>
      <c r="I175" s="5"/>
      <c r="J175" s="5"/>
      <c r="K175" s="5"/>
      <c r="L175" s="5"/>
      <c r="M175" s="5"/>
      <c r="N175" s="5"/>
      <c r="O175" s="5"/>
      <c r="P175" s="5"/>
      <c r="Q175" s="5"/>
      <c r="R175" s="5"/>
    </row>
    <row r="176" spans="1:18">
      <c r="A176" s="5"/>
      <c r="B176" s="5"/>
      <c r="C176" s="5"/>
      <c r="D176" s="5"/>
      <c r="E176" s="5"/>
      <c r="F176" s="5"/>
      <c r="G176" s="5"/>
      <c r="H176" s="5"/>
      <c r="I176" s="5"/>
      <c r="J176" s="5"/>
      <c r="K176" s="5"/>
      <c r="L176" s="5"/>
      <c r="M176" s="5"/>
      <c r="N176" s="5"/>
      <c r="O176" s="5"/>
      <c r="P176" s="5"/>
      <c r="Q176" s="5"/>
      <c r="R176" s="5"/>
    </row>
    <row r="177" spans="1:18">
      <c r="A177" s="5"/>
      <c r="B177" s="5"/>
      <c r="C177" s="5"/>
      <c r="D177" s="5"/>
      <c r="E177" s="5"/>
      <c r="F177" s="5"/>
      <c r="G177" s="5"/>
      <c r="H177" s="5"/>
      <c r="I177" s="5"/>
      <c r="J177" s="5"/>
      <c r="K177" s="5"/>
      <c r="L177" s="5"/>
      <c r="M177" s="5"/>
      <c r="N177" s="5"/>
      <c r="O177" s="5"/>
      <c r="P177" s="5"/>
      <c r="Q177" s="5"/>
      <c r="R177" s="5"/>
    </row>
    <row r="178" spans="1:18">
      <c r="A178" s="5"/>
      <c r="B178" s="5"/>
      <c r="C178" s="5"/>
      <c r="D178" s="5"/>
      <c r="E178" s="5"/>
      <c r="F178" s="5"/>
      <c r="G178" s="5"/>
      <c r="H178" s="5"/>
      <c r="I178" s="5"/>
      <c r="J178" s="5"/>
      <c r="K178" s="5"/>
      <c r="L178" s="5"/>
      <c r="M178" s="5"/>
      <c r="N178" s="5"/>
      <c r="O178" s="5"/>
      <c r="P178" s="5"/>
      <c r="Q178" s="5"/>
      <c r="R178" s="5"/>
    </row>
    <row r="179" spans="1:18">
      <c r="A179" s="5"/>
      <c r="B179" s="5"/>
      <c r="C179" s="5"/>
      <c r="D179" s="5"/>
      <c r="E179" s="5"/>
      <c r="F179" s="5"/>
      <c r="G179" s="5"/>
      <c r="H179" s="5"/>
      <c r="I179" s="5"/>
      <c r="J179" s="5"/>
      <c r="K179" s="5"/>
      <c r="L179" s="5"/>
      <c r="M179" s="5"/>
      <c r="N179" s="5"/>
      <c r="O179" s="5"/>
      <c r="P179" s="5"/>
      <c r="Q179" s="5"/>
      <c r="R179" s="5"/>
    </row>
    <row r="180" spans="1:18">
      <c r="A180" s="5"/>
      <c r="B180" s="5"/>
      <c r="C180" s="5"/>
      <c r="D180" s="5"/>
      <c r="E180" s="5"/>
      <c r="F180" s="5"/>
      <c r="G180" s="5"/>
      <c r="H180" s="5"/>
      <c r="I180" s="5"/>
      <c r="J180" s="5"/>
      <c r="K180" s="5"/>
      <c r="L180" s="5"/>
      <c r="M180" s="5"/>
      <c r="N180" s="5"/>
      <c r="O180" s="5"/>
      <c r="P180" s="5"/>
      <c r="Q180" s="5"/>
      <c r="R180" s="5"/>
    </row>
    <row r="181" spans="1:18">
      <c r="A181" s="5"/>
      <c r="B181" s="5"/>
      <c r="C181" s="5"/>
      <c r="D181" s="5"/>
      <c r="E181" s="5"/>
      <c r="F181" s="5"/>
      <c r="G181" s="5"/>
      <c r="H181" s="5"/>
      <c r="I181" s="5"/>
      <c r="J181" s="5"/>
      <c r="K181" s="5"/>
      <c r="L181" s="5"/>
      <c r="M181" s="5"/>
      <c r="N181" s="5"/>
      <c r="O181" s="5"/>
      <c r="P181" s="5"/>
      <c r="Q181" s="5"/>
      <c r="R181" s="5"/>
    </row>
    <row r="182" spans="1:18">
      <c r="A182" s="5"/>
      <c r="B182" s="5"/>
      <c r="C182" s="5"/>
      <c r="D182" s="5"/>
      <c r="E182" s="5"/>
      <c r="F182" s="5"/>
      <c r="G182" s="5"/>
      <c r="H182" s="5"/>
      <c r="I182" s="5"/>
      <c r="J182" s="5"/>
      <c r="K182" s="5"/>
      <c r="L182" s="5"/>
      <c r="M182" s="5"/>
      <c r="N182" s="5"/>
      <c r="O182" s="5"/>
      <c r="P182" s="5"/>
      <c r="Q182" s="5"/>
      <c r="R182" s="5"/>
    </row>
    <row r="183" spans="1:18">
      <c r="A183" s="5"/>
      <c r="B183" s="5"/>
      <c r="C183" s="5"/>
      <c r="D183" s="5"/>
      <c r="E183" s="5"/>
      <c r="F183" s="5"/>
      <c r="G183" s="5"/>
      <c r="H183" s="5"/>
      <c r="I183" s="5"/>
      <c r="J183" s="5"/>
      <c r="K183" s="5"/>
      <c r="L183" s="5"/>
      <c r="M183" s="5"/>
      <c r="N183" s="5"/>
      <c r="O183" s="5"/>
      <c r="P183" s="5"/>
      <c r="Q183" s="5"/>
      <c r="R183" s="5"/>
    </row>
    <row r="184" spans="1:18">
      <c r="A184" s="5"/>
      <c r="B184" s="5"/>
      <c r="C184" s="5"/>
      <c r="D184" s="5"/>
      <c r="E184" s="5"/>
      <c r="F184" s="5"/>
      <c r="G184" s="5"/>
      <c r="H184" s="5"/>
      <c r="I184" s="5"/>
      <c r="J184" s="5"/>
      <c r="K184" s="5"/>
      <c r="L184" s="5"/>
      <c r="M184" s="5"/>
      <c r="N184" s="5"/>
      <c r="O184" s="5"/>
      <c r="P184" s="5"/>
      <c r="Q184" s="5"/>
      <c r="R184" s="5"/>
    </row>
    <row r="185" spans="1:18">
      <c r="A185" s="5"/>
      <c r="B185" s="5"/>
      <c r="C185" s="5"/>
      <c r="D185" s="5"/>
      <c r="E185" s="5"/>
      <c r="F185" s="5"/>
      <c r="G185" s="5"/>
      <c r="H185" s="5"/>
      <c r="I185" s="5"/>
      <c r="J185" s="5"/>
      <c r="K185" s="5"/>
      <c r="L185" s="5"/>
      <c r="M185" s="5"/>
      <c r="N185" s="5"/>
      <c r="O185" s="5"/>
      <c r="P185" s="5"/>
      <c r="Q185" s="5"/>
      <c r="R185" s="5"/>
    </row>
    <row r="186" spans="1:18">
      <c r="A186" s="5"/>
      <c r="B186" s="5"/>
      <c r="C186" s="5"/>
      <c r="D186" s="5"/>
      <c r="E186" s="5"/>
      <c r="F186" s="5"/>
      <c r="G186" s="5"/>
      <c r="H186" s="5"/>
      <c r="I186" s="5"/>
      <c r="J186" s="5"/>
      <c r="K186" s="5"/>
      <c r="L186" s="5"/>
      <c r="M186" s="5"/>
      <c r="N186" s="5"/>
      <c r="O186" s="5"/>
      <c r="P186" s="5"/>
      <c r="Q186" s="5"/>
      <c r="R186" s="5"/>
    </row>
    <row r="187" spans="1:18">
      <c r="A187" s="5"/>
      <c r="B187" s="5"/>
      <c r="C187" s="5"/>
      <c r="D187" s="5"/>
      <c r="E187" s="5"/>
      <c r="F187" s="5"/>
      <c r="G187" s="5"/>
      <c r="H187" s="5"/>
      <c r="I187" s="5"/>
      <c r="J187" s="5"/>
      <c r="K187" s="5"/>
      <c r="L187" s="5"/>
      <c r="M187" s="5"/>
      <c r="N187" s="5"/>
      <c r="O187" s="5"/>
      <c r="P187" s="5"/>
      <c r="Q187" s="5"/>
      <c r="R187" s="5"/>
    </row>
    <row r="188" spans="1:18">
      <c r="A188" s="5"/>
      <c r="B188" s="5"/>
      <c r="C188" s="5"/>
      <c r="D188" s="5"/>
      <c r="E188" s="5"/>
      <c r="F188" s="5"/>
      <c r="G188" s="5"/>
      <c r="H188" s="5"/>
      <c r="I188" s="5"/>
      <c r="J188" s="5"/>
      <c r="K188" s="5"/>
      <c r="L188" s="5"/>
      <c r="M188" s="5"/>
      <c r="N188" s="5"/>
      <c r="O188" s="5"/>
      <c r="P188" s="5"/>
      <c r="Q188" s="5"/>
      <c r="R188" s="5"/>
    </row>
    <row r="189" spans="1:18">
      <c r="A189" s="5"/>
      <c r="B189" s="5"/>
      <c r="C189" s="5"/>
      <c r="D189" s="5"/>
      <c r="E189" s="5"/>
      <c r="F189" s="5"/>
      <c r="G189" s="5"/>
      <c r="H189" s="5"/>
      <c r="I189" s="5"/>
      <c r="J189" s="5"/>
      <c r="K189" s="5"/>
      <c r="L189" s="5"/>
      <c r="M189" s="5"/>
      <c r="N189" s="5"/>
      <c r="O189" s="5"/>
      <c r="P189" s="5"/>
      <c r="Q189" s="5"/>
      <c r="R189" s="5"/>
    </row>
    <row r="190" spans="1:18">
      <c r="A190" s="5"/>
      <c r="B190" s="5"/>
      <c r="C190" s="5"/>
      <c r="D190" s="5"/>
      <c r="E190" s="5"/>
      <c r="F190" s="5"/>
      <c r="G190" s="5"/>
      <c r="H190" s="5"/>
      <c r="I190" s="5"/>
      <c r="J190" s="5"/>
      <c r="K190" s="5"/>
      <c r="L190" s="5"/>
      <c r="M190" s="5"/>
      <c r="N190" s="5"/>
      <c r="O190" s="5"/>
      <c r="P190" s="5"/>
      <c r="Q190" s="5"/>
      <c r="R190" s="5"/>
    </row>
    <row r="191" spans="1:18">
      <c r="A191" s="5"/>
      <c r="B191" s="5"/>
      <c r="C191" s="5"/>
      <c r="D191" s="5"/>
      <c r="E191" s="5"/>
      <c r="F191" s="5"/>
      <c r="G191" s="5"/>
      <c r="H191" s="5"/>
      <c r="I191" s="5"/>
      <c r="J191" s="5"/>
      <c r="K191" s="5"/>
      <c r="L191" s="5"/>
      <c r="M191" s="5"/>
      <c r="N191" s="5"/>
      <c r="O191" s="5"/>
      <c r="P191" s="5"/>
      <c r="Q191" s="5"/>
      <c r="R191" s="5"/>
    </row>
    <row r="192" spans="1:18">
      <c r="A192" s="5"/>
      <c r="B192" s="5"/>
      <c r="C192" s="5"/>
      <c r="D192" s="5"/>
      <c r="E192" s="5"/>
      <c r="F192" s="5"/>
      <c r="G192" s="5"/>
      <c r="H192" s="5"/>
      <c r="I192" s="5"/>
      <c r="J192" s="5"/>
      <c r="K192" s="5"/>
      <c r="L192" s="5"/>
      <c r="M192" s="5"/>
      <c r="N192" s="5"/>
      <c r="O192" s="5"/>
      <c r="P192" s="5"/>
      <c r="Q192" s="5"/>
      <c r="R192" s="5"/>
    </row>
    <row r="193" spans="1:18">
      <c r="A193" s="5"/>
      <c r="B193" s="5"/>
      <c r="C193" s="5"/>
      <c r="D193" s="5"/>
      <c r="E193" s="5"/>
      <c r="F193" s="5"/>
      <c r="G193" s="5"/>
      <c r="H193" s="5"/>
      <c r="I193" s="5"/>
      <c r="J193" s="5"/>
      <c r="K193" s="5"/>
      <c r="L193" s="5"/>
      <c r="M193" s="5"/>
      <c r="N193" s="5"/>
      <c r="O193" s="5"/>
      <c r="P193" s="5"/>
      <c r="Q193" s="5"/>
      <c r="R193" s="5"/>
    </row>
    <row r="194" spans="1:18">
      <c r="A194" s="5"/>
      <c r="B194" s="5"/>
      <c r="C194" s="5"/>
      <c r="D194" s="5"/>
      <c r="E194" s="5"/>
      <c r="F194" s="5"/>
      <c r="G194" s="5"/>
      <c r="H194" s="5"/>
      <c r="I194" s="5"/>
      <c r="J194" s="5"/>
      <c r="K194" s="5"/>
      <c r="L194" s="5"/>
      <c r="M194" s="5"/>
      <c r="N194" s="5"/>
      <c r="O194" s="5"/>
      <c r="P194" s="5"/>
      <c r="Q194" s="5"/>
      <c r="R194" s="5"/>
    </row>
    <row r="195" spans="1:18">
      <c r="A195" s="5"/>
      <c r="B195" s="5"/>
      <c r="C195" s="5"/>
      <c r="D195" s="5"/>
      <c r="E195" s="5"/>
      <c r="F195" s="5"/>
      <c r="G195" s="5"/>
      <c r="H195" s="5"/>
      <c r="I195" s="5"/>
      <c r="J195" s="5"/>
      <c r="K195" s="5"/>
      <c r="L195" s="5"/>
      <c r="M195" s="5"/>
      <c r="N195" s="5"/>
      <c r="O195" s="5"/>
      <c r="P195" s="5"/>
      <c r="Q195" s="5"/>
      <c r="R195" s="5"/>
    </row>
    <row r="196" spans="1:18">
      <c r="A196" s="5"/>
      <c r="B196" s="5"/>
      <c r="C196" s="5"/>
      <c r="D196" s="5"/>
      <c r="E196" s="5"/>
      <c r="F196" s="5"/>
      <c r="G196" s="5"/>
      <c r="H196" s="5"/>
      <c r="I196" s="5"/>
      <c r="J196" s="5"/>
      <c r="K196" s="5"/>
      <c r="L196" s="5"/>
      <c r="M196" s="5"/>
      <c r="N196" s="5"/>
      <c r="O196" s="5"/>
      <c r="P196" s="5"/>
      <c r="Q196" s="5"/>
      <c r="R196" s="5"/>
    </row>
    <row r="197" spans="1:18">
      <c r="A197" s="5"/>
      <c r="B197" s="5"/>
      <c r="C197" s="5"/>
      <c r="D197" s="5"/>
      <c r="E197" s="5"/>
      <c r="F197" s="5"/>
      <c r="G197" s="5"/>
      <c r="H197" s="5"/>
      <c r="I197" s="5"/>
      <c r="J197" s="5"/>
      <c r="K197" s="5"/>
      <c r="L197" s="5"/>
      <c r="M197" s="5"/>
      <c r="N197" s="5"/>
      <c r="O197" s="5"/>
      <c r="P197" s="5"/>
      <c r="Q197" s="5"/>
      <c r="R197" s="5"/>
    </row>
    <row r="198" spans="1:18">
      <c r="A198" s="5"/>
      <c r="B198" s="5"/>
      <c r="C198" s="5"/>
      <c r="D198" s="5"/>
      <c r="E198" s="5"/>
      <c r="F198" s="5"/>
      <c r="G198" s="5"/>
      <c r="H198" s="5"/>
      <c r="I198" s="5"/>
      <c r="J198" s="5"/>
      <c r="K198" s="5"/>
      <c r="L198" s="5"/>
      <c r="M198" s="5"/>
      <c r="N198" s="5"/>
      <c r="O198" s="5"/>
      <c r="P198" s="5"/>
      <c r="Q198" s="5"/>
      <c r="R198" s="5"/>
    </row>
    <row r="199" spans="1:18">
      <c r="A199" s="5"/>
      <c r="B199" s="5"/>
      <c r="C199" s="5"/>
      <c r="D199" s="5"/>
      <c r="E199" s="5"/>
      <c r="F199" s="5"/>
      <c r="G199" s="5"/>
      <c r="H199" s="5"/>
      <c r="I199" s="5"/>
      <c r="J199" s="5"/>
      <c r="K199" s="5"/>
      <c r="L199" s="5"/>
      <c r="M199" s="5"/>
      <c r="N199" s="5"/>
      <c r="O199" s="5"/>
      <c r="P199" s="5"/>
      <c r="Q199" s="5"/>
      <c r="R199" s="5"/>
    </row>
    <row r="200" spans="1:18">
      <c r="A200" s="5"/>
      <c r="B200" s="5"/>
      <c r="C200" s="5"/>
      <c r="D200" s="5"/>
      <c r="E200" s="5"/>
      <c r="F200" s="5"/>
      <c r="G200" s="5"/>
      <c r="H200" s="5"/>
      <c r="I200" s="5"/>
      <c r="J200" s="5"/>
      <c r="K200" s="5"/>
      <c r="L200" s="5"/>
      <c r="M200" s="5"/>
      <c r="N200" s="5"/>
      <c r="O200" s="5"/>
      <c r="P200" s="5"/>
      <c r="Q200" s="5"/>
      <c r="R200" s="5"/>
    </row>
    <row r="201" spans="1:18">
      <c r="A201" s="5"/>
      <c r="B201" s="5"/>
      <c r="C201" s="5"/>
      <c r="D201" s="5"/>
      <c r="E201" s="5"/>
      <c r="F201" s="5"/>
      <c r="G201" s="5"/>
      <c r="H201" s="5"/>
      <c r="I201" s="5"/>
      <c r="J201" s="5"/>
      <c r="K201" s="5"/>
      <c r="L201" s="5"/>
      <c r="M201" s="5"/>
      <c r="N201" s="5"/>
      <c r="O201" s="5"/>
      <c r="P201" s="5"/>
      <c r="Q201" s="5"/>
      <c r="R201" s="5"/>
    </row>
    <row r="202" spans="1:18">
      <c r="A202" s="5"/>
      <c r="B202" s="5"/>
      <c r="C202" s="5"/>
      <c r="D202" s="5"/>
      <c r="E202" s="5"/>
      <c r="F202" s="5"/>
      <c r="G202" s="5"/>
      <c r="H202" s="5"/>
      <c r="I202" s="5"/>
      <c r="J202" s="5"/>
      <c r="K202" s="5"/>
      <c r="L202" s="5"/>
      <c r="M202" s="5"/>
      <c r="N202" s="5"/>
      <c r="O202" s="5"/>
      <c r="P202" s="5"/>
      <c r="Q202" s="5"/>
      <c r="R202" s="5"/>
    </row>
    <row r="203" spans="1:18">
      <c r="A203" s="5"/>
      <c r="B203" s="5"/>
      <c r="C203" s="5"/>
      <c r="D203" s="5"/>
      <c r="E203" s="5"/>
      <c r="F203" s="5"/>
      <c r="G203" s="5"/>
      <c r="H203" s="5"/>
      <c r="I203" s="5"/>
      <c r="J203" s="5"/>
      <c r="K203" s="5"/>
      <c r="L203" s="5"/>
      <c r="M203" s="5"/>
      <c r="N203" s="5"/>
      <c r="O203" s="5"/>
      <c r="P203" s="5"/>
      <c r="Q203" s="5"/>
      <c r="R203" s="5"/>
    </row>
    <row r="204" spans="1:18">
      <c r="A204" s="5"/>
      <c r="B204" s="5"/>
      <c r="C204" s="5"/>
      <c r="D204" s="5"/>
      <c r="E204" s="5"/>
      <c r="F204" s="5"/>
      <c r="G204" s="5"/>
      <c r="H204" s="5"/>
      <c r="I204" s="5"/>
      <c r="J204" s="5"/>
      <c r="K204" s="5"/>
      <c r="L204" s="5"/>
      <c r="M204" s="5"/>
      <c r="N204" s="5"/>
      <c r="O204" s="5"/>
      <c r="P204" s="5"/>
      <c r="Q204" s="5"/>
      <c r="R204" s="5"/>
    </row>
    <row r="205" spans="1:18">
      <c r="A205" s="5"/>
      <c r="B205" s="5"/>
      <c r="C205" s="5"/>
      <c r="D205" s="5"/>
      <c r="E205" s="5"/>
      <c r="F205" s="5"/>
      <c r="G205" s="5"/>
      <c r="H205" s="5"/>
      <c r="I205" s="5"/>
      <c r="J205" s="5"/>
      <c r="K205" s="5"/>
      <c r="L205" s="5"/>
      <c r="M205" s="5"/>
      <c r="N205" s="5"/>
      <c r="O205" s="5"/>
      <c r="P205" s="5"/>
      <c r="Q205" s="5"/>
      <c r="R205" s="5"/>
    </row>
    <row r="206" spans="1:18">
      <c r="A206" s="5"/>
      <c r="B206" s="5"/>
      <c r="C206" s="5"/>
      <c r="D206" s="5"/>
      <c r="E206" s="5"/>
      <c r="F206" s="5"/>
      <c r="G206" s="5"/>
      <c r="H206" s="5"/>
      <c r="I206" s="5"/>
      <c r="J206" s="5"/>
      <c r="K206" s="5"/>
      <c r="L206" s="5"/>
      <c r="M206" s="5"/>
      <c r="N206" s="5"/>
      <c r="O206" s="5"/>
      <c r="P206" s="5"/>
      <c r="Q206" s="5"/>
      <c r="R206" s="5"/>
    </row>
    <row r="207" spans="1:18">
      <c r="A207" s="5"/>
      <c r="B207" s="5"/>
      <c r="C207" s="5"/>
      <c r="D207" s="5"/>
      <c r="E207" s="5"/>
      <c r="F207" s="5"/>
      <c r="G207" s="5"/>
      <c r="H207" s="5"/>
      <c r="I207" s="5"/>
      <c r="J207" s="5"/>
      <c r="K207" s="5"/>
      <c r="L207" s="5"/>
      <c r="M207" s="5"/>
      <c r="N207" s="5"/>
      <c r="O207" s="5"/>
      <c r="P207" s="5"/>
      <c r="Q207" s="5"/>
      <c r="R207" s="5"/>
    </row>
    <row r="208" spans="1:18">
      <c r="A208" s="5"/>
      <c r="B208" s="5"/>
      <c r="C208" s="5"/>
      <c r="D208" s="5"/>
      <c r="E208" s="5"/>
      <c r="F208" s="5"/>
      <c r="G208" s="5"/>
      <c r="H208" s="5"/>
      <c r="I208" s="5"/>
      <c r="J208" s="5"/>
      <c r="K208" s="5"/>
      <c r="L208" s="5"/>
      <c r="M208" s="5"/>
      <c r="N208" s="5"/>
      <c r="O208" s="5"/>
      <c r="P208" s="5"/>
      <c r="Q208" s="5"/>
      <c r="R208" s="5"/>
    </row>
    <row r="209" spans="1:18">
      <c r="A209" s="5"/>
      <c r="B209" s="5"/>
      <c r="C209" s="5"/>
      <c r="D209" s="5"/>
      <c r="E209" s="5"/>
      <c r="F209" s="5"/>
      <c r="G209" s="5"/>
      <c r="H209" s="5"/>
      <c r="I209" s="5"/>
      <c r="J209" s="5"/>
      <c r="K209" s="5"/>
      <c r="L209" s="5"/>
      <c r="M209" s="5"/>
      <c r="N209" s="5"/>
      <c r="O209" s="5"/>
      <c r="P209" s="5"/>
      <c r="Q209" s="5"/>
      <c r="R209" s="5"/>
    </row>
    <row r="210" spans="1:18">
      <c r="A210" s="5"/>
      <c r="B210" s="5"/>
      <c r="C210" s="5"/>
      <c r="D210" s="5"/>
      <c r="E210" s="5"/>
      <c r="F210" s="5"/>
      <c r="G210" s="5"/>
      <c r="H210" s="5"/>
      <c r="I210" s="5"/>
      <c r="J210" s="5"/>
      <c r="K210" s="5"/>
      <c r="L210" s="5"/>
      <c r="M210" s="5"/>
      <c r="N210" s="5"/>
      <c r="O210" s="5"/>
      <c r="P210" s="5"/>
      <c r="Q210" s="5"/>
      <c r="R210" s="5"/>
    </row>
    <row r="211" spans="1:18">
      <c r="A211" s="5"/>
      <c r="B211" s="5"/>
      <c r="C211" s="5"/>
      <c r="D211" s="5"/>
      <c r="E211" s="5"/>
      <c r="F211" s="5"/>
      <c r="G211" s="5"/>
      <c r="H211" s="5"/>
      <c r="I211" s="5"/>
      <c r="J211" s="5"/>
      <c r="K211" s="5"/>
      <c r="L211" s="5"/>
      <c r="M211" s="5"/>
      <c r="N211" s="5"/>
      <c r="O211" s="5"/>
      <c r="P211" s="5"/>
      <c r="Q211" s="5"/>
      <c r="R211" s="5"/>
    </row>
    <row r="212" spans="1:18">
      <c r="A212" s="5"/>
      <c r="B212" s="5"/>
      <c r="C212" s="5"/>
      <c r="D212" s="5"/>
      <c r="E212" s="5"/>
      <c r="F212" s="5"/>
      <c r="G212" s="5"/>
      <c r="H212" s="5"/>
      <c r="I212" s="5"/>
      <c r="J212" s="5"/>
      <c r="K212" s="5"/>
      <c r="L212" s="5"/>
      <c r="M212" s="5"/>
      <c r="N212" s="5"/>
      <c r="O212" s="5"/>
      <c r="P212" s="5"/>
      <c r="Q212" s="5"/>
      <c r="R212" s="5"/>
    </row>
    <row r="213" spans="1:18">
      <c r="A213" s="5"/>
      <c r="B213" s="5"/>
      <c r="C213" s="5"/>
      <c r="D213" s="5"/>
      <c r="E213" s="5"/>
      <c r="F213" s="5"/>
      <c r="G213" s="5"/>
      <c r="H213" s="5"/>
      <c r="I213" s="5"/>
      <c r="J213" s="5"/>
      <c r="K213" s="5"/>
      <c r="L213" s="5"/>
      <c r="M213" s="5"/>
      <c r="N213" s="5"/>
      <c r="O213" s="5"/>
      <c r="P213" s="5"/>
      <c r="Q213" s="5"/>
      <c r="R213" s="5"/>
    </row>
    <row r="214" spans="1:18">
      <c r="A214" s="5"/>
      <c r="B214" s="5"/>
      <c r="C214" s="5"/>
      <c r="D214" s="5"/>
      <c r="E214" s="5"/>
      <c r="F214" s="5"/>
      <c r="G214" s="5"/>
      <c r="H214" s="5"/>
      <c r="I214" s="5"/>
      <c r="J214" s="5"/>
      <c r="K214" s="5"/>
      <c r="L214" s="5"/>
      <c r="M214" s="5"/>
      <c r="N214" s="5"/>
      <c r="O214" s="5"/>
      <c r="P214" s="5"/>
      <c r="Q214" s="5"/>
      <c r="R214" s="5"/>
    </row>
    <row r="215" spans="1:18">
      <c r="A215" s="5"/>
      <c r="B215" s="5"/>
      <c r="C215" s="5"/>
      <c r="D215" s="5"/>
      <c r="E215" s="5"/>
      <c r="F215" s="5"/>
      <c r="G215" s="5"/>
      <c r="H215" s="5"/>
      <c r="I215" s="5"/>
      <c r="J215" s="5"/>
      <c r="K215" s="5"/>
      <c r="L215" s="5"/>
      <c r="M215" s="5"/>
      <c r="N215" s="5"/>
      <c r="O215" s="5"/>
      <c r="P215" s="5"/>
      <c r="Q215" s="5"/>
      <c r="R215" s="5"/>
    </row>
    <row r="216" spans="1:18">
      <c r="A216" s="5"/>
      <c r="B216" s="5"/>
      <c r="C216" s="5"/>
      <c r="D216" s="5"/>
      <c r="E216" s="5"/>
      <c r="F216" s="5"/>
      <c r="G216" s="5"/>
      <c r="H216" s="5"/>
      <c r="I216" s="5"/>
      <c r="J216" s="5"/>
      <c r="K216" s="5"/>
      <c r="L216" s="5"/>
      <c r="M216" s="5"/>
      <c r="N216" s="5"/>
      <c r="O216" s="5"/>
      <c r="P216" s="5"/>
      <c r="Q216" s="5"/>
      <c r="R216" s="5"/>
    </row>
    <row r="217" spans="1:18">
      <c r="A217" s="5"/>
      <c r="B217" s="5"/>
      <c r="C217" s="5"/>
      <c r="D217" s="5"/>
      <c r="E217" s="5"/>
      <c r="F217" s="5"/>
      <c r="G217" s="5"/>
      <c r="H217" s="5"/>
      <c r="I217" s="5"/>
      <c r="J217" s="5"/>
      <c r="K217" s="5"/>
      <c r="L217" s="5"/>
      <c r="M217" s="5"/>
      <c r="N217" s="5"/>
      <c r="O217" s="5"/>
      <c r="P217" s="5"/>
      <c r="Q217" s="5"/>
      <c r="R217" s="5"/>
    </row>
    <row r="218" spans="1:18">
      <c r="A218" s="5"/>
      <c r="B218" s="5"/>
      <c r="C218" s="5"/>
      <c r="D218" s="5"/>
      <c r="E218" s="5"/>
      <c r="F218" s="5"/>
      <c r="G218" s="5"/>
      <c r="H218" s="5"/>
      <c r="I218" s="5"/>
      <c r="J218" s="5"/>
      <c r="K218" s="5"/>
      <c r="L218" s="5"/>
      <c r="M218" s="5"/>
      <c r="N218" s="5"/>
      <c r="O218" s="5"/>
      <c r="P218" s="5"/>
      <c r="Q218" s="5"/>
      <c r="R218" s="5"/>
    </row>
    <row r="219" spans="1:18">
      <c r="A219" s="5"/>
      <c r="B219" s="5"/>
      <c r="C219" s="5"/>
      <c r="D219" s="5"/>
      <c r="E219" s="5"/>
      <c r="F219" s="5"/>
      <c r="G219" s="5"/>
      <c r="H219" s="5"/>
      <c r="I219" s="5"/>
      <c r="J219" s="5"/>
      <c r="K219" s="5"/>
      <c r="L219" s="5"/>
      <c r="M219" s="5"/>
      <c r="N219" s="5"/>
      <c r="O219" s="5"/>
      <c r="P219" s="5"/>
      <c r="Q219" s="5"/>
      <c r="R219" s="5"/>
    </row>
    <row r="220" spans="1:18">
      <c r="A220" s="5"/>
      <c r="B220" s="5"/>
      <c r="C220" s="5"/>
      <c r="D220" s="5"/>
      <c r="E220" s="5"/>
      <c r="F220" s="5"/>
      <c r="G220" s="5"/>
      <c r="H220" s="5"/>
      <c r="I220" s="5"/>
      <c r="J220" s="5"/>
      <c r="K220" s="5"/>
      <c r="L220" s="5"/>
      <c r="M220" s="5"/>
      <c r="N220" s="5"/>
      <c r="O220" s="5"/>
      <c r="P220" s="5"/>
      <c r="Q220" s="5"/>
      <c r="R220" s="5"/>
    </row>
    <row r="221" spans="1:18">
      <c r="A221" s="5"/>
      <c r="B221" s="5"/>
      <c r="C221" s="5"/>
      <c r="D221" s="5"/>
      <c r="E221" s="5"/>
      <c r="F221" s="5"/>
      <c r="G221" s="5"/>
      <c r="H221" s="5"/>
      <c r="I221" s="5"/>
      <c r="J221" s="5"/>
      <c r="K221" s="5"/>
      <c r="L221" s="5"/>
      <c r="M221" s="5"/>
      <c r="N221" s="5"/>
      <c r="O221" s="5"/>
      <c r="P221" s="5"/>
      <c r="Q221" s="5"/>
      <c r="R221" s="5"/>
    </row>
    <row r="222" spans="1:18">
      <c r="A222" s="5"/>
      <c r="B222" s="5"/>
      <c r="C222" s="5"/>
      <c r="D222" s="5"/>
      <c r="E222" s="5"/>
      <c r="F222" s="5"/>
      <c r="G222" s="5"/>
      <c r="H222" s="5"/>
      <c r="I222" s="5"/>
      <c r="J222" s="5"/>
      <c r="K222" s="5"/>
      <c r="L222" s="5"/>
      <c r="M222" s="5"/>
      <c r="N222" s="5"/>
      <c r="O222" s="5"/>
      <c r="P222" s="5"/>
      <c r="Q222" s="5"/>
      <c r="R222" s="5"/>
    </row>
    <row r="223" spans="1:18">
      <c r="A223" s="5"/>
      <c r="B223" s="5"/>
      <c r="C223" s="5"/>
      <c r="D223" s="5"/>
      <c r="E223" s="5"/>
      <c r="F223" s="5"/>
      <c r="G223" s="5"/>
      <c r="H223" s="5"/>
      <c r="I223" s="5"/>
      <c r="J223" s="5"/>
      <c r="K223" s="5"/>
      <c r="L223" s="5"/>
      <c r="M223" s="5"/>
      <c r="N223" s="5"/>
      <c r="O223" s="5"/>
      <c r="P223" s="5"/>
      <c r="Q223" s="5"/>
      <c r="R223" s="5"/>
    </row>
    <row r="224" spans="1:18">
      <c r="A224" s="5"/>
      <c r="B224" s="5"/>
      <c r="C224" s="5"/>
      <c r="D224" s="5"/>
      <c r="E224" s="5"/>
      <c r="F224" s="5"/>
      <c r="G224" s="5"/>
      <c r="H224" s="5"/>
      <c r="I224" s="5"/>
      <c r="J224" s="5"/>
      <c r="K224" s="5"/>
      <c r="L224" s="5"/>
      <c r="M224" s="5"/>
      <c r="N224" s="5"/>
      <c r="O224" s="5"/>
      <c r="P224" s="5"/>
      <c r="Q224" s="5"/>
      <c r="R224" s="5"/>
    </row>
    <row r="225" spans="1:18">
      <c r="A225" s="5"/>
      <c r="B225" s="5"/>
      <c r="C225" s="5"/>
      <c r="D225" s="5"/>
      <c r="E225" s="5"/>
      <c r="F225" s="5"/>
      <c r="G225" s="5"/>
      <c r="H225" s="5"/>
      <c r="I225" s="5"/>
      <c r="J225" s="5"/>
      <c r="K225" s="5"/>
      <c r="L225" s="5"/>
      <c r="M225" s="5"/>
      <c r="N225" s="5"/>
      <c r="O225" s="5"/>
      <c r="P225" s="5"/>
      <c r="Q225" s="5"/>
      <c r="R225" s="5"/>
    </row>
    <row r="226" spans="1:18">
      <c r="A226" s="5"/>
      <c r="B226" s="5"/>
      <c r="C226" s="5"/>
      <c r="D226" s="5"/>
      <c r="E226" s="5"/>
      <c r="F226" s="5"/>
      <c r="G226" s="5"/>
      <c r="H226" s="5"/>
      <c r="I226" s="5"/>
      <c r="J226" s="5"/>
      <c r="K226" s="5"/>
      <c r="L226" s="5"/>
      <c r="M226" s="5"/>
      <c r="N226" s="5"/>
      <c r="O226" s="5"/>
      <c r="P226" s="5"/>
      <c r="Q226" s="5"/>
      <c r="R226" s="5"/>
    </row>
    <row r="227" spans="1:18">
      <c r="A227" s="5"/>
      <c r="B227" s="5"/>
      <c r="C227" s="5"/>
      <c r="D227" s="5"/>
      <c r="E227" s="5"/>
      <c r="F227" s="5"/>
      <c r="G227" s="5"/>
      <c r="H227" s="5"/>
      <c r="I227" s="5"/>
      <c r="J227" s="5"/>
      <c r="K227" s="5"/>
      <c r="L227" s="5"/>
      <c r="M227" s="5"/>
      <c r="N227" s="5"/>
      <c r="O227" s="5"/>
      <c r="P227" s="5"/>
      <c r="Q227" s="5"/>
      <c r="R227" s="5"/>
    </row>
    <row r="228" spans="1:18">
      <c r="A228" s="5"/>
      <c r="B228" s="5"/>
      <c r="C228" s="5"/>
      <c r="D228" s="5"/>
      <c r="E228" s="5"/>
      <c r="F228" s="5"/>
      <c r="G228" s="5"/>
      <c r="H228" s="5"/>
      <c r="I228" s="5"/>
      <c r="J228" s="5"/>
      <c r="K228" s="5"/>
      <c r="L228" s="5"/>
      <c r="M228" s="5"/>
      <c r="N228" s="5"/>
      <c r="O228" s="5"/>
      <c r="P228" s="5"/>
      <c r="Q228" s="5"/>
      <c r="R228" s="5"/>
    </row>
    <row r="229" spans="1:18">
      <c r="A229" s="5"/>
      <c r="B229" s="5"/>
      <c r="C229" s="5"/>
      <c r="D229" s="5"/>
      <c r="E229" s="5"/>
      <c r="F229" s="5"/>
      <c r="G229" s="5"/>
      <c r="H229" s="5"/>
      <c r="I229" s="5"/>
      <c r="J229" s="5"/>
      <c r="K229" s="5"/>
      <c r="L229" s="5"/>
      <c r="M229" s="5"/>
      <c r="N229" s="5"/>
      <c r="O229" s="5"/>
      <c r="P229" s="5"/>
      <c r="Q229" s="5"/>
      <c r="R229" s="5"/>
    </row>
    <row r="230" spans="1:18">
      <c r="A230" s="5"/>
      <c r="B230" s="5"/>
      <c r="C230" s="5"/>
      <c r="D230" s="5"/>
      <c r="E230" s="5"/>
      <c r="F230" s="5"/>
      <c r="G230" s="5"/>
      <c r="H230" s="5"/>
      <c r="I230" s="5"/>
      <c r="J230" s="5"/>
      <c r="K230" s="5"/>
      <c r="L230" s="5"/>
      <c r="M230" s="5"/>
      <c r="N230" s="5"/>
      <c r="O230" s="5"/>
      <c r="P230" s="5"/>
      <c r="Q230" s="5"/>
      <c r="R230" s="5"/>
    </row>
    <row r="231" spans="1:18">
      <c r="A231" s="5"/>
      <c r="B231" s="5"/>
      <c r="C231" s="5"/>
      <c r="D231" s="5"/>
      <c r="E231" s="5"/>
      <c r="F231" s="5"/>
      <c r="G231" s="5"/>
      <c r="H231" s="5"/>
      <c r="I231" s="5"/>
      <c r="J231" s="5"/>
      <c r="K231" s="5"/>
      <c r="L231" s="5"/>
      <c r="M231" s="5"/>
      <c r="N231" s="5"/>
      <c r="O231" s="5"/>
      <c r="P231" s="5"/>
      <c r="Q231" s="5"/>
      <c r="R231" s="5"/>
    </row>
    <row r="232" spans="1:18">
      <c r="A232" s="5"/>
      <c r="B232" s="5"/>
      <c r="C232" s="5"/>
      <c r="D232" s="5"/>
      <c r="E232" s="5"/>
      <c r="F232" s="5"/>
      <c r="G232" s="5"/>
      <c r="H232" s="5"/>
      <c r="I232" s="5"/>
      <c r="J232" s="5"/>
      <c r="K232" s="5"/>
      <c r="L232" s="5"/>
      <c r="M232" s="5"/>
      <c r="N232" s="5"/>
      <c r="O232" s="5"/>
      <c r="P232" s="5"/>
      <c r="Q232" s="5"/>
      <c r="R232" s="5"/>
    </row>
    <row r="233" spans="1:18">
      <c r="A233" s="5"/>
      <c r="B233" s="5"/>
      <c r="C233" s="5"/>
      <c r="D233" s="5"/>
      <c r="E233" s="5"/>
      <c r="F233" s="5"/>
      <c r="G233" s="5"/>
      <c r="H233" s="5"/>
      <c r="I233" s="5"/>
      <c r="J233" s="5"/>
      <c r="K233" s="5"/>
      <c r="L233" s="5"/>
      <c r="M233" s="5"/>
      <c r="N233" s="5"/>
      <c r="O233" s="5"/>
      <c r="P233" s="5"/>
      <c r="Q233" s="5"/>
      <c r="R233" s="5"/>
    </row>
    <row r="234" spans="1:18">
      <c r="A234" s="5"/>
      <c r="B234" s="5"/>
      <c r="C234" s="5"/>
      <c r="D234" s="5"/>
      <c r="E234" s="5"/>
      <c r="F234" s="5"/>
      <c r="G234" s="5"/>
      <c r="H234" s="5"/>
      <c r="I234" s="5"/>
      <c r="J234" s="5"/>
      <c r="K234" s="5"/>
      <c r="L234" s="5"/>
      <c r="M234" s="5"/>
      <c r="N234" s="5"/>
      <c r="O234" s="5"/>
      <c r="P234" s="5"/>
      <c r="Q234" s="5"/>
      <c r="R234" s="5"/>
    </row>
    <row r="235" spans="1:18">
      <c r="A235" s="5"/>
      <c r="B235" s="5"/>
      <c r="C235" s="5"/>
      <c r="D235" s="5"/>
      <c r="E235" s="5"/>
      <c r="F235" s="5"/>
      <c r="G235" s="5"/>
      <c r="H235" s="5"/>
      <c r="I235" s="5"/>
      <c r="J235" s="5"/>
      <c r="K235" s="5"/>
      <c r="L235" s="5"/>
      <c r="M235" s="5"/>
      <c r="N235" s="5"/>
      <c r="O235" s="5"/>
      <c r="P235" s="5"/>
      <c r="Q235" s="5"/>
      <c r="R235" s="5"/>
    </row>
    <row r="236" spans="1:18">
      <c r="A236" s="5"/>
      <c r="B236" s="5"/>
      <c r="C236" s="5"/>
      <c r="D236" s="5"/>
      <c r="E236" s="5"/>
      <c r="F236" s="5"/>
      <c r="G236" s="5"/>
      <c r="H236" s="5"/>
      <c r="I236" s="5"/>
      <c r="J236" s="5"/>
      <c r="K236" s="5"/>
      <c r="L236" s="5"/>
      <c r="M236" s="5"/>
      <c r="N236" s="5"/>
      <c r="O236" s="5"/>
      <c r="P236" s="5"/>
      <c r="Q236" s="5"/>
      <c r="R236" s="5"/>
    </row>
    <row r="237" spans="1:18">
      <c r="A237" s="5"/>
      <c r="B237" s="5"/>
      <c r="C237" s="5"/>
      <c r="D237" s="5"/>
      <c r="E237" s="5"/>
      <c r="F237" s="5"/>
      <c r="G237" s="5"/>
      <c r="H237" s="5"/>
      <c r="I237" s="5"/>
      <c r="J237" s="5"/>
      <c r="K237" s="5"/>
      <c r="L237" s="5"/>
      <c r="M237" s="5"/>
      <c r="N237" s="5"/>
      <c r="O237" s="5"/>
      <c r="P237" s="5"/>
      <c r="Q237" s="5"/>
      <c r="R237" s="5"/>
    </row>
    <row r="238" spans="1:18">
      <c r="A238" s="5"/>
      <c r="B238" s="5"/>
      <c r="C238" s="5"/>
      <c r="D238" s="5"/>
      <c r="E238" s="5"/>
      <c r="F238" s="5"/>
      <c r="G238" s="5"/>
      <c r="H238" s="5"/>
      <c r="I238" s="5"/>
      <c r="J238" s="5"/>
      <c r="K238" s="5"/>
      <c r="L238" s="5"/>
      <c r="M238" s="5"/>
      <c r="N238" s="5"/>
      <c r="O238" s="5"/>
      <c r="P238" s="5"/>
      <c r="Q238" s="5"/>
      <c r="R238" s="5"/>
    </row>
    <row r="239" spans="1:18">
      <c r="A239" s="5"/>
      <c r="B239" s="5"/>
      <c r="C239" s="5"/>
      <c r="D239" s="5"/>
      <c r="E239" s="5"/>
      <c r="F239" s="5"/>
      <c r="G239" s="5"/>
      <c r="H239" s="5"/>
      <c r="I239" s="5"/>
      <c r="J239" s="5"/>
      <c r="K239" s="5"/>
      <c r="L239" s="5"/>
      <c r="M239" s="5"/>
      <c r="N239" s="5"/>
      <c r="O239" s="5"/>
      <c r="P239" s="5"/>
      <c r="Q239" s="5"/>
      <c r="R239" s="5"/>
    </row>
    <row r="240" spans="1:18">
      <c r="A240" s="5"/>
      <c r="B240" s="5"/>
      <c r="C240" s="5"/>
      <c r="D240" s="5"/>
      <c r="E240" s="5"/>
      <c r="F240" s="5"/>
      <c r="G240" s="5"/>
      <c r="H240" s="5"/>
      <c r="I240" s="5"/>
      <c r="J240" s="5"/>
      <c r="K240" s="5"/>
      <c r="L240" s="5"/>
      <c r="M240" s="5"/>
      <c r="N240" s="5"/>
      <c r="O240" s="5"/>
      <c r="P240" s="5"/>
      <c r="Q240" s="5"/>
      <c r="R240" s="5"/>
    </row>
    <row r="241" spans="1:18">
      <c r="A241" s="5"/>
      <c r="B241" s="5"/>
      <c r="C241" s="5"/>
      <c r="D241" s="5"/>
      <c r="E241" s="5"/>
      <c r="F241" s="5"/>
      <c r="G241" s="5"/>
      <c r="H241" s="5"/>
      <c r="I241" s="5"/>
      <c r="J241" s="5"/>
      <c r="K241" s="5"/>
      <c r="L241" s="5"/>
      <c r="M241" s="5"/>
      <c r="N241" s="5"/>
      <c r="O241" s="5"/>
      <c r="P241" s="5"/>
      <c r="Q241" s="5"/>
      <c r="R241" s="5"/>
    </row>
    <row r="242" spans="1:18">
      <c r="A242" s="5"/>
      <c r="B242" s="5"/>
      <c r="C242" s="5"/>
      <c r="D242" s="5"/>
      <c r="E242" s="5"/>
      <c r="F242" s="5"/>
      <c r="G242" s="5"/>
      <c r="H242" s="5"/>
      <c r="I242" s="5"/>
      <c r="J242" s="5"/>
      <c r="K242" s="5"/>
      <c r="L242" s="5"/>
      <c r="M242" s="5"/>
      <c r="N242" s="5"/>
      <c r="O242" s="5"/>
      <c r="P242" s="5"/>
      <c r="Q242" s="5"/>
      <c r="R242" s="5"/>
    </row>
    <row r="243" spans="1:18">
      <c r="A243" s="5"/>
      <c r="B243" s="5"/>
      <c r="C243" s="5"/>
      <c r="D243" s="5"/>
      <c r="E243" s="5"/>
      <c r="F243" s="5"/>
      <c r="G243" s="5"/>
      <c r="H243" s="5"/>
      <c r="I243" s="5"/>
      <c r="J243" s="5"/>
      <c r="K243" s="5"/>
      <c r="L243" s="5"/>
      <c r="M243" s="5"/>
      <c r="N243" s="5"/>
      <c r="O243" s="5"/>
      <c r="P243" s="5"/>
      <c r="Q243" s="5"/>
      <c r="R243" s="5"/>
    </row>
    <row r="244" spans="1:18">
      <c r="A244" s="5"/>
      <c r="B244" s="5"/>
      <c r="C244" s="5"/>
      <c r="D244" s="5"/>
      <c r="E244" s="5"/>
      <c r="F244" s="5"/>
      <c r="G244" s="5"/>
      <c r="H244" s="5"/>
      <c r="I244" s="5"/>
      <c r="J244" s="5"/>
      <c r="K244" s="5"/>
      <c r="L244" s="5"/>
      <c r="M244" s="5"/>
      <c r="N244" s="5"/>
      <c r="O244" s="5"/>
      <c r="P244" s="5"/>
      <c r="Q244" s="5"/>
      <c r="R244" s="5"/>
    </row>
    <row r="245" spans="1:18">
      <c r="A245" s="5"/>
      <c r="B245" s="5"/>
      <c r="C245" s="5"/>
      <c r="D245" s="5"/>
      <c r="E245" s="5"/>
      <c r="F245" s="5"/>
      <c r="G245" s="5"/>
      <c r="H245" s="5"/>
      <c r="I245" s="5"/>
      <c r="J245" s="5"/>
      <c r="K245" s="5"/>
      <c r="L245" s="5"/>
      <c r="M245" s="5"/>
      <c r="N245" s="5"/>
      <c r="O245" s="5"/>
      <c r="P245" s="5"/>
      <c r="Q245" s="5"/>
      <c r="R245" s="5"/>
    </row>
    <row r="246" spans="1:18">
      <c r="A246" s="5"/>
      <c r="B246" s="5"/>
      <c r="C246" s="5"/>
      <c r="D246" s="5"/>
      <c r="E246" s="5"/>
      <c r="F246" s="5"/>
      <c r="G246" s="5"/>
      <c r="H246" s="5"/>
      <c r="I246" s="5"/>
      <c r="J246" s="5"/>
      <c r="K246" s="5"/>
      <c r="L246" s="5"/>
      <c r="M246" s="5"/>
      <c r="N246" s="5"/>
      <c r="O246" s="5"/>
      <c r="P246" s="5"/>
      <c r="Q246" s="5"/>
      <c r="R246" s="5"/>
    </row>
    <row r="247" spans="1:18">
      <c r="A247" s="5"/>
      <c r="B247" s="5"/>
      <c r="C247" s="5"/>
      <c r="D247" s="5"/>
      <c r="E247" s="5"/>
      <c r="F247" s="5"/>
      <c r="G247" s="5"/>
      <c r="H247" s="5"/>
      <c r="I247" s="5"/>
      <c r="J247" s="5"/>
      <c r="K247" s="5"/>
      <c r="L247" s="5"/>
      <c r="M247" s="5"/>
      <c r="N247" s="5"/>
      <c r="O247" s="5"/>
      <c r="P247" s="5"/>
      <c r="Q247" s="5"/>
      <c r="R247" s="5"/>
    </row>
    <row r="248" spans="1:18">
      <c r="A248" s="5"/>
      <c r="B248" s="5"/>
      <c r="C248" s="5"/>
      <c r="D248" s="5"/>
      <c r="E248" s="5"/>
      <c r="F248" s="5"/>
      <c r="G248" s="5"/>
      <c r="H248" s="5"/>
      <c r="I248" s="5"/>
      <c r="J248" s="5"/>
      <c r="K248" s="5"/>
      <c r="L248" s="5"/>
      <c r="M248" s="5"/>
      <c r="N248" s="5"/>
      <c r="O248" s="5"/>
      <c r="P248" s="5"/>
      <c r="Q248" s="5"/>
      <c r="R248" s="5"/>
    </row>
    <row r="249" spans="1:18">
      <c r="A249" s="5"/>
      <c r="B249" s="5"/>
      <c r="C249" s="5"/>
      <c r="D249" s="5"/>
      <c r="E249" s="5"/>
      <c r="F249" s="5"/>
      <c r="G249" s="5"/>
      <c r="H249" s="5"/>
      <c r="I249" s="5"/>
      <c r="J249" s="5"/>
      <c r="K249" s="5"/>
      <c r="L249" s="5"/>
      <c r="M249" s="5"/>
      <c r="N249" s="5"/>
      <c r="O249" s="5"/>
      <c r="P249" s="5"/>
      <c r="Q249" s="5"/>
      <c r="R249" s="5"/>
    </row>
    <row r="250" spans="1:18">
      <c r="A250" s="5"/>
      <c r="B250" s="5"/>
      <c r="C250" s="5"/>
      <c r="D250" s="5"/>
      <c r="E250" s="5"/>
      <c r="F250" s="5"/>
      <c r="G250" s="5"/>
      <c r="H250" s="5"/>
      <c r="I250" s="5"/>
      <c r="J250" s="5"/>
      <c r="K250" s="5"/>
      <c r="L250" s="5"/>
      <c r="M250" s="5"/>
      <c r="N250" s="5"/>
      <c r="O250" s="5"/>
      <c r="P250" s="5"/>
      <c r="Q250" s="5"/>
      <c r="R250" s="5"/>
    </row>
    <row r="251" spans="1:18">
      <c r="A251" s="5"/>
      <c r="B251" s="5"/>
      <c r="C251" s="5"/>
      <c r="D251" s="5"/>
      <c r="E251" s="5"/>
      <c r="F251" s="5"/>
      <c r="G251" s="5"/>
      <c r="H251" s="5"/>
      <c r="I251" s="5"/>
      <c r="J251" s="5"/>
      <c r="K251" s="5"/>
      <c r="L251" s="5"/>
      <c r="M251" s="5"/>
      <c r="N251" s="5"/>
      <c r="O251" s="5"/>
      <c r="P251" s="5"/>
      <c r="Q251" s="5"/>
      <c r="R251" s="5"/>
    </row>
    <row r="252" spans="1:18">
      <c r="A252" s="5"/>
      <c r="B252" s="5"/>
      <c r="C252" s="5"/>
      <c r="D252" s="5"/>
      <c r="E252" s="5"/>
      <c r="F252" s="5"/>
      <c r="G252" s="5"/>
      <c r="H252" s="5"/>
      <c r="I252" s="5"/>
      <c r="J252" s="5"/>
      <c r="K252" s="5"/>
      <c r="L252" s="5"/>
      <c r="M252" s="5"/>
      <c r="N252" s="5"/>
      <c r="O252" s="5"/>
      <c r="P252" s="5"/>
      <c r="Q252" s="5"/>
      <c r="R252" s="5"/>
    </row>
    <row r="253" spans="1:18">
      <c r="A253" s="5"/>
      <c r="B253" s="5"/>
      <c r="C253" s="5"/>
      <c r="D253" s="5"/>
      <c r="E253" s="5"/>
      <c r="F253" s="5"/>
      <c r="G253" s="5"/>
      <c r="H253" s="5"/>
      <c r="I253" s="5"/>
      <c r="J253" s="5"/>
      <c r="K253" s="5"/>
      <c r="L253" s="5"/>
      <c r="M253" s="5"/>
      <c r="N253" s="5"/>
      <c r="O253" s="5"/>
      <c r="P253" s="5"/>
      <c r="Q253" s="5"/>
      <c r="R253" s="5"/>
    </row>
    <row r="254" spans="1:18">
      <c r="A254" s="5"/>
      <c r="B254" s="5"/>
      <c r="C254" s="5"/>
      <c r="D254" s="5"/>
      <c r="E254" s="5"/>
      <c r="F254" s="5"/>
      <c r="G254" s="5"/>
      <c r="H254" s="5"/>
      <c r="I254" s="5"/>
      <c r="J254" s="5"/>
      <c r="K254" s="5"/>
      <c r="L254" s="5"/>
      <c r="M254" s="5"/>
      <c r="N254" s="5"/>
      <c r="O254" s="5"/>
      <c r="P254" s="5"/>
      <c r="Q254" s="5"/>
      <c r="R254" s="5"/>
    </row>
    <row r="255" spans="1:18">
      <c r="A255" s="5"/>
      <c r="B255" s="5"/>
      <c r="C255" s="5"/>
      <c r="D255" s="5"/>
      <c r="E255" s="5"/>
      <c r="F255" s="5"/>
      <c r="G255" s="5"/>
      <c r="H255" s="5"/>
      <c r="I255" s="5"/>
      <c r="J255" s="5"/>
      <c r="K255" s="5"/>
      <c r="L255" s="5"/>
      <c r="M255" s="5"/>
      <c r="N255" s="5"/>
      <c r="O255" s="5"/>
      <c r="P255" s="5"/>
      <c r="Q255" s="5"/>
      <c r="R255" s="5"/>
    </row>
    <row r="256" spans="1:18">
      <c r="A256" s="5"/>
      <c r="B256" s="5"/>
      <c r="C256" s="5"/>
      <c r="D256" s="5"/>
      <c r="E256" s="5"/>
      <c r="F256" s="5"/>
      <c r="G256" s="5"/>
      <c r="H256" s="5"/>
      <c r="I256" s="5"/>
      <c r="J256" s="5"/>
      <c r="K256" s="5"/>
      <c r="L256" s="5"/>
      <c r="M256" s="5"/>
      <c r="N256" s="5"/>
      <c r="O256" s="5"/>
      <c r="P256" s="5"/>
      <c r="Q256" s="5"/>
      <c r="R256" s="5"/>
    </row>
    <row r="257" spans="1:18">
      <c r="A257" s="5"/>
      <c r="B257" s="5"/>
      <c r="C257" s="5"/>
      <c r="D257" s="5"/>
      <c r="E257" s="5"/>
      <c r="F257" s="5"/>
      <c r="G257" s="5"/>
      <c r="H257" s="5"/>
      <c r="I257" s="5"/>
      <c r="J257" s="5"/>
      <c r="K257" s="5"/>
      <c r="L257" s="5"/>
      <c r="M257" s="5"/>
      <c r="N257" s="5"/>
      <c r="O257" s="5"/>
      <c r="P257" s="5"/>
      <c r="Q257" s="5"/>
      <c r="R257" s="5"/>
    </row>
    <row r="258" spans="1:18">
      <c r="A258" s="5"/>
      <c r="B258" s="5"/>
      <c r="C258" s="5"/>
      <c r="D258" s="5"/>
      <c r="E258" s="5"/>
      <c r="F258" s="5"/>
      <c r="G258" s="5"/>
      <c r="H258" s="5"/>
      <c r="I258" s="5"/>
      <c r="J258" s="5"/>
      <c r="K258" s="5"/>
      <c r="L258" s="5"/>
      <c r="M258" s="5"/>
      <c r="N258" s="5"/>
      <c r="O258" s="5"/>
      <c r="P258" s="5"/>
      <c r="Q258" s="5"/>
      <c r="R258" s="5"/>
    </row>
    <row r="259" spans="1:18">
      <c r="A259" s="5"/>
      <c r="B259" s="5"/>
      <c r="C259" s="5"/>
      <c r="D259" s="5"/>
      <c r="E259" s="5"/>
      <c r="F259" s="5"/>
      <c r="G259" s="5"/>
      <c r="H259" s="5"/>
      <c r="I259" s="5"/>
      <c r="J259" s="5"/>
      <c r="K259" s="5"/>
      <c r="L259" s="5"/>
      <c r="M259" s="5"/>
      <c r="N259" s="5"/>
      <c r="O259" s="5"/>
      <c r="P259" s="5"/>
      <c r="Q259" s="5"/>
      <c r="R259" s="5"/>
    </row>
    <row r="260" spans="1:18">
      <c r="A260" s="5"/>
      <c r="B260" s="5"/>
      <c r="C260" s="5"/>
      <c r="D260" s="5"/>
      <c r="E260" s="5"/>
      <c r="F260" s="5"/>
      <c r="G260" s="5"/>
      <c r="H260" s="5"/>
      <c r="I260" s="5"/>
      <c r="J260" s="5"/>
      <c r="K260" s="5"/>
      <c r="L260" s="5"/>
      <c r="M260" s="5"/>
      <c r="N260" s="5"/>
      <c r="O260" s="5"/>
      <c r="P260" s="5"/>
      <c r="Q260" s="5"/>
      <c r="R260" s="5"/>
    </row>
    <row r="261" spans="1:18">
      <c r="A261" s="5"/>
      <c r="B261" s="5"/>
      <c r="C261" s="5"/>
      <c r="D261" s="5"/>
      <c r="E261" s="5"/>
      <c r="F261" s="5"/>
      <c r="G261" s="5"/>
      <c r="H261" s="5"/>
      <c r="I261" s="5"/>
      <c r="J261" s="5"/>
      <c r="K261" s="5"/>
      <c r="L261" s="5"/>
      <c r="M261" s="5"/>
      <c r="N261" s="5"/>
      <c r="O261" s="5"/>
      <c r="P261" s="5"/>
      <c r="Q261" s="5"/>
      <c r="R261" s="5"/>
    </row>
    <row r="262" spans="1:18">
      <c r="A262" s="5"/>
      <c r="B262" s="5"/>
      <c r="C262" s="5"/>
      <c r="D262" s="5"/>
      <c r="E262" s="5"/>
      <c r="F262" s="5"/>
      <c r="G262" s="5"/>
      <c r="H262" s="5"/>
      <c r="I262" s="5"/>
      <c r="J262" s="5"/>
      <c r="K262" s="5"/>
      <c r="L262" s="5"/>
      <c r="M262" s="5"/>
      <c r="N262" s="5"/>
      <c r="O262" s="5"/>
      <c r="P262" s="5"/>
      <c r="Q262" s="5"/>
      <c r="R262" s="5"/>
    </row>
    <row r="263" spans="1:18">
      <c r="A263" s="5"/>
      <c r="B263" s="5"/>
      <c r="C263" s="5"/>
      <c r="D263" s="5"/>
      <c r="E263" s="5"/>
      <c r="F263" s="5"/>
      <c r="G263" s="5"/>
      <c r="H263" s="5"/>
      <c r="I263" s="5"/>
      <c r="J263" s="5"/>
      <c r="K263" s="5"/>
      <c r="L263" s="5"/>
      <c r="M263" s="5"/>
      <c r="N263" s="5"/>
      <c r="O263" s="5"/>
      <c r="P263" s="5"/>
      <c r="Q263" s="5"/>
      <c r="R263" s="5"/>
    </row>
    <row r="264" spans="1:18">
      <c r="A264" s="5"/>
      <c r="B264" s="5"/>
      <c r="C264" s="5"/>
      <c r="D264" s="5"/>
      <c r="E264" s="5"/>
      <c r="F264" s="5"/>
      <c r="G264" s="5"/>
      <c r="H264" s="5"/>
      <c r="I264" s="5"/>
      <c r="J264" s="5"/>
      <c r="K264" s="5"/>
      <c r="L264" s="5"/>
      <c r="M264" s="5"/>
      <c r="N264" s="5"/>
      <c r="O264" s="5"/>
      <c r="P264" s="5"/>
      <c r="Q264" s="5"/>
      <c r="R264" s="5"/>
    </row>
    <row r="265" spans="1:18">
      <c r="A265" s="5"/>
      <c r="B265" s="5"/>
      <c r="C265" s="5"/>
      <c r="D265" s="5"/>
      <c r="E265" s="5"/>
      <c r="F265" s="5"/>
      <c r="G265" s="5"/>
      <c r="H265" s="5"/>
      <c r="I265" s="5"/>
      <c r="J265" s="5"/>
      <c r="K265" s="5"/>
      <c r="L265" s="5"/>
      <c r="M265" s="5"/>
      <c r="N265" s="5"/>
      <c r="O265" s="5"/>
      <c r="P265" s="5"/>
      <c r="Q265" s="5"/>
      <c r="R265" s="5"/>
    </row>
    <row r="266" spans="1:18">
      <c r="A266" s="5"/>
      <c r="B266" s="5"/>
      <c r="C266" s="5"/>
      <c r="D266" s="5"/>
      <c r="E266" s="5"/>
      <c r="F266" s="5"/>
      <c r="G266" s="5"/>
      <c r="H266" s="5"/>
      <c r="I266" s="5"/>
      <c r="J266" s="5"/>
      <c r="K266" s="5"/>
      <c r="L266" s="5"/>
      <c r="M266" s="5"/>
      <c r="N266" s="5"/>
      <c r="O266" s="5"/>
      <c r="P266" s="5"/>
      <c r="Q266" s="5"/>
      <c r="R266" s="5"/>
    </row>
    <row r="267" spans="1:18">
      <c r="A267" s="5"/>
      <c r="B267" s="5"/>
      <c r="C267" s="5"/>
      <c r="D267" s="5"/>
      <c r="E267" s="5"/>
      <c r="F267" s="5"/>
      <c r="G267" s="5"/>
      <c r="H267" s="5"/>
      <c r="I267" s="5"/>
      <c r="J267" s="5"/>
      <c r="K267" s="5"/>
      <c r="L267" s="5"/>
      <c r="M267" s="5"/>
      <c r="N267" s="5"/>
      <c r="O267" s="5"/>
      <c r="P267" s="5"/>
      <c r="Q267" s="5"/>
      <c r="R267" s="5"/>
    </row>
    <row r="268" spans="1:18">
      <c r="A268" s="5"/>
      <c r="B268" s="5"/>
      <c r="C268" s="5"/>
      <c r="D268" s="5"/>
      <c r="E268" s="5"/>
      <c r="F268" s="5"/>
      <c r="G268" s="5"/>
      <c r="H268" s="5"/>
      <c r="I268" s="5"/>
      <c r="J268" s="5"/>
      <c r="K268" s="5"/>
      <c r="L268" s="5"/>
      <c r="M268" s="5"/>
      <c r="N268" s="5"/>
      <c r="O268" s="5"/>
      <c r="P268" s="5"/>
      <c r="Q268" s="5"/>
      <c r="R268" s="5"/>
    </row>
    <row r="269" spans="1:18">
      <c r="A269" s="5"/>
      <c r="B269" s="5"/>
      <c r="C269" s="5"/>
      <c r="D269" s="5"/>
      <c r="E269" s="5"/>
      <c r="F269" s="5"/>
      <c r="G269" s="5"/>
      <c r="H269" s="5"/>
      <c r="I269" s="5"/>
      <c r="J269" s="5"/>
      <c r="K269" s="5"/>
      <c r="L269" s="5"/>
      <c r="M269" s="5"/>
      <c r="N269" s="5"/>
      <c r="O269" s="5"/>
      <c r="P269" s="5"/>
      <c r="Q269" s="5"/>
      <c r="R269" s="5"/>
    </row>
    <row r="270" spans="1:18">
      <c r="A270" s="5"/>
      <c r="B270" s="5"/>
      <c r="C270" s="5"/>
      <c r="D270" s="5"/>
      <c r="E270" s="5"/>
      <c r="F270" s="5"/>
      <c r="G270" s="5"/>
      <c r="H270" s="5"/>
      <c r="I270" s="5"/>
      <c r="J270" s="5"/>
      <c r="K270" s="5"/>
      <c r="L270" s="5"/>
      <c r="M270" s="5"/>
      <c r="N270" s="5"/>
      <c r="O270" s="5"/>
      <c r="P270" s="5"/>
      <c r="Q270" s="5"/>
      <c r="R270" s="5"/>
    </row>
    <row r="271" spans="1:18">
      <c r="A271" s="5"/>
      <c r="B271" s="5"/>
      <c r="C271" s="5"/>
      <c r="D271" s="5"/>
      <c r="E271" s="5"/>
      <c r="F271" s="5"/>
      <c r="G271" s="5"/>
      <c r="H271" s="5"/>
      <c r="I271" s="5"/>
      <c r="J271" s="5"/>
      <c r="K271" s="5"/>
      <c r="L271" s="5"/>
      <c r="M271" s="5"/>
      <c r="N271" s="5"/>
      <c r="O271" s="5"/>
      <c r="P271" s="5"/>
      <c r="Q271" s="5"/>
      <c r="R271" s="5"/>
    </row>
    <row r="272" spans="1:18">
      <c r="A272" s="5"/>
      <c r="B272" s="5"/>
      <c r="C272" s="5"/>
      <c r="D272" s="5"/>
      <c r="E272" s="5"/>
      <c r="F272" s="5"/>
      <c r="G272" s="5"/>
      <c r="H272" s="5"/>
      <c r="I272" s="5"/>
      <c r="J272" s="5"/>
      <c r="K272" s="5"/>
      <c r="L272" s="5"/>
      <c r="M272" s="5"/>
      <c r="N272" s="5"/>
      <c r="O272" s="5"/>
      <c r="P272" s="5"/>
      <c r="Q272" s="5"/>
      <c r="R272" s="5"/>
    </row>
    <row r="273" spans="1:18">
      <c r="A273" s="5"/>
      <c r="B273" s="5"/>
      <c r="C273" s="5"/>
      <c r="D273" s="5"/>
      <c r="E273" s="5"/>
      <c r="F273" s="5"/>
      <c r="G273" s="5"/>
      <c r="H273" s="5"/>
      <c r="I273" s="5"/>
      <c r="J273" s="5"/>
      <c r="K273" s="5"/>
      <c r="L273" s="5"/>
      <c r="M273" s="5"/>
      <c r="N273" s="5"/>
      <c r="O273" s="5"/>
      <c r="P273" s="5"/>
      <c r="Q273" s="5"/>
      <c r="R273" s="5"/>
    </row>
    <row r="274" spans="1:18">
      <c r="A274" s="5"/>
      <c r="B274" s="5"/>
      <c r="C274" s="5"/>
      <c r="D274" s="5"/>
      <c r="E274" s="5"/>
      <c r="F274" s="5"/>
      <c r="G274" s="5"/>
      <c r="H274" s="5"/>
      <c r="I274" s="5"/>
      <c r="J274" s="5"/>
      <c r="K274" s="5"/>
      <c r="L274" s="5"/>
      <c r="M274" s="5"/>
      <c r="N274" s="5"/>
      <c r="O274" s="5"/>
      <c r="P274" s="5"/>
      <c r="Q274" s="5"/>
      <c r="R274" s="5"/>
    </row>
    <row r="275" spans="1:18">
      <c r="A275" s="5"/>
      <c r="B275" s="5"/>
      <c r="C275" s="5"/>
      <c r="D275" s="5"/>
      <c r="E275" s="5"/>
      <c r="F275" s="5"/>
      <c r="G275" s="5"/>
      <c r="H275" s="5"/>
      <c r="I275" s="5"/>
      <c r="J275" s="5"/>
      <c r="K275" s="5"/>
      <c r="L275" s="5"/>
      <c r="M275" s="5"/>
      <c r="N275" s="5"/>
      <c r="O275" s="5"/>
      <c r="P275" s="5"/>
      <c r="Q275" s="5"/>
      <c r="R275" s="5"/>
    </row>
    <row r="276" spans="1:18">
      <c r="A276" s="5"/>
      <c r="B276" s="5"/>
      <c r="C276" s="5"/>
      <c r="D276" s="5"/>
      <c r="E276" s="5"/>
      <c r="F276" s="5"/>
      <c r="G276" s="5"/>
      <c r="H276" s="5"/>
      <c r="I276" s="5"/>
      <c r="J276" s="5"/>
      <c r="K276" s="5"/>
      <c r="L276" s="5"/>
      <c r="M276" s="5"/>
      <c r="N276" s="5"/>
      <c r="O276" s="5"/>
      <c r="P276" s="5"/>
      <c r="Q276" s="5"/>
      <c r="R276" s="5"/>
    </row>
    <row r="277" spans="1:18">
      <c r="A277" s="5"/>
      <c r="B277" s="5"/>
      <c r="C277" s="5"/>
      <c r="D277" s="5"/>
      <c r="E277" s="5"/>
      <c r="F277" s="5"/>
      <c r="G277" s="5"/>
      <c r="H277" s="5"/>
      <c r="I277" s="5"/>
      <c r="J277" s="5"/>
      <c r="K277" s="5"/>
      <c r="L277" s="5"/>
      <c r="M277" s="5"/>
      <c r="N277" s="5"/>
      <c r="O277" s="5"/>
      <c r="P277" s="5"/>
      <c r="Q277" s="5"/>
      <c r="R277" s="5"/>
    </row>
    <row r="278" spans="1:18">
      <c r="A278" s="5"/>
      <c r="B278" s="5"/>
      <c r="C278" s="5"/>
      <c r="D278" s="5"/>
      <c r="E278" s="5"/>
      <c r="F278" s="5"/>
      <c r="G278" s="5"/>
      <c r="H278" s="5"/>
      <c r="I278" s="5"/>
      <c r="J278" s="5"/>
      <c r="K278" s="5"/>
      <c r="L278" s="5"/>
      <c r="M278" s="5"/>
      <c r="N278" s="5"/>
      <c r="O278" s="5"/>
      <c r="P278" s="5"/>
      <c r="Q278" s="5"/>
      <c r="R278" s="5"/>
    </row>
    <row r="279" spans="1:18">
      <c r="A279" s="5"/>
      <c r="B279" s="5"/>
      <c r="C279" s="5"/>
      <c r="D279" s="5"/>
      <c r="E279" s="5"/>
      <c r="F279" s="5"/>
      <c r="G279" s="5"/>
      <c r="H279" s="5"/>
      <c r="I279" s="5"/>
      <c r="J279" s="5"/>
      <c r="K279" s="5"/>
      <c r="L279" s="5"/>
      <c r="M279" s="5"/>
      <c r="N279" s="5"/>
      <c r="O279" s="5"/>
      <c r="P279" s="5"/>
      <c r="Q279" s="5"/>
      <c r="R279" s="5"/>
    </row>
    <row r="280" spans="1:18">
      <c r="A280" s="5"/>
      <c r="B280" s="5"/>
      <c r="C280" s="5"/>
      <c r="D280" s="5"/>
      <c r="E280" s="5"/>
      <c r="F280" s="5"/>
      <c r="G280" s="5"/>
      <c r="H280" s="5"/>
      <c r="I280" s="5"/>
      <c r="J280" s="5"/>
      <c r="K280" s="5"/>
      <c r="L280" s="5"/>
      <c r="M280" s="5"/>
      <c r="N280" s="5"/>
      <c r="O280" s="5"/>
      <c r="P280" s="5"/>
      <c r="Q280" s="5"/>
      <c r="R280" s="5"/>
    </row>
    <row r="281" spans="1:18">
      <c r="A281" s="5"/>
      <c r="B281" s="5"/>
      <c r="C281" s="5"/>
      <c r="D281" s="5"/>
      <c r="E281" s="5"/>
      <c r="F281" s="5"/>
      <c r="G281" s="5"/>
      <c r="H281" s="5"/>
      <c r="I281" s="5"/>
      <c r="J281" s="5"/>
      <c r="K281" s="5"/>
      <c r="L281" s="5"/>
      <c r="M281" s="5"/>
      <c r="N281" s="5"/>
      <c r="O281" s="5"/>
      <c r="P281" s="5"/>
      <c r="Q281" s="5"/>
      <c r="R281" s="5"/>
    </row>
    <row r="282" spans="1:18">
      <c r="A282" s="5"/>
      <c r="B282" s="5"/>
      <c r="C282" s="5"/>
      <c r="D282" s="5"/>
      <c r="E282" s="5"/>
      <c r="F282" s="5"/>
      <c r="G282" s="5"/>
      <c r="H282" s="5"/>
      <c r="I282" s="5"/>
      <c r="J282" s="5"/>
      <c r="K282" s="5"/>
      <c r="L282" s="5"/>
      <c r="M282" s="5"/>
      <c r="N282" s="5"/>
      <c r="O282" s="5"/>
      <c r="P282" s="5"/>
      <c r="Q282" s="5"/>
      <c r="R282" s="5"/>
    </row>
    <row r="283" spans="1:18">
      <c r="A283" s="5"/>
      <c r="B283" s="5"/>
      <c r="C283" s="5"/>
      <c r="D283" s="5"/>
      <c r="E283" s="5"/>
      <c r="F283" s="5"/>
      <c r="G283" s="5"/>
      <c r="H283" s="5"/>
      <c r="I283" s="5"/>
      <c r="J283" s="5"/>
      <c r="K283" s="5"/>
      <c r="L283" s="5"/>
      <c r="M283" s="5"/>
      <c r="N283" s="5"/>
      <c r="O283" s="5"/>
      <c r="P283" s="5"/>
      <c r="Q283" s="5"/>
      <c r="R283" s="5"/>
    </row>
    <row r="284" spans="1:18">
      <c r="A284" s="5"/>
      <c r="B284" s="5"/>
      <c r="C284" s="5"/>
      <c r="D284" s="5"/>
      <c r="E284" s="5"/>
      <c r="F284" s="5"/>
      <c r="G284" s="5"/>
      <c r="H284" s="5"/>
      <c r="I284" s="5"/>
      <c r="J284" s="5"/>
      <c r="K284" s="5"/>
      <c r="L284" s="5"/>
      <c r="M284" s="5"/>
      <c r="N284" s="5"/>
      <c r="O284" s="5"/>
      <c r="P284" s="5"/>
      <c r="Q284" s="5"/>
      <c r="R284" s="5"/>
    </row>
    <row r="285" spans="1:18">
      <c r="A285" s="5"/>
      <c r="B285" s="5"/>
      <c r="C285" s="5"/>
      <c r="D285" s="5"/>
      <c r="E285" s="5"/>
      <c r="F285" s="5"/>
      <c r="G285" s="5"/>
      <c r="H285" s="5"/>
      <c r="I285" s="5"/>
      <c r="J285" s="5"/>
      <c r="K285" s="5"/>
      <c r="L285" s="5"/>
      <c r="M285" s="5"/>
      <c r="N285" s="5"/>
      <c r="O285" s="5"/>
      <c r="P285" s="5"/>
      <c r="Q285" s="5"/>
      <c r="R285" s="5"/>
    </row>
    <row r="286" spans="1:18">
      <c r="A286" s="5"/>
      <c r="B286" s="5"/>
      <c r="C286" s="5"/>
      <c r="D286" s="5"/>
      <c r="E286" s="5"/>
      <c r="F286" s="5"/>
      <c r="G286" s="5"/>
      <c r="H286" s="5"/>
      <c r="I286" s="5"/>
      <c r="J286" s="5"/>
      <c r="K286" s="5"/>
      <c r="L286" s="5"/>
      <c r="M286" s="5"/>
      <c r="N286" s="5"/>
      <c r="O286" s="5"/>
      <c r="P286" s="5"/>
      <c r="Q286" s="5"/>
      <c r="R286" s="5"/>
    </row>
    <row r="287" spans="1:18">
      <c r="A287" s="5"/>
      <c r="B287" s="5"/>
      <c r="C287" s="5"/>
      <c r="D287" s="5"/>
      <c r="E287" s="5"/>
      <c r="F287" s="5"/>
      <c r="G287" s="5"/>
      <c r="H287" s="5"/>
      <c r="I287" s="5"/>
      <c r="J287" s="5"/>
      <c r="K287" s="5"/>
      <c r="L287" s="5"/>
      <c r="M287" s="5"/>
      <c r="N287" s="5"/>
      <c r="O287" s="5"/>
      <c r="P287" s="5"/>
      <c r="Q287" s="5"/>
      <c r="R287" s="5"/>
    </row>
    <row r="288" spans="1:18">
      <c r="A288" s="5"/>
      <c r="B288" s="5"/>
      <c r="C288" s="5"/>
      <c r="D288" s="5"/>
      <c r="E288" s="5"/>
      <c r="F288" s="5"/>
      <c r="G288" s="5"/>
      <c r="H288" s="5"/>
      <c r="I288" s="5"/>
      <c r="J288" s="5"/>
      <c r="K288" s="5"/>
      <c r="L288" s="5"/>
      <c r="M288" s="5"/>
      <c r="N288" s="5"/>
      <c r="O288" s="5"/>
      <c r="P288" s="5"/>
      <c r="Q288" s="5"/>
      <c r="R288" s="5"/>
    </row>
    <row r="289" spans="1:18">
      <c r="A289" s="5"/>
      <c r="B289" s="5"/>
      <c r="C289" s="5"/>
      <c r="D289" s="5"/>
      <c r="E289" s="5"/>
      <c r="F289" s="5"/>
      <c r="G289" s="5"/>
      <c r="H289" s="5"/>
      <c r="I289" s="5"/>
      <c r="J289" s="5"/>
      <c r="K289" s="5"/>
      <c r="L289" s="5"/>
      <c r="M289" s="5"/>
      <c r="N289" s="5"/>
      <c r="O289" s="5"/>
      <c r="P289" s="5"/>
      <c r="Q289" s="5"/>
      <c r="R289" s="5"/>
    </row>
    <row r="290" spans="1:18">
      <c r="A290" s="5"/>
      <c r="B290" s="5"/>
      <c r="C290" s="5"/>
      <c r="D290" s="5"/>
      <c r="E290" s="5"/>
      <c r="F290" s="5"/>
      <c r="G290" s="5"/>
      <c r="H290" s="5"/>
      <c r="I290" s="5"/>
      <c r="J290" s="5"/>
      <c r="K290" s="5"/>
      <c r="L290" s="5"/>
      <c r="M290" s="5"/>
      <c r="N290" s="5"/>
      <c r="O290" s="5"/>
      <c r="P290" s="5"/>
      <c r="Q290" s="5"/>
      <c r="R290" s="5"/>
    </row>
    <row r="291" spans="1:18">
      <c r="A291" s="5"/>
      <c r="B291" s="5"/>
      <c r="C291" s="5"/>
      <c r="D291" s="5"/>
      <c r="E291" s="5"/>
      <c r="F291" s="5"/>
      <c r="G291" s="5"/>
      <c r="H291" s="5"/>
      <c r="I291" s="5"/>
      <c r="J291" s="5"/>
      <c r="K291" s="5"/>
      <c r="L291" s="5"/>
      <c r="M291" s="5"/>
      <c r="N291" s="5"/>
      <c r="O291" s="5"/>
      <c r="P291" s="5"/>
      <c r="Q291" s="5"/>
      <c r="R291" s="5"/>
    </row>
    <row r="292" spans="1:18">
      <c r="A292" s="5"/>
      <c r="B292" s="5"/>
      <c r="C292" s="5"/>
      <c r="D292" s="5"/>
      <c r="E292" s="5"/>
      <c r="F292" s="5"/>
      <c r="G292" s="5"/>
      <c r="H292" s="5"/>
      <c r="I292" s="5"/>
      <c r="J292" s="5"/>
      <c r="K292" s="5"/>
      <c r="L292" s="5"/>
      <c r="M292" s="5"/>
      <c r="N292" s="5"/>
      <c r="O292" s="5"/>
      <c r="P292" s="5"/>
      <c r="Q292" s="5"/>
      <c r="R292" s="5"/>
    </row>
    <row r="293" spans="1:18">
      <c r="A293" s="5"/>
      <c r="B293" s="5"/>
      <c r="C293" s="5"/>
      <c r="D293" s="5"/>
      <c r="E293" s="5"/>
      <c r="F293" s="5"/>
      <c r="G293" s="5"/>
      <c r="H293" s="5"/>
      <c r="I293" s="5"/>
      <c r="J293" s="5"/>
      <c r="K293" s="5"/>
      <c r="L293" s="5"/>
      <c r="M293" s="5"/>
      <c r="N293" s="5"/>
      <c r="O293" s="5"/>
      <c r="P293" s="5"/>
      <c r="Q293" s="5"/>
      <c r="R293" s="5"/>
    </row>
    <row r="294" spans="1:18">
      <c r="A294" s="5"/>
      <c r="B294" s="5"/>
      <c r="C294" s="5"/>
      <c r="D294" s="5"/>
      <c r="E294" s="5"/>
      <c r="F294" s="5"/>
      <c r="G294" s="5"/>
      <c r="H294" s="5"/>
      <c r="I294" s="5"/>
      <c r="J294" s="5"/>
      <c r="K294" s="5"/>
      <c r="L294" s="5"/>
      <c r="M294" s="5"/>
      <c r="N294" s="5"/>
      <c r="O294" s="5"/>
      <c r="P294" s="5"/>
      <c r="Q294" s="5"/>
      <c r="R294" s="5"/>
    </row>
    <row r="295" spans="1:18">
      <c r="A295" s="5"/>
      <c r="B295" s="5"/>
      <c r="C295" s="5"/>
      <c r="D295" s="5"/>
      <c r="E295" s="5"/>
      <c r="F295" s="5"/>
      <c r="G295" s="5"/>
      <c r="H295" s="5"/>
      <c r="I295" s="5"/>
      <c r="J295" s="5"/>
      <c r="K295" s="5"/>
      <c r="L295" s="5"/>
      <c r="M295" s="5"/>
      <c r="N295" s="5"/>
      <c r="O295" s="5"/>
      <c r="P295" s="5"/>
      <c r="Q295" s="5"/>
      <c r="R295" s="5"/>
    </row>
    <row r="296" spans="1:18">
      <c r="A296" s="5"/>
      <c r="B296" s="5"/>
      <c r="C296" s="5"/>
      <c r="D296" s="5"/>
      <c r="E296" s="5"/>
      <c r="F296" s="5"/>
      <c r="G296" s="5"/>
      <c r="H296" s="5"/>
      <c r="I296" s="5"/>
      <c r="J296" s="5"/>
      <c r="K296" s="5"/>
      <c r="L296" s="5"/>
      <c r="M296" s="5"/>
      <c r="N296" s="5"/>
      <c r="O296" s="5"/>
      <c r="P296" s="5"/>
      <c r="Q296" s="5"/>
      <c r="R296" s="5"/>
    </row>
    <row r="297" spans="1:18">
      <c r="A297" s="5"/>
      <c r="B297" s="5"/>
      <c r="C297" s="5"/>
      <c r="D297" s="5"/>
      <c r="E297" s="5"/>
      <c r="F297" s="5"/>
      <c r="G297" s="5"/>
      <c r="H297" s="5"/>
      <c r="I297" s="5"/>
      <c r="J297" s="5"/>
      <c r="K297" s="5"/>
      <c r="L297" s="5"/>
      <c r="M297" s="5"/>
      <c r="N297" s="5"/>
      <c r="O297" s="5"/>
      <c r="P297" s="5"/>
      <c r="Q297" s="5"/>
      <c r="R297" s="5"/>
    </row>
    <row r="298" spans="1:18">
      <c r="A298" s="5"/>
      <c r="B298" s="5"/>
      <c r="C298" s="5"/>
      <c r="D298" s="5"/>
      <c r="E298" s="5"/>
      <c r="F298" s="5"/>
      <c r="G298" s="5"/>
      <c r="H298" s="5"/>
      <c r="I298" s="5"/>
      <c r="J298" s="5"/>
      <c r="K298" s="5"/>
      <c r="L298" s="5"/>
      <c r="M298" s="5"/>
      <c r="N298" s="5"/>
      <c r="O298" s="5"/>
      <c r="P298" s="5"/>
      <c r="Q298" s="5"/>
      <c r="R298" s="5"/>
    </row>
    <row r="299" spans="1:18">
      <c r="A299" s="5"/>
      <c r="B299" s="5"/>
      <c r="C299" s="5"/>
      <c r="D299" s="5"/>
      <c r="E299" s="5"/>
      <c r="F299" s="5"/>
      <c r="G299" s="5"/>
      <c r="H299" s="5"/>
      <c r="I299" s="5"/>
      <c r="J299" s="5"/>
      <c r="K299" s="5"/>
      <c r="L299" s="5"/>
      <c r="M299" s="5"/>
      <c r="N299" s="5"/>
      <c r="O299" s="5"/>
      <c r="P299" s="5"/>
      <c r="Q299" s="5"/>
      <c r="R299" s="5"/>
    </row>
    <row r="300" spans="1:18">
      <c r="A300" s="5"/>
      <c r="B300" s="5"/>
      <c r="C300" s="5"/>
      <c r="D300" s="5"/>
      <c r="E300" s="5"/>
      <c r="F300" s="5"/>
      <c r="G300" s="5"/>
      <c r="H300" s="5"/>
      <c r="I300" s="5"/>
      <c r="J300" s="5"/>
      <c r="K300" s="5"/>
      <c r="L300" s="5"/>
      <c r="M300" s="5"/>
      <c r="N300" s="5"/>
      <c r="O300" s="5"/>
      <c r="P300" s="5"/>
      <c r="Q300" s="5"/>
      <c r="R300" s="5"/>
    </row>
    <row r="301" spans="1:18">
      <c r="A301" s="5"/>
      <c r="B301" s="5"/>
      <c r="C301" s="5"/>
      <c r="D301" s="5"/>
      <c r="E301" s="5"/>
      <c r="F301" s="5"/>
      <c r="G301" s="5"/>
      <c r="H301" s="5"/>
      <c r="I301" s="5"/>
      <c r="J301" s="5"/>
      <c r="K301" s="5"/>
      <c r="L301" s="5"/>
      <c r="M301" s="5"/>
      <c r="N301" s="5"/>
      <c r="O301" s="5"/>
      <c r="P301" s="5"/>
      <c r="Q301" s="5"/>
      <c r="R301" s="5"/>
    </row>
    <row r="302" spans="1:18">
      <c r="A302" s="5"/>
      <c r="B302" s="5"/>
      <c r="C302" s="5"/>
      <c r="D302" s="5"/>
      <c r="E302" s="5"/>
      <c r="F302" s="5"/>
      <c r="G302" s="5"/>
      <c r="H302" s="5"/>
      <c r="I302" s="5"/>
      <c r="J302" s="5"/>
      <c r="K302" s="5"/>
      <c r="L302" s="5"/>
      <c r="M302" s="5"/>
      <c r="N302" s="5"/>
      <c r="O302" s="5"/>
      <c r="P302" s="5"/>
      <c r="Q302" s="5"/>
      <c r="R302" s="5"/>
    </row>
    <row r="303" spans="1:18">
      <c r="A303" s="5"/>
      <c r="B303" s="5"/>
      <c r="C303" s="5"/>
      <c r="D303" s="5"/>
      <c r="E303" s="5"/>
      <c r="F303" s="5"/>
      <c r="G303" s="5"/>
      <c r="H303" s="5"/>
      <c r="I303" s="5"/>
      <c r="J303" s="5"/>
      <c r="K303" s="5"/>
      <c r="L303" s="5"/>
      <c r="M303" s="5"/>
      <c r="N303" s="5"/>
      <c r="O303" s="5"/>
      <c r="P303" s="5"/>
      <c r="Q303" s="5"/>
      <c r="R303" s="5"/>
    </row>
    <row r="304" spans="1:18">
      <c r="A304" s="5"/>
      <c r="B304" s="5"/>
      <c r="C304" s="5"/>
      <c r="D304" s="5"/>
      <c r="E304" s="5"/>
      <c r="F304" s="5"/>
      <c r="G304" s="5"/>
      <c r="H304" s="5"/>
      <c r="I304" s="5"/>
      <c r="J304" s="5"/>
      <c r="K304" s="5"/>
      <c r="L304" s="5"/>
      <c r="M304" s="5"/>
      <c r="N304" s="5"/>
      <c r="O304" s="5"/>
      <c r="P304" s="5"/>
      <c r="Q304" s="5"/>
      <c r="R304" s="5"/>
    </row>
    <row r="305" spans="1:18">
      <c r="A305" s="5"/>
      <c r="B305" s="5"/>
      <c r="C305" s="5"/>
      <c r="D305" s="5"/>
      <c r="E305" s="5"/>
      <c r="F305" s="5"/>
      <c r="G305" s="5"/>
      <c r="H305" s="5"/>
      <c r="I305" s="5"/>
      <c r="J305" s="5"/>
      <c r="K305" s="5"/>
      <c r="L305" s="5"/>
      <c r="M305" s="5"/>
      <c r="N305" s="5"/>
      <c r="O305" s="5"/>
      <c r="P305" s="5"/>
      <c r="Q305" s="5"/>
      <c r="R305" s="5"/>
    </row>
    <row r="306" spans="1:18">
      <c r="A306" s="5"/>
      <c r="B306" s="5"/>
      <c r="C306" s="5"/>
      <c r="D306" s="5"/>
      <c r="E306" s="5"/>
      <c r="F306" s="5"/>
      <c r="G306" s="5"/>
      <c r="H306" s="5"/>
      <c r="I306" s="5"/>
      <c r="J306" s="5"/>
      <c r="K306" s="5"/>
      <c r="L306" s="5"/>
      <c r="M306" s="5"/>
      <c r="N306" s="5"/>
      <c r="O306" s="5"/>
      <c r="P306" s="5"/>
      <c r="Q306" s="5"/>
      <c r="R306" s="5"/>
    </row>
    <row r="307" spans="1:18">
      <c r="A307" s="5"/>
      <c r="B307" s="5"/>
      <c r="C307" s="5"/>
      <c r="D307" s="5"/>
      <c r="E307" s="5"/>
      <c r="F307" s="5"/>
      <c r="G307" s="5"/>
      <c r="H307" s="5"/>
      <c r="I307" s="5"/>
      <c r="J307" s="5"/>
      <c r="K307" s="5"/>
      <c r="L307" s="5"/>
      <c r="M307" s="5"/>
      <c r="N307" s="5"/>
      <c r="O307" s="5"/>
      <c r="P307" s="5"/>
      <c r="Q307" s="5"/>
      <c r="R307" s="5"/>
    </row>
    <row r="308" spans="1:18">
      <c r="A308" s="5"/>
      <c r="B308" s="5"/>
      <c r="C308" s="5"/>
      <c r="D308" s="5"/>
      <c r="E308" s="5"/>
      <c r="F308" s="5"/>
      <c r="G308" s="5"/>
      <c r="H308" s="5"/>
      <c r="I308" s="5"/>
      <c r="J308" s="5"/>
      <c r="K308" s="5"/>
      <c r="L308" s="5"/>
      <c r="M308" s="5"/>
      <c r="N308" s="5"/>
      <c r="O308" s="5"/>
      <c r="P308" s="5"/>
      <c r="Q308" s="5"/>
      <c r="R308" s="5"/>
    </row>
    <row r="309" spans="1:18">
      <c r="A309" s="5"/>
      <c r="B309" s="5"/>
      <c r="C309" s="5"/>
      <c r="D309" s="5"/>
      <c r="E309" s="5"/>
      <c r="F309" s="5"/>
      <c r="G309" s="5"/>
      <c r="H309" s="5"/>
      <c r="I309" s="5"/>
      <c r="J309" s="5"/>
      <c r="K309" s="5"/>
      <c r="L309" s="5"/>
      <c r="M309" s="5"/>
      <c r="N309" s="5"/>
      <c r="O309" s="5"/>
      <c r="P309" s="5"/>
      <c r="Q309" s="5"/>
      <c r="R309" s="5"/>
    </row>
    <row r="310" spans="1:18">
      <c r="A310" s="5"/>
      <c r="B310" s="5"/>
      <c r="C310" s="5"/>
      <c r="D310" s="5"/>
      <c r="E310" s="5"/>
      <c r="F310" s="5"/>
      <c r="G310" s="5"/>
      <c r="H310" s="5"/>
      <c r="I310" s="5"/>
      <c r="J310" s="5"/>
      <c r="K310" s="5"/>
      <c r="L310" s="5"/>
      <c r="M310" s="5"/>
      <c r="N310" s="5"/>
      <c r="O310" s="5"/>
      <c r="P310" s="5"/>
      <c r="Q310" s="5"/>
      <c r="R310" s="5"/>
    </row>
    <row r="311" spans="1:18">
      <c r="A311" s="5"/>
      <c r="B311" s="5"/>
      <c r="C311" s="5"/>
      <c r="D311" s="5"/>
      <c r="E311" s="5"/>
      <c r="F311" s="5"/>
      <c r="G311" s="5"/>
      <c r="H311" s="5"/>
      <c r="I311" s="5"/>
      <c r="J311" s="5"/>
      <c r="K311" s="5"/>
      <c r="L311" s="5"/>
      <c r="M311" s="5"/>
      <c r="N311" s="5"/>
      <c r="O311" s="5"/>
      <c r="P311" s="5"/>
      <c r="Q311" s="5"/>
      <c r="R311" s="5"/>
    </row>
    <row r="312" spans="1:18">
      <c r="A312" s="5"/>
      <c r="B312" s="5"/>
      <c r="C312" s="5"/>
      <c r="D312" s="5"/>
      <c r="E312" s="5"/>
      <c r="F312" s="5"/>
      <c r="G312" s="5"/>
      <c r="H312" s="5"/>
      <c r="I312" s="5"/>
      <c r="J312" s="5"/>
      <c r="K312" s="5"/>
      <c r="L312" s="5"/>
      <c r="M312" s="5"/>
      <c r="N312" s="5"/>
      <c r="O312" s="5"/>
      <c r="P312" s="5"/>
      <c r="Q312" s="5"/>
      <c r="R312" s="5"/>
    </row>
    <row r="313" spans="1:18">
      <c r="A313" s="5"/>
      <c r="B313" s="5"/>
      <c r="C313" s="5"/>
      <c r="D313" s="5"/>
      <c r="E313" s="5"/>
      <c r="F313" s="5"/>
      <c r="G313" s="5"/>
      <c r="H313" s="5"/>
      <c r="I313" s="5"/>
      <c r="J313" s="5"/>
      <c r="K313" s="5"/>
      <c r="L313" s="5"/>
      <c r="M313" s="5"/>
      <c r="N313" s="5"/>
      <c r="O313" s="5"/>
      <c r="P313" s="5"/>
      <c r="Q313" s="5"/>
      <c r="R313" s="5"/>
    </row>
    <row r="314" spans="1:18">
      <c r="A314" s="5"/>
      <c r="B314" s="5"/>
      <c r="C314" s="5"/>
      <c r="D314" s="5"/>
      <c r="E314" s="5"/>
      <c r="F314" s="5"/>
      <c r="G314" s="5"/>
      <c r="H314" s="5"/>
      <c r="I314" s="5"/>
      <c r="J314" s="5"/>
      <c r="K314" s="5"/>
      <c r="L314" s="5"/>
      <c r="M314" s="5"/>
      <c r="N314" s="5"/>
      <c r="O314" s="5"/>
      <c r="P314" s="5"/>
      <c r="Q314" s="5"/>
      <c r="R314" s="5"/>
    </row>
    <row r="315" spans="1:18">
      <c r="A315" s="5"/>
      <c r="B315" s="5"/>
      <c r="C315" s="5"/>
      <c r="D315" s="5"/>
      <c r="E315" s="5"/>
      <c r="F315" s="5"/>
      <c r="G315" s="5"/>
      <c r="H315" s="5"/>
      <c r="I315" s="5"/>
      <c r="J315" s="5"/>
      <c r="K315" s="5"/>
      <c r="L315" s="5"/>
      <c r="M315" s="5"/>
      <c r="N315" s="5"/>
      <c r="O315" s="5"/>
      <c r="P315" s="5"/>
      <c r="Q315" s="5"/>
      <c r="R315" s="5"/>
    </row>
    <row r="316" spans="1:18">
      <c r="A316" s="5"/>
      <c r="B316" s="5"/>
      <c r="C316" s="5"/>
      <c r="D316" s="5"/>
      <c r="E316" s="5"/>
      <c r="F316" s="5"/>
      <c r="G316" s="5"/>
      <c r="H316" s="5"/>
      <c r="I316" s="5"/>
      <c r="J316" s="5"/>
      <c r="K316" s="5"/>
      <c r="L316" s="5"/>
      <c r="M316" s="5"/>
      <c r="N316" s="5"/>
      <c r="O316" s="5"/>
      <c r="P316" s="5"/>
      <c r="Q316" s="5"/>
      <c r="R316" s="5"/>
    </row>
    <row r="317" spans="1:18">
      <c r="A317" s="5"/>
      <c r="B317" s="5"/>
      <c r="C317" s="5"/>
      <c r="D317" s="5"/>
      <c r="E317" s="5"/>
      <c r="F317" s="5"/>
      <c r="G317" s="5"/>
      <c r="H317" s="5"/>
      <c r="I317" s="5"/>
      <c r="J317" s="5"/>
      <c r="K317" s="5"/>
      <c r="L317" s="5"/>
      <c r="M317" s="5"/>
      <c r="N317" s="5"/>
      <c r="O317" s="5"/>
      <c r="P317" s="5"/>
      <c r="Q317" s="5"/>
      <c r="R317" s="5"/>
    </row>
    <row r="318" spans="1:18">
      <c r="A318" s="5"/>
      <c r="B318" s="5"/>
      <c r="C318" s="5"/>
      <c r="D318" s="5"/>
      <c r="E318" s="5"/>
      <c r="F318" s="5"/>
      <c r="G318" s="5"/>
      <c r="H318" s="5"/>
      <c r="I318" s="5"/>
      <c r="J318" s="5"/>
      <c r="K318" s="5"/>
      <c r="L318" s="5"/>
      <c r="M318" s="5"/>
      <c r="N318" s="5"/>
      <c r="O318" s="5"/>
      <c r="P318" s="5"/>
      <c r="Q318" s="5"/>
      <c r="R318" s="5"/>
    </row>
    <row r="319" spans="1:18">
      <c r="A319" s="5"/>
      <c r="B319" s="5"/>
      <c r="C319" s="5"/>
      <c r="D319" s="5"/>
      <c r="E319" s="5"/>
      <c r="F319" s="5"/>
      <c r="G319" s="5"/>
      <c r="H319" s="5"/>
      <c r="I319" s="5"/>
      <c r="J319" s="5"/>
      <c r="K319" s="5"/>
      <c r="L319" s="5"/>
      <c r="M319" s="5"/>
      <c r="N319" s="5"/>
      <c r="O319" s="5"/>
      <c r="P319" s="5"/>
      <c r="Q319" s="5"/>
      <c r="R319" s="5"/>
    </row>
    <row r="320" spans="1:18">
      <c r="A320" s="5"/>
      <c r="B320" s="5"/>
      <c r="C320" s="5"/>
      <c r="D320" s="5"/>
      <c r="E320" s="5"/>
      <c r="F320" s="5"/>
      <c r="G320" s="5"/>
      <c r="H320" s="5"/>
      <c r="I320" s="5"/>
      <c r="J320" s="5"/>
      <c r="K320" s="5"/>
      <c r="L320" s="5"/>
      <c r="M320" s="5"/>
      <c r="N320" s="5"/>
      <c r="O320" s="5"/>
      <c r="P320" s="5"/>
      <c r="Q320" s="5"/>
      <c r="R320" s="5"/>
    </row>
    <row r="321" spans="1:18">
      <c r="A321" s="5"/>
      <c r="B321" s="5"/>
      <c r="C321" s="5"/>
      <c r="D321" s="5"/>
      <c r="E321" s="5"/>
      <c r="F321" s="5"/>
      <c r="G321" s="5"/>
      <c r="H321" s="5"/>
      <c r="I321" s="5"/>
      <c r="J321" s="5"/>
      <c r="K321" s="5"/>
      <c r="L321" s="5"/>
      <c r="M321" s="5"/>
      <c r="N321" s="5"/>
      <c r="O321" s="5"/>
      <c r="P321" s="5"/>
      <c r="Q321" s="5"/>
      <c r="R321" s="5"/>
    </row>
    <row r="322" spans="1:18">
      <c r="A322" s="5"/>
      <c r="B322" s="5"/>
      <c r="C322" s="5"/>
      <c r="D322" s="5"/>
      <c r="E322" s="5"/>
      <c r="F322" s="5"/>
      <c r="G322" s="5"/>
      <c r="H322" s="5"/>
      <c r="I322" s="5"/>
      <c r="J322" s="5"/>
      <c r="K322" s="5"/>
      <c r="L322" s="5"/>
      <c r="M322" s="5"/>
      <c r="N322" s="5"/>
      <c r="O322" s="5"/>
      <c r="P322" s="5"/>
      <c r="Q322" s="5"/>
      <c r="R322" s="5"/>
    </row>
    <row r="323" spans="1:18">
      <c r="A323" s="5"/>
      <c r="B323" s="5"/>
      <c r="C323" s="5"/>
      <c r="D323" s="5"/>
      <c r="E323" s="5"/>
      <c r="F323" s="5"/>
      <c r="G323" s="5"/>
      <c r="H323" s="5"/>
      <c r="I323" s="5"/>
      <c r="J323" s="5"/>
      <c r="K323" s="5"/>
      <c r="L323" s="5"/>
      <c r="M323" s="5"/>
      <c r="N323" s="5"/>
      <c r="O323" s="5"/>
      <c r="P323" s="5"/>
      <c r="Q323" s="5"/>
      <c r="R323" s="5"/>
    </row>
    <row r="324" spans="1:18">
      <c r="A324" s="5"/>
      <c r="B324" s="5"/>
      <c r="C324" s="5"/>
      <c r="D324" s="5"/>
      <c r="E324" s="5"/>
      <c r="F324" s="5"/>
      <c r="G324" s="5"/>
      <c r="H324" s="5"/>
      <c r="I324" s="5"/>
      <c r="J324" s="5"/>
      <c r="K324" s="5"/>
      <c r="L324" s="5"/>
      <c r="M324" s="5"/>
      <c r="N324" s="5"/>
      <c r="O324" s="5"/>
      <c r="P324" s="5"/>
      <c r="Q324" s="5"/>
      <c r="R324" s="5"/>
    </row>
    <row r="325" spans="1:18">
      <c r="A325" s="5"/>
      <c r="B325" s="5"/>
      <c r="C325" s="5"/>
      <c r="D325" s="5"/>
      <c r="E325" s="5"/>
      <c r="F325" s="5"/>
      <c r="G325" s="5"/>
      <c r="H325" s="5"/>
      <c r="I325" s="5"/>
      <c r="J325" s="5"/>
      <c r="K325" s="5"/>
      <c r="L325" s="5"/>
      <c r="M325" s="5"/>
      <c r="N325" s="5"/>
      <c r="O325" s="5"/>
      <c r="P325" s="5"/>
      <c r="Q325" s="5"/>
      <c r="R325" s="5"/>
    </row>
    <row r="326" spans="1:18">
      <c r="A326" s="5"/>
      <c r="B326" s="5"/>
      <c r="C326" s="5"/>
      <c r="D326" s="5"/>
      <c r="E326" s="5"/>
      <c r="F326" s="5"/>
      <c r="G326" s="5"/>
      <c r="H326" s="5"/>
      <c r="I326" s="5"/>
      <c r="J326" s="5"/>
      <c r="K326" s="5"/>
      <c r="L326" s="5"/>
      <c r="M326" s="5"/>
      <c r="N326" s="5"/>
      <c r="O326" s="5"/>
      <c r="P326" s="5"/>
      <c r="Q326" s="5"/>
      <c r="R326" s="5"/>
    </row>
    <row r="327" spans="1:18">
      <c r="A327" s="5"/>
      <c r="B327" s="5"/>
      <c r="C327" s="5"/>
      <c r="D327" s="5"/>
      <c r="E327" s="5"/>
      <c r="F327" s="5"/>
      <c r="G327" s="5"/>
      <c r="H327" s="5"/>
      <c r="I327" s="5"/>
      <c r="J327" s="5"/>
      <c r="K327" s="5"/>
      <c r="L327" s="5"/>
      <c r="M327" s="5"/>
      <c r="N327" s="5"/>
      <c r="O327" s="5"/>
      <c r="P327" s="5"/>
      <c r="Q327" s="5"/>
      <c r="R327" s="5"/>
    </row>
    <row r="328" spans="1:18">
      <c r="A328" s="5"/>
      <c r="B328" s="5"/>
      <c r="C328" s="5"/>
      <c r="D328" s="5"/>
      <c r="E328" s="5"/>
      <c r="F328" s="5"/>
      <c r="G328" s="5"/>
      <c r="H328" s="5"/>
      <c r="I328" s="5"/>
      <c r="J328" s="5"/>
      <c r="K328" s="5"/>
      <c r="L328" s="5"/>
      <c r="M328" s="5"/>
      <c r="N328" s="5"/>
      <c r="O328" s="5"/>
      <c r="P328" s="5"/>
      <c r="Q328" s="5"/>
      <c r="R328" s="5"/>
    </row>
    <row r="329" spans="1:18">
      <c r="A329" s="5"/>
      <c r="B329" s="5"/>
      <c r="C329" s="5"/>
      <c r="D329" s="5"/>
      <c r="E329" s="5"/>
      <c r="F329" s="5"/>
      <c r="G329" s="5"/>
      <c r="H329" s="5"/>
      <c r="I329" s="5"/>
      <c r="J329" s="5"/>
      <c r="K329" s="5"/>
      <c r="L329" s="5"/>
      <c r="M329" s="5"/>
      <c r="N329" s="5"/>
      <c r="O329" s="5"/>
      <c r="P329" s="5"/>
      <c r="Q329" s="5"/>
      <c r="R329" s="5"/>
    </row>
    <row r="330" spans="1:18">
      <c r="A330" s="5"/>
      <c r="B330" s="5"/>
      <c r="C330" s="5"/>
      <c r="D330" s="5"/>
      <c r="E330" s="5"/>
      <c r="F330" s="5"/>
      <c r="G330" s="5"/>
      <c r="H330" s="5"/>
      <c r="I330" s="5"/>
      <c r="J330" s="5"/>
      <c r="K330" s="5"/>
      <c r="L330" s="5"/>
      <c r="M330" s="5"/>
      <c r="N330" s="5"/>
      <c r="O330" s="5"/>
      <c r="P330" s="5"/>
      <c r="Q330" s="5"/>
      <c r="R330" s="5"/>
    </row>
    <row r="331" spans="1:18">
      <c r="A331" s="5"/>
      <c r="B331" s="5"/>
      <c r="C331" s="5"/>
      <c r="D331" s="5"/>
      <c r="E331" s="5"/>
      <c r="F331" s="5"/>
      <c r="G331" s="5"/>
      <c r="H331" s="5"/>
      <c r="I331" s="5"/>
      <c r="J331" s="5"/>
      <c r="K331" s="5"/>
      <c r="L331" s="5"/>
      <c r="M331" s="5"/>
      <c r="N331" s="5"/>
      <c r="O331" s="5"/>
      <c r="P331" s="5"/>
      <c r="Q331" s="5"/>
      <c r="R331" s="5"/>
    </row>
    <row r="332" spans="1:18">
      <c r="A332" s="5"/>
      <c r="B332" s="5"/>
      <c r="C332" s="5"/>
      <c r="D332" s="5"/>
      <c r="E332" s="5"/>
      <c r="F332" s="5"/>
      <c r="G332" s="5"/>
      <c r="H332" s="5"/>
      <c r="I332" s="5"/>
      <c r="J332" s="5"/>
      <c r="K332" s="5"/>
      <c r="L332" s="5"/>
      <c r="M332" s="5"/>
      <c r="N332" s="5"/>
      <c r="O332" s="5"/>
      <c r="P332" s="5"/>
      <c r="Q332" s="5"/>
      <c r="R332" s="5"/>
    </row>
    <row r="333" spans="1:18">
      <c r="A333" s="5"/>
      <c r="B333" s="5"/>
      <c r="C333" s="5"/>
      <c r="D333" s="5"/>
      <c r="E333" s="5"/>
      <c r="F333" s="5"/>
      <c r="G333" s="5"/>
      <c r="H333" s="5"/>
      <c r="I333" s="5"/>
      <c r="J333" s="5"/>
      <c r="K333" s="5"/>
      <c r="L333" s="5"/>
      <c r="M333" s="5"/>
      <c r="N333" s="5"/>
      <c r="O333" s="5"/>
      <c r="P333" s="5"/>
      <c r="Q333" s="5"/>
      <c r="R333" s="5"/>
    </row>
    <row r="334" spans="1:18">
      <c r="A334" s="5"/>
      <c r="B334" s="5"/>
      <c r="C334" s="5"/>
      <c r="D334" s="5"/>
      <c r="E334" s="5"/>
      <c r="F334" s="5"/>
      <c r="G334" s="5"/>
      <c r="H334" s="5"/>
      <c r="I334" s="5"/>
      <c r="J334" s="5"/>
      <c r="K334" s="5"/>
      <c r="L334" s="5"/>
      <c r="M334" s="5"/>
      <c r="N334" s="5"/>
      <c r="O334" s="5"/>
      <c r="P334" s="5"/>
      <c r="Q334" s="5"/>
      <c r="R334" s="5"/>
    </row>
    <row r="335" spans="1:18">
      <c r="A335" s="5"/>
      <c r="B335" s="5"/>
      <c r="C335" s="5"/>
      <c r="D335" s="5"/>
      <c r="E335" s="5"/>
      <c r="F335" s="5"/>
      <c r="G335" s="5"/>
      <c r="H335" s="5"/>
      <c r="I335" s="5"/>
      <c r="J335" s="5"/>
      <c r="K335" s="5"/>
      <c r="L335" s="5"/>
      <c r="M335" s="5"/>
      <c r="N335" s="5"/>
      <c r="O335" s="5"/>
      <c r="P335" s="5"/>
      <c r="Q335" s="5"/>
      <c r="R335" s="5"/>
    </row>
    <row r="336" spans="1:18">
      <c r="A336" s="5"/>
      <c r="B336" s="5"/>
      <c r="C336" s="5"/>
      <c r="D336" s="5"/>
      <c r="E336" s="5"/>
      <c r="F336" s="5"/>
      <c r="G336" s="5"/>
      <c r="H336" s="5"/>
      <c r="I336" s="5"/>
      <c r="J336" s="5"/>
      <c r="K336" s="5"/>
      <c r="L336" s="5"/>
      <c r="M336" s="5"/>
      <c r="N336" s="5"/>
      <c r="O336" s="5"/>
      <c r="P336" s="5"/>
      <c r="Q336" s="5"/>
      <c r="R336" s="5"/>
    </row>
    <row r="337" spans="1:18">
      <c r="A337" s="5"/>
      <c r="B337" s="5"/>
      <c r="C337" s="5"/>
      <c r="D337" s="5"/>
      <c r="E337" s="5"/>
      <c r="F337" s="5"/>
      <c r="G337" s="5"/>
      <c r="H337" s="5"/>
      <c r="I337" s="5"/>
      <c r="J337" s="5"/>
      <c r="K337" s="5"/>
      <c r="L337" s="5"/>
      <c r="M337" s="5"/>
      <c r="N337" s="5"/>
      <c r="O337" s="5"/>
      <c r="P337" s="5"/>
      <c r="Q337" s="5"/>
      <c r="R337" s="5"/>
    </row>
    <row r="338" spans="1:18">
      <c r="A338" s="5"/>
      <c r="B338" s="5"/>
      <c r="C338" s="5"/>
      <c r="D338" s="5"/>
      <c r="E338" s="5"/>
      <c r="F338" s="5"/>
      <c r="G338" s="5"/>
      <c r="H338" s="5"/>
      <c r="I338" s="5"/>
      <c r="J338" s="5"/>
      <c r="K338" s="5"/>
      <c r="L338" s="5"/>
      <c r="M338" s="5"/>
      <c r="N338" s="5"/>
      <c r="O338" s="5"/>
      <c r="P338" s="5"/>
      <c r="Q338" s="5"/>
      <c r="R338" s="5"/>
    </row>
    <row r="339" spans="1:18">
      <c r="A339" s="5"/>
      <c r="B339" s="5"/>
      <c r="C339" s="5"/>
      <c r="D339" s="5"/>
      <c r="E339" s="5"/>
      <c r="F339" s="5"/>
      <c r="G339" s="5"/>
      <c r="H339" s="5"/>
      <c r="I339" s="5"/>
      <c r="J339" s="5"/>
      <c r="K339" s="5"/>
      <c r="L339" s="5"/>
      <c r="M339" s="5"/>
      <c r="N339" s="5"/>
      <c r="O339" s="5"/>
      <c r="P339" s="5"/>
      <c r="Q339" s="5"/>
      <c r="R339" s="5"/>
    </row>
    <row r="340" spans="1:18">
      <c r="A340" s="5"/>
      <c r="B340" s="5"/>
      <c r="C340" s="5"/>
      <c r="D340" s="5"/>
      <c r="E340" s="5"/>
      <c r="F340" s="5"/>
      <c r="G340" s="5"/>
      <c r="H340" s="5"/>
      <c r="I340" s="5"/>
      <c r="J340" s="5"/>
      <c r="K340" s="5"/>
      <c r="L340" s="5"/>
      <c r="M340" s="5"/>
      <c r="N340" s="5"/>
      <c r="O340" s="5"/>
      <c r="P340" s="5"/>
      <c r="Q340" s="5"/>
      <c r="R340" s="5"/>
    </row>
    <row r="341" spans="1:18">
      <c r="A341" s="5"/>
      <c r="B341" s="5"/>
      <c r="C341" s="5"/>
      <c r="D341" s="5"/>
      <c r="E341" s="5"/>
      <c r="F341" s="5"/>
      <c r="G341" s="5"/>
      <c r="H341" s="5"/>
      <c r="I341" s="5"/>
      <c r="J341" s="5"/>
      <c r="K341" s="5"/>
      <c r="L341" s="5"/>
      <c r="M341" s="5"/>
      <c r="N341" s="5"/>
      <c r="O341" s="5"/>
      <c r="P341" s="5"/>
      <c r="Q341" s="5"/>
      <c r="R341" s="5"/>
    </row>
    <row r="342" spans="1:18">
      <c r="A342" s="5"/>
      <c r="B342" s="5"/>
      <c r="C342" s="5"/>
      <c r="D342" s="5"/>
      <c r="E342" s="5"/>
      <c r="F342" s="5"/>
      <c r="G342" s="5"/>
      <c r="H342" s="5"/>
      <c r="I342" s="5"/>
      <c r="J342" s="5"/>
      <c r="K342" s="5"/>
      <c r="L342" s="5"/>
      <c r="M342" s="5"/>
      <c r="N342" s="5"/>
      <c r="O342" s="5"/>
      <c r="P342" s="5"/>
      <c r="Q342" s="5"/>
      <c r="R342" s="5"/>
    </row>
    <row r="343" spans="1:18">
      <c r="A343" s="5"/>
      <c r="B343" s="5"/>
      <c r="C343" s="5"/>
      <c r="D343" s="5"/>
      <c r="E343" s="5"/>
      <c r="F343" s="5"/>
      <c r="G343" s="5"/>
      <c r="H343" s="5"/>
      <c r="I343" s="5"/>
      <c r="J343" s="5"/>
      <c r="K343" s="5"/>
      <c r="L343" s="5"/>
      <c r="M343" s="5"/>
      <c r="N343" s="5"/>
      <c r="O343" s="5"/>
      <c r="P343" s="5"/>
      <c r="Q343" s="5"/>
      <c r="R343" s="5"/>
    </row>
    <row r="344" spans="1:18">
      <c r="A344" s="5"/>
      <c r="B344" s="5"/>
      <c r="C344" s="5"/>
      <c r="D344" s="5"/>
      <c r="E344" s="5"/>
      <c r="F344" s="5"/>
      <c r="G344" s="5"/>
      <c r="H344" s="5"/>
      <c r="I344" s="5"/>
      <c r="J344" s="5"/>
      <c r="K344" s="5"/>
      <c r="L344" s="5"/>
      <c r="M344" s="5"/>
      <c r="N344" s="5"/>
      <c r="O344" s="5"/>
      <c r="P344" s="5"/>
      <c r="Q344" s="5"/>
      <c r="R344" s="5"/>
    </row>
    <row r="345" spans="1:18">
      <c r="A345" s="5"/>
      <c r="B345" s="5"/>
      <c r="C345" s="5"/>
      <c r="D345" s="5"/>
      <c r="E345" s="5"/>
      <c r="F345" s="5"/>
      <c r="G345" s="5"/>
      <c r="H345" s="5"/>
      <c r="I345" s="5"/>
      <c r="J345" s="5"/>
      <c r="K345" s="5"/>
      <c r="L345" s="5"/>
      <c r="M345" s="5"/>
      <c r="N345" s="5"/>
      <c r="O345" s="5"/>
      <c r="P345" s="5"/>
      <c r="Q345" s="5"/>
      <c r="R345" s="5"/>
    </row>
    <row r="346" spans="1:18">
      <c r="A346" s="5"/>
      <c r="B346" s="5"/>
      <c r="C346" s="5"/>
      <c r="D346" s="5"/>
      <c r="E346" s="5"/>
      <c r="F346" s="5"/>
      <c r="G346" s="5"/>
      <c r="H346" s="5"/>
      <c r="I346" s="5"/>
      <c r="J346" s="5"/>
      <c r="K346" s="5"/>
      <c r="L346" s="5"/>
      <c r="M346" s="5"/>
      <c r="N346" s="5"/>
      <c r="O346" s="5"/>
      <c r="P346" s="5"/>
      <c r="Q346" s="5"/>
      <c r="R346" s="5"/>
    </row>
    <row r="347" spans="1:18">
      <c r="A347" s="5"/>
      <c r="B347" s="5"/>
      <c r="C347" s="5"/>
      <c r="D347" s="5"/>
      <c r="E347" s="5"/>
      <c r="F347" s="5"/>
      <c r="G347" s="5"/>
      <c r="H347" s="5"/>
      <c r="I347" s="5"/>
      <c r="J347" s="5"/>
      <c r="K347" s="5"/>
      <c r="L347" s="5"/>
      <c r="M347" s="5"/>
      <c r="N347" s="5"/>
      <c r="O347" s="5"/>
      <c r="P347" s="5"/>
      <c r="Q347" s="5"/>
      <c r="R347" s="5"/>
    </row>
    <row r="348" spans="1:18">
      <c r="A348" s="5"/>
      <c r="B348" s="5"/>
      <c r="C348" s="5"/>
      <c r="D348" s="5"/>
      <c r="E348" s="5"/>
      <c r="F348" s="5"/>
      <c r="G348" s="5"/>
      <c r="H348" s="5"/>
      <c r="I348" s="5"/>
      <c r="J348" s="5"/>
      <c r="K348" s="5"/>
      <c r="L348" s="5"/>
      <c r="M348" s="5"/>
      <c r="N348" s="5"/>
      <c r="O348" s="5"/>
      <c r="P348" s="5"/>
      <c r="Q348" s="5"/>
      <c r="R348" s="5"/>
    </row>
    <row r="349" spans="1:18">
      <c r="A349" s="5"/>
      <c r="B349" s="5"/>
      <c r="C349" s="5"/>
      <c r="D349" s="5"/>
      <c r="E349" s="5"/>
      <c r="F349" s="5"/>
      <c r="G349" s="5"/>
      <c r="H349" s="5"/>
      <c r="I349" s="5"/>
      <c r="J349" s="5"/>
      <c r="K349" s="5"/>
      <c r="L349" s="5"/>
      <c r="M349" s="5"/>
      <c r="N349" s="5"/>
      <c r="O349" s="5"/>
      <c r="P349" s="5"/>
      <c r="Q349" s="5"/>
      <c r="R349" s="5"/>
    </row>
    <row r="350" spans="1:18">
      <c r="A350" s="5"/>
      <c r="B350" s="5"/>
      <c r="C350" s="5"/>
      <c r="D350" s="5"/>
      <c r="E350" s="5"/>
      <c r="F350" s="5"/>
      <c r="G350" s="5"/>
      <c r="H350" s="5"/>
      <c r="I350" s="5"/>
      <c r="J350" s="5"/>
      <c r="K350" s="5"/>
      <c r="L350" s="5"/>
      <c r="M350" s="5"/>
      <c r="N350" s="5"/>
      <c r="O350" s="5"/>
      <c r="P350" s="5"/>
      <c r="Q350" s="5"/>
      <c r="R350" s="5"/>
    </row>
    <row r="351" spans="1:18">
      <c r="A351" s="5"/>
      <c r="B351" s="5"/>
      <c r="C351" s="5"/>
      <c r="D351" s="5"/>
      <c r="E351" s="5"/>
      <c r="F351" s="5"/>
      <c r="G351" s="5"/>
      <c r="H351" s="5"/>
      <c r="I351" s="5"/>
      <c r="J351" s="5"/>
      <c r="K351" s="5"/>
      <c r="L351" s="5"/>
      <c r="M351" s="5"/>
      <c r="N351" s="5"/>
      <c r="O351" s="5"/>
      <c r="P351" s="5"/>
      <c r="Q351" s="5"/>
      <c r="R351" s="5"/>
    </row>
    <row r="352" spans="1:18">
      <c r="A352" s="5"/>
      <c r="B352" s="5"/>
      <c r="C352" s="5"/>
      <c r="D352" s="5"/>
      <c r="E352" s="5"/>
      <c r="F352" s="5"/>
      <c r="G352" s="5"/>
      <c r="H352" s="5"/>
      <c r="I352" s="5"/>
      <c r="J352" s="5"/>
      <c r="K352" s="5"/>
      <c r="L352" s="5"/>
      <c r="M352" s="5"/>
      <c r="N352" s="5"/>
      <c r="O352" s="5"/>
      <c r="P352" s="5"/>
      <c r="Q352" s="5"/>
      <c r="R352" s="5"/>
    </row>
    <row r="353" spans="1:18">
      <c r="A353" s="5"/>
      <c r="B353" s="5"/>
      <c r="C353" s="5"/>
      <c r="D353" s="5"/>
      <c r="E353" s="5"/>
      <c r="F353" s="5"/>
      <c r="G353" s="5"/>
      <c r="H353" s="5"/>
      <c r="I353" s="5"/>
      <c r="J353" s="5"/>
      <c r="K353" s="5"/>
      <c r="L353" s="5"/>
      <c r="M353" s="5"/>
      <c r="N353" s="5"/>
      <c r="O353" s="5"/>
      <c r="P353" s="5"/>
      <c r="Q353" s="5"/>
      <c r="R353" s="5"/>
    </row>
    <row r="354" spans="1:18">
      <c r="A354" s="5"/>
      <c r="B354" s="5"/>
      <c r="C354" s="5"/>
      <c r="D354" s="5"/>
      <c r="E354" s="5"/>
      <c r="F354" s="5"/>
      <c r="G354" s="5"/>
      <c r="H354" s="5"/>
      <c r="I354" s="5"/>
      <c r="J354" s="5"/>
      <c r="K354" s="5"/>
      <c r="L354" s="5"/>
      <c r="M354" s="5"/>
      <c r="N354" s="5"/>
      <c r="O354" s="5"/>
      <c r="P354" s="5"/>
      <c r="Q354" s="5"/>
      <c r="R354" s="5"/>
    </row>
    <row r="355" spans="1:18">
      <c r="A355" s="5"/>
      <c r="B355" s="5"/>
      <c r="C355" s="5"/>
      <c r="D355" s="5"/>
      <c r="E355" s="5"/>
      <c r="F355" s="5"/>
      <c r="G355" s="5"/>
      <c r="H355" s="5"/>
      <c r="I355" s="5"/>
      <c r="J355" s="5"/>
      <c r="K355" s="5"/>
      <c r="L355" s="5"/>
      <c r="M355" s="5"/>
      <c r="N355" s="5"/>
      <c r="O355" s="5"/>
      <c r="P355" s="5"/>
      <c r="Q355" s="5"/>
      <c r="R355" s="5"/>
    </row>
    <row r="356" spans="1:18">
      <c r="A356" s="5"/>
      <c r="B356" s="5"/>
      <c r="C356" s="5"/>
      <c r="D356" s="5"/>
      <c r="E356" s="5"/>
      <c r="F356" s="5"/>
      <c r="G356" s="5"/>
      <c r="H356" s="5"/>
      <c r="I356" s="5"/>
      <c r="J356" s="5"/>
      <c r="K356" s="5"/>
      <c r="L356" s="5"/>
      <c r="M356" s="5"/>
      <c r="N356" s="5"/>
      <c r="O356" s="5"/>
      <c r="P356" s="5"/>
      <c r="Q356" s="5"/>
      <c r="R356" s="5"/>
    </row>
    <row r="357" spans="1:18">
      <c r="A357" s="5"/>
      <c r="B357" s="5"/>
      <c r="C357" s="5"/>
      <c r="D357" s="5"/>
      <c r="E357" s="5"/>
      <c r="F357" s="5"/>
      <c r="G357" s="5"/>
      <c r="H357" s="5"/>
      <c r="I357" s="5"/>
      <c r="J357" s="5"/>
      <c r="K357" s="5"/>
      <c r="L357" s="5"/>
      <c r="M357" s="5"/>
      <c r="N357" s="5"/>
      <c r="O357" s="5"/>
      <c r="P357" s="5"/>
      <c r="Q357" s="5"/>
      <c r="R357" s="5"/>
    </row>
    <row r="358" spans="1:18">
      <c r="A358" s="5"/>
      <c r="B358" s="5"/>
      <c r="C358" s="5"/>
      <c r="D358" s="5"/>
      <c r="E358" s="5"/>
      <c r="F358" s="5"/>
      <c r="G358" s="5"/>
      <c r="H358" s="5"/>
      <c r="I358" s="5"/>
      <c r="J358" s="5"/>
      <c r="K358" s="5"/>
      <c r="L358" s="5"/>
      <c r="M358" s="5"/>
      <c r="N358" s="5"/>
      <c r="O358" s="5"/>
      <c r="P358" s="5"/>
      <c r="Q358" s="5"/>
      <c r="R358" s="5"/>
    </row>
    <row r="359" spans="1:18">
      <c r="A359" s="5"/>
      <c r="B359" s="5"/>
      <c r="C359" s="5"/>
      <c r="D359" s="5"/>
      <c r="E359" s="5"/>
      <c r="F359" s="5"/>
      <c r="G359" s="5"/>
      <c r="H359" s="5"/>
      <c r="I359" s="5"/>
      <c r="J359" s="5"/>
      <c r="K359" s="5"/>
      <c r="L359" s="5"/>
      <c r="M359" s="5"/>
      <c r="N359" s="5"/>
      <c r="O359" s="5"/>
      <c r="P359" s="5"/>
      <c r="Q359" s="5"/>
      <c r="R359" s="5"/>
    </row>
    <row r="360" spans="1:18">
      <c r="A360" s="5"/>
      <c r="B360" s="5"/>
      <c r="C360" s="5"/>
      <c r="D360" s="5"/>
      <c r="E360" s="5"/>
      <c r="F360" s="5"/>
      <c r="G360" s="5"/>
      <c r="H360" s="5"/>
      <c r="I360" s="5"/>
      <c r="J360" s="5"/>
      <c r="K360" s="5"/>
      <c r="L360" s="5"/>
      <c r="M360" s="5"/>
      <c r="N360" s="5"/>
      <c r="O360" s="5"/>
      <c r="P360" s="5"/>
      <c r="Q360" s="5"/>
      <c r="R360" s="5"/>
    </row>
    <row r="361" spans="1:18">
      <c r="A361" s="5"/>
      <c r="B361" s="5"/>
      <c r="C361" s="5"/>
      <c r="D361" s="5"/>
      <c r="E361" s="5"/>
      <c r="F361" s="5"/>
      <c r="G361" s="5"/>
      <c r="H361" s="5"/>
      <c r="I361" s="5"/>
      <c r="J361" s="5"/>
      <c r="K361" s="5"/>
      <c r="L361" s="5"/>
      <c r="M361" s="5"/>
      <c r="N361" s="5"/>
      <c r="O361" s="5"/>
      <c r="P361" s="5"/>
      <c r="Q361" s="5"/>
      <c r="R361" s="5"/>
    </row>
    <row r="362" spans="1:18">
      <c r="A362" s="5"/>
      <c r="B362" s="5"/>
      <c r="C362" s="5"/>
      <c r="D362" s="5"/>
      <c r="E362" s="5"/>
      <c r="F362" s="5"/>
      <c r="G362" s="5"/>
      <c r="H362" s="5"/>
      <c r="I362" s="5"/>
      <c r="J362" s="5"/>
      <c r="K362" s="5"/>
      <c r="L362" s="5"/>
      <c r="M362" s="5"/>
      <c r="N362" s="5"/>
      <c r="O362" s="5"/>
      <c r="P362" s="5"/>
      <c r="Q362" s="5"/>
      <c r="R362" s="5"/>
    </row>
    <row r="363" spans="1:18">
      <c r="A363" s="5"/>
      <c r="B363" s="5"/>
      <c r="C363" s="5"/>
      <c r="D363" s="5"/>
      <c r="E363" s="5"/>
      <c r="F363" s="5"/>
      <c r="G363" s="5"/>
      <c r="H363" s="5"/>
      <c r="I363" s="5"/>
      <c r="J363" s="5"/>
      <c r="K363" s="5"/>
      <c r="L363" s="5"/>
      <c r="M363" s="5"/>
      <c r="N363" s="5"/>
      <c r="O363" s="5"/>
      <c r="P363" s="5"/>
      <c r="Q363" s="5"/>
      <c r="R363" s="5"/>
    </row>
    <row r="364" spans="1:18">
      <c r="A364" s="5"/>
      <c r="B364" s="5"/>
      <c r="C364" s="5"/>
      <c r="D364" s="5"/>
      <c r="E364" s="5"/>
      <c r="F364" s="5"/>
      <c r="G364" s="5"/>
      <c r="H364" s="5"/>
      <c r="I364" s="5"/>
      <c r="J364" s="5"/>
      <c r="K364" s="5"/>
      <c r="L364" s="5"/>
      <c r="M364" s="5"/>
      <c r="N364" s="5"/>
      <c r="O364" s="5"/>
      <c r="P364" s="5"/>
      <c r="Q364" s="5"/>
      <c r="R364" s="5"/>
    </row>
    <row r="365" spans="1:18">
      <c r="A365" s="5"/>
      <c r="B365" s="5"/>
      <c r="C365" s="5"/>
      <c r="D365" s="5"/>
      <c r="E365" s="5"/>
      <c r="F365" s="5"/>
      <c r="G365" s="5"/>
      <c r="H365" s="5"/>
      <c r="I365" s="5"/>
      <c r="J365" s="5"/>
      <c r="K365" s="5"/>
      <c r="L365" s="5"/>
      <c r="M365" s="5"/>
      <c r="N365" s="5"/>
      <c r="O365" s="5"/>
      <c r="P365" s="5"/>
      <c r="Q365" s="5"/>
      <c r="R365" s="5"/>
    </row>
    <row r="366" spans="1:18">
      <c r="A366" s="5"/>
      <c r="B366" s="5"/>
      <c r="C366" s="5"/>
      <c r="D366" s="5"/>
      <c r="E366" s="5"/>
      <c r="F366" s="5"/>
      <c r="G366" s="5"/>
      <c r="H366" s="5"/>
      <c r="I366" s="5"/>
      <c r="J366" s="5"/>
      <c r="K366" s="5"/>
      <c r="L366" s="5"/>
      <c r="M366" s="5"/>
      <c r="N366" s="5"/>
      <c r="O366" s="5"/>
      <c r="P366" s="5"/>
      <c r="Q366" s="5"/>
      <c r="R366" s="5"/>
    </row>
    <row r="367" spans="1:18">
      <c r="A367" s="5"/>
      <c r="B367" s="5"/>
      <c r="C367" s="5"/>
      <c r="D367" s="5"/>
      <c r="E367" s="5"/>
      <c r="F367" s="5"/>
      <c r="G367" s="5"/>
      <c r="H367" s="5"/>
      <c r="I367" s="5"/>
      <c r="J367" s="5"/>
      <c r="K367" s="5"/>
      <c r="L367" s="5"/>
      <c r="M367" s="5"/>
      <c r="N367" s="5"/>
      <c r="O367" s="5"/>
      <c r="P367" s="5"/>
      <c r="Q367" s="5"/>
      <c r="R367" s="5"/>
    </row>
    <row r="368" spans="1:18">
      <c r="A368" s="5"/>
      <c r="B368" s="5"/>
      <c r="C368" s="5"/>
      <c r="D368" s="5"/>
      <c r="E368" s="5"/>
      <c r="F368" s="5"/>
      <c r="G368" s="5"/>
      <c r="H368" s="5"/>
      <c r="I368" s="5"/>
      <c r="J368" s="5"/>
      <c r="K368" s="5"/>
      <c r="L368" s="5"/>
      <c r="M368" s="5"/>
      <c r="N368" s="5"/>
      <c r="O368" s="5"/>
      <c r="P368" s="5"/>
      <c r="Q368" s="5"/>
      <c r="R368" s="5"/>
    </row>
    <row r="369" spans="1:18">
      <c r="A369" s="5"/>
      <c r="B369" s="5"/>
      <c r="C369" s="5"/>
      <c r="D369" s="5"/>
      <c r="E369" s="5"/>
      <c r="F369" s="5"/>
      <c r="G369" s="5"/>
      <c r="H369" s="5"/>
      <c r="I369" s="5"/>
      <c r="J369" s="5"/>
      <c r="K369" s="5"/>
      <c r="L369" s="5"/>
      <c r="M369" s="5"/>
      <c r="N369" s="5"/>
      <c r="O369" s="5"/>
      <c r="P369" s="5"/>
      <c r="Q369" s="5"/>
      <c r="R369" s="5"/>
    </row>
    <row r="370" spans="1:18">
      <c r="A370" s="5"/>
      <c r="B370" s="5"/>
      <c r="C370" s="5"/>
      <c r="D370" s="5"/>
      <c r="E370" s="5"/>
      <c r="F370" s="5"/>
      <c r="G370" s="5"/>
      <c r="H370" s="5"/>
      <c r="I370" s="5"/>
      <c r="J370" s="5"/>
      <c r="K370" s="5"/>
      <c r="L370" s="5"/>
      <c r="M370" s="5"/>
      <c r="N370" s="5"/>
      <c r="O370" s="5"/>
      <c r="P370" s="5"/>
      <c r="Q370" s="5"/>
      <c r="R370" s="5"/>
    </row>
    <row r="371" spans="1:18">
      <c r="A371" s="5"/>
      <c r="B371" s="5"/>
      <c r="C371" s="5"/>
      <c r="D371" s="5"/>
      <c r="E371" s="5"/>
      <c r="F371" s="5"/>
      <c r="G371" s="5"/>
      <c r="H371" s="5"/>
      <c r="I371" s="5"/>
      <c r="J371" s="5"/>
      <c r="K371" s="5"/>
      <c r="L371" s="5"/>
      <c r="M371" s="5"/>
      <c r="N371" s="5"/>
      <c r="O371" s="5"/>
      <c r="P371" s="5"/>
      <c r="Q371" s="5"/>
      <c r="R371" s="5"/>
    </row>
    <row r="372" spans="1:18">
      <c r="A372" s="5"/>
      <c r="B372" s="5"/>
      <c r="C372" s="5"/>
      <c r="D372" s="5"/>
      <c r="E372" s="5"/>
      <c r="F372" s="5"/>
      <c r="G372" s="5"/>
      <c r="H372" s="5"/>
      <c r="I372" s="5"/>
      <c r="J372" s="5"/>
      <c r="K372" s="5"/>
      <c r="L372" s="5"/>
      <c r="M372" s="5"/>
      <c r="N372" s="5"/>
      <c r="O372" s="5"/>
      <c r="P372" s="5"/>
      <c r="Q372" s="5"/>
      <c r="R372" s="5"/>
    </row>
    <row r="373" spans="1:18">
      <c r="A373" s="5"/>
      <c r="B373" s="5"/>
      <c r="C373" s="5"/>
      <c r="D373" s="5"/>
      <c r="E373" s="5"/>
      <c r="F373" s="5"/>
      <c r="G373" s="5"/>
      <c r="H373" s="5"/>
      <c r="I373" s="5"/>
      <c r="J373" s="5"/>
      <c r="K373" s="5"/>
      <c r="L373" s="5"/>
      <c r="M373" s="5"/>
      <c r="N373" s="5"/>
      <c r="O373" s="5"/>
      <c r="P373" s="5"/>
      <c r="Q373" s="5"/>
      <c r="R373" s="5"/>
    </row>
    <row r="374" spans="1:18">
      <c r="A374" s="5"/>
      <c r="B374" s="5"/>
      <c r="C374" s="5"/>
      <c r="D374" s="5"/>
      <c r="E374" s="5"/>
      <c r="F374" s="5"/>
      <c r="G374" s="5"/>
      <c r="H374" s="5"/>
      <c r="I374" s="5"/>
      <c r="J374" s="5"/>
      <c r="K374" s="5"/>
      <c r="L374" s="5"/>
      <c r="M374" s="5"/>
      <c r="N374" s="5"/>
      <c r="O374" s="5"/>
      <c r="P374" s="5"/>
      <c r="Q374" s="5"/>
      <c r="R374" s="5"/>
    </row>
    <row r="375" spans="1:18">
      <c r="A375" s="5"/>
      <c r="B375" s="5"/>
      <c r="C375" s="5"/>
      <c r="D375" s="5"/>
      <c r="E375" s="5"/>
      <c r="F375" s="5"/>
      <c r="G375" s="5"/>
      <c r="H375" s="5"/>
      <c r="I375" s="5"/>
      <c r="J375" s="5"/>
      <c r="K375" s="5"/>
      <c r="L375" s="5"/>
      <c r="M375" s="5"/>
      <c r="N375" s="5"/>
      <c r="O375" s="5"/>
      <c r="P375" s="5"/>
      <c r="Q375" s="5"/>
      <c r="R375" s="5"/>
    </row>
    <row r="376" spans="1:18">
      <c r="A376" s="5"/>
      <c r="B376" s="5"/>
      <c r="C376" s="5"/>
      <c r="D376" s="5"/>
      <c r="E376" s="5"/>
      <c r="F376" s="5"/>
      <c r="G376" s="5"/>
      <c r="H376" s="5"/>
      <c r="I376" s="5"/>
      <c r="J376" s="5"/>
      <c r="K376" s="5"/>
      <c r="L376" s="5"/>
      <c r="M376" s="5"/>
      <c r="N376" s="5"/>
      <c r="O376" s="5"/>
      <c r="P376" s="5"/>
      <c r="Q376" s="5"/>
      <c r="R376" s="5"/>
    </row>
    <row r="377" spans="1:18">
      <c r="A377" s="5"/>
      <c r="B377" s="5"/>
      <c r="C377" s="5"/>
      <c r="D377" s="5"/>
      <c r="E377" s="5"/>
      <c r="F377" s="5"/>
      <c r="G377" s="5"/>
      <c r="H377" s="5"/>
      <c r="I377" s="5"/>
      <c r="J377" s="5"/>
      <c r="K377" s="5"/>
      <c r="L377" s="5"/>
      <c r="M377" s="5"/>
      <c r="N377" s="5"/>
      <c r="O377" s="5"/>
      <c r="P377" s="5"/>
      <c r="Q377" s="5"/>
      <c r="R377" s="5"/>
    </row>
    <row r="378" spans="1:18">
      <c r="A378" s="5"/>
      <c r="B378" s="5"/>
      <c r="C378" s="5"/>
      <c r="D378" s="5"/>
      <c r="E378" s="5"/>
      <c r="F378" s="5"/>
      <c r="G378" s="5"/>
      <c r="H378" s="5"/>
      <c r="I378" s="5"/>
      <c r="J378" s="5"/>
      <c r="K378" s="5"/>
      <c r="L378" s="5"/>
      <c r="M378" s="5"/>
      <c r="N378" s="5"/>
      <c r="O378" s="5"/>
      <c r="P378" s="5"/>
      <c r="Q378" s="5"/>
      <c r="R378" s="5"/>
    </row>
    <row r="379" spans="1:18">
      <c r="A379" s="5"/>
      <c r="B379" s="5"/>
      <c r="C379" s="5"/>
      <c r="D379" s="5"/>
      <c r="E379" s="5"/>
      <c r="F379" s="5"/>
      <c r="G379" s="5"/>
      <c r="H379" s="5"/>
      <c r="I379" s="5"/>
      <c r="J379" s="5"/>
      <c r="K379" s="5"/>
      <c r="L379" s="5"/>
      <c r="M379" s="5"/>
      <c r="N379" s="5"/>
      <c r="O379" s="5"/>
      <c r="P379" s="5"/>
      <c r="Q379" s="5"/>
      <c r="R379" s="5"/>
    </row>
    <row r="380" spans="1:18">
      <c r="A380" s="5"/>
      <c r="B380" s="5"/>
      <c r="C380" s="5"/>
      <c r="D380" s="5"/>
      <c r="E380" s="5"/>
      <c r="F380" s="5"/>
      <c r="G380" s="5"/>
      <c r="H380" s="5"/>
      <c r="I380" s="5"/>
      <c r="J380" s="5"/>
      <c r="K380" s="5"/>
      <c r="L380" s="5"/>
      <c r="M380" s="5"/>
      <c r="N380" s="5"/>
      <c r="O380" s="5"/>
      <c r="P380" s="5"/>
      <c r="Q380" s="5"/>
      <c r="R380" s="5"/>
    </row>
    <row r="381" spans="1:18">
      <c r="A381" s="5"/>
      <c r="B381" s="5"/>
      <c r="C381" s="5"/>
      <c r="D381" s="5"/>
      <c r="E381" s="5"/>
      <c r="F381" s="5"/>
      <c r="G381" s="5"/>
      <c r="H381" s="5"/>
      <c r="I381" s="5"/>
      <c r="J381" s="5"/>
      <c r="K381" s="5"/>
      <c r="L381" s="5"/>
      <c r="M381" s="5"/>
      <c r="N381" s="5"/>
      <c r="O381" s="5"/>
      <c r="P381" s="5"/>
      <c r="Q381" s="5"/>
      <c r="R381" s="5"/>
    </row>
    <row r="382" spans="1:18">
      <c r="A382" s="5"/>
      <c r="B382" s="5"/>
      <c r="C382" s="5"/>
      <c r="D382" s="5"/>
      <c r="E382" s="5"/>
      <c r="F382" s="5"/>
      <c r="G382" s="5"/>
      <c r="H382" s="5"/>
      <c r="I382" s="5"/>
      <c r="J382" s="5"/>
      <c r="K382" s="5"/>
      <c r="L382" s="5"/>
      <c r="M382" s="5"/>
      <c r="N382" s="5"/>
      <c r="O382" s="5"/>
      <c r="P382" s="5"/>
      <c r="Q382" s="5"/>
      <c r="R382" s="5"/>
    </row>
    <row r="383" spans="1:18">
      <c r="A383" s="5"/>
      <c r="B383" s="5"/>
      <c r="C383" s="5"/>
      <c r="D383" s="5"/>
      <c r="E383" s="5"/>
      <c r="F383" s="5"/>
      <c r="G383" s="5"/>
      <c r="H383" s="5"/>
      <c r="I383" s="5"/>
      <c r="J383" s="5"/>
      <c r="K383" s="5"/>
      <c r="L383" s="5"/>
      <c r="M383" s="5"/>
      <c r="N383" s="5"/>
      <c r="O383" s="5"/>
      <c r="P383" s="5"/>
      <c r="Q383" s="5"/>
      <c r="R383" s="5"/>
    </row>
    <row r="384" spans="1:18">
      <c r="A384" s="5"/>
      <c r="B384" s="5"/>
      <c r="C384" s="5"/>
      <c r="D384" s="5"/>
      <c r="E384" s="5"/>
      <c r="F384" s="5"/>
      <c r="G384" s="5"/>
      <c r="H384" s="5"/>
      <c r="I384" s="5"/>
      <c r="J384" s="5"/>
      <c r="K384" s="5"/>
      <c r="L384" s="5"/>
      <c r="M384" s="5"/>
      <c r="N384" s="5"/>
      <c r="O384" s="5"/>
      <c r="P384" s="5"/>
      <c r="Q384" s="5"/>
      <c r="R384" s="5"/>
    </row>
    <row r="385" spans="1:18">
      <c r="A385" s="5"/>
      <c r="B385" s="5"/>
      <c r="C385" s="5"/>
      <c r="D385" s="5"/>
      <c r="E385" s="5"/>
      <c r="F385" s="5"/>
      <c r="G385" s="5"/>
      <c r="H385" s="5"/>
      <c r="I385" s="5"/>
      <c r="J385" s="5"/>
      <c r="K385" s="5"/>
      <c r="L385" s="5"/>
      <c r="M385" s="5"/>
      <c r="N385" s="5"/>
      <c r="O385" s="5"/>
      <c r="P385" s="5"/>
      <c r="Q385" s="5"/>
      <c r="R385" s="5"/>
    </row>
    <row r="386" spans="1:18">
      <c r="A386" s="5"/>
      <c r="B386" s="5"/>
      <c r="C386" s="5"/>
      <c r="D386" s="5"/>
      <c r="E386" s="5"/>
      <c r="F386" s="5"/>
      <c r="G386" s="5"/>
      <c r="H386" s="5"/>
      <c r="I386" s="5"/>
      <c r="J386" s="5"/>
      <c r="K386" s="5"/>
      <c r="L386" s="5"/>
      <c r="M386" s="5"/>
      <c r="N386" s="5"/>
      <c r="O386" s="5"/>
      <c r="P386" s="5"/>
      <c r="Q386" s="5"/>
      <c r="R386" s="5"/>
    </row>
    <row r="387" spans="1:18">
      <c r="A387" s="5"/>
      <c r="B387" s="5"/>
      <c r="C387" s="5"/>
      <c r="D387" s="5"/>
      <c r="E387" s="5"/>
      <c r="F387" s="5"/>
      <c r="G387" s="5"/>
      <c r="H387" s="5"/>
      <c r="I387" s="5"/>
      <c r="J387" s="5"/>
      <c r="K387" s="5"/>
      <c r="L387" s="5"/>
      <c r="M387" s="5"/>
      <c r="N387" s="5"/>
      <c r="O387" s="5"/>
      <c r="P387" s="5"/>
      <c r="Q387" s="5"/>
      <c r="R387" s="5"/>
    </row>
    <row r="388" spans="1:18">
      <c r="A388" s="5"/>
      <c r="B388" s="5"/>
      <c r="C388" s="5"/>
      <c r="D388" s="5"/>
      <c r="E388" s="5"/>
      <c r="F388" s="5"/>
      <c r="G388" s="5"/>
      <c r="H388" s="5"/>
      <c r="I388" s="5"/>
      <c r="J388" s="5"/>
      <c r="K388" s="5"/>
      <c r="L388" s="5"/>
      <c r="M388" s="5"/>
      <c r="N388" s="5"/>
      <c r="O388" s="5"/>
      <c r="P388" s="5"/>
      <c r="Q388" s="5"/>
      <c r="R388" s="5"/>
    </row>
    <row r="389" spans="1:18">
      <c r="A389" s="5"/>
      <c r="B389" s="5"/>
      <c r="C389" s="5"/>
      <c r="D389" s="5"/>
      <c r="E389" s="5"/>
      <c r="F389" s="5"/>
      <c r="G389" s="5"/>
      <c r="H389" s="5"/>
      <c r="I389" s="5"/>
      <c r="J389" s="5"/>
      <c r="K389" s="5"/>
      <c r="L389" s="5"/>
      <c r="M389" s="5"/>
      <c r="N389" s="5"/>
      <c r="O389" s="5"/>
      <c r="P389" s="5"/>
      <c r="Q389" s="5"/>
      <c r="R389" s="5"/>
    </row>
    <row r="390" spans="1:18">
      <c r="A390" s="5"/>
      <c r="B390" s="5"/>
      <c r="C390" s="5"/>
      <c r="D390" s="5"/>
      <c r="E390" s="5"/>
      <c r="F390" s="5"/>
      <c r="G390" s="5"/>
      <c r="H390" s="5"/>
      <c r="I390" s="5"/>
      <c r="J390" s="5"/>
      <c r="K390" s="5"/>
      <c r="L390" s="5"/>
      <c r="M390" s="5"/>
      <c r="N390" s="5"/>
      <c r="O390" s="5"/>
      <c r="P390" s="5"/>
      <c r="Q390" s="5"/>
      <c r="R390" s="5"/>
    </row>
    <row r="391" spans="1:18">
      <c r="A391" s="5"/>
      <c r="B391" s="5"/>
      <c r="C391" s="5"/>
      <c r="D391" s="5"/>
      <c r="E391" s="5"/>
      <c r="F391" s="5"/>
      <c r="G391" s="5"/>
      <c r="H391" s="5"/>
      <c r="I391" s="5"/>
      <c r="J391" s="5"/>
      <c r="K391" s="5"/>
      <c r="L391" s="5"/>
      <c r="M391" s="5"/>
      <c r="N391" s="5"/>
      <c r="O391" s="5"/>
      <c r="P391" s="5"/>
      <c r="Q391" s="5"/>
      <c r="R391" s="5"/>
    </row>
    <row r="392" spans="1:18">
      <c r="A392" s="5"/>
      <c r="B392" s="5"/>
      <c r="C392" s="5"/>
      <c r="D392" s="5"/>
      <c r="E392" s="5"/>
      <c r="F392" s="5"/>
      <c r="G392" s="5"/>
      <c r="H392" s="5"/>
      <c r="I392" s="5"/>
      <c r="J392" s="5"/>
      <c r="K392" s="5"/>
      <c r="L392" s="5"/>
      <c r="M392" s="5"/>
      <c r="N392" s="5"/>
      <c r="O392" s="5"/>
      <c r="P392" s="5"/>
      <c r="Q392" s="5"/>
      <c r="R392" s="5"/>
    </row>
    <row r="393" spans="1:18">
      <c r="A393" s="5"/>
      <c r="B393" s="5"/>
      <c r="C393" s="5"/>
      <c r="D393" s="5"/>
      <c r="E393" s="5"/>
      <c r="F393" s="5"/>
      <c r="G393" s="5"/>
      <c r="H393" s="5"/>
      <c r="I393" s="5"/>
      <c r="J393" s="5"/>
      <c r="K393" s="5"/>
      <c r="L393" s="5"/>
      <c r="M393" s="5"/>
      <c r="N393" s="5"/>
      <c r="O393" s="5"/>
      <c r="P393" s="5"/>
      <c r="Q393" s="5"/>
      <c r="R393" s="5"/>
    </row>
    <row r="394" spans="1:18">
      <c r="A394" s="5"/>
      <c r="B394" s="5"/>
      <c r="C394" s="5"/>
      <c r="D394" s="5"/>
      <c r="E394" s="5"/>
      <c r="F394" s="5"/>
      <c r="G394" s="5"/>
      <c r="H394" s="5"/>
      <c r="I394" s="5"/>
      <c r="J394" s="5"/>
      <c r="K394" s="5"/>
      <c r="L394" s="5"/>
      <c r="M394" s="5"/>
      <c r="N394" s="5"/>
      <c r="O394" s="5"/>
      <c r="P394" s="5"/>
      <c r="Q394" s="5"/>
      <c r="R394" s="5"/>
    </row>
    <row r="395" spans="1:18">
      <c r="A395" s="5"/>
      <c r="B395" s="5"/>
      <c r="C395" s="5"/>
      <c r="D395" s="5"/>
      <c r="E395" s="5"/>
      <c r="F395" s="5"/>
      <c r="G395" s="5"/>
      <c r="H395" s="5"/>
      <c r="I395" s="5"/>
      <c r="J395" s="5"/>
      <c r="K395" s="5"/>
      <c r="L395" s="5"/>
      <c r="M395" s="5"/>
      <c r="N395" s="5"/>
      <c r="O395" s="5"/>
      <c r="P395" s="5"/>
      <c r="Q395" s="5"/>
      <c r="R395" s="5"/>
    </row>
    <row r="396" spans="1:18">
      <c r="A396" s="5"/>
      <c r="B396" s="5"/>
      <c r="C396" s="5"/>
      <c r="D396" s="5"/>
      <c r="E396" s="5"/>
      <c r="F396" s="5"/>
      <c r="G396" s="5"/>
      <c r="H396" s="5"/>
      <c r="I396" s="5"/>
      <c r="J396" s="5"/>
      <c r="K396" s="5"/>
      <c r="L396" s="5"/>
      <c r="M396" s="5"/>
      <c r="N396" s="5"/>
      <c r="O396" s="5"/>
      <c r="P396" s="5"/>
      <c r="Q396" s="5"/>
      <c r="R396" s="5"/>
    </row>
    <row r="397" spans="1:18">
      <c r="A397" s="5"/>
      <c r="B397" s="5"/>
      <c r="C397" s="5"/>
      <c r="D397" s="5"/>
      <c r="E397" s="5"/>
      <c r="F397" s="5"/>
      <c r="G397" s="5"/>
      <c r="H397" s="5"/>
      <c r="I397" s="5"/>
      <c r="J397" s="5"/>
      <c r="K397" s="5"/>
      <c r="L397" s="5"/>
      <c r="M397" s="5"/>
      <c r="N397" s="5"/>
      <c r="O397" s="5"/>
      <c r="P397" s="5"/>
      <c r="Q397" s="5"/>
      <c r="R397" s="5"/>
    </row>
    <row r="398" spans="1:18">
      <c r="A398" s="5"/>
      <c r="B398" s="5"/>
      <c r="C398" s="5"/>
      <c r="D398" s="5"/>
      <c r="E398" s="5"/>
      <c r="F398" s="5"/>
      <c r="G398" s="5"/>
      <c r="H398" s="5"/>
      <c r="I398" s="5"/>
      <c r="J398" s="5"/>
      <c r="K398" s="5"/>
      <c r="L398" s="5"/>
      <c r="M398" s="5"/>
      <c r="N398" s="5"/>
      <c r="O398" s="5"/>
      <c r="P398" s="5"/>
      <c r="Q398" s="5"/>
      <c r="R398" s="5"/>
    </row>
    <row r="399" spans="1:18">
      <c r="A399" s="5"/>
      <c r="B399" s="5"/>
      <c r="C399" s="5"/>
      <c r="D399" s="5"/>
      <c r="E399" s="5"/>
      <c r="F399" s="5"/>
      <c r="G399" s="5"/>
      <c r="H399" s="5"/>
      <c r="I399" s="5"/>
      <c r="J399" s="5"/>
      <c r="K399" s="5"/>
      <c r="L399" s="5"/>
      <c r="M399" s="5"/>
      <c r="N399" s="5"/>
      <c r="O399" s="5"/>
      <c r="P399" s="5"/>
      <c r="Q399" s="5"/>
      <c r="R399" s="5"/>
    </row>
    <row r="400" spans="1:18">
      <c r="A400" s="5"/>
      <c r="B400" s="5"/>
      <c r="C400" s="5"/>
      <c r="D400" s="5"/>
      <c r="E400" s="5"/>
      <c r="F400" s="5"/>
      <c r="G400" s="5"/>
      <c r="H400" s="5"/>
      <c r="I400" s="5"/>
      <c r="J400" s="5"/>
      <c r="K400" s="5"/>
      <c r="L400" s="5"/>
      <c r="M400" s="5"/>
      <c r="N400" s="5"/>
      <c r="O400" s="5"/>
      <c r="P400" s="5"/>
      <c r="Q400" s="5"/>
      <c r="R400" s="5"/>
    </row>
    <row r="401" spans="1:18">
      <c r="A401" s="5"/>
      <c r="B401" s="5"/>
      <c r="C401" s="5"/>
      <c r="D401" s="5"/>
      <c r="E401" s="5"/>
      <c r="F401" s="5"/>
      <c r="G401" s="5"/>
      <c r="H401" s="5"/>
      <c r="I401" s="5"/>
      <c r="J401" s="5"/>
      <c r="K401" s="5"/>
      <c r="L401" s="5"/>
      <c r="M401" s="5"/>
      <c r="N401" s="5"/>
      <c r="O401" s="5"/>
      <c r="P401" s="5"/>
      <c r="Q401" s="5"/>
      <c r="R401" s="5"/>
    </row>
    <row r="402" spans="1:18">
      <c r="A402" s="5"/>
      <c r="B402" s="5"/>
      <c r="C402" s="5"/>
      <c r="D402" s="5"/>
      <c r="E402" s="5"/>
      <c r="F402" s="5"/>
      <c r="G402" s="5"/>
      <c r="H402" s="5"/>
      <c r="I402" s="5"/>
      <c r="J402" s="5"/>
      <c r="K402" s="5"/>
      <c r="L402" s="5"/>
      <c r="M402" s="5"/>
      <c r="N402" s="5"/>
      <c r="O402" s="5"/>
      <c r="P402" s="5"/>
      <c r="Q402" s="5"/>
      <c r="R402" s="5"/>
    </row>
    <row r="403" spans="1:18">
      <c r="A403" s="5"/>
      <c r="B403" s="5"/>
      <c r="C403" s="5"/>
      <c r="D403" s="5"/>
      <c r="E403" s="5"/>
      <c r="F403" s="5"/>
      <c r="G403" s="5"/>
      <c r="H403" s="5"/>
      <c r="I403" s="5"/>
      <c r="J403" s="5"/>
      <c r="K403" s="5"/>
      <c r="L403" s="5"/>
      <c r="M403" s="5"/>
      <c r="N403" s="5"/>
      <c r="O403" s="5"/>
      <c r="P403" s="5"/>
      <c r="Q403" s="5"/>
      <c r="R403" s="5"/>
    </row>
    <row r="404" spans="1:18">
      <c r="A404" s="5"/>
      <c r="B404" s="5"/>
      <c r="C404" s="5"/>
      <c r="D404" s="5"/>
      <c r="E404" s="5"/>
      <c r="F404" s="5"/>
      <c r="G404" s="5"/>
      <c r="H404" s="5"/>
      <c r="I404" s="5"/>
      <c r="J404" s="5"/>
      <c r="K404" s="5"/>
      <c r="L404" s="5"/>
      <c r="M404" s="5"/>
      <c r="N404" s="5"/>
      <c r="O404" s="5"/>
      <c r="P404" s="5"/>
      <c r="Q404" s="5"/>
      <c r="R404" s="5"/>
    </row>
    <row r="405" spans="1:18">
      <c r="A405" s="5"/>
      <c r="B405" s="5"/>
      <c r="C405" s="5"/>
      <c r="D405" s="5"/>
      <c r="E405" s="5"/>
      <c r="F405" s="5"/>
      <c r="G405" s="5"/>
      <c r="H405" s="5"/>
      <c r="I405" s="5"/>
      <c r="J405" s="5"/>
      <c r="K405" s="5"/>
      <c r="L405" s="5"/>
      <c r="M405" s="5"/>
      <c r="N405" s="5"/>
      <c r="O405" s="5"/>
      <c r="P405" s="5"/>
      <c r="Q405" s="5"/>
      <c r="R405" s="5"/>
    </row>
    <row r="406" spans="1:18">
      <c r="A406" s="5"/>
      <c r="B406" s="5"/>
      <c r="C406" s="5"/>
      <c r="D406" s="5"/>
      <c r="E406" s="5"/>
      <c r="F406" s="5"/>
      <c r="G406" s="5"/>
      <c r="H406" s="5"/>
      <c r="I406" s="5"/>
      <c r="J406" s="5"/>
      <c r="K406" s="5"/>
      <c r="L406" s="5"/>
      <c r="M406" s="5"/>
      <c r="N406" s="5"/>
      <c r="O406" s="5"/>
      <c r="P406" s="5"/>
      <c r="Q406" s="5"/>
      <c r="R406" s="5"/>
    </row>
    <row r="407" spans="1:18">
      <c r="A407" s="5"/>
      <c r="B407" s="5"/>
      <c r="C407" s="5"/>
      <c r="D407" s="5"/>
      <c r="E407" s="5"/>
      <c r="F407" s="5"/>
      <c r="G407" s="5"/>
      <c r="H407" s="5"/>
      <c r="I407" s="5"/>
      <c r="J407" s="5"/>
      <c r="K407" s="5"/>
      <c r="L407" s="5"/>
      <c r="M407" s="5"/>
      <c r="N407" s="5"/>
      <c r="O407" s="5"/>
      <c r="P407" s="5"/>
      <c r="Q407" s="5"/>
      <c r="R407" s="5"/>
    </row>
    <row r="408" spans="1:18">
      <c r="A408" s="5"/>
      <c r="B408" s="5"/>
      <c r="C408" s="5"/>
      <c r="D408" s="5"/>
      <c r="E408" s="5"/>
      <c r="F408" s="5"/>
      <c r="G408" s="5"/>
      <c r="H408" s="5"/>
      <c r="I408" s="5"/>
      <c r="J408" s="5"/>
      <c r="K408" s="5"/>
      <c r="L408" s="5"/>
      <c r="M408" s="5"/>
      <c r="N408" s="5"/>
      <c r="O408" s="5"/>
      <c r="P408" s="5"/>
      <c r="Q408" s="5"/>
      <c r="R408" s="5"/>
    </row>
    <row r="409" spans="1:18">
      <c r="A409" s="5"/>
      <c r="B409" s="5"/>
      <c r="C409" s="5"/>
      <c r="D409" s="5"/>
      <c r="E409" s="5"/>
      <c r="F409" s="5"/>
      <c r="G409" s="5"/>
      <c r="H409" s="5"/>
      <c r="I409" s="5"/>
      <c r="J409" s="5"/>
      <c r="K409" s="5"/>
      <c r="L409" s="5"/>
      <c r="M409" s="5"/>
      <c r="N409" s="5"/>
      <c r="O409" s="5"/>
      <c r="P409" s="5"/>
      <c r="Q409" s="5"/>
      <c r="R409" s="5"/>
    </row>
    <row r="410" spans="1:18">
      <c r="A410" s="5"/>
      <c r="B410" s="5"/>
      <c r="C410" s="5"/>
      <c r="D410" s="5"/>
      <c r="E410" s="5"/>
      <c r="F410" s="5"/>
      <c r="G410" s="5"/>
      <c r="H410" s="5"/>
      <c r="I410" s="5"/>
      <c r="J410" s="5"/>
      <c r="K410" s="5"/>
      <c r="L410" s="5"/>
      <c r="M410" s="5"/>
      <c r="N410" s="5"/>
      <c r="O410" s="5"/>
      <c r="P410" s="5"/>
      <c r="Q410" s="5"/>
      <c r="R410" s="5"/>
    </row>
    <row r="411" spans="1:18">
      <c r="A411" s="5"/>
      <c r="B411" s="5"/>
      <c r="C411" s="5"/>
      <c r="D411" s="5"/>
      <c r="E411" s="5"/>
      <c r="F411" s="5"/>
      <c r="G411" s="5"/>
      <c r="H411" s="5"/>
      <c r="I411" s="5"/>
      <c r="J411" s="5"/>
      <c r="K411" s="5"/>
      <c r="L411" s="5"/>
      <c r="M411" s="5"/>
      <c r="N411" s="5"/>
      <c r="O411" s="5"/>
      <c r="P411" s="5"/>
      <c r="Q411" s="5"/>
      <c r="R411" s="5"/>
    </row>
    <row r="412" spans="1:18">
      <c r="A412" s="5"/>
      <c r="B412" s="5"/>
      <c r="C412" s="5"/>
      <c r="D412" s="5"/>
      <c r="E412" s="5"/>
      <c r="F412" s="5"/>
      <c r="G412" s="5"/>
      <c r="H412" s="5"/>
      <c r="I412" s="5"/>
      <c r="J412" s="5"/>
      <c r="K412" s="5"/>
      <c r="L412" s="5"/>
      <c r="M412" s="5"/>
      <c r="N412" s="5"/>
      <c r="O412" s="5"/>
      <c r="P412" s="5"/>
      <c r="Q412" s="5"/>
      <c r="R412" s="5"/>
    </row>
    <row r="413" spans="1:18">
      <c r="A413" s="5"/>
      <c r="B413" s="5"/>
      <c r="C413" s="5"/>
      <c r="D413" s="5"/>
      <c r="E413" s="5"/>
      <c r="F413" s="5"/>
      <c r="G413" s="5"/>
      <c r="H413" s="5"/>
      <c r="I413" s="5"/>
      <c r="J413" s="5"/>
      <c r="K413" s="5"/>
      <c r="L413" s="5"/>
      <c r="M413" s="5"/>
      <c r="N413" s="5"/>
      <c r="O413" s="5"/>
      <c r="P413" s="5"/>
      <c r="Q413" s="5"/>
      <c r="R413" s="5"/>
    </row>
    <row r="414" spans="1:18">
      <c r="A414" s="5"/>
      <c r="B414" s="5"/>
      <c r="C414" s="5"/>
      <c r="D414" s="5"/>
      <c r="E414" s="5"/>
      <c r="F414" s="5"/>
      <c r="G414" s="5"/>
      <c r="H414" s="5"/>
      <c r="I414" s="5"/>
      <c r="J414" s="5"/>
      <c r="K414" s="5"/>
      <c r="L414" s="5"/>
      <c r="M414" s="5"/>
      <c r="N414" s="5"/>
      <c r="O414" s="5"/>
      <c r="P414" s="5"/>
      <c r="Q414" s="5"/>
      <c r="R414" s="5"/>
    </row>
    <row r="415" spans="1:18">
      <c r="A415" s="5"/>
      <c r="B415" s="5"/>
      <c r="C415" s="5"/>
      <c r="D415" s="5"/>
      <c r="E415" s="5"/>
      <c r="F415" s="5"/>
      <c r="G415" s="5"/>
      <c r="H415" s="5"/>
      <c r="I415" s="5"/>
      <c r="J415" s="5"/>
      <c r="K415" s="5"/>
      <c r="L415" s="5"/>
      <c r="M415" s="5"/>
      <c r="N415" s="5"/>
      <c r="O415" s="5"/>
      <c r="P415" s="5"/>
      <c r="Q415" s="5"/>
      <c r="R415" s="5"/>
    </row>
    <row r="416" spans="1:18">
      <c r="A416" s="5"/>
      <c r="B416" s="5"/>
      <c r="C416" s="5"/>
      <c r="D416" s="5"/>
      <c r="E416" s="5"/>
      <c r="F416" s="5"/>
      <c r="G416" s="5"/>
      <c r="H416" s="5"/>
      <c r="I416" s="5"/>
      <c r="J416" s="5"/>
      <c r="K416" s="5"/>
      <c r="L416" s="5"/>
      <c r="M416" s="5"/>
      <c r="N416" s="5"/>
      <c r="O416" s="5"/>
      <c r="P416" s="5"/>
      <c r="Q416" s="5"/>
      <c r="R416" s="5"/>
    </row>
    <row r="417" spans="1:18">
      <c r="A417" s="5"/>
      <c r="B417" s="5"/>
      <c r="C417" s="5"/>
      <c r="D417" s="5"/>
      <c r="E417" s="5"/>
      <c r="F417" s="5"/>
      <c r="G417" s="5"/>
      <c r="H417" s="5"/>
      <c r="I417" s="5"/>
      <c r="J417" s="5"/>
      <c r="K417" s="5"/>
      <c r="L417" s="5"/>
      <c r="M417" s="5"/>
      <c r="N417" s="5"/>
      <c r="O417" s="5"/>
      <c r="P417" s="5"/>
      <c r="Q417" s="5"/>
      <c r="R417" s="5"/>
    </row>
    <row r="418" spans="1:18">
      <c r="A418" s="5"/>
      <c r="B418" s="5"/>
      <c r="C418" s="5"/>
      <c r="D418" s="5"/>
      <c r="E418" s="5"/>
      <c r="F418" s="5"/>
      <c r="G418" s="5"/>
      <c r="H418" s="5"/>
      <c r="I418" s="5"/>
      <c r="J418" s="5"/>
      <c r="K418" s="5"/>
      <c r="L418" s="5"/>
      <c r="M418" s="5"/>
      <c r="N418" s="5"/>
      <c r="O418" s="5"/>
      <c r="P418" s="5"/>
      <c r="Q418" s="5"/>
      <c r="R418" s="5"/>
    </row>
    <row r="419" spans="1:18">
      <c r="A419" s="5"/>
      <c r="B419" s="5"/>
      <c r="C419" s="5"/>
      <c r="D419" s="5"/>
      <c r="E419" s="5"/>
      <c r="F419" s="5"/>
      <c r="G419" s="5"/>
      <c r="H419" s="5"/>
      <c r="I419" s="5"/>
      <c r="J419" s="5"/>
      <c r="K419" s="5"/>
      <c r="L419" s="5"/>
      <c r="M419" s="5"/>
      <c r="N419" s="5"/>
      <c r="O419" s="5"/>
      <c r="P419" s="5"/>
      <c r="Q419" s="5"/>
      <c r="R419" s="5"/>
    </row>
    <row r="420" spans="1:18">
      <c r="A420" s="5"/>
      <c r="B420" s="5"/>
      <c r="C420" s="5"/>
      <c r="D420" s="5"/>
      <c r="E420" s="5"/>
      <c r="F420" s="5"/>
      <c r="G420" s="5"/>
      <c r="H420" s="5"/>
      <c r="I420" s="5"/>
      <c r="J420" s="5"/>
      <c r="K420" s="5"/>
      <c r="L420" s="5"/>
      <c r="M420" s="5"/>
      <c r="N420" s="5"/>
      <c r="O420" s="5"/>
      <c r="P420" s="5"/>
      <c r="Q420" s="5"/>
      <c r="R420" s="5"/>
    </row>
    <row r="421" spans="1:18">
      <c r="A421" s="5"/>
      <c r="B421" s="5"/>
      <c r="C421" s="5"/>
      <c r="D421" s="5"/>
      <c r="E421" s="5"/>
      <c r="F421" s="5"/>
      <c r="G421" s="5"/>
      <c r="H421" s="5"/>
      <c r="I421" s="5"/>
      <c r="J421" s="5"/>
      <c r="K421" s="5"/>
      <c r="L421" s="5"/>
      <c r="M421" s="5"/>
      <c r="N421" s="5"/>
      <c r="O421" s="5"/>
      <c r="P421" s="5"/>
      <c r="Q421" s="5"/>
      <c r="R421" s="5"/>
    </row>
    <row r="422" spans="1:18">
      <c r="A422" s="5"/>
      <c r="B422" s="5"/>
      <c r="C422" s="5"/>
      <c r="D422" s="5"/>
      <c r="E422" s="5"/>
      <c r="F422" s="5"/>
      <c r="G422" s="5"/>
      <c r="H422" s="5"/>
      <c r="I422" s="5"/>
      <c r="J422" s="5"/>
      <c r="K422" s="5"/>
      <c r="L422" s="5"/>
      <c r="M422" s="5"/>
      <c r="N422" s="5"/>
      <c r="O422" s="5"/>
      <c r="P422" s="5"/>
      <c r="Q422" s="5"/>
      <c r="R422" s="5"/>
    </row>
    <row r="423" spans="1:18">
      <c r="A423" s="5"/>
      <c r="B423" s="5"/>
      <c r="C423" s="5"/>
      <c r="D423" s="5"/>
      <c r="E423" s="5"/>
      <c r="F423" s="5"/>
      <c r="G423" s="5"/>
      <c r="H423" s="5"/>
      <c r="I423" s="5"/>
      <c r="J423" s="5"/>
      <c r="K423" s="5"/>
      <c r="L423" s="5"/>
      <c r="M423" s="5"/>
      <c r="N423" s="5"/>
      <c r="O423" s="5"/>
      <c r="P423" s="5"/>
      <c r="Q423" s="5"/>
      <c r="R423" s="5"/>
    </row>
    <row r="424" spans="1:18">
      <c r="A424" s="5"/>
      <c r="B424" s="5"/>
      <c r="C424" s="5"/>
      <c r="D424" s="5"/>
      <c r="E424" s="5"/>
      <c r="F424" s="5"/>
      <c r="G424" s="5"/>
      <c r="H424" s="5"/>
      <c r="I424" s="5"/>
      <c r="J424" s="5"/>
      <c r="K424" s="5"/>
      <c r="L424" s="5"/>
      <c r="M424" s="5"/>
      <c r="N424" s="5"/>
      <c r="O424" s="5"/>
      <c r="P424" s="5"/>
      <c r="Q424" s="5"/>
      <c r="R424" s="5"/>
    </row>
    <row r="425" spans="1:18">
      <c r="A425" s="5"/>
      <c r="B425" s="5"/>
      <c r="C425" s="5"/>
      <c r="D425" s="5"/>
      <c r="E425" s="5"/>
      <c r="F425" s="5"/>
      <c r="G425" s="5"/>
      <c r="H425" s="5"/>
      <c r="I425" s="5"/>
      <c r="J425" s="5"/>
      <c r="K425" s="5"/>
      <c r="L425" s="5"/>
      <c r="M425" s="5"/>
      <c r="N425" s="5"/>
      <c r="O425" s="5"/>
      <c r="P425" s="5"/>
      <c r="Q425" s="5"/>
      <c r="R425" s="5"/>
    </row>
    <row r="426" spans="1:18">
      <c r="A426" s="5"/>
      <c r="B426" s="5"/>
      <c r="C426" s="5"/>
      <c r="D426" s="5"/>
      <c r="E426" s="5"/>
      <c r="F426" s="5"/>
      <c r="G426" s="5"/>
      <c r="H426" s="5"/>
      <c r="I426" s="5"/>
      <c r="J426" s="5"/>
      <c r="K426" s="5"/>
      <c r="L426" s="5"/>
      <c r="M426" s="5"/>
      <c r="N426" s="5"/>
      <c r="O426" s="5"/>
      <c r="P426" s="5"/>
      <c r="Q426" s="5"/>
      <c r="R426" s="5"/>
    </row>
    <row r="427" spans="1:18">
      <c r="A427" s="5"/>
      <c r="B427" s="5"/>
      <c r="C427" s="5"/>
      <c r="D427" s="5"/>
      <c r="E427" s="5"/>
      <c r="F427" s="5"/>
      <c r="G427" s="5"/>
      <c r="H427" s="5"/>
      <c r="I427" s="5"/>
      <c r="J427" s="5"/>
      <c r="K427" s="5"/>
      <c r="L427" s="5"/>
      <c r="M427" s="5"/>
      <c r="N427" s="5"/>
      <c r="O427" s="5"/>
      <c r="P427" s="5"/>
      <c r="Q427" s="5"/>
      <c r="R427" s="5"/>
    </row>
    <row r="428" spans="1:18">
      <c r="A428" s="5"/>
      <c r="B428" s="5"/>
      <c r="C428" s="5"/>
      <c r="D428" s="5"/>
      <c r="E428" s="5"/>
      <c r="F428" s="5"/>
      <c r="G428" s="5"/>
      <c r="H428" s="5"/>
      <c r="I428" s="5"/>
      <c r="J428" s="5"/>
      <c r="K428" s="5"/>
      <c r="L428" s="5"/>
      <c r="M428" s="5"/>
      <c r="N428" s="5"/>
      <c r="O428" s="5"/>
      <c r="P428" s="5"/>
      <c r="Q428" s="5"/>
      <c r="R428" s="5"/>
    </row>
    <row r="429" spans="1:18">
      <c r="A429" s="5"/>
      <c r="B429" s="5"/>
      <c r="C429" s="5"/>
      <c r="D429" s="5"/>
      <c r="E429" s="5"/>
      <c r="F429" s="5"/>
      <c r="G429" s="5"/>
      <c r="H429" s="5"/>
      <c r="I429" s="5"/>
      <c r="J429" s="5"/>
      <c r="K429" s="5"/>
      <c r="L429" s="5"/>
      <c r="M429" s="5"/>
      <c r="N429" s="5"/>
      <c r="O429" s="5"/>
      <c r="P429" s="5"/>
      <c r="Q429" s="5"/>
      <c r="R429" s="5"/>
    </row>
    <row r="430" spans="1:18">
      <c r="A430" s="5"/>
      <c r="B430" s="5"/>
      <c r="C430" s="5"/>
      <c r="D430" s="5"/>
      <c r="E430" s="5"/>
      <c r="F430" s="5"/>
      <c r="G430" s="5"/>
      <c r="H430" s="5"/>
      <c r="I430" s="5"/>
      <c r="J430" s="5"/>
      <c r="K430" s="5"/>
      <c r="L430" s="5"/>
      <c r="M430" s="5"/>
      <c r="N430" s="5"/>
      <c r="O430" s="5"/>
      <c r="P430" s="5"/>
      <c r="Q430" s="5"/>
      <c r="R430" s="5"/>
    </row>
    <row r="431" spans="1:18">
      <c r="A431" s="5"/>
      <c r="B431" s="5"/>
      <c r="C431" s="5"/>
      <c r="D431" s="5"/>
      <c r="E431" s="5"/>
      <c r="F431" s="5"/>
      <c r="G431" s="5"/>
      <c r="H431" s="5"/>
      <c r="I431" s="5"/>
      <c r="J431" s="5"/>
      <c r="K431" s="5"/>
      <c r="L431" s="5"/>
      <c r="M431" s="5"/>
      <c r="N431" s="5"/>
      <c r="O431" s="5"/>
      <c r="P431" s="5"/>
      <c r="Q431" s="5"/>
      <c r="R431" s="5"/>
    </row>
    <row r="432" spans="1:18">
      <c r="A432" s="5"/>
      <c r="B432" s="5"/>
      <c r="C432" s="5"/>
      <c r="D432" s="5"/>
      <c r="E432" s="5"/>
      <c r="F432" s="5"/>
      <c r="G432" s="5"/>
      <c r="H432" s="5"/>
      <c r="I432" s="5"/>
      <c r="J432" s="5"/>
      <c r="K432" s="5"/>
      <c r="L432" s="5"/>
      <c r="M432" s="5"/>
      <c r="N432" s="5"/>
      <c r="O432" s="5"/>
      <c r="P432" s="5"/>
      <c r="Q432" s="5"/>
      <c r="R432" s="5"/>
    </row>
    <row r="433" spans="1:18">
      <c r="A433" s="5"/>
      <c r="B433" s="5"/>
      <c r="C433" s="5"/>
      <c r="D433" s="5"/>
      <c r="E433" s="5"/>
      <c r="F433" s="5"/>
      <c r="G433" s="5"/>
      <c r="H433" s="5"/>
      <c r="I433" s="5"/>
      <c r="J433" s="5"/>
      <c r="K433" s="5"/>
      <c r="L433" s="5"/>
      <c r="M433" s="5"/>
      <c r="N433" s="5"/>
      <c r="O433" s="5"/>
      <c r="P433" s="5"/>
      <c r="Q433" s="5"/>
      <c r="R433" s="5"/>
    </row>
    <row r="434" spans="1:18">
      <c r="A434" s="5"/>
      <c r="B434" s="5"/>
      <c r="C434" s="5"/>
      <c r="D434" s="5"/>
      <c r="E434" s="5"/>
      <c r="F434" s="5"/>
      <c r="G434" s="5"/>
      <c r="H434" s="5"/>
      <c r="I434" s="5"/>
      <c r="J434" s="5"/>
      <c r="K434" s="5"/>
      <c r="L434" s="5"/>
      <c r="M434" s="5"/>
      <c r="N434" s="5"/>
      <c r="O434" s="5"/>
      <c r="P434" s="5"/>
      <c r="Q434" s="5"/>
      <c r="R434" s="5"/>
    </row>
    <row r="435" spans="1:18">
      <c r="A435" s="5"/>
      <c r="B435" s="5"/>
      <c r="C435" s="5"/>
      <c r="D435" s="5"/>
      <c r="E435" s="5"/>
      <c r="F435" s="5"/>
      <c r="G435" s="5"/>
      <c r="H435" s="5"/>
      <c r="I435" s="5"/>
      <c r="J435" s="5"/>
      <c r="K435" s="5"/>
      <c r="L435" s="5"/>
      <c r="M435" s="5"/>
      <c r="N435" s="5"/>
      <c r="O435" s="5"/>
      <c r="P435" s="5"/>
      <c r="Q435" s="5"/>
      <c r="R435" s="5"/>
    </row>
    <row r="436" spans="1:18">
      <c r="A436" s="5"/>
      <c r="B436" s="5"/>
      <c r="C436" s="5"/>
      <c r="D436" s="5"/>
      <c r="E436" s="5"/>
      <c r="F436" s="5"/>
      <c r="G436" s="5"/>
      <c r="H436" s="5"/>
      <c r="I436" s="5"/>
      <c r="J436" s="5"/>
      <c r="K436" s="5"/>
      <c r="L436" s="5"/>
      <c r="M436" s="5"/>
      <c r="N436" s="5"/>
      <c r="O436" s="5"/>
      <c r="P436" s="5"/>
      <c r="Q436" s="5"/>
      <c r="R436" s="5"/>
    </row>
    <row r="437" spans="1:18">
      <c r="A437" s="5"/>
      <c r="B437" s="5"/>
      <c r="C437" s="5"/>
      <c r="D437" s="5"/>
      <c r="E437" s="5"/>
      <c r="F437" s="5"/>
      <c r="G437" s="5"/>
      <c r="H437" s="5"/>
      <c r="I437" s="5"/>
      <c r="J437" s="5"/>
      <c r="K437" s="5"/>
      <c r="L437" s="5"/>
      <c r="M437" s="5"/>
      <c r="N437" s="5"/>
      <c r="O437" s="5"/>
      <c r="P437" s="5"/>
      <c r="Q437" s="5"/>
      <c r="R437" s="5"/>
    </row>
    <row r="438" spans="1:18">
      <c r="A438" s="5"/>
      <c r="B438" s="5"/>
      <c r="C438" s="5"/>
      <c r="D438" s="5"/>
      <c r="E438" s="5"/>
      <c r="F438" s="5"/>
      <c r="G438" s="5"/>
      <c r="H438" s="5"/>
      <c r="I438" s="5"/>
      <c r="J438" s="5"/>
      <c r="K438" s="5"/>
      <c r="L438" s="5"/>
      <c r="M438" s="5"/>
      <c r="N438" s="5"/>
      <c r="O438" s="5"/>
      <c r="P438" s="5"/>
      <c r="Q438" s="5"/>
      <c r="R438" s="5"/>
    </row>
    <row r="439" spans="1:18">
      <c r="A439" s="5"/>
      <c r="B439" s="5"/>
      <c r="C439" s="5"/>
      <c r="D439" s="5"/>
      <c r="E439" s="5"/>
      <c r="F439" s="5"/>
      <c r="G439" s="5"/>
      <c r="H439" s="5"/>
      <c r="I439" s="5"/>
      <c r="J439" s="5"/>
      <c r="K439" s="5"/>
      <c r="L439" s="5"/>
      <c r="M439" s="5"/>
      <c r="N439" s="5"/>
      <c r="O439" s="5"/>
      <c r="P439" s="5"/>
      <c r="Q439" s="5"/>
      <c r="R439" s="5"/>
    </row>
    <row r="440" spans="1:18">
      <c r="A440" s="5"/>
      <c r="B440" s="5"/>
      <c r="C440" s="5"/>
      <c r="D440" s="5"/>
      <c r="E440" s="5"/>
      <c r="F440" s="5"/>
      <c r="G440" s="5"/>
      <c r="H440" s="5"/>
      <c r="I440" s="5"/>
      <c r="J440" s="5"/>
      <c r="K440" s="5"/>
      <c r="L440" s="5"/>
      <c r="M440" s="5"/>
      <c r="N440" s="5"/>
      <c r="O440" s="5"/>
      <c r="P440" s="5"/>
      <c r="Q440" s="5"/>
      <c r="R440" s="5"/>
    </row>
    <row r="441" spans="1:18">
      <c r="A441" s="5"/>
      <c r="B441" s="5"/>
      <c r="C441" s="5"/>
      <c r="D441" s="5"/>
      <c r="E441" s="5"/>
      <c r="F441" s="5"/>
      <c r="G441" s="5"/>
      <c r="H441" s="5"/>
      <c r="I441" s="5"/>
      <c r="J441" s="5"/>
      <c r="K441" s="5"/>
      <c r="L441" s="5"/>
      <c r="M441" s="5"/>
      <c r="N441" s="5"/>
      <c r="O441" s="5"/>
      <c r="P441" s="5"/>
      <c r="Q441" s="5"/>
      <c r="R441" s="5"/>
    </row>
    <row r="442" spans="1:18">
      <c r="A442" s="5"/>
      <c r="B442" s="5"/>
      <c r="C442" s="5"/>
      <c r="D442" s="5"/>
      <c r="E442" s="5"/>
      <c r="F442" s="5"/>
      <c r="G442" s="5"/>
      <c r="H442" s="5"/>
      <c r="I442" s="5"/>
      <c r="J442" s="5"/>
      <c r="K442" s="5"/>
      <c r="L442" s="5"/>
      <c r="M442" s="5"/>
      <c r="N442" s="5"/>
      <c r="O442" s="5"/>
      <c r="P442" s="5"/>
      <c r="Q442" s="5"/>
      <c r="R442" s="5"/>
    </row>
    <row r="443" spans="1:18">
      <c r="A443" s="5"/>
      <c r="B443" s="5"/>
      <c r="C443" s="5"/>
      <c r="D443" s="5"/>
      <c r="E443" s="5"/>
      <c r="F443" s="5"/>
      <c r="G443" s="5"/>
      <c r="H443" s="5"/>
      <c r="I443" s="5"/>
      <c r="J443" s="5"/>
      <c r="K443" s="5"/>
      <c r="L443" s="5"/>
      <c r="M443" s="5"/>
      <c r="N443" s="5"/>
      <c r="O443" s="5"/>
      <c r="P443" s="5"/>
      <c r="Q443" s="5"/>
      <c r="R443" s="5"/>
    </row>
    <row r="444" spans="1:18">
      <c r="A444" s="5"/>
      <c r="B444" s="5"/>
      <c r="C444" s="5"/>
      <c r="D444" s="5"/>
      <c r="E444" s="5"/>
      <c r="F444" s="5"/>
      <c r="G444" s="5"/>
      <c r="H444" s="5"/>
      <c r="I444" s="5"/>
      <c r="J444" s="5"/>
      <c r="K444" s="5"/>
      <c r="L444" s="5"/>
      <c r="M444" s="5"/>
      <c r="N444" s="5"/>
      <c r="O444" s="5"/>
      <c r="P444" s="5"/>
      <c r="Q444" s="5"/>
      <c r="R444" s="5"/>
    </row>
    <row r="445" spans="1:18">
      <c r="A445" s="5"/>
      <c r="B445" s="5"/>
      <c r="C445" s="5"/>
      <c r="D445" s="5"/>
      <c r="E445" s="5"/>
      <c r="F445" s="5"/>
      <c r="G445" s="5"/>
      <c r="H445" s="5"/>
      <c r="I445" s="5"/>
      <c r="J445" s="5"/>
      <c r="K445" s="5"/>
      <c r="L445" s="5"/>
      <c r="M445" s="5"/>
      <c r="N445" s="5"/>
      <c r="O445" s="5"/>
      <c r="P445" s="5"/>
      <c r="Q445" s="5"/>
      <c r="R445" s="5"/>
    </row>
    <row r="446" spans="1:18">
      <c r="A446" s="5"/>
      <c r="B446" s="5"/>
      <c r="C446" s="5"/>
      <c r="D446" s="5"/>
      <c r="E446" s="5"/>
      <c r="F446" s="5"/>
      <c r="G446" s="5"/>
      <c r="H446" s="5"/>
      <c r="I446" s="5"/>
      <c r="J446" s="5"/>
      <c r="K446" s="5"/>
      <c r="L446" s="5"/>
      <c r="M446" s="5"/>
      <c r="N446" s="5"/>
      <c r="O446" s="5"/>
      <c r="P446" s="5"/>
      <c r="Q446" s="5"/>
      <c r="R446" s="5"/>
    </row>
    <row r="447" spans="1:18">
      <c r="A447" s="5"/>
      <c r="B447" s="5"/>
      <c r="C447" s="5"/>
      <c r="D447" s="5"/>
      <c r="E447" s="5"/>
      <c r="F447" s="5"/>
      <c r="G447" s="5"/>
      <c r="H447" s="5"/>
      <c r="I447" s="5"/>
      <c r="J447" s="5"/>
      <c r="K447" s="5"/>
      <c r="L447" s="5"/>
      <c r="M447" s="5"/>
      <c r="N447" s="5"/>
      <c r="O447" s="5"/>
      <c r="P447" s="5"/>
      <c r="Q447" s="5"/>
      <c r="R447" s="5"/>
    </row>
    <row r="448" spans="1:18">
      <c r="A448" s="5"/>
      <c r="B448" s="5"/>
      <c r="C448" s="5"/>
      <c r="D448" s="5"/>
      <c r="E448" s="5"/>
      <c r="F448" s="5"/>
      <c r="G448" s="5"/>
      <c r="H448" s="5"/>
      <c r="I448" s="5"/>
      <c r="J448" s="5"/>
      <c r="K448" s="5"/>
      <c r="L448" s="5"/>
      <c r="M448" s="5"/>
      <c r="N448" s="5"/>
      <c r="O448" s="5"/>
      <c r="P448" s="5"/>
      <c r="Q448" s="5"/>
      <c r="R448" s="5"/>
    </row>
    <row r="449" spans="1:18">
      <c r="A449" s="5"/>
      <c r="B449" s="5"/>
      <c r="C449" s="5"/>
      <c r="D449" s="5"/>
      <c r="E449" s="5"/>
      <c r="F449" s="5"/>
      <c r="G449" s="5"/>
      <c r="H449" s="5"/>
      <c r="I449" s="5"/>
      <c r="J449" s="5"/>
      <c r="K449" s="5"/>
      <c r="L449" s="5"/>
      <c r="M449" s="5"/>
      <c r="N449" s="5"/>
      <c r="O449" s="5"/>
      <c r="P449" s="5"/>
      <c r="Q449" s="5"/>
      <c r="R449" s="5"/>
    </row>
    <row r="450" spans="1:18">
      <c r="A450" s="5"/>
      <c r="B450" s="5"/>
      <c r="C450" s="5"/>
      <c r="D450" s="5"/>
      <c r="E450" s="5"/>
      <c r="F450" s="5"/>
      <c r="G450" s="5"/>
      <c r="H450" s="5"/>
      <c r="I450" s="5"/>
      <c r="J450" s="5"/>
      <c r="K450" s="5"/>
      <c r="L450" s="5"/>
      <c r="M450" s="5"/>
      <c r="N450" s="5"/>
      <c r="O450" s="5"/>
      <c r="P450" s="5"/>
      <c r="Q450" s="5"/>
      <c r="R450" s="5"/>
    </row>
    <row r="451" spans="1:18">
      <c r="A451" s="5"/>
      <c r="B451" s="5"/>
      <c r="C451" s="5"/>
      <c r="D451" s="5"/>
      <c r="E451" s="5"/>
      <c r="F451" s="5"/>
      <c r="G451" s="5"/>
      <c r="H451" s="5"/>
      <c r="I451" s="5"/>
      <c r="J451" s="5"/>
      <c r="K451" s="5"/>
      <c r="L451" s="5"/>
      <c r="M451" s="5"/>
      <c r="N451" s="5"/>
      <c r="O451" s="5"/>
      <c r="P451" s="5"/>
      <c r="Q451" s="5"/>
      <c r="R451" s="5"/>
    </row>
    <row r="452" spans="1:18">
      <c r="A452" s="5"/>
      <c r="B452" s="5"/>
      <c r="C452" s="5"/>
      <c r="D452" s="5"/>
      <c r="E452" s="5"/>
      <c r="F452" s="5"/>
      <c r="G452" s="5"/>
      <c r="H452" s="5"/>
      <c r="I452" s="5"/>
      <c r="J452" s="5"/>
      <c r="K452" s="5"/>
      <c r="L452" s="5"/>
      <c r="M452" s="5"/>
      <c r="N452" s="5"/>
      <c r="O452" s="5"/>
      <c r="P452" s="5"/>
      <c r="Q452" s="5"/>
      <c r="R452" s="5"/>
    </row>
    <row r="453" spans="1:18">
      <c r="A453" s="5"/>
      <c r="B453" s="5"/>
      <c r="C453" s="5"/>
      <c r="D453" s="5"/>
      <c r="E453" s="5"/>
      <c r="F453" s="5"/>
      <c r="G453" s="5"/>
      <c r="H453" s="5"/>
      <c r="I453" s="5"/>
      <c r="J453" s="5"/>
      <c r="K453" s="5"/>
      <c r="L453" s="5"/>
      <c r="M453" s="5"/>
      <c r="N453" s="5"/>
      <c r="O453" s="5"/>
      <c r="P453" s="5"/>
      <c r="Q453" s="5"/>
      <c r="R453" s="5"/>
    </row>
    <row r="454" spans="1:18">
      <c r="A454" s="5"/>
      <c r="B454" s="5"/>
      <c r="C454" s="5"/>
      <c r="D454" s="5"/>
      <c r="E454" s="5"/>
      <c r="F454" s="5"/>
      <c r="G454" s="5"/>
      <c r="H454" s="5"/>
      <c r="I454" s="5"/>
      <c r="J454" s="5"/>
      <c r="K454" s="5"/>
      <c r="L454" s="5"/>
      <c r="M454" s="5"/>
      <c r="N454" s="5"/>
      <c r="O454" s="5"/>
      <c r="P454" s="5"/>
      <c r="Q454" s="5"/>
      <c r="R454" s="5"/>
    </row>
    <row r="455" spans="1:18">
      <c r="A455" s="5"/>
      <c r="B455" s="5"/>
      <c r="C455" s="5"/>
      <c r="D455" s="5"/>
      <c r="E455" s="5"/>
      <c r="F455" s="5"/>
      <c r="G455" s="5"/>
      <c r="H455" s="5"/>
      <c r="I455" s="5"/>
      <c r="J455" s="5"/>
      <c r="K455" s="5"/>
      <c r="L455" s="5"/>
      <c r="M455" s="5"/>
      <c r="N455" s="5"/>
      <c r="O455" s="5"/>
      <c r="P455" s="5"/>
      <c r="Q455" s="5"/>
      <c r="R455" s="5"/>
    </row>
    <row r="456" spans="1:18">
      <c r="A456" s="5"/>
      <c r="B456" s="5"/>
      <c r="C456" s="5"/>
      <c r="D456" s="5"/>
      <c r="E456" s="5"/>
      <c r="F456" s="5"/>
      <c r="G456" s="5"/>
      <c r="H456" s="5"/>
      <c r="I456" s="5"/>
      <c r="J456" s="5"/>
      <c r="K456" s="5"/>
      <c r="L456" s="5"/>
      <c r="M456" s="5"/>
      <c r="N456" s="5"/>
      <c r="O456" s="5"/>
      <c r="P456" s="5"/>
      <c r="Q456" s="5"/>
      <c r="R456" s="5"/>
    </row>
    <row r="457" spans="1:18">
      <c r="A457" s="5"/>
      <c r="B457" s="5"/>
      <c r="C457" s="5"/>
      <c r="D457" s="5"/>
      <c r="E457" s="5"/>
      <c r="F457" s="5"/>
      <c r="G457" s="5"/>
      <c r="H457" s="5"/>
      <c r="I457" s="5"/>
      <c r="J457" s="5"/>
      <c r="K457" s="5"/>
      <c r="L457" s="5"/>
      <c r="M457" s="5"/>
      <c r="N457" s="5"/>
      <c r="O457" s="5"/>
      <c r="P457" s="5"/>
      <c r="Q457" s="5"/>
      <c r="R457" s="5"/>
    </row>
    <row r="458" spans="1:18">
      <c r="A458" s="5"/>
      <c r="B458" s="5"/>
      <c r="C458" s="5"/>
      <c r="D458" s="5"/>
      <c r="E458" s="5"/>
      <c r="F458" s="5"/>
      <c r="G458" s="5"/>
      <c r="H458" s="5"/>
      <c r="I458" s="5"/>
      <c r="J458" s="5"/>
      <c r="K458" s="5"/>
      <c r="L458" s="5"/>
      <c r="M458" s="5"/>
      <c r="N458" s="5"/>
      <c r="O458" s="5"/>
      <c r="P458" s="5"/>
      <c r="Q458" s="5"/>
      <c r="R458" s="5"/>
    </row>
    <row r="459" spans="1:18">
      <c r="A459" s="5"/>
      <c r="B459" s="5"/>
      <c r="C459" s="5"/>
      <c r="D459" s="5"/>
      <c r="E459" s="5"/>
      <c r="F459" s="5"/>
      <c r="G459" s="5"/>
      <c r="H459" s="5"/>
      <c r="I459" s="5"/>
      <c r="J459" s="5"/>
      <c r="K459" s="5"/>
      <c r="L459" s="5"/>
      <c r="M459" s="5"/>
      <c r="N459" s="5"/>
      <c r="O459" s="5"/>
      <c r="P459" s="5"/>
      <c r="Q459" s="5"/>
      <c r="R459" s="5"/>
    </row>
    <row r="460" spans="1:18">
      <c r="A460" s="5"/>
      <c r="B460" s="5"/>
      <c r="C460" s="5"/>
      <c r="D460" s="5"/>
      <c r="E460" s="5"/>
      <c r="F460" s="5"/>
      <c r="G460" s="5"/>
      <c r="H460" s="5"/>
      <c r="I460" s="5"/>
      <c r="J460" s="5"/>
      <c r="K460" s="5"/>
      <c r="L460" s="5"/>
      <c r="M460" s="5"/>
      <c r="N460" s="5"/>
      <c r="O460" s="5"/>
      <c r="P460" s="5"/>
      <c r="Q460" s="5"/>
      <c r="R460" s="5"/>
    </row>
    <row r="461" spans="1:18">
      <c r="A461" s="5"/>
      <c r="B461" s="5"/>
      <c r="C461" s="5"/>
      <c r="D461" s="5"/>
      <c r="E461" s="5"/>
      <c r="F461" s="5"/>
      <c r="G461" s="5"/>
      <c r="H461" s="5"/>
      <c r="I461" s="5"/>
      <c r="J461" s="5"/>
      <c r="K461" s="5"/>
      <c r="L461" s="5"/>
      <c r="M461" s="5"/>
      <c r="N461" s="5"/>
      <c r="O461" s="5"/>
      <c r="P461" s="5"/>
      <c r="Q461" s="5"/>
      <c r="R461" s="5"/>
    </row>
    <row r="462" spans="1:18">
      <c r="A462" s="5"/>
      <c r="B462" s="5"/>
      <c r="C462" s="5"/>
      <c r="D462" s="5"/>
      <c r="E462" s="5"/>
      <c r="F462" s="5"/>
      <c r="G462" s="5"/>
      <c r="H462" s="5"/>
      <c r="I462" s="5"/>
      <c r="J462" s="5"/>
      <c r="K462" s="5"/>
      <c r="L462" s="5"/>
      <c r="M462" s="5"/>
      <c r="N462" s="5"/>
      <c r="O462" s="5"/>
      <c r="P462" s="5"/>
      <c r="Q462" s="5"/>
      <c r="R462" s="5"/>
    </row>
    <row r="463" spans="1:18">
      <c r="A463" s="5"/>
      <c r="B463" s="5"/>
      <c r="C463" s="5"/>
      <c r="D463" s="5"/>
      <c r="E463" s="5"/>
      <c r="F463" s="5"/>
      <c r="G463" s="5"/>
      <c r="H463" s="5"/>
      <c r="I463" s="5"/>
      <c r="J463" s="5"/>
      <c r="K463" s="5"/>
      <c r="L463" s="5"/>
      <c r="M463" s="5"/>
      <c r="N463" s="5"/>
      <c r="O463" s="5"/>
      <c r="P463" s="5"/>
      <c r="Q463" s="5"/>
      <c r="R463" s="5"/>
    </row>
    <row r="464" spans="1:18">
      <c r="A464" s="5"/>
      <c r="B464" s="5"/>
      <c r="C464" s="5"/>
      <c r="D464" s="5"/>
      <c r="E464" s="5"/>
      <c r="F464" s="5"/>
      <c r="G464" s="5"/>
      <c r="H464" s="5"/>
      <c r="I464" s="5"/>
      <c r="J464" s="5"/>
      <c r="K464" s="5"/>
      <c r="L464" s="5"/>
      <c r="M464" s="5"/>
      <c r="N464" s="5"/>
      <c r="O464" s="5"/>
      <c r="P464" s="5"/>
      <c r="Q464" s="5"/>
      <c r="R464" s="5"/>
    </row>
    <row r="465" spans="1:18">
      <c r="A465" s="5"/>
      <c r="B465" s="5"/>
      <c r="C465" s="5"/>
      <c r="D465" s="5"/>
      <c r="E465" s="5"/>
      <c r="F465" s="5"/>
      <c r="G465" s="5"/>
      <c r="H465" s="5"/>
      <c r="I465" s="5"/>
      <c r="J465" s="5"/>
      <c r="K465" s="5"/>
      <c r="L465" s="5"/>
      <c r="M465" s="5"/>
      <c r="N465" s="5"/>
      <c r="O465" s="5"/>
      <c r="P465" s="5"/>
      <c r="Q465" s="5"/>
      <c r="R465" s="5"/>
    </row>
    <row r="466" spans="1:18">
      <c r="A466" s="5"/>
      <c r="B466" s="5"/>
      <c r="C466" s="5"/>
      <c r="D466" s="5"/>
      <c r="E466" s="5"/>
      <c r="F466" s="5"/>
      <c r="G466" s="5"/>
      <c r="H466" s="5"/>
      <c r="I466" s="5"/>
      <c r="J466" s="5"/>
      <c r="K466" s="5"/>
      <c r="L466" s="5"/>
      <c r="M466" s="5"/>
      <c r="N466" s="5"/>
      <c r="O466" s="5"/>
      <c r="P466" s="5"/>
      <c r="Q466" s="5"/>
      <c r="R466" s="5"/>
    </row>
    <row r="467" spans="1:18">
      <c r="A467" s="5"/>
      <c r="B467" s="5"/>
      <c r="C467" s="5"/>
      <c r="D467" s="5"/>
      <c r="E467" s="5"/>
      <c r="F467" s="5"/>
      <c r="G467" s="5"/>
      <c r="H467" s="5"/>
      <c r="I467" s="5"/>
      <c r="J467" s="5"/>
      <c r="K467" s="5"/>
      <c r="L467" s="5"/>
      <c r="M467" s="5"/>
      <c r="N467" s="5"/>
      <c r="O467" s="5"/>
      <c r="P467" s="5"/>
      <c r="Q467" s="5"/>
      <c r="R467" s="5"/>
    </row>
    <row r="468" spans="1:18">
      <c r="A468" s="5"/>
      <c r="B468" s="5"/>
      <c r="C468" s="5"/>
      <c r="D468" s="5"/>
      <c r="E468" s="5"/>
      <c r="F468" s="5"/>
      <c r="G468" s="5"/>
      <c r="H468" s="5"/>
      <c r="I468" s="5"/>
      <c r="J468" s="5"/>
      <c r="K468" s="5"/>
      <c r="L468" s="5"/>
      <c r="M468" s="5"/>
      <c r="N468" s="5"/>
      <c r="O468" s="5"/>
      <c r="P468" s="5"/>
      <c r="Q468" s="5"/>
      <c r="R468" s="5"/>
    </row>
    <row r="469" spans="1:18">
      <c r="A469" s="5"/>
      <c r="B469" s="5"/>
      <c r="C469" s="5"/>
      <c r="D469" s="5"/>
      <c r="E469" s="5"/>
      <c r="F469" s="5"/>
      <c r="G469" s="5"/>
      <c r="H469" s="5"/>
      <c r="I469" s="5"/>
      <c r="J469" s="5"/>
      <c r="K469" s="5"/>
      <c r="L469" s="5"/>
      <c r="M469" s="5"/>
      <c r="N469" s="5"/>
      <c r="O469" s="5"/>
      <c r="P469" s="5"/>
      <c r="Q469" s="5"/>
      <c r="R469" s="5"/>
    </row>
    <row r="470" spans="1:18">
      <c r="A470" s="5"/>
      <c r="B470" s="5"/>
      <c r="C470" s="5"/>
      <c r="D470" s="5"/>
      <c r="E470" s="5"/>
      <c r="F470" s="5"/>
      <c r="G470" s="5"/>
      <c r="H470" s="5"/>
      <c r="I470" s="5"/>
      <c r="J470" s="5"/>
      <c r="K470" s="5"/>
      <c r="L470" s="5"/>
      <c r="M470" s="5"/>
      <c r="N470" s="5"/>
      <c r="O470" s="5"/>
      <c r="P470" s="5"/>
      <c r="Q470" s="5"/>
      <c r="R470" s="5"/>
    </row>
    <row r="471" spans="1:18">
      <c r="A471" s="5"/>
      <c r="B471" s="5"/>
      <c r="C471" s="5"/>
      <c r="D471" s="5"/>
      <c r="E471" s="5"/>
      <c r="F471" s="5"/>
      <c r="G471" s="5"/>
      <c r="H471" s="5"/>
      <c r="I471" s="5"/>
      <c r="J471" s="5"/>
      <c r="K471" s="5"/>
      <c r="L471" s="5"/>
      <c r="M471" s="5"/>
      <c r="N471" s="5"/>
      <c r="O471" s="5"/>
      <c r="P471" s="5"/>
      <c r="Q471" s="5"/>
      <c r="R471" s="5"/>
    </row>
    <row r="472" spans="1:18">
      <c r="A472" s="5"/>
      <c r="B472" s="5"/>
      <c r="C472" s="5"/>
      <c r="D472" s="5"/>
      <c r="E472" s="5"/>
      <c r="F472" s="5"/>
      <c r="G472" s="5"/>
      <c r="H472" s="5"/>
      <c r="I472" s="5"/>
      <c r="J472" s="5"/>
      <c r="K472" s="5"/>
      <c r="L472" s="5"/>
      <c r="M472" s="5"/>
      <c r="N472" s="5"/>
      <c r="O472" s="5"/>
      <c r="P472" s="5"/>
      <c r="Q472" s="5"/>
      <c r="R472" s="5"/>
    </row>
    <row r="473" spans="1:18">
      <c r="A473" s="5"/>
      <c r="B473" s="5"/>
      <c r="C473" s="5"/>
      <c r="D473" s="5"/>
      <c r="E473" s="5"/>
      <c r="F473" s="5"/>
      <c r="G473" s="5"/>
      <c r="H473" s="5"/>
      <c r="I473" s="5"/>
      <c r="J473" s="5"/>
      <c r="K473" s="5"/>
      <c r="L473" s="5"/>
      <c r="M473" s="5"/>
      <c r="N473" s="5"/>
      <c r="O473" s="5"/>
      <c r="P473" s="5"/>
      <c r="Q473" s="5"/>
      <c r="R473" s="5"/>
    </row>
    <row r="474" spans="1:18">
      <c r="A474" s="5"/>
      <c r="B474" s="5"/>
      <c r="C474" s="5"/>
      <c r="D474" s="5"/>
      <c r="E474" s="5"/>
      <c r="F474" s="5"/>
      <c r="G474" s="5"/>
      <c r="H474" s="5"/>
      <c r="I474" s="5"/>
      <c r="J474" s="5"/>
      <c r="K474" s="5"/>
      <c r="L474" s="5"/>
      <c r="M474" s="5"/>
      <c r="N474" s="5"/>
      <c r="O474" s="5"/>
      <c r="P474" s="5"/>
      <c r="Q474" s="5"/>
      <c r="R474" s="5"/>
    </row>
    <row r="475" spans="1:18">
      <c r="A475" s="5"/>
      <c r="B475" s="5"/>
      <c r="C475" s="5"/>
      <c r="D475" s="5"/>
      <c r="E475" s="5"/>
      <c r="F475" s="5"/>
      <c r="G475" s="5"/>
      <c r="H475" s="5"/>
      <c r="I475" s="5"/>
      <c r="J475" s="5"/>
      <c r="K475" s="5"/>
      <c r="L475" s="5"/>
      <c r="M475" s="5"/>
      <c r="N475" s="5"/>
      <c r="O475" s="5"/>
      <c r="P475" s="5"/>
      <c r="Q475" s="5"/>
      <c r="R475" s="5"/>
    </row>
    <row r="476" spans="1:18">
      <c r="A476" s="5"/>
      <c r="B476" s="5"/>
      <c r="C476" s="5"/>
      <c r="D476" s="5"/>
      <c r="E476" s="5"/>
      <c r="F476" s="5"/>
      <c r="G476" s="5"/>
      <c r="H476" s="5"/>
      <c r="I476" s="5"/>
      <c r="J476" s="5"/>
      <c r="K476" s="5"/>
      <c r="L476" s="5"/>
      <c r="M476" s="5"/>
      <c r="N476" s="5"/>
      <c r="O476" s="5"/>
      <c r="P476" s="5"/>
      <c r="Q476" s="5"/>
      <c r="R476" s="5"/>
    </row>
    <row r="477" spans="1:18">
      <c r="A477" s="5"/>
      <c r="B477" s="5"/>
      <c r="C477" s="5"/>
      <c r="D477" s="5"/>
      <c r="E477" s="5"/>
      <c r="F477" s="5"/>
      <c r="G477" s="5"/>
      <c r="H477" s="5"/>
      <c r="I477" s="5"/>
      <c r="J477" s="5"/>
      <c r="K477" s="5"/>
      <c r="L477" s="5"/>
      <c r="M477" s="5"/>
      <c r="N477" s="5"/>
      <c r="O477" s="5"/>
      <c r="P477" s="5"/>
      <c r="Q477" s="5"/>
      <c r="R477" s="5"/>
    </row>
    <row r="478" spans="1:18">
      <c r="A478" s="5"/>
      <c r="B478" s="5"/>
      <c r="C478" s="5"/>
      <c r="D478" s="5"/>
      <c r="E478" s="5"/>
      <c r="F478" s="5"/>
      <c r="G478" s="5"/>
      <c r="H478" s="5"/>
      <c r="I478" s="5"/>
      <c r="J478" s="5"/>
      <c r="K478" s="5"/>
      <c r="L478" s="5"/>
      <c r="M478" s="5"/>
      <c r="N478" s="5"/>
      <c r="O478" s="5"/>
      <c r="P478" s="5"/>
      <c r="Q478" s="5"/>
      <c r="R478" s="5"/>
    </row>
    <row r="479" spans="1:18">
      <c r="A479" s="5"/>
      <c r="B479" s="5"/>
      <c r="C479" s="5"/>
      <c r="D479" s="5"/>
      <c r="E479" s="5"/>
      <c r="F479" s="5"/>
      <c r="G479" s="5"/>
      <c r="H479" s="5"/>
      <c r="I479" s="5"/>
      <c r="J479" s="5"/>
      <c r="K479" s="5"/>
      <c r="L479" s="5"/>
      <c r="M479" s="5"/>
      <c r="N479" s="5"/>
      <c r="O479" s="5"/>
      <c r="P479" s="5"/>
      <c r="Q479" s="5"/>
      <c r="R479" s="5"/>
    </row>
    <row r="480" spans="1:18">
      <c r="A480" s="5"/>
      <c r="B480" s="5"/>
      <c r="C480" s="5"/>
      <c r="D480" s="5"/>
      <c r="E480" s="5"/>
      <c r="F480" s="5"/>
      <c r="G480" s="5"/>
      <c r="H480" s="5"/>
      <c r="I480" s="5"/>
      <c r="J480" s="5"/>
      <c r="K480" s="5"/>
      <c r="L480" s="5"/>
      <c r="M480" s="5"/>
      <c r="N480" s="5"/>
      <c r="O480" s="5"/>
      <c r="P480" s="5"/>
      <c r="Q480" s="5"/>
      <c r="R480" s="5"/>
    </row>
    <row r="481" spans="1:18">
      <c r="A481" s="5"/>
      <c r="B481" s="5"/>
      <c r="C481" s="5"/>
      <c r="D481" s="5"/>
      <c r="E481" s="5"/>
      <c r="F481" s="5"/>
      <c r="G481" s="5"/>
      <c r="H481" s="5"/>
      <c r="I481" s="5"/>
      <c r="J481" s="5"/>
      <c r="K481" s="5"/>
      <c r="L481" s="5"/>
      <c r="M481" s="5"/>
      <c r="N481" s="5"/>
      <c r="O481" s="5"/>
      <c r="P481" s="5"/>
      <c r="Q481" s="5"/>
      <c r="R481" s="5"/>
    </row>
    <row r="482" spans="1:18">
      <c r="A482" s="5"/>
      <c r="B482" s="5"/>
      <c r="C482" s="5"/>
      <c r="D482" s="5"/>
      <c r="E482" s="5"/>
      <c r="F482" s="5"/>
      <c r="G482" s="5"/>
      <c r="H482" s="5"/>
      <c r="I482" s="5"/>
      <c r="J482" s="5"/>
      <c r="K482" s="5"/>
      <c r="L482" s="5"/>
      <c r="M482" s="5"/>
      <c r="N482" s="5"/>
      <c r="O482" s="5"/>
      <c r="P482" s="5"/>
      <c r="Q482" s="5"/>
      <c r="R482" s="5"/>
    </row>
    <row r="483" spans="1:18">
      <c r="A483" s="5"/>
      <c r="B483" s="5"/>
      <c r="C483" s="5"/>
      <c r="D483" s="5"/>
      <c r="E483" s="5"/>
      <c r="F483" s="5"/>
      <c r="G483" s="5"/>
      <c r="H483" s="5"/>
      <c r="I483" s="5"/>
      <c r="J483" s="5"/>
      <c r="K483" s="5"/>
      <c r="L483" s="5"/>
      <c r="M483" s="5"/>
      <c r="N483" s="5"/>
      <c r="O483" s="5"/>
      <c r="P483" s="5"/>
      <c r="Q483" s="5"/>
      <c r="R483" s="5"/>
    </row>
    <row r="484" spans="1:18">
      <c r="A484" s="5"/>
      <c r="B484" s="5"/>
      <c r="C484" s="5"/>
      <c r="D484" s="5"/>
      <c r="E484" s="5"/>
      <c r="F484" s="5"/>
      <c r="G484" s="5"/>
      <c r="H484" s="5"/>
      <c r="I484" s="5"/>
      <c r="J484" s="5"/>
      <c r="K484" s="5"/>
      <c r="L484" s="5"/>
      <c r="M484" s="5"/>
      <c r="N484" s="5"/>
      <c r="O484" s="5"/>
      <c r="P484" s="5"/>
      <c r="Q484" s="5"/>
      <c r="R484" s="5"/>
    </row>
    <row r="485" spans="1:18">
      <c r="A485" s="5"/>
      <c r="B485" s="5"/>
      <c r="C485" s="5"/>
      <c r="D485" s="5"/>
      <c r="E485" s="5"/>
      <c r="F485" s="5"/>
      <c r="G485" s="5"/>
      <c r="H485" s="5"/>
      <c r="I485" s="5"/>
      <c r="J485" s="5"/>
      <c r="K485" s="5"/>
      <c r="L485" s="5"/>
      <c r="M485" s="5"/>
      <c r="N485" s="5"/>
      <c r="O485" s="5"/>
      <c r="P485" s="5"/>
      <c r="Q485" s="5"/>
      <c r="R485" s="5"/>
    </row>
    <row r="486" spans="1:18">
      <c r="A486" s="5"/>
      <c r="B486" s="5"/>
      <c r="C486" s="5"/>
      <c r="D486" s="5"/>
      <c r="E486" s="5"/>
      <c r="F486" s="5"/>
      <c r="G486" s="5"/>
      <c r="H486" s="5"/>
      <c r="I486" s="5"/>
      <c r="J486" s="5"/>
      <c r="K486" s="5"/>
      <c r="L486" s="5"/>
      <c r="M486" s="5"/>
      <c r="N486" s="5"/>
      <c r="O486" s="5"/>
      <c r="P486" s="5"/>
      <c r="Q486" s="5"/>
      <c r="R486" s="5"/>
    </row>
    <row r="487" spans="1:18">
      <c r="A487" s="5"/>
      <c r="B487" s="5"/>
      <c r="C487" s="5"/>
      <c r="D487" s="5"/>
      <c r="E487" s="5"/>
      <c r="F487" s="5"/>
      <c r="G487" s="5"/>
      <c r="H487" s="5"/>
      <c r="I487" s="5"/>
      <c r="J487" s="5"/>
      <c r="K487" s="5"/>
      <c r="L487" s="5"/>
      <c r="M487" s="5"/>
      <c r="N487" s="5"/>
      <c r="O487" s="5"/>
      <c r="P487" s="5"/>
      <c r="Q487" s="5"/>
      <c r="R487" s="5"/>
    </row>
    <row r="488" spans="1:18">
      <c r="A488" s="5"/>
      <c r="B488" s="5"/>
      <c r="C488" s="5"/>
      <c r="D488" s="5"/>
      <c r="E488" s="5"/>
      <c r="F488" s="5"/>
      <c r="G488" s="5"/>
      <c r="H488" s="5"/>
      <c r="I488" s="5"/>
      <c r="J488" s="5"/>
      <c r="K488" s="5"/>
      <c r="L488" s="5"/>
      <c r="M488" s="5"/>
      <c r="N488" s="5"/>
      <c r="O488" s="5"/>
      <c r="P488" s="5"/>
      <c r="Q488" s="5"/>
      <c r="R488" s="5"/>
    </row>
    <row r="489" spans="1:18">
      <c r="A489" s="5"/>
      <c r="B489" s="5"/>
      <c r="C489" s="5"/>
      <c r="D489" s="5"/>
      <c r="E489" s="5"/>
      <c r="F489" s="5"/>
      <c r="G489" s="5"/>
      <c r="H489" s="5"/>
      <c r="I489" s="5"/>
      <c r="J489" s="5"/>
      <c r="K489" s="5"/>
      <c r="L489" s="5"/>
      <c r="M489" s="5"/>
      <c r="N489" s="5"/>
      <c r="O489" s="5"/>
      <c r="P489" s="5"/>
      <c r="Q489" s="5"/>
      <c r="R489" s="5"/>
    </row>
    <row r="490" spans="1:18">
      <c r="A490" s="5"/>
      <c r="B490" s="5"/>
      <c r="C490" s="5"/>
      <c r="D490" s="5"/>
      <c r="E490" s="5"/>
      <c r="F490" s="5"/>
      <c r="G490" s="5"/>
      <c r="H490" s="5"/>
      <c r="I490" s="5"/>
      <c r="J490" s="5"/>
      <c r="K490" s="5"/>
      <c r="L490" s="5"/>
      <c r="M490" s="5"/>
      <c r="N490" s="5"/>
      <c r="O490" s="5"/>
      <c r="P490" s="5"/>
      <c r="Q490" s="5"/>
      <c r="R490" s="5"/>
    </row>
    <row r="491" spans="1:18">
      <c r="A491" s="5"/>
      <c r="B491" s="5"/>
      <c r="C491" s="5"/>
      <c r="D491" s="5"/>
      <c r="E491" s="5"/>
      <c r="F491" s="5"/>
      <c r="G491" s="5"/>
      <c r="H491" s="5"/>
      <c r="I491" s="5"/>
      <c r="J491" s="5"/>
      <c r="K491" s="5"/>
      <c r="L491" s="5"/>
      <c r="M491" s="5"/>
      <c r="N491" s="5"/>
      <c r="O491" s="5"/>
      <c r="P491" s="5"/>
      <c r="Q491" s="5"/>
      <c r="R491" s="5"/>
    </row>
    <row r="492" spans="1:18">
      <c r="A492" s="5"/>
      <c r="B492" s="5"/>
      <c r="C492" s="5"/>
      <c r="D492" s="5"/>
      <c r="E492" s="5"/>
      <c r="F492" s="5"/>
      <c r="G492" s="5"/>
      <c r="H492" s="5"/>
      <c r="I492" s="5"/>
      <c r="J492" s="5"/>
      <c r="K492" s="5"/>
      <c r="L492" s="5"/>
      <c r="M492" s="5"/>
      <c r="N492" s="5"/>
      <c r="O492" s="5"/>
      <c r="P492" s="5"/>
      <c r="Q492" s="5"/>
      <c r="R492" s="5"/>
    </row>
    <row r="493" spans="1:18">
      <c r="A493" s="5"/>
      <c r="B493" s="5"/>
      <c r="C493" s="5"/>
      <c r="D493" s="5"/>
      <c r="E493" s="5"/>
      <c r="F493" s="5"/>
      <c r="G493" s="5"/>
      <c r="H493" s="5"/>
      <c r="I493" s="5"/>
      <c r="J493" s="5"/>
      <c r="K493" s="5"/>
      <c r="L493" s="5"/>
      <c r="M493" s="5"/>
      <c r="N493" s="5"/>
      <c r="O493" s="5"/>
      <c r="P493" s="5"/>
      <c r="Q493" s="5"/>
      <c r="R493" s="5"/>
    </row>
    <row r="494" spans="1:18">
      <c r="A494" s="5"/>
      <c r="B494" s="5"/>
      <c r="C494" s="5"/>
      <c r="D494" s="5"/>
      <c r="E494" s="5"/>
      <c r="F494" s="5"/>
      <c r="G494" s="5"/>
      <c r="H494" s="5"/>
      <c r="I494" s="5"/>
      <c r="J494" s="5"/>
      <c r="K494" s="5"/>
      <c r="L494" s="5"/>
      <c r="M494" s="5"/>
      <c r="N494" s="5"/>
      <c r="O494" s="5"/>
      <c r="P494" s="5"/>
      <c r="Q494" s="5"/>
      <c r="R494" s="5"/>
    </row>
    <row r="495" spans="1:18">
      <c r="A495" s="5"/>
      <c r="B495" s="5"/>
      <c r="C495" s="5"/>
      <c r="D495" s="5"/>
      <c r="E495" s="5"/>
      <c r="F495" s="5"/>
      <c r="G495" s="5"/>
      <c r="H495" s="5"/>
      <c r="I495" s="5"/>
      <c r="J495" s="5"/>
      <c r="K495" s="5"/>
      <c r="L495" s="5"/>
      <c r="M495" s="5"/>
      <c r="N495" s="5"/>
      <c r="O495" s="5"/>
      <c r="P495" s="5"/>
      <c r="Q495" s="5"/>
      <c r="R495" s="5"/>
    </row>
    <row r="496" spans="1:18">
      <c r="A496" s="5"/>
      <c r="B496" s="5"/>
      <c r="C496" s="5"/>
      <c r="D496" s="5"/>
      <c r="E496" s="5"/>
      <c r="F496" s="5"/>
      <c r="G496" s="5"/>
      <c r="H496" s="5"/>
      <c r="I496" s="5"/>
      <c r="J496" s="5"/>
      <c r="K496" s="5"/>
      <c r="L496" s="5"/>
      <c r="M496" s="5"/>
      <c r="N496" s="5"/>
      <c r="O496" s="5"/>
      <c r="P496" s="5"/>
      <c r="Q496" s="5"/>
      <c r="R496" s="5"/>
    </row>
    <row r="497" spans="1:18">
      <c r="A497" s="5"/>
      <c r="B497" s="5"/>
      <c r="C497" s="5"/>
      <c r="D497" s="5"/>
      <c r="E497" s="5"/>
      <c r="F497" s="5"/>
      <c r="G497" s="5"/>
      <c r="H497" s="5"/>
      <c r="I497" s="5"/>
      <c r="J497" s="5"/>
      <c r="K497" s="5"/>
      <c r="L497" s="5"/>
      <c r="M497" s="5"/>
      <c r="N497" s="5"/>
      <c r="O497" s="5"/>
      <c r="P497" s="5"/>
      <c r="Q497" s="5"/>
      <c r="R497" s="5"/>
    </row>
    <row r="498" spans="1:18">
      <c r="A498" s="5"/>
      <c r="B498" s="5"/>
      <c r="C498" s="5"/>
      <c r="D498" s="5"/>
      <c r="E498" s="5"/>
      <c r="F498" s="5"/>
      <c r="G498" s="5"/>
      <c r="H498" s="5"/>
      <c r="I498" s="5"/>
      <c r="J498" s="5"/>
      <c r="K498" s="5"/>
      <c r="L498" s="5"/>
      <c r="M498" s="5"/>
      <c r="N498" s="5"/>
      <c r="O498" s="5"/>
      <c r="P498" s="5"/>
      <c r="Q498" s="5"/>
      <c r="R498" s="5"/>
    </row>
    <row r="499" spans="1:18">
      <c r="A499" s="5"/>
      <c r="B499" s="5"/>
      <c r="C499" s="5"/>
      <c r="D499" s="5"/>
      <c r="E499" s="5"/>
      <c r="F499" s="5"/>
      <c r="G499" s="5"/>
      <c r="H499" s="5"/>
      <c r="I499" s="5"/>
      <c r="J499" s="5"/>
      <c r="K499" s="5"/>
      <c r="L499" s="5"/>
      <c r="M499" s="5"/>
      <c r="N499" s="5"/>
      <c r="O499" s="5"/>
      <c r="P499" s="5"/>
      <c r="Q499" s="5"/>
      <c r="R499" s="5"/>
    </row>
    <row r="500" spans="1:18">
      <c r="A500" s="5"/>
      <c r="B500" s="5"/>
      <c r="C500" s="5"/>
      <c r="D500" s="5"/>
      <c r="E500" s="5"/>
      <c r="F500" s="5"/>
      <c r="G500" s="5"/>
      <c r="H500" s="5"/>
      <c r="I500" s="5"/>
      <c r="J500" s="5"/>
      <c r="K500" s="5"/>
      <c r="L500" s="5"/>
      <c r="M500" s="5"/>
      <c r="N500" s="5"/>
      <c r="O500" s="5"/>
      <c r="P500" s="5"/>
      <c r="Q500" s="5"/>
      <c r="R500" s="5"/>
    </row>
    <row r="501" spans="1:18">
      <c r="A501" s="5"/>
      <c r="B501" s="5"/>
      <c r="C501" s="5"/>
      <c r="D501" s="5"/>
      <c r="E501" s="5"/>
      <c r="F501" s="5"/>
      <c r="G501" s="5"/>
      <c r="H501" s="5"/>
      <c r="I501" s="5"/>
      <c r="J501" s="5"/>
      <c r="K501" s="5"/>
      <c r="L501" s="5"/>
      <c r="M501" s="5"/>
      <c r="N501" s="5"/>
      <c r="O501" s="5"/>
      <c r="P501" s="5"/>
      <c r="Q501" s="5"/>
      <c r="R501" s="5"/>
    </row>
    <row r="502" spans="1:18">
      <c r="A502" s="5"/>
      <c r="B502" s="5"/>
      <c r="C502" s="5"/>
      <c r="D502" s="5"/>
      <c r="E502" s="5"/>
      <c r="F502" s="5"/>
      <c r="G502" s="5"/>
      <c r="H502" s="5"/>
      <c r="I502" s="5"/>
      <c r="J502" s="5"/>
      <c r="K502" s="5"/>
      <c r="L502" s="5"/>
      <c r="M502" s="5"/>
      <c r="N502" s="5"/>
      <c r="O502" s="5"/>
      <c r="P502" s="5"/>
      <c r="Q502" s="5"/>
      <c r="R502" s="5"/>
    </row>
    <row r="503" spans="1:18">
      <c r="A503" s="5"/>
      <c r="B503" s="5"/>
      <c r="C503" s="5"/>
      <c r="D503" s="5"/>
      <c r="E503" s="5"/>
      <c r="F503" s="5"/>
      <c r="G503" s="5"/>
      <c r="H503" s="5"/>
      <c r="I503" s="5"/>
      <c r="J503" s="5"/>
      <c r="K503" s="5"/>
      <c r="L503" s="5"/>
      <c r="M503" s="5"/>
      <c r="N503" s="5"/>
      <c r="O503" s="5"/>
      <c r="P503" s="5"/>
      <c r="Q503" s="5"/>
      <c r="R503" s="5"/>
    </row>
    <row r="504" spans="1:18">
      <c r="A504" s="5"/>
      <c r="B504" s="5"/>
      <c r="C504" s="5"/>
      <c r="D504" s="5"/>
      <c r="E504" s="5"/>
      <c r="F504" s="5"/>
      <c r="G504" s="5"/>
      <c r="H504" s="5"/>
      <c r="I504" s="5"/>
      <c r="J504" s="5"/>
      <c r="K504" s="5"/>
      <c r="L504" s="5"/>
      <c r="M504" s="5"/>
      <c r="N504" s="5"/>
      <c r="O504" s="5"/>
      <c r="P504" s="5"/>
      <c r="Q504" s="5"/>
      <c r="R504" s="5"/>
    </row>
    <row r="505" spans="1:18">
      <c r="A505" s="5"/>
      <c r="B505" s="5"/>
      <c r="C505" s="5"/>
      <c r="D505" s="5"/>
      <c r="E505" s="5"/>
      <c r="F505" s="5"/>
      <c r="G505" s="5"/>
      <c r="H505" s="5"/>
      <c r="I505" s="5"/>
      <c r="J505" s="5"/>
      <c r="K505" s="5"/>
      <c r="L505" s="5"/>
      <c r="M505" s="5"/>
      <c r="N505" s="5"/>
      <c r="O505" s="5"/>
      <c r="P505" s="5"/>
      <c r="Q505" s="5"/>
      <c r="R505" s="5"/>
    </row>
    <row r="506" spans="1:18">
      <c r="A506" s="5"/>
      <c r="B506" s="5"/>
      <c r="C506" s="5"/>
      <c r="D506" s="5"/>
      <c r="E506" s="5"/>
      <c r="F506" s="5"/>
      <c r="G506" s="5"/>
      <c r="H506" s="5"/>
      <c r="I506" s="5"/>
      <c r="J506" s="5"/>
      <c r="K506" s="5"/>
      <c r="L506" s="5"/>
      <c r="M506" s="5"/>
      <c r="N506" s="5"/>
      <c r="O506" s="5"/>
      <c r="P506" s="5"/>
      <c r="Q506" s="5"/>
      <c r="R506" s="5"/>
    </row>
    <row r="507" spans="1:18">
      <c r="A507" s="5"/>
      <c r="B507" s="5"/>
      <c r="C507" s="5"/>
      <c r="D507" s="5"/>
      <c r="E507" s="5"/>
      <c r="F507" s="5"/>
      <c r="G507" s="5"/>
      <c r="H507" s="5"/>
      <c r="I507" s="5"/>
      <c r="J507" s="5"/>
      <c r="K507" s="5"/>
      <c r="L507" s="5"/>
      <c r="M507" s="5"/>
      <c r="N507" s="5"/>
      <c r="O507" s="5"/>
      <c r="P507" s="5"/>
      <c r="Q507" s="5"/>
      <c r="R507" s="5"/>
    </row>
    <row r="508" spans="1:18">
      <c r="A508" s="5"/>
      <c r="B508" s="5"/>
      <c r="C508" s="5"/>
      <c r="D508" s="5"/>
      <c r="E508" s="5"/>
      <c r="F508" s="5"/>
      <c r="G508" s="5"/>
      <c r="H508" s="5"/>
      <c r="I508" s="5"/>
      <c r="J508" s="5"/>
      <c r="K508" s="5"/>
      <c r="L508" s="5"/>
      <c r="M508" s="5"/>
      <c r="N508" s="5"/>
      <c r="O508" s="5"/>
      <c r="P508" s="5"/>
      <c r="Q508" s="5"/>
      <c r="R508" s="5"/>
    </row>
    <row r="509" spans="1:18">
      <c r="A509" s="5"/>
      <c r="B509" s="5"/>
      <c r="C509" s="5"/>
      <c r="D509" s="5"/>
      <c r="E509" s="5"/>
      <c r="F509" s="5"/>
      <c r="G509" s="5"/>
      <c r="H509" s="5"/>
      <c r="I509" s="5"/>
      <c r="J509" s="5"/>
      <c r="K509" s="5"/>
      <c r="L509" s="5"/>
      <c r="M509" s="5"/>
      <c r="N509" s="5"/>
      <c r="O509" s="5"/>
      <c r="P509" s="5"/>
      <c r="Q509" s="5"/>
      <c r="R509" s="5"/>
    </row>
    <row r="510" spans="1:18">
      <c r="A510" s="5"/>
      <c r="B510" s="5"/>
      <c r="C510" s="5"/>
      <c r="D510" s="5"/>
      <c r="E510" s="5"/>
      <c r="F510" s="5"/>
      <c r="G510" s="5"/>
      <c r="H510" s="5"/>
      <c r="I510" s="5"/>
      <c r="J510" s="5"/>
      <c r="K510" s="5"/>
      <c r="L510" s="5"/>
      <c r="M510" s="5"/>
      <c r="N510" s="5"/>
      <c r="O510" s="5"/>
      <c r="P510" s="5"/>
      <c r="Q510" s="5"/>
      <c r="R510" s="5"/>
    </row>
    <row r="511" spans="1:18">
      <c r="A511" s="5"/>
      <c r="B511" s="5"/>
      <c r="C511" s="5"/>
      <c r="D511" s="5"/>
      <c r="E511" s="5"/>
      <c r="F511" s="5"/>
      <c r="G511" s="5"/>
      <c r="H511" s="5"/>
      <c r="I511" s="5"/>
      <c r="J511" s="5"/>
      <c r="K511" s="5"/>
      <c r="L511" s="5"/>
      <c r="M511" s="5"/>
      <c r="N511" s="5"/>
      <c r="O511" s="5"/>
      <c r="P511" s="5"/>
      <c r="Q511" s="5"/>
      <c r="R511" s="5"/>
    </row>
    <row r="512" spans="1:18">
      <c r="A512" s="5"/>
      <c r="B512" s="5"/>
      <c r="C512" s="5"/>
      <c r="D512" s="5"/>
      <c r="E512" s="5"/>
      <c r="F512" s="5"/>
      <c r="G512" s="5"/>
      <c r="H512" s="5"/>
      <c r="I512" s="5"/>
      <c r="J512" s="5"/>
      <c r="K512" s="5"/>
      <c r="L512" s="5"/>
      <c r="M512" s="5"/>
      <c r="N512" s="5"/>
      <c r="O512" s="5"/>
      <c r="P512" s="5"/>
      <c r="Q512" s="5"/>
      <c r="R512" s="5"/>
    </row>
    <row r="513" spans="1:18">
      <c r="A513" s="5"/>
      <c r="B513" s="5"/>
      <c r="C513" s="5"/>
      <c r="D513" s="5"/>
      <c r="E513" s="5"/>
      <c r="F513" s="5"/>
      <c r="G513" s="5"/>
      <c r="H513" s="5"/>
      <c r="I513" s="5"/>
      <c r="J513" s="5"/>
      <c r="K513" s="5"/>
      <c r="L513" s="5"/>
      <c r="M513" s="5"/>
      <c r="N513" s="5"/>
      <c r="O513" s="5"/>
      <c r="P513" s="5"/>
      <c r="Q513" s="5"/>
      <c r="R513" s="5"/>
    </row>
    <row r="514" spans="1:18">
      <c r="A514" s="5"/>
      <c r="B514" s="5"/>
      <c r="C514" s="5"/>
      <c r="D514" s="5"/>
      <c r="E514" s="5"/>
      <c r="F514" s="5"/>
      <c r="G514" s="5"/>
      <c r="H514" s="5"/>
      <c r="I514" s="5"/>
      <c r="J514" s="5"/>
      <c r="K514" s="5"/>
      <c r="L514" s="5"/>
      <c r="M514" s="5"/>
      <c r="N514" s="5"/>
      <c r="O514" s="5"/>
      <c r="P514" s="5"/>
      <c r="Q514" s="5"/>
      <c r="R514" s="5"/>
    </row>
    <row r="515" spans="1:18">
      <c r="A515" s="5"/>
      <c r="B515" s="5"/>
      <c r="C515" s="5"/>
      <c r="D515" s="5"/>
      <c r="E515" s="5"/>
      <c r="F515" s="5"/>
      <c r="G515" s="5"/>
      <c r="H515" s="5"/>
      <c r="I515" s="5"/>
      <c r="J515" s="5"/>
      <c r="K515" s="5"/>
      <c r="L515" s="5"/>
      <c r="M515" s="5"/>
      <c r="N515" s="5"/>
      <c r="O515" s="5"/>
      <c r="P515" s="5"/>
      <c r="Q515" s="5"/>
      <c r="R515" s="5"/>
    </row>
    <row r="516" spans="1:18">
      <c r="A516" s="5"/>
      <c r="B516" s="5"/>
      <c r="C516" s="5"/>
      <c r="D516" s="5"/>
      <c r="E516" s="5"/>
      <c r="F516" s="5"/>
      <c r="G516" s="5"/>
      <c r="H516" s="5"/>
      <c r="I516" s="5"/>
      <c r="J516" s="5"/>
      <c r="K516" s="5"/>
      <c r="L516" s="5"/>
      <c r="M516" s="5"/>
      <c r="N516" s="5"/>
      <c r="O516" s="5"/>
      <c r="P516" s="5"/>
      <c r="Q516" s="5"/>
      <c r="R516" s="5"/>
    </row>
    <row r="517" spans="1:18">
      <c r="A517" s="5"/>
      <c r="B517" s="5"/>
      <c r="C517" s="5"/>
      <c r="D517" s="5"/>
      <c r="E517" s="5"/>
      <c r="F517" s="5"/>
      <c r="G517" s="5"/>
      <c r="H517" s="5"/>
      <c r="I517" s="5"/>
      <c r="J517" s="5"/>
      <c r="K517" s="5"/>
      <c r="L517" s="5"/>
      <c r="M517" s="5"/>
      <c r="N517" s="5"/>
      <c r="O517" s="5"/>
      <c r="P517" s="5"/>
      <c r="Q517" s="5"/>
      <c r="R517" s="5"/>
    </row>
    <row r="518" spans="1:18">
      <c r="A518" s="5"/>
      <c r="B518" s="5"/>
      <c r="C518" s="5"/>
      <c r="D518" s="5"/>
      <c r="E518" s="5"/>
      <c r="F518" s="5"/>
      <c r="G518" s="5"/>
      <c r="H518" s="5"/>
      <c r="I518" s="5"/>
      <c r="J518" s="5"/>
      <c r="K518" s="5"/>
      <c r="L518" s="5"/>
      <c r="M518" s="5"/>
      <c r="N518" s="5"/>
      <c r="O518" s="5"/>
      <c r="P518" s="5"/>
      <c r="Q518" s="5"/>
      <c r="R518" s="5"/>
    </row>
    <row r="519" spans="1:18">
      <c r="A519" s="5"/>
      <c r="B519" s="5"/>
      <c r="C519" s="5"/>
      <c r="D519" s="5"/>
      <c r="E519" s="5"/>
      <c r="F519" s="5"/>
      <c r="G519" s="5"/>
      <c r="H519" s="5"/>
      <c r="I519" s="5"/>
      <c r="J519" s="5"/>
      <c r="K519" s="5"/>
      <c r="L519" s="5"/>
      <c r="M519" s="5"/>
      <c r="N519" s="5"/>
      <c r="O519" s="5"/>
      <c r="P519" s="5"/>
      <c r="Q519" s="5"/>
      <c r="R519" s="5"/>
    </row>
    <row r="520" spans="1:18">
      <c r="A520" s="5"/>
      <c r="B520" s="5"/>
      <c r="C520" s="5"/>
      <c r="D520" s="5"/>
      <c r="E520" s="5"/>
      <c r="F520" s="5"/>
      <c r="G520" s="5"/>
      <c r="H520" s="5"/>
      <c r="I520" s="5"/>
      <c r="J520" s="5"/>
      <c r="K520" s="5"/>
      <c r="L520" s="5"/>
      <c r="M520" s="5"/>
      <c r="N520" s="5"/>
      <c r="O520" s="5"/>
      <c r="P520" s="5"/>
      <c r="Q520" s="5"/>
      <c r="R520" s="5"/>
    </row>
    <row r="521" spans="1:18">
      <c r="A521" s="5"/>
      <c r="B521" s="5"/>
      <c r="C521" s="5"/>
      <c r="D521" s="5"/>
      <c r="E521" s="5"/>
      <c r="F521" s="5"/>
      <c r="G521" s="5"/>
      <c r="H521" s="5"/>
      <c r="I521" s="5"/>
      <c r="J521" s="5"/>
      <c r="K521" s="5"/>
      <c r="L521" s="5"/>
      <c r="M521" s="5"/>
      <c r="N521" s="5"/>
      <c r="O521" s="5"/>
      <c r="P521" s="5"/>
      <c r="Q521" s="5"/>
      <c r="R521" s="5"/>
    </row>
    <row r="522" spans="1:18">
      <c r="A522" s="5"/>
      <c r="B522" s="5"/>
      <c r="C522" s="5"/>
      <c r="D522" s="5"/>
      <c r="E522" s="5"/>
      <c r="F522" s="5"/>
      <c r="G522" s="5"/>
      <c r="H522" s="5"/>
      <c r="I522" s="5"/>
      <c r="J522" s="5"/>
      <c r="K522" s="5"/>
      <c r="L522" s="5"/>
      <c r="M522" s="5"/>
      <c r="N522" s="5"/>
      <c r="O522" s="5"/>
      <c r="P522" s="5"/>
      <c r="Q522" s="5"/>
      <c r="R522" s="5"/>
    </row>
    <row r="523" spans="1:18">
      <c r="A523" s="5"/>
      <c r="B523" s="5"/>
      <c r="C523" s="5"/>
      <c r="D523" s="5"/>
      <c r="E523" s="5"/>
      <c r="F523" s="5"/>
      <c r="G523" s="5"/>
      <c r="H523" s="5"/>
      <c r="I523" s="5"/>
      <c r="J523" s="5"/>
      <c r="K523" s="5"/>
      <c r="L523" s="5"/>
      <c r="M523" s="5"/>
      <c r="N523" s="5"/>
      <c r="O523" s="5"/>
      <c r="P523" s="5"/>
      <c r="Q523" s="5"/>
      <c r="R523" s="5"/>
    </row>
    <row r="524" spans="1:18">
      <c r="A524" s="5"/>
      <c r="B524" s="5"/>
      <c r="C524" s="5"/>
      <c r="D524" s="5"/>
      <c r="E524" s="5"/>
      <c r="F524" s="5"/>
      <c r="G524" s="5"/>
      <c r="H524" s="5"/>
      <c r="I524" s="5"/>
      <c r="J524" s="5"/>
      <c r="K524" s="5"/>
      <c r="L524" s="5"/>
      <c r="M524" s="5"/>
      <c r="N524" s="5"/>
      <c r="O524" s="5"/>
      <c r="P524" s="5"/>
      <c r="Q524" s="5"/>
      <c r="R524" s="5"/>
    </row>
    <row r="525" spans="1:18">
      <c r="A525" s="5"/>
      <c r="B525" s="5"/>
      <c r="C525" s="5"/>
      <c r="D525" s="5"/>
      <c r="E525" s="5"/>
      <c r="F525" s="5"/>
      <c r="G525" s="5"/>
      <c r="H525" s="5"/>
      <c r="I525" s="5"/>
      <c r="J525" s="5"/>
      <c r="K525" s="5"/>
      <c r="L525" s="5"/>
      <c r="M525" s="5"/>
      <c r="N525" s="5"/>
      <c r="O525" s="5"/>
      <c r="P525" s="5"/>
      <c r="Q525" s="5"/>
      <c r="R525" s="5"/>
    </row>
    <row r="526" spans="1:18">
      <c r="A526" s="5"/>
      <c r="B526" s="5"/>
      <c r="C526" s="5"/>
      <c r="D526" s="5"/>
      <c r="E526" s="5"/>
      <c r="F526" s="5"/>
      <c r="G526" s="5"/>
      <c r="H526" s="5"/>
      <c r="I526" s="5"/>
      <c r="J526" s="5"/>
      <c r="K526" s="5"/>
      <c r="L526" s="5"/>
      <c r="M526" s="5"/>
      <c r="N526" s="5"/>
      <c r="O526" s="5"/>
      <c r="P526" s="5"/>
      <c r="Q526" s="5"/>
      <c r="R526" s="5"/>
    </row>
    <row r="527" spans="1:18">
      <c r="A527" s="5"/>
      <c r="B527" s="5"/>
      <c r="C527" s="5"/>
      <c r="D527" s="5"/>
      <c r="E527" s="5"/>
      <c r="F527" s="5"/>
      <c r="G527" s="5"/>
      <c r="H527" s="5"/>
      <c r="I527" s="5"/>
      <c r="J527" s="5"/>
      <c r="K527" s="5"/>
      <c r="L527" s="5"/>
      <c r="M527" s="5"/>
      <c r="N527" s="5"/>
      <c r="O527" s="5"/>
      <c r="P527" s="5"/>
      <c r="Q527" s="5"/>
      <c r="R527" s="5"/>
    </row>
    <row r="528" spans="1:18">
      <c r="A528" s="5"/>
      <c r="B528" s="5"/>
      <c r="C528" s="5"/>
      <c r="D528" s="5"/>
      <c r="E528" s="5"/>
      <c r="F528" s="5"/>
      <c r="G528" s="5"/>
      <c r="H528" s="5"/>
      <c r="I528" s="5"/>
      <c r="J528" s="5"/>
      <c r="K528" s="5"/>
      <c r="L528" s="5"/>
      <c r="M528" s="5"/>
      <c r="N528" s="5"/>
      <c r="O528" s="5"/>
      <c r="P528" s="5"/>
      <c r="Q528" s="5"/>
      <c r="R528" s="5"/>
    </row>
    <row r="529" spans="1:18">
      <c r="A529" s="5"/>
      <c r="B529" s="5"/>
      <c r="C529" s="5"/>
      <c r="D529" s="5"/>
      <c r="E529" s="5"/>
      <c r="F529" s="5"/>
      <c r="G529" s="5"/>
      <c r="H529" s="5"/>
      <c r="I529" s="5"/>
      <c r="J529" s="5"/>
      <c r="K529" s="5"/>
      <c r="L529" s="5"/>
      <c r="M529" s="5"/>
      <c r="N529" s="5"/>
      <c r="O529" s="5"/>
      <c r="P529" s="5"/>
      <c r="Q529" s="5"/>
      <c r="R529" s="5"/>
    </row>
    <row r="530" spans="1:18">
      <c r="A530" s="5"/>
      <c r="B530" s="5"/>
      <c r="C530" s="5"/>
      <c r="D530" s="5"/>
      <c r="E530" s="5"/>
      <c r="F530" s="5"/>
      <c r="G530" s="5"/>
      <c r="H530" s="5"/>
      <c r="I530" s="5"/>
      <c r="J530" s="5"/>
      <c r="K530" s="5"/>
      <c r="L530" s="5"/>
      <c r="M530" s="5"/>
      <c r="N530" s="5"/>
      <c r="O530" s="5"/>
      <c r="P530" s="5"/>
      <c r="Q530" s="5"/>
      <c r="R530" s="5"/>
    </row>
    <row r="531" spans="1:18">
      <c r="A531" s="5"/>
      <c r="B531" s="5"/>
      <c r="C531" s="5"/>
      <c r="D531" s="5"/>
      <c r="E531" s="5"/>
      <c r="F531" s="5"/>
      <c r="G531" s="5"/>
      <c r="H531" s="5"/>
      <c r="I531" s="5"/>
      <c r="J531" s="5"/>
      <c r="K531" s="5"/>
      <c r="L531" s="5"/>
      <c r="M531" s="5"/>
      <c r="N531" s="5"/>
      <c r="O531" s="5"/>
      <c r="P531" s="5"/>
      <c r="Q531" s="5"/>
      <c r="R531" s="5"/>
    </row>
    <row r="532" spans="1:18">
      <c r="A532" s="5"/>
      <c r="B532" s="5"/>
      <c r="C532" s="5"/>
      <c r="D532" s="5"/>
      <c r="E532" s="5"/>
      <c r="F532" s="5"/>
      <c r="G532" s="5"/>
      <c r="H532" s="5"/>
      <c r="I532" s="5"/>
      <c r="J532" s="5"/>
      <c r="K532" s="5"/>
      <c r="L532" s="5"/>
      <c r="M532" s="5"/>
      <c r="N532" s="5"/>
      <c r="O532" s="5"/>
      <c r="P532" s="5"/>
      <c r="Q532" s="5"/>
      <c r="R532" s="5"/>
    </row>
    <row r="533" spans="1:18">
      <c r="A533" s="5"/>
      <c r="B533" s="5"/>
      <c r="C533" s="5"/>
      <c r="D533" s="5"/>
      <c r="E533" s="5"/>
      <c r="F533" s="5"/>
      <c r="G533" s="5"/>
      <c r="H533" s="5"/>
      <c r="I533" s="5"/>
      <c r="J533" s="5"/>
      <c r="K533" s="5"/>
      <c r="L533" s="5"/>
      <c r="M533" s="5"/>
      <c r="N533" s="5"/>
      <c r="O533" s="5"/>
      <c r="P533" s="5"/>
      <c r="Q533" s="5"/>
      <c r="R533" s="5"/>
    </row>
    <row r="534" spans="1:18">
      <c r="A534" s="5"/>
      <c r="B534" s="5"/>
      <c r="C534" s="5"/>
      <c r="D534" s="5"/>
      <c r="E534" s="5"/>
      <c r="F534" s="5"/>
      <c r="G534" s="5"/>
      <c r="H534" s="5"/>
      <c r="I534" s="5"/>
      <c r="J534" s="5"/>
      <c r="K534" s="5"/>
      <c r="L534" s="5"/>
      <c r="M534" s="5"/>
      <c r="N534" s="5"/>
      <c r="O534" s="5"/>
      <c r="P534" s="5"/>
      <c r="Q534" s="5"/>
      <c r="R534" s="5"/>
    </row>
    <row r="535" spans="1:18">
      <c r="A535" s="5"/>
      <c r="B535" s="5"/>
      <c r="C535" s="5"/>
      <c r="D535" s="5"/>
      <c r="E535" s="5"/>
      <c r="F535" s="5"/>
      <c r="G535" s="5"/>
      <c r="H535" s="5"/>
      <c r="I535" s="5"/>
      <c r="J535" s="5"/>
      <c r="K535" s="5"/>
      <c r="L535" s="5"/>
      <c r="M535" s="5"/>
      <c r="N535" s="5"/>
      <c r="O535" s="5"/>
      <c r="P535" s="5"/>
      <c r="Q535" s="5"/>
      <c r="R535" s="5"/>
    </row>
    <row r="536" spans="1:18">
      <c r="A536" s="5"/>
      <c r="B536" s="5"/>
      <c r="C536" s="5"/>
      <c r="D536" s="5"/>
      <c r="E536" s="5"/>
      <c r="F536" s="5"/>
      <c r="G536" s="5"/>
      <c r="H536" s="5"/>
      <c r="I536" s="5"/>
      <c r="J536" s="5"/>
      <c r="K536" s="5"/>
      <c r="L536" s="5"/>
      <c r="M536" s="5"/>
      <c r="N536" s="5"/>
      <c r="O536" s="5"/>
      <c r="P536" s="5"/>
      <c r="Q536" s="5"/>
      <c r="R536" s="5"/>
    </row>
    <row r="537" spans="1:18">
      <c r="A537" s="5"/>
      <c r="B537" s="5"/>
      <c r="C537" s="5"/>
      <c r="D537" s="5"/>
      <c r="E537" s="5"/>
      <c r="F537" s="5"/>
      <c r="G537" s="5"/>
      <c r="H537" s="5"/>
      <c r="I537" s="5"/>
      <c r="J537" s="5"/>
      <c r="K537" s="5"/>
      <c r="L537" s="5"/>
      <c r="M537" s="5"/>
      <c r="N537" s="5"/>
      <c r="O537" s="5"/>
      <c r="P537" s="5"/>
      <c r="Q537" s="5"/>
      <c r="R537" s="5"/>
    </row>
    <row r="538" spans="1:18">
      <c r="A538" s="5"/>
      <c r="B538" s="5"/>
      <c r="C538" s="5"/>
      <c r="D538" s="5"/>
      <c r="E538" s="5"/>
      <c r="F538" s="5"/>
      <c r="G538" s="5"/>
      <c r="H538" s="5"/>
      <c r="I538" s="5"/>
      <c r="J538" s="5"/>
      <c r="K538" s="5"/>
      <c r="L538" s="5"/>
      <c r="M538" s="5"/>
      <c r="N538" s="5"/>
      <c r="O538" s="5"/>
      <c r="P538" s="5"/>
      <c r="Q538" s="5"/>
      <c r="R538" s="5"/>
    </row>
    <row r="539" spans="1:18">
      <c r="A539" s="5"/>
      <c r="B539" s="5"/>
      <c r="C539" s="5"/>
      <c r="D539" s="5"/>
      <c r="E539" s="5"/>
      <c r="F539" s="5"/>
      <c r="G539" s="5"/>
      <c r="H539" s="5"/>
      <c r="I539" s="5"/>
      <c r="J539" s="5"/>
      <c r="K539" s="5"/>
      <c r="L539" s="5"/>
      <c r="M539" s="5"/>
      <c r="N539" s="5"/>
      <c r="O539" s="5"/>
      <c r="P539" s="5"/>
      <c r="Q539" s="5"/>
      <c r="R539" s="5"/>
    </row>
    <row r="540" spans="1:18">
      <c r="A540" s="5"/>
      <c r="B540" s="5"/>
      <c r="C540" s="5"/>
      <c r="D540" s="5"/>
      <c r="E540" s="5"/>
      <c r="F540" s="5"/>
      <c r="G540" s="5"/>
      <c r="H540" s="5"/>
      <c r="I540" s="5"/>
      <c r="J540" s="5"/>
      <c r="K540" s="5"/>
      <c r="L540" s="5"/>
      <c r="M540" s="5"/>
      <c r="N540" s="5"/>
      <c r="O540" s="5"/>
      <c r="P540" s="5"/>
      <c r="Q540" s="5"/>
      <c r="R540" s="5"/>
    </row>
    <row r="541" spans="1:18">
      <c r="A541" s="5"/>
      <c r="B541" s="5"/>
      <c r="C541" s="5"/>
      <c r="D541" s="5"/>
      <c r="E541" s="5"/>
      <c r="F541" s="5"/>
      <c r="G541" s="5"/>
      <c r="H541" s="5"/>
      <c r="I541" s="5"/>
      <c r="J541" s="5"/>
      <c r="K541" s="5"/>
      <c r="L541" s="5"/>
      <c r="M541" s="5"/>
      <c r="N541" s="5"/>
      <c r="O541" s="5"/>
      <c r="P541" s="5"/>
      <c r="Q541" s="5"/>
      <c r="R541" s="5"/>
    </row>
    <row r="542" spans="1:18">
      <c r="A542" s="5"/>
      <c r="B542" s="5"/>
      <c r="C542" s="5"/>
      <c r="D542" s="5"/>
      <c r="E542" s="5"/>
      <c r="F542" s="5"/>
      <c r="G542" s="5"/>
      <c r="H542" s="5"/>
      <c r="I542" s="5"/>
      <c r="J542" s="5"/>
      <c r="K542" s="5"/>
      <c r="L542" s="5"/>
      <c r="M542" s="5"/>
      <c r="N542" s="5"/>
      <c r="O542" s="5"/>
      <c r="P542" s="5"/>
      <c r="Q542" s="5"/>
      <c r="R542" s="5"/>
    </row>
    <row r="543" spans="1:18">
      <c r="A543" s="5"/>
      <c r="B543" s="5"/>
      <c r="C543" s="5"/>
      <c r="D543" s="5"/>
      <c r="E543" s="5"/>
      <c r="F543" s="5"/>
      <c r="G543" s="5"/>
      <c r="H543" s="5"/>
      <c r="I543" s="5"/>
      <c r="J543" s="5"/>
      <c r="K543" s="5"/>
      <c r="L543" s="5"/>
      <c r="M543" s="5"/>
      <c r="N543" s="5"/>
      <c r="O543" s="5"/>
      <c r="P543" s="5"/>
      <c r="Q543" s="5"/>
      <c r="R543" s="5"/>
    </row>
    <row r="544" spans="1:18">
      <c r="A544" s="5"/>
      <c r="B544" s="5"/>
      <c r="C544" s="5"/>
      <c r="D544" s="5"/>
      <c r="E544" s="5"/>
      <c r="F544" s="5"/>
      <c r="G544" s="5"/>
      <c r="H544" s="5"/>
      <c r="I544" s="5"/>
      <c r="J544" s="5"/>
      <c r="K544" s="5"/>
      <c r="L544" s="5"/>
      <c r="M544" s="5"/>
      <c r="N544" s="5"/>
      <c r="O544" s="5"/>
      <c r="P544" s="5"/>
      <c r="Q544" s="5"/>
      <c r="R544" s="5"/>
    </row>
    <row r="545" spans="1:18">
      <c r="A545" s="5"/>
      <c r="B545" s="5"/>
      <c r="C545" s="5"/>
      <c r="D545" s="5"/>
      <c r="E545" s="5"/>
      <c r="F545" s="5"/>
      <c r="G545" s="5"/>
      <c r="H545" s="5"/>
      <c r="I545" s="5"/>
      <c r="J545" s="5"/>
      <c r="K545" s="5"/>
      <c r="L545" s="5"/>
      <c r="M545" s="5"/>
      <c r="N545" s="5"/>
      <c r="O545" s="5"/>
      <c r="P545" s="5"/>
      <c r="Q545" s="5"/>
      <c r="R545" s="5"/>
    </row>
    <row r="546" spans="1:18">
      <c r="A546" s="5"/>
      <c r="B546" s="5"/>
      <c r="C546" s="5"/>
      <c r="D546" s="5"/>
      <c r="E546" s="5"/>
      <c r="F546" s="5"/>
      <c r="G546" s="5"/>
      <c r="H546" s="5"/>
      <c r="I546" s="5"/>
      <c r="J546" s="5"/>
      <c r="K546" s="5"/>
      <c r="L546" s="5"/>
      <c r="M546" s="5"/>
      <c r="N546" s="5"/>
      <c r="O546" s="5"/>
      <c r="P546" s="5"/>
      <c r="Q546" s="5"/>
      <c r="R546" s="5"/>
    </row>
    <row r="547" spans="1:18">
      <c r="A547" s="5"/>
      <c r="B547" s="5"/>
      <c r="C547" s="5"/>
      <c r="D547" s="5"/>
      <c r="E547" s="5"/>
      <c r="F547" s="5"/>
      <c r="G547" s="5"/>
      <c r="H547" s="5"/>
      <c r="I547" s="5"/>
      <c r="J547" s="5"/>
      <c r="K547" s="5"/>
      <c r="L547" s="5"/>
      <c r="M547" s="5"/>
      <c r="N547" s="5"/>
      <c r="O547" s="5"/>
      <c r="P547" s="5"/>
      <c r="Q547" s="5"/>
      <c r="R547" s="5"/>
    </row>
    <row r="548" spans="1:18">
      <c r="A548" s="5"/>
      <c r="B548" s="5"/>
      <c r="C548" s="5"/>
      <c r="D548" s="5"/>
      <c r="E548" s="5"/>
      <c r="F548" s="5"/>
      <c r="G548" s="5"/>
      <c r="H548" s="5"/>
      <c r="I548" s="5"/>
      <c r="J548" s="5"/>
      <c r="K548" s="5"/>
      <c r="L548" s="5"/>
      <c r="M548" s="5"/>
      <c r="N548" s="5"/>
      <c r="O548" s="5"/>
      <c r="P548" s="5"/>
      <c r="Q548" s="5"/>
      <c r="R548" s="5"/>
    </row>
    <row r="549" spans="1:18">
      <c r="A549" s="5"/>
      <c r="B549" s="5"/>
      <c r="C549" s="5"/>
      <c r="D549" s="5"/>
      <c r="E549" s="5"/>
      <c r="F549" s="5"/>
      <c r="G549" s="5"/>
      <c r="H549" s="5"/>
      <c r="I549" s="5"/>
      <c r="J549" s="5"/>
      <c r="K549" s="5"/>
      <c r="L549" s="5"/>
      <c r="M549" s="5"/>
      <c r="N549" s="5"/>
      <c r="O549" s="5"/>
      <c r="P549" s="5"/>
      <c r="Q549" s="5"/>
      <c r="R549" s="5"/>
    </row>
    <row r="550" spans="1:18">
      <c r="A550" s="5"/>
      <c r="B550" s="5"/>
      <c r="C550" s="5"/>
      <c r="D550" s="5"/>
      <c r="E550" s="5"/>
      <c r="F550" s="5"/>
      <c r="G550" s="5"/>
      <c r="H550" s="5"/>
      <c r="I550" s="5"/>
      <c r="J550" s="5"/>
      <c r="K550" s="5"/>
      <c r="L550" s="5"/>
      <c r="M550" s="5"/>
      <c r="N550" s="5"/>
      <c r="O550" s="5"/>
      <c r="P550" s="5"/>
      <c r="Q550" s="5"/>
      <c r="R550" s="5"/>
    </row>
    <row r="551" spans="1:18">
      <c r="A551" s="5"/>
      <c r="B551" s="5"/>
      <c r="C551" s="5"/>
      <c r="D551" s="5"/>
      <c r="E551" s="5"/>
      <c r="F551" s="5"/>
      <c r="G551" s="5"/>
      <c r="H551" s="5"/>
      <c r="I551" s="5"/>
      <c r="J551" s="5"/>
      <c r="K551" s="5"/>
      <c r="L551" s="5"/>
      <c r="M551" s="5"/>
      <c r="N551" s="5"/>
      <c r="O551" s="5"/>
      <c r="P551" s="5"/>
      <c r="Q551" s="5"/>
      <c r="R551" s="5"/>
    </row>
    <row r="552" spans="1:18">
      <c r="A552" s="5"/>
      <c r="B552" s="5"/>
      <c r="C552" s="5"/>
      <c r="D552" s="5"/>
      <c r="E552" s="5"/>
      <c r="F552" s="5"/>
      <c r="G552" s="5"/>
      <c r="H552" s="5"/>
      <c r="I552" s="5"/>
      <c r="J552" s="5"/>
      <c r="K552" s="5"/>
      <c r="L552" s="5"/>
      <c r="M552" s="5"/>
      <c r="N552" s="5"/>
      <c r="O552" s="5"/>
      <c r="P552" s="5"/>
      <c r="Q552" s="5"/>
      <c r="R552" s="5"/>
    </row>
    <row r="553" spans="1:18">
      <c r="A553" s="5"/>
      <c r="B553" s="5"/>
      <c r="C553" s="5"/>
      <c r="D553" s="5"/>
      <c r="E553" s="5"/>
      <c r="F553" s="5"/>
      <c r="G553" s="5"/>
      <c r="H553" s="5"/>
      <c r="I553" s="5"/>
      <c r="J553" s="5"/>
      <c r="K553" s="5"/>
      <c r="L553" s="5"/>
      <c r="M553" s="5"/>
      <c r="N553" s="5"/>
      <c r="O553" s="5"/>
      <c r="P553" s="5"/>
      <c r="Q553" s="5"/>
      <c r="R553" s="5"/>
    </row>
    <row r="554" spans="1:18">
      <c r="A554" s="5"/>
      <c r="B554" s="5"/>
      <c r="C554" s="5"/>
      <c r="D554" s="5"/>
      <c r="E554" s="5"/>
      <c r="F554" s="5"/>
      <c r="G554" s="5"/>
      <c r="H554" s="5"/>
      <c r="I554" s="5"/>
      <c r="J554" s="5"/>
      <c r="K554" s="5"/>
      <c r="L554" s="5"/>
      <c r="M554" s="5"/>
      <c r="N554" s="5"/>
      <c r="O554" s="5"/>
      <c r="P554" s="5"/>
      <c r="Q554" s="5"/>
      <c r="R554" s="5"/>
    </row>
    <row r="555" spans="1:18">
      <c r="A555" s="5"/>
      <c r="B555" s="5"/>
      <c r="C555" s="5"/>
      <c r="D555" s="5"/>
      <c r="E555" s="5"/>
      <c r="F555" s="5"/>
      <c r="G555" s="5"/>
      <c r="H555" s="5"/>
      <c r="I555" s="5"/>
      <c r="J555" s="5"/>
      <c r="K555" s="5"/>
      <c r="L555" s="5"/>
      <c r="M555" s="5"/>
      <c r="N555" s="5"/>
      <c r="O555" s="5"/>
      <c r="P555" s="5"/>
      <c r="Q555" s="5"/>
      <c r="R555" s="5"/>
    </row>
    <row r="556" spans="1:18">
      <c r="A556" s="5"/>
      <c r="B556" s="5"/>
      <c r="C556" s="5"/>
      <c r="D556" s="5"/>
      <c r="E556" s="5"/>
      <c r="F556" s="5"/>
      <c r="G556" s="5"/>
      <c r="H556" s="5"/>
      <c r="I556" s="5"/>
      <c r="J556" s="5"/>
      <c r="K556" s="5"/>
      <c r="L556" s="5"/>
      <c r="M556" s="5"/>
      <c r="N556" s="5"/>
      <c r="O556" s="5"/>
      <c r="P556" s="5"/>
      <c r="Q556" s="5"/>
      <c r="R556" s="5"/>
    </row>
    <row r="557" spans="1:18">
      <c r="A557" s="5"/>
      <c r="B557" s="5"/>
      <c r="C557" s="5"/>
      <c r="D557" s="5"/>
      <c r="E557" s="5"/>
      <c r="F557" s="5"/>
      <c r="G557" s="5"/>
      <c r="H557" s="5"/>
      <c r="I557" s="5"/>
      <c r="J557" s="5"/>
      <c r="K557" s="5"/>
      <c r="L557" s="5"/>
      <c r="M557" s="5"/>
      <c r="N557" s="5"/>
      <c r="O557" s="5"/>
      <c r="P557" s="5"/>
      <c r="Q557" s="5"/>
      <c r="R557" s="5"/>
    </row>
    <row r="558" spans="1:18">
      <c r="A558" s="5"/>
      <c r="B558" s="5"/>
      <c r="C558" s="5"/>
      <c r="D558" s="5"/>
      <c r="E558" s="5"/>
      <c r="F558" s="5"/>
      <c r="G558" s="5"/>
      <c r="H558" s="5"/>
      <c r="I558" s="5"/>
      <c r="J558" s="5"/>
      <c r="K558" s="5"/>
      <c r="L558" s="5"/>
      <c r="M558" s="5"/>
      <c r="N558" s="5"/>
      <c r="O558" s="5"/>
      <c r="P558" s="5"/>
      <c r="Q558" s="5"/>
      <c r="R558" s="5"/>
    </row>
    <row r="559" spans="1:18">
      <c r="A559" s="5"/>
      <c r="B559" s="5"/>
      <c r="C559" s="5"/>
      <c r="D559" s="5"/>
      <c r="E559" s="5"/>
      <c r="F559" s="5"/>
      <c r="G559" s="5"/>
      <c r="H559" s="5"/>
      <c r="I559" s="5"/>
      <c r="J559" s="5"/>
      <c r="K559" s="5"/>
      <c r="L559" s="5"/>
      <c r="M559" s="5"/>
      <c r="N559" s="5"/>
      <c r="O559" s="5"/>
      <c r="P559" s="5"/>
      <c r="Q559" s="5"/>
      <c r="R559" s="5"/>
    </row>
    <row r="560" spans="1:18">
      <c r="A560" s="5"/>
      <c r="B560" s="5"/>
      <c r="C560" s="5"/>
      <c r="D560" s="5"/>
      <c r="E560" s="5"/>
      <c r="F560" s="5"/>
      <c r="G560" s="5"/>
      <c r="H560" s="5"/>
      <c r="I560" s="5"/>
      <c r="J560" s="5"/>
      <c r="K560" s="5"/>
      <c r="L560" s="5"/>
      <c r="M560" s="5"/>
      <c r="N560" s="5"/>
      <c r="O560" s="5"/>
      <c r="P560" s="5"/>
      <c r="Q560" s="5"/>
      <c r="R560" s="5"/>
    </row>
    <row r="561" spans="1:18">
      <c r="A561" s="5"/>
      <c r="B561" s="5"/>
      <c r="C561" s="5"/>
      <c r="D561" s="5"/>
      <c r="E561" s="5"/>
      <c r="F561" s="5"/>
      <c r="G561" s="5"/>
      <c r="H561" s="5"/>
      <c r="I561" s="5"/>
      <c r="J561" s="5"/>
      <c r="K561" s="5"/>
      <c r="L561" s="5"/>
      <c r="M561" s="5"/>
      <c r="N561" s="5"/>
      <c r="O561" s="5"/>
      <c r="P561" s="5"/>
      <c r="Q561" s="5"/>
      <c r="R561" s="5"/>
    </row>
    <row r="562" spans="1:18">
      <c r="A562" s="5"/>
      <c r="B562" s="5"/>
      <c r="C562" s="5"/>
      <c r="D562" s="5"/>
      <c r="E562" s="5"/>
      <c r="F562" s="5"/>
      <c r="G562" s="5"/>
      <c r="H562" s="5"/>
      <c r="I562" s="5"/>
      <c r="J562" s="5"/>
      <c r="K562" s="5"/>
      <c r="L562" s="5"/>
      <c r="M562" s="5"/>
      <c r="N562" s="5"/>
      <c r="O562" s="5"/>
      <c r="P562" s="5"/>
      <c r="Q562" s="5"/>
      <c r="R562" s="5"/>
    </row>
    <row r="563" spans="1:18">
      <c r="A563" s="5"/>
      <c r="B563" s="5"/>
      <c r="C563" s="5"/>
      <c r="D563" s="5"/>
      <c r="E563" s="5"/>
      <c r="F563" s="5"/>
      <c r="G563" s="5"/>
      <c r="H563" s="5"/>
      <c r="I563" s="5"/>
      <c r="J563" s="5"/>
      <c r="K563" s="5"/>
      <c r="L563" s="5"/>
      <c r="M563" s="5"/>
      <c r="N563" s="5"/>
      <c r="O563" s="5"/>
      <c r="P563" s="5"/>
      <c r="Q563" s="5"/>
      <c r="R563" s="5"/>
    </row>
    <row r="564" spans="1:18">
      <c r="A564" s="5"/>
      <c r="B564" s="5"/>
      <c r="C564" s="5"/>
      <c r="D564" s="5"/>
      <c r="E564" s="5"/>
      <c r="F564" s="5"/>
      <c r="G564" s="5"/>
      <c r="H564" s="5"/>
      <c r="I564" s="5"/>
      <c r="J564" s="5"/>
      <c r="K564" s="5"/>
      <c r="L564" s="5"/>
      <c r="M564" s="5"/>
      <c r="N564" s="5"/>
      <c r="O564" s="5"/>
      <c r="P564" s="5"/>
      <c r="Q564" s="5"/>
      <c r="R564" s="5"/>
    </row>
    <row r="565" spans="1:18">
      <c r="A565" s="5"/>
      <c r="B565" s="5"/>
      <c r="C565" s="5"/>
      <c r="D565" s="5"/>
      <c r="E565" s="5"/>
      <c r="F565" s="5"/>
      <c r="G565" s="5"/>
      <c r="H565" s="5"/>
      <c r="I565" s="5"/>
      <c r="J565" s="5"/>
      <c r="K565" s="5"/>
      <c r="L565" s="5"/>
      <c r="M565" s="5"/>
      <c r="N565" s="5"/>
      <c r="O565" s="5"/>
      <c r="P565" s="5"/>
      <c r="Q565" s="5"/>
      <c r="R565" s="5"/>
    </row>
    <row r="566" spans="1:18">
      <c r="A566" s="5"/>
      <c r="B566" s="5"/>
      <c r="C566" s="5"/>
      <c r="D566" s="5"/>
      <c r="E566" s="5"/>
      <c r="F566" s="5"/>
      <c r="G566" s="5"/>
      <c r="H566" s="5"/>
      <c r="I566" s="5"/>
      <c r="J566" s="5"/>
      <c r="K566" s="5"/>
      <c r="L566" s="5"/>
      <c r="M566" s="5"/>
      <c r="N566" s="5"/>
      <c r="O566" s="5"/>
      <c r="P566" s="5"/>
      <c r="Q566" s="5"/>
      <c r="R566" s="5"/>
    </row>
    <row r="567" spans="1:18">
      <c r="A567" s="5"/>
      <c r="B567" s="5"/>
      <c r="C567" s="5"/>
      <c r="D567" s="5"/>
      <c r="E567" s="5"/>
      <c r="F567" s="5"/>
      <c r="G567" s="5"/>
      <c r="H567" s="5"/>
      <c r="I567" s="5"/>
      <c r="J567" s="5"/>
      <c r="K567" s="5"/>
      <c r="L567" s="5"/>
      <c r="M567" s="5"/>
      <c r="N567" s="5"/>
      <c r="O567" s="5"/>
      <c r="P567" s="5"/>
      <c r="Q567" s="5"/>
      <c r="R567" s="5"/>
    </row>
    <row r="568" spans="1:18">
      <c r="A568" s="5"/>
      <c r="B568" s="5"/>
      <c r="C568" s="5"/>
      <c r="D568" s="5"/>
      <c r="E568" s="5"/>
      <c r="F568" s="5"/>
      <c r="G568" s="5"/>
      <c r="H568" s="5"/>
      <c r="I568" s="5"/>
      <c r="J568" s="5"/>
      <c r="K568" s="5"/>
      <c r="L568" s="5"/>
      <c r="M568" s="5"/>
      <c r="N568" s="5"/>
      <c r="O568" s="5"/>
      <c r="P568" s="5"/>
      <c r="Q568" s="5"/>
      <c r="R568" s="5"/>
    </row>
    <row r="569" spans="1:18">
      <c r="A569" s="5"/>
      <c r="B569" s="5"/>
      <c r="C569" s="5"/>
      <c r="D569" s="5"/>
      <c r="E569" s="5"/>
      <c r="F569" s="5"/>
      <c r="G569" s="5"/>
      <c r="H569" s="5"/>
      <c r="I569" s="5"/>
      <c r="J569" s="5"/>
      <c r="K569" s="5"/>
      <c r="L569" s="5"/>
      <c r="M569" s="5"/>
      <c r="N569" s="5"/>
      <c r="O569" s="5"/>
      <c r="P569" s="5"/>
      <c r="Q569" s="5"/>
      <c r="R569" s="5"/>
    </row>
    <row r="570" spans="1:18">
      <c r="A570" s="5"/>
      <c r="B570" s="5"/>
      <c r="C570" s="5"/>
      <c r="D570" s="5"/>
      <c r="E570" s="5"/>
      <c r="F570" s="5"/>
      <c r="G570" s="5"/>
      <c r="H570" s="5"/>
      <c r="I570" s="5"/>
      <c r="J570" s="5"/>
      <c r="K570" s="5"/>
      <c r="L570" s="5"/>
      <c r="M570" s="5"/>
      <c r="N570" s="5"/>
      <c r="O570" s="5"/>
      <c r="P570" s="5"/>
      <c r="Q570" s="5"/>
      <c r="R570" s="5"/>
    </row>
    <row r="571" spans="1:18">
      <c r="A571" s="5"/>
      <c r="B571" s="5"/>
      <c r="C571" s="5"/>
      <c r="D571" s="5"/>
      <c r="E571" s="5"/>
      <c r="F571" s="5"/>
      <c r="G571" s="5"/>
      <c r="H571" s="5"/>
      <c r="I571" s="5"/>
      <c r="J571" s="5"/>
      <c r="K571" s="5"/>
      <c r="L571" s="5"/>
      <c r="M571" s="5"/>
      <c r="N571" s="5"/>
      <c r="O571" s="5"/>
      <c r="P571" s="5"/>
      <c r="Q571" s="5"/>
      <c r="R571" s="5"/>
    </row>
    <row r="572" spans="1:18">
      <c r="A572" s="5"/>
      <c r="B572" s="5"/>
      <c r="C572" s="5"/>
      <c r="D572" s="5"/>
      <c r="E572" s="5"/>
      <c r="F572" s="5"/>
      <c r="G572" s="5"/>
      <c r="H572" s="5"/>
      <c r="I572" s="5"/>
      <c r="J572" s="5"/>
      <c r="K572" s="5"/>
      <c r="L572" s="5"/>
      <c r="M572" s="5"/>
      <c r="N572" s="5"/>
      <c r="O572" s="5"/>
      <c r="P572" s="5"/>
      <c r="Q572" s="5"/>
      <c r="R572" s="5"/>
    </row>
    <row r="573" spans="1:18">
      <c r="A573" s="5"/>
      <c r="B573" s="5"/>
      <c r="C573" s="5"/>
      <c r="D573" s="5"/>
      <c r="E573" s="5"/>
      <c r="F573" s="5"/>
      <c r="G573" s="5"/>
      <c r="H573" s="5"/>
      <c r="I573" s="5"/>
      <c r="J573" s="5"/>
      <c r="K573" s="5"/>
      <c r="L573" s="5"/>
      <c r="M573" s="5"/>
      <c r="N573" s="5"/>
      <c r="O573" s="5"/>
      <c r="P573" s="5"/>
      <c r="Q573" s="5"/>
      <c r="R573" s="5"/>
    </row>
    <row r="574" spans="1:18">
      <c r="A574" s="5"/>
      <c r="B574" s="5"/>
      <c r="C574" s="5"/>
      <c r="D574" s="5"/>
      <c r="E574" s="5"/>
      <c r="F574" s="5"/>
      <c r="G574" s="5"/>
      <c r="H574" s="5"/>
      <c r="I574" s="5"/>
      <c r="J574" s="5"/>
      <c r="K574" s="5"/>
      <c r="L574" s="5"/>
      <c r="M574" s="5"/>
      <c r="N574" s="5"/>
      <c r="O574" s="5"/>
      <c r="P574" s="5"/>
      <c r="Q574" s="5"/>
      <c r="R574" s="5"/>
    </row>
    <row r="575" spans="1:18">
      <c r="A575" s="5"/>
      <c r="B575" s="5"/>
      <c r="C575" s="5"/>
      <c r="D575" s="5"/>
      <c r="E575" s="5"/>
      <c r="F575" s="5"/>
      <c r="G575" s="5"/>
      <c r="H575" s="5"/>
      <c r="I575" s="5"/>
      <c r="J575" s="5"/>
      <c r="K575" s="5"/>
      <c r="L575" s="5"/>
      <c r="M575" s="5"/>
      <c r="N575" s="5"/>
      <c r="O575" s="5"/>
      <c r="P575" s="5"/>
      <c r="Q575" s="5"/>
      <c r="R575" s="5"/>
    </row>
    <row r="576" spans="1:18">
      <c r="A576" s="5"/>
      <c r="B576" s="5"/>
      <c r="C576" s="5"/>
      <c r="D576" s="5"/>
      <c r="E576" s="5"/>
      <c r="F576" s="5"/>
      <c r="G576" s="5"/>
      <c r="H576" s="5"/>
      <c r="I576" s="5"/>
      <c r="J576" s="5"/>
      <c r="K576" s="5"/>
      <c r="L576" s="5"/>
      <c r="M576" s="5"/>
      <c r="N576" s="5"/>
      <c r="O576" s="5"/>
      <c r="P576" s="5"/>
      <c r="Q576" s="5"/>
      <c r="R576" s="5"/>
    </row>
    <row r="577" spans="1:18">
      <c r="A577" s="5"/>
      <c r="B577" s="5"/>
      <c r="C577" s="5"/>
      <c r="D577" s="5"/>
      <c r="E577" s="5"/>
      <c r="F577" s="5"/>
      <c r="G577" s="5"/>
      <c r="H577" s="5"/>
      <c r="I577" s="5"/>
      <c r="J577" s="5"/>
      <c r="K577" s="5"/>
      <c r="L577" s="5"/>
      <c r="M577" s="5"/>
      <c r="N577" s="5"/>
      <c r="O577" s="5"/>
      <c r="P577" s="5"/>
      <c r="Q577" s="5"/>
      <c r="R577" s="5"/>
    </row>
    <row r="578" spans="1:18">
      <c r="A578" s="5"/>
      <c r="B578" s="5"/>
      <c r="C578" s="5"/>
      <c r="D578" s="5"/>
      <c r="E578" s="5"/>
      <c r="F578" s="5"/>
      <c r="G578" s="5"/>
      <c r="H578" s="5"/>
      <c r="I578" s="5"/>
      <c r="J578" s="5"/>
      <c r="K578" s="5"/>
      <c r="L578" s="5"/>
      <c r="M578" s="5"/>
      <c r="N578" s="5"/>
      <c r="O578" s="5"/>
      <c r="P578" s="5"/>
      <c r="Q578" s="5"/>
      <c r="R578" s="5"/>
    </row>
    <row r="579" spans="1:18">
      <c r="A579" s="5"/>
      <c r="B579" s="5"/>
      <c r="C579" s="5"/>
      <c r="D579" s="5"/>
      <c r="E579" s="5"/>
      <c r="F579" s="5"/>
      <c r="G579" s="5"/>
      <c r="H579" s="5"/>
      <c r="I579" s="5"/>
      <c r="J579" s="5"/>
      <c r="K579" s="5"/>
      <c r="L579" s="5"/>
      <c r="M579" s="5"/>
      <c r="N579" s="5"/>
      <c r="O579" s="5"/>
      <c r="P579" s="5"/>
      <c r="Q579" s="5"/>
      <c r="R579" s="5"/>
    </row>
    <row r="580" spans="1:18">
      <c r="A580" s="5"/>
      <c r="B580" s="5"/>
      <c r="C580" s="5"/>
      <c r="D580" s="5"/>
      <c r="E580" s="5"/>
      <c r="F580" s="5"/>
      <c r="G580" s="5"/>
      <c r="H580" s="5"/>
      <c r="I580" s="5"/>
      <c r="J580" s="5"/>
      <c r="K580" s="5"/>
      <c r="L580" s="5"/>
      <c r="M580" s="5"/>
      <c r="N580" s="5"/>
      <c r="O580" s="5"/>
      <c r="P580" s="5"/>
      <c r="Q580" s="5"/>
      <c r="R580" s="5"/>
    </row>
    <row r="581" spans="1:18">
      <c r="A581" s="5"/>
      <c r="B581" s="5"/>
      <c r="C581" s="5"/>
      <c r="D581" s="5"/>
      <c r="E581" s="5"/>
      <c r="F581" s="5"/>
      <c r="G581" s="5"/>
      <c r="H581" s="5"/>
      <c r="I581" s="5"/>
      <c r="J581" s="5"/>
      <c r="K581" s="5"/>
      <c r="L581" s="5"/>
      <c r="M581" s="5"/>
      <c r="N581" s="5"/>
      <c r="O581" s="5"/>
      <c r="P581" s="5"/>
      <c r="Q581" s="5"/>
      <c r="R581" s="5"/>
    </row>
    <row r="582" spans="1:18">
      <c r="A582" s="5"/>
      <c r="B582" s="5"/>
      <c r="C582" s="5"/>
      <c r="D582" s="5"/>
      <c r="E582" s="5"/>
      <c r="F582" s="5"/>
      <c r="G582" s="5"/>
      <c r="H582" s="5"/>
      <c r="I582" s="5"/>
      <c r="J582" s="5"/>
      <c r="K582" s="5"/>
      <c r="L582" s="5"/>
      <c r="M582" s="5"/>
      <c r="N582" s="5"/>
      <c r="O582" s="5"/>
      <c r="P582" s="5"/>
      <c r="Q582" s="5"/>
      <c r="R582" s="5"/>
    </row>
    <row r="583" spans="1:18">
      <c r="A583" s="5"/>
      <c r="B583" s="5"/>
      <c r="C583" s="5"/>
      <c r="D583" s="5"/>
      <c r="E583" s="5"/>
      <c r="F583" s="5"/>
      <c r="G583" s="5"/>
      <c r="H583" s="5"/>
      <c r="I583" s="5"/>
      <c r="J583" s="5"/>
      <c r="K583" s="5"/>
      <c r="L583" s="5"/>
      <c r="M583" s="5"/>
      <c r="N583" s="5"/>
      <c r="O583" s="5"/>
      <c r="P583" s="5"/>
      <c r="Q583" s="5"/>
      <c r="R583" s="5"/>
    </row>
    <row r="584" spans="1:18">
      <c r="A584" s="5"/>
      <c r="B584" s="5"/>
      <c r="C584" s="5"/>
      <c r="D584" s="5"/>
      <c r="E584" s="5"/>
      <c r="F584" s="5"/>
      <c r="G584" s="5"/>
      <c r="H584" s="5"/>
      <c r="I584" s="5"/>
      <c r="J584" s="5"/>
      <c r="K584" s="5"/>
      <c r="L584" s="5"/>
      <c r="M584" s="5"/>
      <c r="N584" s="5"/>
      <c r="O584" s="5"/>
      <c r="P584" s="5"/>
      <c r="Q584" s="5"/>
      <c r="R584" s="5"/>
    </row>
    <row r="585" spans="1:18">
      <c r="A585" s="5"/>
      <c r="B585" s="5"/>
      <c r="C585" s="5"/>
      <c r="D585" s="5"/>
      <c r="E585" s="5"/>
      <c r="F585" s="5"/>
      <c r="G585" s="5"/>
      <c r="H585" s="5"/>
      <c r="I585" s="5"/>
      <c r="J585" s="5"/>
      <c r="K585" s="5"/>
      <c r="L585" s="5"/>
      <c r="M585" s="5"/>
      <c r="N585" s="5"/>
      <c r="O585" s="5"/>
      <c r="P585" s="5"/>
      <c r="Q585" s="5"/>
      <c r="R585" s="5"/>
    </row>
    <row r="586" spans="1:18">
      <c r="A586" s="5"/>
      <c r="B586" s="5"/>
      <c r="C586" s="5"/>
      <c r="D586" s="5"/>
      <c r="E586" s="5"/>
      <c r="F586" s="5"/>
      <c r="G586" s="5"/>
      <c r="H586" s="5"/>
      <c r="I586" s="5"/>
      <c r="J586" s="5"/>
      <c r="K586" s="5"/>
      <c r="L586" s="5"/>
      <c r="M586" s="5"/>
      <c r="N586" s="5"/>
      <c r="O586" s="5"/>
      <c r="P586" s="5"/>
      <c r="Q586" s="5"/>
      <c r="R586" s="5"/>
    </row>
    <row r="587" spans="1:18">
      <c r="A587" s="5"/>
      <c r="B587" s="5"/>
      <c r="C587" s="5"/>
      <c r="D587" s="5"/>
      <c r="E587" s="5"/>
      <c r="F587" s="5"/>
      <c r="G587" s="5"/>
      <c r="H587" s="5"/>
      <c r="I587" s="5"/>
      <c r="J587" s="5"/>
      <c r="K587" s="5"/>
      <c r="L587" s="5"/>
      <c r="M587" s="5"/>
      <c r="N587" s="5"/>
      <c r="O587" s="5"/>
      <c r="P587" s="5"/>
      <c r="Q587" s="5"/>
      <c r="R587" s="5"/>
    </row>
    <row r="588" spans="1:18">
      <c r="A588" s="5"/>
      <c r="B588" s="5"/>
      <c r="C588" s="5"/>
      <c r="D588" s="5"/>
      <c r="E588" s="5"/>
      <c r="F588" s="5"/>
      <c r="G588" s="5"/>
      <c r="H588" s="5"/>
      <c r="I588" s="5"/>
      <c r="J588" s="5"/>
      <c r="K588" s="5"/>
      <c r="L588" s="5"/>
      <c r="M588" s="5"/>
      <c r="N588" s="5"/>
      <c r="O588" s="5"/>
      <c r="P588" s="5"/>
      <c r="Q588" s="5"/>
      <c r="R588" s="5"/>
    </row>
    <row r="589" spans="1:18">
      <c r="A589" s="5"/>
      <c r="B589" s="5"/>
      <c r="C589" s="5"/>
      <c r="D589" s="5"/>
      <c r="E589" s="5"/>
      <c r="F589" s="5"/>
      <c r="G589" s="5"/>
      <c r="H589" s="5"/>
      <c r="I589" s="5"/>
      <c r="J589" s="5"/>
      <c r="K589" s="5"/>
      <c r="L589" s="5"/>
      <c r="M589" s="5"/>
      <c r="N589" s="5"/>
      <c r="O589" s="5"/>
      <c r="P589" s="5"/>
      <c r="Q589" s="5"/>
      <c r="R589" s="5"/>
    </row>
    <row r="590" spans="1:18">
      <c r="A590" s="5"/>
      <c r="B590" s="5"/>
      <c r="C590" s="5"/>
      <c r="D590" s="5"/>
      <c r="E590" s="5"/>
      <c r="F590" s="5"/>
      <c r="G590" s="5"/>
      <c r="H590" s="5"/>
      <c r="I590" s="5"/>
      <c r="J590" s="5"/>
      <c r="K590" s="5"/>
      <c r="L590" s="5"/>
      <c r="M590" s="5"/>
      <c r="N590" s="5"/>
      <c r="O590" s="5"/>
      <c r="P590" s="5"/>
      <c r="Q590" s="5"/>
      <c r="R590" s="5"/>
    </row>
    <row r="591" spans="1:18">
      <c r="A591" s="5"/>
      <c r="B591" s="5"/>
      <c r="C591" s="5"/>
      <c r="D591" s="5"/>
      <c r="E591" s="5"/>
      <c r="F591" s="5"/>
      <c r="G591" s="5"/>
      <c r="H591" s="5"/>
      <c r="I591" s="5"/>
      <c r="J591" s="5"/>
      <c r="K591" s="5"/>
      <c r="L591" s="5"/>
      <c r="M591" s="5"/>
      <c r="N591" s="5"/>
      <c r="O591" s="5"/>
      <c r="P591" s="5"/>
      <c r="Q591" s="5"/>
      <c r="R591" s="5"/>
    </row>
    <row r="592" spans="1:18">
      <c r="A592" s="5"/>
      <c r="B592" s="5"/>
      <c r="C592" s="5"/>
      <c r="D592" s="5"/>
      <c r="E592" s="5"/>
      <c r="F592" s="5"/>
      <c r="G592" s="5"/>
      <c r="H592" s="5"/>
      <c r="I592" s="5"/>
      <c r="J592" s="5"/>
      <c r="K592" s="5"/>
      <c r="L592" s="5"/>
      <c r="M592" s="5"/>
      <c r="N592" s="5"/>
      <c r="O592" s="5"/>
      <c r="P592" s="5"/>
      <c r="Q592" s="5"/>
      <c r="R592" s="5"/>
    </row>
    <row r="593" spans="1:18">
      <c r="A593" s="5"/>
      <c r="B593" s="5"/>
      <c r="C593" s="5"/>
      <c r="D593" s="5"/>
      <c r="E593" s="5"/>
      <c r="F593" s="5"/>
      <c r="G593" s="5"/>
      <c r="H593" s="5"/>
      <c r="I593" s="5"/>
      <c r="J593" s="5"/>
      <c r="K593" s="5"/>
      <c r="L593" s="5"/>
      <c r="M593" s="5"/>
      <c r="N593" s="5"/>
      <c r="O593" s="5"/>
      <c r="P593" s="5"/>
      <c r="Q593" s="5"/>
      <c r="R593" s="5"/>
    </row>
    <row r="594" spans="1:18">
      <c r="A594" s="5"/>
      <c r="B594" s="5"/>
      <c r="C594" s="5"/>
      <c r="D594" s="5"/>
      <c r="E594" s="5"/>
      <c r="F594" s="5"/>
      <c r="G594" s="5"/>
      <c r="H594" s="5"/>
      <c r="I594" s="5"/>
      <c r="J594" s="5"/>
      <c r="K594" s="5"/>
      <c r="L594" s="5"/>
      <c r="M594" s="5"/>
      <c r="N594" s="5"/>
      <c r="O594" s="5"/>
      <c r="P594" s="5"/>
      <c r="Q594" s="5"/>
      <c r="R594" s="5"/>
    </row>
    <row r="595" spans="1:18">
      <c r="A595" s="5"/>
      <c r="B595" s="5"/>
      <c r="C595" s="5"/>
      <c r="D595" s="5"/>
      <c r="E595" s="5"/>
      <c r="F595" s="5"/>
      <c r="G595" s="5"/>
      <c r="H595" s="5"/>
      <c r="I595" s="5"/>
      <c r="J595" s="5"/>
      <c r="K595" s="5"/>
      <c r="L595" s="5"/>
      <c r="M595" s="5"/>
      <c r="N595" s="5"/>
      <c r="O595" s="5"/>
      <c r="P595" s="5"/>
      <c r="Q595" s="5"/>
      <c r="R595" s="5"/>
    </row>
    <row r="596" spans="1:18">
      <c r="A596" s="5"/>
      <c r="B596" s="5"/>
      <c r="C596" s="5"/>
      <c r="D596" s="5"/>
      <c r="E596" s="5"/>
      <c r="F596" s="5"/>
      <c r="G596" s="5"/>
      <c r="H596" s="5"/>
      <c r="I596" s="5"/>
      <c r="J596" s="5"/>
      <c r="K596" s="5"/>
      <c r="L596" s="5"/>
      <c r="M596" s="5"/>
      <c r="N596" s="5"/>
      <c r="O596" s="5"/>
      <c r="P596" s="5"/>
      <c r="Q596" s="5"/>
      <c r="R596" s="5"/>
    </row>
    <row r="597" spans="1:18">
      <c r="A597" s="5"/>
      <c r="B597" s="5"/>
      <c r="C597" s="5"/>
      <c r="D597" s="5"/>
      <c r="E597" s="5"/>
      <c r="F597" s="5"/>
      <c r="G597" s="5"/>
      <c r="H597" s="5"/>
      <c r="I597" s="5"/>
      <c r="J597" s="5"/>
      <c r="K597" s="5"/>
      <c r="L597" s="5"/>
      <c r="M597" s="5"/>
      <c r="N597" s="5"/>
      <c r="O597" s="5"/>
      <c r="P597" s="5"/>
      <c r="Q597" s="5"/>
      <c r="R597" s="5"/>
    </row>
    <row r="598" spans="1:18">
      <c r="A598" s="5"/>
      <c r="B598" s="5"/>
      <c r="C598" s="5"/>
      <c r="D598" s="5"/>
      <c r="E598" s="5"/>
      <c r="F598" s="5"/>
      <c r="G598" s="5"/>
      <c r="H598" s="5"/>
      <c r="I598" s="5"/>
      <c r="J598" s="5"/>
      <c r="K598" s="5"/>
      <c r="L598" s="5"/>
      <c r="M598" s="5"/>
      <c r="N598" s="5"/>
      <c r="O598" s="5"/>
      <c r="P598" s="5"/>
      <c r="Q598" s="5"/>
      <c r="R598" s="5"/>
    </row>
    <row r="599" spans="1:18">
      <c r="A599" s="5"/>
      <c r="B599" s="5"/>
      <c r="C599" s="5"/>
      <c r="D599" s="5"/>
      <c r="E599" s="5"/>
      <c r="F599" s="5"/>
      <c r="G599" s="5"/>
      <c r="H599" s="5"/>
      <c r="I599" s="5"/>
      <c r="J599" s="5"/>
      <c r="K599" s="5"/>
      <c r="L599" s="5"/>
      <c r="M599" s="5"/>
      <c r="N599" s="5"/>
      <c r="O599" s="5"/>
      <c r="P599" s="5"/>
      <c r="Q599" s="5"/>
      <c r="R599" s="5"/>
    </row>
    <row r="600" spans="1:18">
      <c r="A600" s="5"/>
      <c r="B600" s="5"/>
      <c r="C600" s="5"/>
      <c r="D600" s="5"/>
      <c r="E600" s="5"/>
      <c r="F600" s="5"/>
      <c r="G600" s="5"/>
      <c r="H600" s="5"/>
      <c r="I600" s="5"/>
      <c r="J600" s="5"/>
      <c r="K600" s="5"/>
      <c r="L600" s="5"/>
      <c r="M600" s="5"/>
      <c r="N600" s="5"/>
      <c r="O600" s="5"/>
      <c r="P600" s="5"/>
      <c r="Q600" s="5"/>
      <c r="R600" s="5"/>
    </row>
    <row r="601" spans="1:18">
      <c r="A601" s="5"/>
      <c r="B601" s="5"/>
      <c r="C601" s="5"/>
      <c r="D601" s="5"/>
      <c r="E601" s="5"/>
      <c r="F601" s="5"/>
      <c r="G601" s="5"/>
      <c r="H601" s="5"/>
      <c r="I601" s="5"/>
      <c r="J601" s="5"/>
      <c r="K601" s="5"/>
      <c r="L601" s="5"/>
      <c r="M601" s="5"/>
      <c r="N601" s="5"/>
      <c r="O601" s="5"/>
      <c r="P601" s="5"/>
      <c r="Q601" s="5"/>
      <c r="R601" s="5"/>
    </row>
    <row r="602" spans="1:18">
      <c r="A602" s="5"/>
      <c r="B602" s="5"/>
      <c r="C602" s="5"/>
      <c r="D602" s="5"/>
      <c r="E602" s="5"/>
      <c r="F602" s="5"/>
      <c r="G602" s="5"/>
      <c r="H602" s="5"/>
      <c r="I602" s="5"/>
      <c r="J602" s="5"/>
      <c r="K602" s="5"/>
      <c r="L602" s="5"/>
      <c r="M602" s="5"/>
      <c r="N602" s="5"/>
      <c r="O602" s="5"/>
      <c r="P602" s="5"/>
      <c r="Q602" s="5"/>
      <c r="R602" s="5"/>
    </row>
    <row r="603" spans="1:18">
      <c r="A603" s="5"/>
      <c r="B603" s="5"/>
      <c r="C603" s="5"/>
      <c r="D603" s="5"/>
      <c r="E603" s="5"/>
      <c r="F603" s="5"/>
      <c r="G603" s="5"/>
      <c r="H603" s="5"/>
      <c r="I603" s="5"/>
      <c r="J603" s="5"/>
      <c r="K603" s="5"/>
      <c r="L603" s="5"/>
      <c r="M603" s="5"/>
      <c r="N603" s="5"/>
      <c r="O603" s="5"/>
      <c r="P603" s="5"/>
      <c r="Q603" s="5"/>
      <c r="R603" s="5"/>
    </row>
    <row r="604" spans="1:18">
      <c r="A604" s="5"/>
      <c r="B604" s="5"/>
      <c r="C604" s="5"/>
      <c r="D604" s="5"/>
      <c r="E604" s="5"/>
      <c r="F604" s="5"/>
      <c r="G604" s="5"/>
      <c r="H604" s="5"/>
      <c r="I604" s="5"/>
      <c r="J604" s="5"/>
      <c r="K604" s="5"/>
      <c r="L604" s="5"/>
      <c r="M604" s="5"/>
      <c r="N604" s="5"/>
      <c r="O604" s="5"/>
      <c r="P604" s="5"/>
      <c r="Q604" s="5"/>
      <c r="R604" s="5"/>
    </row>
    <row r="605" spans="1:18">
      <c r="A605" s="5"/>
      <c r="B605" s="5"/>
      <c r="C605" s="5"/>
      <c r="D605" s="5"/>
      <c r="E605" s="5"/>
      <c r="F605" s="5"/>
      <c r="G605" s="5"/>
      <c r="H605" s="5"/>
      <c r="I605" s="5"/>
      <c r="J605" s="5"/>
      <c r="K605" s="5"/>
      <c r="L605" s="5"/>
      <c r="M605" s="5"/>
      <c r="N605" s="5"/>
      <c r="O605" s="5"/>
      <c r="P605" s="5"/>
      <c r="Q605" s="5"/>
      <c r="R605" s="5"/>
    </row>
    <row r="606" spans="1:18">
      <c r="A606" s="5"/>
      <c r="B606" s="5"/>
      <c r="C606" s="5"/>
      <c r="D606" s="5"/>
      <c r="E606" s="5"/>
      <c r="F606" s="5"/>
      <c r="G606" s="5"/>
      <c r="H606" s="5"/>
      <c r="I606" s="5"/>
      <c r="J606" s="5"/>
      <c r="K606" s="5"/>
      <c r="L606" s="5"/>
      <c r="M606" s="5"/>
      <c r="N606" s="5"/>
      <c r="O606" s="5"/>
      <c r="P606" s="5"/>
      <c r="Q606" s="5"/>
      <c r="R606" s="5"/>
    </row>
    <row r="607" spans="1:18">
      <c r="A607" s="5"/>
      <c r="B607" s="5"/>
      <c r="C607" s="5"/>
      <c r="D607" s="5"/>
      <c r="E607" s="5"/>
      <c r="F607" s="5"/>
      <c r="G607" s="5"/>
      <c r="H607" s="5"/>
      <c r="I607" s="5"/>
      <c r="J607" s="5"/>
      <c r="K607" s="5"/>
      <c r="L607" s="5"/>
      <c r="M607" s="5"/>
      <c r="N607" s="5"/>
      <c r="O607" s="5"/>
      <c r="P607" s="5"/>
      <c r="Q607" s="5"/>
      <c r="R607" s="5"/>
    </row>
    <row r="608" spans="1:18">
      <c r="A608" s="5"/>
      <c r="B608" s="5"/>
      <c r="C608" s="5"/>
      <c r="D608" s="5"/>
      <c r="E608" s="5"/>
      <c r="F608" s="5"/>
      <c r="G608" s="5"/>
      <c r="H608" s="5"/>
      <c r="I608" s="5"/>
      <c r="J608" s="5"/>
      <c r="K608" s="5"/>
      <c r="L608" s="5"/>
      <c r="M608" s="5"/>
      <c r="N608" s="5"/>
      <c r="O608" s="5"/>
      <c r="P608" s="5"/>
      <c r="Q608" s="5"/>
      <c r="R608" s="5"/>
    </row>
    <row r="609" spans="1:18">
      <c r="A609" s="5"/>
      <c r="B609" s="5"/>
      <c r="C609" s="5"/>
      <c r="D609" s="5"/>
      <c r="E609" s="5"/>
      <c r="F609" s="5"/>
      <c r="G609" s="5"/>
      <c r="H609" s="5"/>
      <c r="I609" s="5"/>
      <c r="J609" s="5"/>
      <c r="K609" s="5"/>
      <c r="L609" s="5"/>
      <c r="M609" s="5"/>
      <c r="N609" s="5"/>
      <c r="O609" s="5"/>
      <c r="P609" s="5"/>
      <c r="Q609" s="5"/>
      <c r="R609" s="5"/>
    </row>
    <row r="610" spans="1:18">
      <c r="A610" s="5"/>
      <c r="B610" s="5"/>
      <c r="C610" s="5"/>
      <c r="D610" s="5"/>
      <c r="E610" s="5"/>
      <c r="F610" s="5"/>
      <c r="G610" s="5"/>
      <c r="H610" s="5"/>
      <c r="I610" s="5"/>
      <c r="J610" s="5"/>
      <c r="K610" s="5"/>
      <c r="L610" s="5"/>
      <c r="M610" s="5"/>
      <c r="N610" s="5"/>
      <c r="O610" s="5"/>
      <c r="P610" s="5"/>
      <c r="Q610" s="5"/>
      <c r="R610" s="5"/>
    </row>
    <row r="611" spans="1:18">
      <c r="A611" s="5"/>
      <c r="B611" s="5"/>
      <c r="C611" s="5"/>
      <c r="D611" s="5"/>
      <c r="E611" s="5"/>
      <c r="F611" s="5"/>
      <c r="G611" s="5"/>
      <c r="H611" s="5"/>
      <c r="I611" s="5"/>
      <c r="J611" s="5"/>
      <c r="K611" s="5"/>
      <c r="L611" s="5"/>
      <c r="M611" s="5"/>
      <c r="N611" s="5"/>
      <c r="O611" s="5"/>
      <c r="P611" s="5"/>
      <c r="Q611" s="5"/>
      <c r="R611" s="5"/>
    </row>
    <row r="612" spans="1:18">
      <c r="A612" s="5"/>
      <c r="B612" s="5"/>
      <c r="C612" s="5"/>
      <c r="D612" s="5"/>
      <c r="E612" s="5"/>
      <c r="F612" s="5"/>
      <c r="G612" s="5"/>
      <c r="H612" s="5"/>
      <c r="I612" s="5"/>
      <c r="J612" s="5"/>
      <c r="K612" s="5"/>
      <c r="L612" s="5"/>
      <c r="M612" s="5"/>
      <c r="N612" s="5"/>
      <c r="O612" s="5"/>
      <c r="P612" s="5"/>
      <c r="Q612" s="5"/>
      <c r="R612" s="5"/>
    </row>
    <row r="613" spans="1:18">
      <c r="A613" s="5"/>
      <c r="B613" s="5"/>
      <c r="C613" s="5"/>
      <c r="D613" s="5"/>
      <c r="E613" s="5"/>
      <c r="F613" s="5"/>
      <c r="G613" s="5"/>
      <c r="H613" s="5"/>
      <c r="I613" s="5"/>
      <c r="J613" s="5"/>
      <c r="K613" s="5"/>
      <c r="L613" s="5"/>
      <c r="M613" s="5"/>
      <c r="N613" s="5"/>
      <c r="O613" s="5"/>
      <c r="P613" s="5"/>
      <c r="Q613" s="5"/>
      <c r="R613" s="5"/>
    </row>
    <row r="614" spans="1:18">
      <c r="A614" s="5"/>
      <c r="B614" s="5"/>
      <c r="C614" s="5"/>
      <c r="D614" s="5"/>
      <c r="E614" s="5"/>
      <c r="F614" s="5"/>
      <c r="G614" s="5"/>
      <c r="H614" s="5"/>
      <c r="I614" s="5"/>
      <c r="J614" s="5"/>
      <c r="K614" s="5"/>
      <c r="L614" s="5"/>
      <c r="M614" s="5"/>
      <c r="N614" s="5"/>
      <c r="O614" s="5"/>
      <c r="P614" s="5"/>
      <c r="Q614" s="5"/>
      <c r="R614" s="5"/>
    </row>
    <row r="615" spans="1:18">
      <c r="A615" s="5"/>
      <c r="B615" s="5"/>
      <c r="C615" s="5"/>
      <c r="D615" s="5"/>
      <c r="E615" s="5"/>
      <c r="F615" s="5"/>
      <c r="G615" s="5"/>
      <c r="H615" s="5"/>
      <c r="I615" s="5"/>
      <c r="J615" s="5"/>
      <c r="K615" s="5"/>
      <c r="L615" s="5"/>
      <c r="M615" s="5"/>
      <c r="N615" s="5"/>
      <c r="O615" s="5"/>
      <c r="P615" s="5"/>
      <c r="Q615" s="5"/>
      <c r="R615" s="5"/>
    </row>
    <row r="616" spans="1:18">
      <c r="A616" s="5"/>
      <c r="B616" s="5"/>
      <c r="C616" s="5"/>
      <c r="D616" s="5"/>
      <c r="E616" s="5"/>
      <c r="F616" s="5"/>
      <c r="G616" s="5"/>
      <c r="H616" s="5"/>
      <c r="I616" s="5"/>
      <c r="J616" s="5"/>
      <c r="K616" s="5"/>
      <c r="L616" s="5"/>
      <c r="M616" s="5"/>
      <c r="N616" s="5"/>
      <c r="O616" s="5"/>
      <c r="P616" s="5"/>
      <c r="Q616" s="5"/>
      <c r="R616" s="5"/>
    </row>
    <row r="617" spans="1:18">
      <c r="A617" s="5"/>
      <c r="B617" s="5"/>
      <c r="C617" s="5"/>
      <c r="D617" s="5"/>
      <c r="E617" s="5"/>
      <c r="F617" s="5"/>
      <c r="G617" s="5"/>
      <c r="H617" s="5"/>
      <c r="I617" s="5"/>
      <c r="J617" s="5"/>
      <c r="K617" s="5"/>
      <c r="L617" s="5"/>
      <c r="M617" s="5"/>
      <c r="N617" s="5"/>
      <c r="O617" s="5"/>
      <c r="P617" s="5"/>
      <c r="Q617" s="5"/>
      <c r="R617" s="5"/>
    </row>
    <row r="618" spans="1:18">
      <c r="A618" s="5"/>
      <c r="B618" s="5"/>
      <c r="C618" s="5"/>
      <c r="D618" s="5"/>
      <c r="E618" s="5"/>
      <c r="F618" s="5"/>
      <c r="G618" s="5"/>
      <c r="H618" s="5"/>
      <c r="I618" s="5"/>
      <c r="J618" s="5"/>
      <c r="K618" s="5"/>
      <c r="L618" s="5"/>
      <c r="M618" s="5"/>
      <c r="N618" s="5"/>
      <c r="O618" s="5"/>
      <c r="P618" s="5"/>
      <c r="Q618" s="5"/>
      <c r="R618" s="5"/>
    </row>
    <row r="619" spans="1:18">
      <c r="A619" s="5"/>
      <c r="B619" s="5"/>
      <c r="C619" s="5"/>
      <c r="D619" s="5"/>
      <c r="E619" s="5"/>
      <c r="F619" s="5"/>
      <c r="G619" s="5"/>
      <c r="H619" s="5"/>
      <c r="I619" s="5"/>
      <c r="J619" s="5"/>
      <c r="K619" s="5"/>
      <c r="L619" s="5"/>
      <c r="M619" s="5"/>
      <c r="N619" s="5"/>
      <c r="O619" s="5"/>
      <c r="P619" s="5"/>
      <c r="Q619" s="5"/>
      <c r="R619" s="5"/>
    </row>
    <row r="620" spans="1:18">
      <c r="A620" s="5"/>
      <c r="B620" s="5"/>
      <c r="C620" s="5"/>
      <c r="D620" s="5"/>
      <c r="E620" s="5"/>
      <c r="F620" s="5"/>
      <c r="G620" s="5"/>
      <c r="H620" s="5"/>
      <c r="I620" s="5"/>
      <c r="J620" s="5"/>
      <c r="K620" s="5"/>
      <c r="L620" s="5"/>
      <c r="M620" s="5"/>
      <c r="N620" s="5"/>
      <c r="O620" s="5"/>
      <c r="P620" s="5"/>
      <c r="Q620" s="5"/>
      <c r="R620" s="5"/>
    </row>
    <row r="621" spans="1:18">
      <c r="A621" s="5"/>
      <c r="B621" s="5"/>
      <c r="C621" s="5"/>
      <c r="D621" s="5"/>
      <c r="E621" s="5"/>
      <c r="F621" s="5"/>
      <c r="G621" s="5"/>
      <c r="H621" s="5"/>
      <c r="I621" s="5"/>
      <c r="J621" s="5"/>
      <c r="K621" s="5"/>
      <c r="L621" s="5"/>
      <c r="M621" s="5"/>
      <c r="N621" s="5"/>
      <c r="O621" s="5"/>
      <c r="P621" s="5"/>
      <c r="Q621" s="5"/>
      <c r="R621" s="5"/>
    </row>
    <row r="622" spans="1:18">
      <c r="A622" s="5"/>
      <c r="B622" s="5"/>
      <c r="C622" s="5"/>
      <c r="D622" s="5"/>
      <c r="E622" s="5"/>
      <c r="F622" s="5"/>
      <c r="G622" s="5"/>
      <c r="H622" s="5"/>
      <c r="I622" s="5"/>
      <c r="J622" s="5"/>
      <c r="K622" s="5"/>
      <c r="L622" s="5"/>
      <c r="M622" s="5"/>
      <c r="N622" s="5"/>
      <c r="O622" s="5"/>
      <c r="P622" s="5"/>
      <c r="Q622" s="5"/>
      <c r="R622" s="5"/>
    </row>
    <row r="623" spans="1:18">
      <c r="A623" s="5"/>
      <c r="B623" s="5"/>
      <c r="C623" s="5"/>
      <c r="D623" s="5"/>
      <c r="E623" s="5"/>
      <c r="F623" s="5"/>
      <c r="G623" s="5"/>
      <c r="H623" s="5"/>
      <c r="I623" s="5"/>
      <c r="J623" s="5"/>
      <c r="K623" s="5"/>
      <c r="L623" s="5"/>
      <c r="M623" s="5"/>
      <c r="N623" s="5"/>
      <c r="O623" s="5"/>
      <c r="P623" s="5"/>
      <c r="Q623" s="5"/>
      <c r="R623" s="5"/>
    </row>
    <row r="624" spans="1:18">
      <c r="A624" s="5"/>
      <c r="B624" s="5"/>
      <c r="C624" s="5"/>
      <c r="D624" s="5"/>
      <c r="E624" s="5"/>
      <c r="F624" s="5"/>
      <c r="G624" s="5"/>
      <c r="H624" s="5"/>
      <c r="I624" s="5"/>
      <c r="J624" s="5"/>
      <c r="K624" s="5"/>
      <c r="L624" s="5"/>
      <c r="M624" s="5"/>
      <c r="N624" s="5"/>
      <c r="O624" s="5"/>
      <c r="P624" s="5"/>
      <c r="Q624" s="5"/>
      <c r="R624" s="5"/>
    </row>
    <row r="625" spans="1:18">
      <c r="A625" s="5"/>
      <c r="B625" s="5"/>
      <c r="C625" s="5"/>
      <c r="D625" s="5"/>
      <c r="E625" s="5"/>
      <c r="F625" s="5"/>
      <c r="G625" s="5"/>
      <c r="H625" s="5"/>
      <c r="I625" s="5"/>
      <c r="J625" s="5"/>
      <c r="K625" s="5"/>
      <c r="L625" s="5"/>
      <c r="M625" s="5"/>
      <c r="N625" s="5"/>
      <c r="O625" s="5"/>
      <c r="P625" s="5"/>
      <c r="Q625" s="5"/>
      <c r="R625" s="5"/>
    </row>
    <row r="626" spans="1:18">
      <c r="A626" s="5"/>
      <c r="B626" s="5"/>
      <c r="C626" s="5"/>
      <c r="D626" s="5"/>
      <c r="E626" s="5"/>
      <c r="F626" s="5"/>
      <c r="G626" s="5"/>
      <c r="H626" s="5"/>
      <c r="I626" s="5"/>
      <c r="J626" s="5"/>
      <c r="K626" s="5"/>
      <c r="L626" s="5"/>
      <c r="M626" s="5"/>
      <c r="N626" s="5"/>
      <c r="O626" s="5"/>
      <c r="P626" s="5"/>
      <c r="Q626" s="5"/>
      <c r="R626" s="5"/>
    </row>
    <row r="627" spans="1:18">
      <c r="A627" s="5"/>
      <c r="B627" s="5"/>
      <c r="C627" s="5"/>
      <c r="D627" s="5"/>
      <c r="E627" s="5"/>
      <c r="F627" s="5"/>
      <c r="G627" s="5"/>
      <c r="H627" s="5"/>
      <c r="I627" s="5"/>
      <c r="J627" s="5"/>
      <c r="K627" s="5"/>
      <c r="L627" s="5"/>
      <c r="M627" s="5"/>
      <c r="N627" s="5"/>
      <c r="O627" s="5"/>
      <c r="P627" s="5"/>
      <c r="Q627" s="5"/>
      <c r="R627" s="5"/>
    </row>
    <row r="628" spans="1:18">
      <c r="A628" s="5"/>
      <c r="B628" s="5"/>
      <c r="C628" s="5"/>
      <c r="D628" s="5"/>
      <c r="E628" s="5"/>
      <c r="F628" s="5"/>
      <c r="G628" s="5"/>
      <c r="H628" s="5"/>
      <c r="I628" s="5"/>
      <c r="J628" s="5"/>
      <c r="K628" s="5"/>
      <c r="L628" s="5"/>
      <c r="M628" s="5"/>
      <c r="N628" s="5"/>
      <c r="O628" s="5"/>
      <c r="P628" s="5"/>
      <c r="Q628" s="5"/>
      <c r="R628" s="5"/>
    </row>
    <row r="629" spans="1:18">
      <c r="A629" s="5"/>
      <c r="B629" s="5"/>
      <c r="C629" s="5"/>
      <c r="D629" s="5"/>
      <c r="E629" s="5"/>
      <c r="F629" s="5"/>
      <c r="G629" s="5"/>
      <c r="H629" s="5"/>
      <c r="I629" s="5"/>
      <c r="J629" s="5"/>
      <c r="K629" s="5"/>
      <c r="L629" s="5"/>
      <c r="M629" s="5"/>
      <c r="N629" s="5"/>
      <c r="O629" s="5"/>
      <c r="P629" s="5"/>
      <c r="Q629" s="5"/>
      <c r="R629" s="5"/>
    </row>
    <row r="630" spans="1:18">
      <c r="A630" s="5"/>
      <c r="B630" s="5"/>
      <c r="C630" s="5"/>
      <c r="D630" s="5"/>
      <c r="E630" s="5"/>
      <c r="F630" s="5"/>
      <c r="G630" s="5"/>
      <c r="H630" s="5"/>
      <c r="I630" s="5"/>
      <c r="J630" s="5"/>
      <c r="K630" s="5"/>
      <c r="L630" s="5"/>
      <c r="M630" s="5"/>
      <c r="N630" s="5"/>
      <c r="O630" s="5"/>
      <c r="P630" s="5"/>
      <c r="Q630" s="5"/>
      <c r="R630" s="5"/>
    </row>
    <row r="631" spans="1:18">
      <c r="A631" s="5"/>
      <c r="B631" s="5"/>
      <c r="C631" s="5"/>
      <c r="D631" s="5"/>
      <c r="E631" s="5"/>
      <c r="F631" s="5"/>
      <c r="G631" s="5"/>
      <c r="H631" s="5"/>
      <c r="I631" s="5"/>
      <c r="J631" s="5"/>
      <c r="K631" s="5"/>
      <c r="L631" s="5"/>
      <c r="M631" s="5"/>
      <c r="N631" s="5"/>
      <c r="O631" s="5"/>
      <c r="P631" s="5"/>
      <c r="Q631" s="5"/>
      <c r="R631" s="5"/>
    </row>
    <row r="632" spans="1:18">
      <c r="A632" s="5"/>
      <c r="B632" s="5"/>
      <c r="C632" s="5"/>
      <c r="D632" s="5"/>
      <c r="E632" s="5"/>
      <c r="F632" s="5"/>
      <c r="G632" s="5"/>
      <c r="H632" s="5"/>
      <c r="I632" s="5"/>
      <c r="J632" s="5"/>
      <c r="K632" s="5"/>
      <c r="L632" s="5"/>
      <c r="M632" s="5"/>
      <c r="N632" s="5"/>
      <c r="O632" s="5"/>
      <c r="P632" s="5"/>
      <c r="Q632" s="5"/>
      <c r="R632" s="5"/>
    </row>
    <row r="633" spans="1:18">
      <c r="A633" s="5"/>
      <c r="B633" s="5"/>
      <c r="C633" s="5"/>
      <c r="D633" s="5"/>
      <c r="E633" s="5"/>
      <c r="F633" s="5"/>
      <c r="G633" s="5"/>
      <c r="H633" s="5"/>
      <c r="I633" s="5"/>
      <c r="J633" s="5"/>
      <c r="K633" s="5"/>
      <c r="L633" s="5"/>
      <c r="M633" s="5"/>
      <c r="N633" s="5"/>
      <c r="O633" s="5"/>
      <c r="P633" s="5"/>
      <c r="Q633" s="5"/>
      <c r="R633" s="5"/>
    </row>
    <row r="634" spans="1:18">
      <c r="A634" s="5"/>
      <c r="B634" s="5"/>
      <c r="C634" s="5"/>
      <c r="D634" s="5"/>
      <c r="E634" s="5"/>
      <c r="F634" s="5"/>
      <c r="G634" s="5"/>
      <c r="H634" s="5"/>
      <c r="I634" s="5"/>
      <c r="J634" s="5"/>
      <c r="K634" s="5"/>
      <c r="L634" s="5"/>
      <c r="M634" s="5"/>
      <c r="N634" s="5"/>
      <c r="O634" s="5"/>
      <c r="P634" s="5"/>
      <c r="Q634" s="5"/>
      <c r="R634" s="5"/>
    </row>
    <row r="635" spans="1:18">
      <c r="A635" s="5"/>
      <c r="B635" s="5"/>
      <c r="C635" s="5"/>
      <c r="D635" s="5"/>
      <c r="E635" s="5"/>
      <c r="F635" s="5"/>
      <c r="G635" s="5"/>
      <c r="H635" s="5"/>
      <c r="I635" s="5"/>
      <c r="J635" s="5"/>
      <c r="K635" s="5"/>
      <c r="L635" s="5"/>
      <c r="M635" s="5"/>
      <c r="N635" s="5"/>
      <c r="O635" s="5"/>
      <c r="P635" s="5"/>
      <c r="Q635" s="5"/>
      <c r="R635" s="5"/>
    </row>
    <row r="636" spans="1:18">
      <c r="A636" s="5"/>
      <c r="B636" s="5"/>
      <c r="C636" s="5"/>
      <c r="D636" s="5"/>
      <c r="E636" s="5"/>
      <c r="F636" s="5"/>
      <c r="G636" s="5"/>
      <c r="H636" s="5"/>
      <c r="I636" s="5"/>
      <c r="J636" s="5"/>
      <c r="K636" s="5"/>
      <c r="L636" s="5"/>
      <c r="M636" s="5"/>
      <c r="N636" s="5"/>
      <c r="O636" s="5"/>
      <c r="P636" s="5"/>
      <c r="Q636" s="5"/>
      <c r="R636" s="5"/>
    </row>
    <row r="637" spans="1:18">
      <c r="A637" s="5"/>
      <c r="B637" s="5"/>
      <c r="C637" s="5"/>
      <c r="D637" s="5"/>
      <c r="E637" s="5"/>
      <c r="F637" s="5"/>
      <c r="G637" s="5"/>
      <c r="H637" s="5"/>
      <c r="I637" s="5"/>
      <c r="J637" s="5"/>
      <c r="K637" s="5"/>
      <c r="L637" s="5"/>
      <c r="M637" s="5"/>
      <c r="N637" s="5"/>
      <c r="O637" s="5"/>
      <c r="P637" s="5"/>
      <c r="Q637" s="5"/>
      <c r="R637" s="5"/>
    </row>
    <row r="638" spans="1:18">
      <c r="A638" s="5"/>
      <c r="B638" s="5"/>
      <c r="C638" s="5"/>
      <c r="D638" s="5"/>
      <c r="E638" s="5"/>
      <c r="F638" s="5"/>
      <c r="G638" s="5"/>
      <c r="H638" s="5"/>
      <c r="I638" s="5"/>
      <c r="J638" s="5"/>
      <c r="K638" s="5"/>
      <c r="L638" s="5"/>
      <c r="M638" s="5"/>
      <c r="N638" s="5"/>
      <c r="O638" s="5"/>
      <c r="P638" s="5"/>
      <c r="Q638" s="5"/>
      <c r="R638" s="5"/>
    </row>
    <row r="639" spans="1:18">
      <c r="A639" s="5"/>
      <c r="B639" s="5"/>
      <c r="C639" s="5"/>
      <c r="D639" s="5"/>
      <c r="E639" s="5"/>
      <c r="F639" s="5"/>
      <c r="G639" s="5"/>
      <c r="H639" s="5"/>
      <c r="I639" s="5"/>
      <c r="J639" s="5"/>
      <c r="K639" s="5"/>
      <c r="L639" s="5"/>
      <c r="M639" s="5"/>
      <c r="N639" s="5"/>
      <c r="O639" s="5"/>
      <c r="P639" s="5"/>
      <c r="Q639" s="5"/>
      <c r="R639" s="5"/>
    </row>
    <row r="640" spans="1:18">
      <c r="A640" s="5"/>
      <c r="B640" s="5"/>
      <c r="C640" s="5"/>
      <c r="D640" s="5"/>
      <c r="E640" s="5"/>
      <c r="F640" s="5"/>
      <c r="G640" s="5"/>
      <c r="H640" s="5"/>
      <c r="I640" s="5"/>
      <c r="J640" s="5"/>
      <c r="K640" s="5"/>
      <c r="L640" s="5"/>
      <c r="M640" s="5"/>
      <c r="N640" s="5"/>
      <c r="O640" s="5"/>
      <c r="P640" s="5"/>
      <c r="Q640" s="5"/>
      <c r="R640" s="5"/>
    </row>
    <row r="641" spans="1:18">
      <c r="A641" s="5"/>
      <c r="B641" s="5"/>
      <c r="C641" s="5"/>
      <c r="D641" s="5"/>
      <c r="E641" s="5"/>
      <c r="F641" s="5"/>
      <c r="G641" s="5"/>
      <c r="H641" s="5"/>
      <c r="I641" s="5"/>
      <c r="J641" s="5"/>
      <c r="K641" s="5"/>
      <c r="L641" s="5"/>
      <c r="M641" s="5"/>
      <c r="N641" s="5"/>
      <c r="O641" s="5"/>
      <c r="P641" s="5"/>
      <c r="Q641" s="5"/>
      <c r="R641" s="5"/>
    </row>
    <row r="642" spans="1:18">
      <c r="A642" s="5"/>
      <c r="B642" s="5"/>
      <c r="C642" s="5"/>
      <c r="D642" s="5"/>
      <c r="E642" s="5"/>
      <c r="F642" s="5"/>
      <c r="G642" s="5"/>
      <c r="H642" s="5"/>
      <c r="I642" s="5"/>
      <c r="J642" s="5"/>
      <c r="K642" s="5"/>
      <c r="L642" s="5"/>
      <c r="M642" s="5"/>
      <c r="N642" s="5"/>
      <c r="O642" s="5"/>
      <c r="P642" s="5"/>
      <c r="Q642" s="5"/>
      <c r="R642" s="5"/>
    </row>
    <row r="643" spans="1:18">
      <c r="A643" s="5"/>
      <c r="B643" s="5"/>
      <c r="C643" s="5"/>
      <c r="D643" s="5"/>
      <c r="E643" s="5"/>
      <c r="F643" s="5"/>
      <c r="G643" s="5"/>
      <c r="H643" s="5"/>
      <c r="I643" s="5"/>
      <c r="J643" s="5"/>
      <c r="K643" s="5"/>
      <c r="L643" s="5"/>
      <c r="M643" s="5"/>
      <c r="N643" s="5"/>
      <c r="O643" s="5"/>
      <c r="P643" s="5"/>
      <c r="Q643" s="5"/>
      <c r="R643" s="5"/>
    </row>
    <row r="644" spans="1:18">
      <c r="A644" s="5"/>
      <c r="B644" s="5"/>
      <c r="C644" s="5"/>
      <c r="D644" s="5"/>
      <c r="E644" s="5"/>
      <c r="F644" s="5"/>
      <c r="G644" s="5"/>
      <c r="H644" s="5"/>
      <c r="I644" s="5"/>
      <c r="J644" s="5"/>
      <c r="K644" s="5"/>
      <c r="L644" s="5"/>
      <c r="M644" s="5"/>
      <c r="N644" s="5"/>
      <c r="O644" s="5"/>
      <c r="P644" s="5"/>
      <c r="Q644" s="5"/>
      <c r="R644" s="5"/>
    </row>
    <row r="645" spans="1:18">
      <c r="A645" s="5"/>
      <c r="B645" s="5"/>
      <c r="C645" s="5"/>
      <c r="D645" s="5"/>
      <c r="E645" s="5"/>
      <c r="F645" s="5"/>
      <c r="G645" s="5"/>
      <c r="H645" s="5"/>
      <c r="I645" s="5"/>
      <c r="J645" s="5"/>
      <c r="K645" s="5"/>
      <c r="L645" s="5"/>
      <c r="M645" s="5"/>
      <c r="N645" s="5"/>
      <c r="O645" s="5"/>
      <c r="P645" s="5"/>
      <c r="Q645" s="5"/>
      <c r="R645" s="5"/>
    </row>
    <row r="646" spans="1:18">
      <c r="A646" s="5"/>
      <c r="B646" s="5"/>
      <c r="C646" s="5"/>
      <c r="D646" s="5"/>
      <c r="E646" s="5"/>
      <c r="F646" s="5"/>
      <c r="G646" s="5"/>
      <c r="H646" s="5"/>
      <c r="I646" s="5"/>
      <c r="J646" s="5"/>
      <c r="K646" s="5"/>
      <c r="L646" s="5"/>
      <c r="M646" s="5"/>
      <c r="N646" s="5"/>
      <c r="O646" s="5"/>
      <c r="P646" s="5"/>
      <c r="Q646" s="5"/>
      <c r="R646" s="5"/>
    </row>
    <row r="647" spans="1:18">
      <c r="A647" s="5"/>
      <c r="B647" s="5"/>
      <c r="C647" s="5"/>
      <c r="D647" s="5"/>
      <c r="E647" s="5"/>
      <c r="F647" s="5"/>
      <c r="G647" s="5"/>
      <c r="H647" s="5"/>
      <c r="I647" s="5"/>
      <c r="J647" s="5"/>
      <c r="K647" s="5"/>
      <c r="L647" s="5"/>
      <c r="M647" s="5"/>
      <c r="N647" s="5"/>
      <c r="O647" s="5"/>
      <c r="P647" s="5"/>
      <c r="Q647" s="5"/>
      <c r="R647" s="5"/>
    </row>
    <row r="648" spans="1:18">
      <c r="A648" s="5"/>
      <c r="B648" s="5"/>
      <c r="C648" s="5"/>
      <c r="D648" s="5"/>
      <c r="E648" s="5"/>
      <c r="F648" s="5"/>
      <c r="G648" s="5"/>
      <c r="H648" s="5"/>
      <c r="I648" s="5"/>
      <c r="J648" s="5"/>
      <c r="K648" s="5"/>
      <c r="L648" s="5"/>
      <c r="M648" s="5"/>
      <c r="N648" s="5"/>
      <c r="O648" s="5"/>
      <c r="P648" s="5"/>
      <c r="Q648" s="5"/>
      <c r="R648" s="5"/>
    </row>
    <row r="649" spans="1:18">
      <c r="A649" s="5"/>
      <c r="B649" s="5"/>
      <c r="C649" s="5"/>
      <c r="D649" s="5"/>
      <c r="E649" s="5"/>
      <c r="F649" s="5"/>
      <c r="G649" s="5"/>
      <c r="H649" s="5"/>
      <c r="I649" s="5"/>
      <c r="J649" s="5"/>
      <c r="K649" s="5"/>
      <c r="L649" s="5"/>
      <c r="M649" s="5"/>
      <c r="N649" s="5"/>
      <c r="O649" s="5"/>
      <c r="P649" s="5"/>
      <c r="Q649" s="5"/>
      <c r="R649" s="5"/>
    </row>
    <row r="650" spans="1:18">
      <c r="A650" s="5"/>
      <c r="B650" s="5"/>
      <c r="C650" s="5"/>
      <c r="D650" s="5"/>
      <c r="E650" s="5"/>
      <c r="F650" s="5"/>
      <c r="G650" s="5"/>
      <c r="H650" s="5"/>
      <c r="I650" s="5"/>
      <c r="J650" s="5"/>
      <c r="K650" s="5"/>
      <c r="L650" s="5"/>
      <c r="M650" s="5"/>
      <c r="N650" s="5"/>
      <c r="O650" s="5"/>
      <c r="P650" s="5"/>
      <c r="Q650" s="5"/>
      <c r="R650" s="5"/>
    </row>
    <row r="651" spans="1:18">
      <c r="A651" s="5"/>
      <c r="B651" s="5"/>
      <c r="C651" s="5"/>
      <c r="D651" s="5"/>
      <c r="E651" s="5"/>
      <c r="F651" s="5"/>
      <c r="G651" s="5"/>
      <c r="H651" s="5"/>
      <c r="I651" s="5"/>
      <c r="J651" s="5"/>
      <c r="K651" s="5"/>
      <c r="L651" s="5"/>
      <c r="M651" s="5"/>
      <c r="N651" s="5"/>
      <c r="O651" s="5"/>
      <c r="P651" s="5"/>
      <c r="Q651" s="5"/>
      <c r="R651" s="5"/>
    </row>
    <row r="652" spans="1:18">
      <c r="A652" s="5"/>
      <c r="B652" s="5"/>
      <c r="C652" s="5"/>
      <c r="D652" s="5"/>
      <c r="E652" s="5"/>
      <c r="F652" s="5"/>
      <c r="G652" s="5"/>
      <c r="H652" s="5"/>
      <c r="I652" s="5"/>
      <c r="J652" s="5"/>
      <c r="K652" s="5"/>
      <c r="L652" s="5"/>
      <c r="M652" s="5"/>
      <c r="N652" s="5"/>
      <c r="O652" s="5"/>
      <c r="P652" s="5"/>
      <c r="Q652" s="5"/>
      <c r="R652" s="5"/>
    </row>
    <row r="653" spans="1:18">
      <c r="A653" s="5"/>
      <c r="B653" s="5"/>
      <c r="C653" s="5"/>
      <c r="D653" s="5"/>
      <c r="E653" s="5"/>
      <c r="F653" s="5"/>
      <c r="G653" s="5"/>
      <c r="H653" s="5"/>
      <c r="I653" s="5"/>
      <c r="J653" s="5"/>
      <c r="K653" s="5"/>
      <c r="L653" s="5"/>
      <c r="M653" s="5"/>
      <c r="N653" s="5"/>
      <c r="O653" s="5"/>
      <c r="P653" s="5"/>
      <c r="Q653" s="5"/>
      <c r="R653" s="5"/>
    </row>
    <row r="654" spans="1:18">
      <c r="A654" s="5"/>
      <c r="B654" s="5"/>
      <c r="C654" s="5"/>
      <c r="D654" s="5"/>
      <c r="E654" s="5"/>
      <c r="F654" s="5"/>
      <c r="G654" s="5"/>
      <c r="H654" s="5"/>
      <c r="I654" s="5"/>
      <c r="J654" s="5"/>
      <c r="K654" s="5"/>
      <c r="L654" s="5"/>
      <c r="M654" s="5"/>
      <c r="N654" s="5"/>
      <c r="O654" s="5"/>
      <c r="P654" s="5"/>
      <c r="Q654" s="5"/>
      <c r="R654" s="5"/>
    </row>
    <row r="655" spans="1:18">
      <c r="A655" s="5"/>
      <c r="B655" s="5"/>
      <c r="C655" s="5"/>
      <c r="D655" s="5"/>
      <c r="E655" s="5"/>
      <c r="F655" s="5"/>
      <c r="G655" s="5"/>
      <c r="H655" s="5"/>
      <c r="I655" s="5"/>
      <c r="J655" s="5"/>
      <c r="K655" s="5"/>
      <c r="L655" s="5"/>
      <c r="M655" s="5"/>
      <c r="N655" s="5"/>
      <c r="O655" s="5"/>
      <c r="P655" s="5"/>
      <c r="Q655" s="5"/>
      <c r="R655" s="5"/>
    </row>
    <row r="656" spans="1:18">
      <c r="A656" s="5"/>
      <c r="B656" s="5"/>
      <c r="C656" s="5"/>
      <c r="D656" s="5"/>
      <c r="E656" s="5"/>
      <c r="F656" s="5"/>
      <c r="G656" s="5"/>
      <c r="H656" s="5"/>
      <c r="I656" s="5"/>
      <c r="J656" s="5"/>
      <c r="K656" s="5"/>
      <c r="L656" s="5"/>
      <c r="M656" s="5"/>
      <c r="N656" s="5"/>
      <c r="O656" s="5"/>
      <c r="P656" s="5"/>
      <c r="Q656" s="5"/>
      <c r="R656" s="5"/>
    </row>
    <row r="657" spans="1:18">
      <c r="A657" s="5"/>
      <c r="B657" s="5"/>
      <c r="C657" s="5"/>
      <c r="D657" s="5"/>
      <c r="E657" s="5"/>
      <c r="F657" s="5"/>
      <c r="G657" s="5"/>
      <c r="H657" s="5"/>
      <c r="I657" s="5"/>
      <c r="J657" s="5"/>
      <c r="K657" s="5"/>
      <c r="L657" s="5"/>
      <c r="M657" s="5"/>
      <c r="N657" s="5"/>
      <c r="O657" s="5"/>
      <c r="P657" s="5"/>
      <c r="Q657" s="5"/>
      <c r="R657" s="5"/>
    </row>
    <row r="658" spans="1:18">
      <c r="A658" s="5"/>
      <c r="B658" s="5"/>
      <c r="C658" s="5"/>
      <c r="D658" s="5"/>
      <c r="E658" s="5"/>
      <c r="F658" s="5"/>
      <c r="G658" s="5"/>
      <c r="H658" s="5"/>
      <c r="I658" s="5"/>
      <c r="J658" s="5"/>
      <c r="K658" s="5"/>
      <c r="L658" s="5"/>
      <c r="M658" s="5"/>
      <c r="N658" s="5"/>
      <c r="O658" s="5"/>
      <c r="P658" s="5"/>
      <c r="Q658" s="5"/>
      <c r="R658" s="5"/>
    </row>
    <row r="659" spans="1:18">
      <c r="A659" s="5"/>
      <c r="B659" s="5"/>
      <c r="C659" s="5"/>
      <c r="D659" s="5"/>
      <c r="E659" s="5"/>
      <c r="F659" s="5"/>
      <c r="G659" s="5"/>
      <c r="H659" s="5"/>
      <c r="I659" s="5"/>
      <c r="J659" s="5"/>
      <c r="K659" s="5"/>
      <c r="L659" s="5"/>
      <c r="M659" s="5"/>
      <c r="N659" s="5"/>
      <c r="O659" s="5"/>
      <c r="P659" s="5"/>
      <c r="Q659" s="5"/>
      <c r="R659" s="5"/>
    </row>
    <row r="660" spans="1:18">
      <c r="A660" s="5"/>
      <c r="B660" s="5"/>
      <c r="C660" s="5"/>
      <c r="D660" s="5"/>
      <c r="E660" s="5"/>
      <c r="F660" s="5"/>
      <c r="G660" s="5"/>
      <c r="H660" s="5"/>
      <c r="I660" s="5"/>
      <c r="J660" s="5"/>
      <c r="K660" s="5"/>
      <c r="L660" s="5"/>
      <c r="M660" s="5"/>
      <c r="N660" s="5"/>
      <c r="O660" s="5"/>
      <c r="P660" s="5"/>
      <c r="Q660" s="5"/>
      <c r="R660" s="5"/>
    </row>
    <row r="661" spans="1:18">
      <c r="A661" s="5"/>
      <c r="B661" s="5"/>
      <c r="C661" s="5"/>
      <c r="D661" s="5"/>
      <c r="E661" s="5"/>
      <c r="F661" s="5"/>
      <c r="G661" s="5"/>
      <c r="H661" s="5"/>
      <c r="I661" s="5"/>
      <c r="J661" s="5"/>
      <c r="K661" s="5"/>
      <c r="L661" s="5"/>
      <c r="M661" s="5"/>
      <c r="N661" s="5"/>
      <c r="O661" s="5"/>
      <c r="P661" s="5"/>
      <c r="Q661" s="5"/>
      <c r="R661" s="5"/>
    </row>
    <row r="662" spans="1:18">
      <c r="A662" s="5"/>
      <c r="B662" s="5"/>
      <c r="C662" s="5"/>
      <c r="D662" s="5"/>
      <c r="E662" s="5"/>
      <c r="F662" s="5"/>
      <c r="G662" s="5"/>
      <c r="H662" s="5"/>
      <c r="I662" s="5"/>
      <c r="J662" s="5"/>
      <c r="K662" s="5"/>
      <c r="L662" s="5"/>
      <c r="M662" s="5"/>
      <c r="N662" s="5"/>
      <c r="O662" s="5"/>
      <c r="P662" s="5"/>
      <c r="Q662" s="5"/>
      <c r="R662" s="5"/>
    </row>
    <row r="663" spans="1:18">
      <c r="A663" s="5"/>
      <c r="B663" s="5"/>
      <c r="C663" s="5"/>
      <c r="D663" s="5"/>
      <c r="E663" s="5"/>
      <c r="F663" s="5"/>
      <c r="G663" s="5"/>
      <c r="H663" s="5"/>
      <c r="I663" s="5"/>
      <c r="J663" s="5"/>
      <c r="K663" s="5"/>
      <c r="L663" s="5"/>
      <c r="M663" s="5"/>
      <c r="N663" s="5"/>
      <c r="O663" s="5"/>
      <c r="P663" s="5"/>
      <c r="Q663" s="5"/>
      <c r="R663" s="5"/>
    </row>
    <row r="664" spans="1:18">
      <c r="A664" s="5"/>
      <c r="B664" s="5"/>
      <c r="C664" s="5"/>
      <c r="D664" s="5"/>
      <c r="E664" s="5"/>
      <c r="F664" s="5"/>
      <c r="G664" s="5"/>
      <c r="H664" s="5"/>
      <c r="I664" s="5"/>
      <c r="J664" s="5"/>
      <c r="K664" s="5"/>
      <c r="L664" s="5"/>
      <c r="M664" s="5"/>
      <c r="N664" s="5"/>
      <c r="O664" s="5"/>
      <c r="P664" s="5"/>
      <c r="Q664" s="5"/>
      <c r="R664" s="5"/>
    </row>
    <row r="665" spans="1:18">
      <c r="A665" s="5"/>
      <c r="B665" s="5"/>
      <c r="C665" s="5"/>
      <c r="D665" s="5"/>
      <c r="E665" s="5"/>
      <c r="F665" s="5"/>
      <c r="G665" s="5"/>
      <c r="H665" s="5"/>
      <c r="I665" s="5"/>
      <c r="J665" s="5"/>
      <c r="K665" s="5"/>
      <c r="L665" s="5"/>
      <c r="M665" s="5"/>
      <c r="N665" s="5"/>
      <c r="O665" s="5"/>
      <c r="P665" s="5"/>
      <c r="Q665" s="5"/>
      <c r="R665" s="5"/>
    </row>
    <row r="666" spans="1:18">
      <c r="A666" s="5"/>
      <c r="B666" s="5"/>
      <c r="C666" s="5"/>
      <c r="D666" s="5"/>
      <c r="E666" s="5"/>
      <c r="F666" s="5"/>
      <c r="G666" s="5"/>
      <c r="H666" s="5"/>
      <c r="I666" s="5"/>
      <c r="J666" s="5"/>
      <c r="K666" s="5"/>
      <c r="L666" s="5"/>
      <c r="M666" s="5"/>
      <c r="N666" s="5"/>
      <c r="O666" s="5"/>
      <c r="P666" s="5"/>
      <c r="Q666" s="5"/>
      <c r="R666" s="5"/>
    </row>
    <row r="667" spans="1:18">
      <c r="A667" s="5"/>
      <c r="B667" s="5"/>
      <c r="C667" s="5"/>
      <c r="D667" s="5"/>
      <c r="E667" s="5"/>
      <c r="F667" s="5"/>
      <c r="G667" s="5"/>
      <c r="H667" s="5"/>
      <c r="I667" s="5"/>
      <c r="J667" s="5"/>
      <c r="K667" s="5"/>
      <c r="L667" s="5"/>
      <c r="M667" s="5"/>
      <c r="N667" s="5"/>
      <c r="O667" s="5"/>
      <c r="P667" s="5"/>
      <c r="Q667" s="5"/>
      <c r="R667" s="5"/>
    </row>
    <row r="668" spans="1:18">
      <c r="A668" s="5"/>
      <c r="B668" s="5"/>
      <c r="C668" s="5"/>
      <c r="D668" s="5"/>
      <c r="E668" s="5"/>
      <c r="F668" s="5"/>
      <c r="G668" s="5"/>
      <c r="H668" s="5"/>
      <c r="I668" s="5"/>
      <c r="J668" s="5"/>
      <c r="K668" s="5"/>
      <c r="L668" s="5"/>
      <c r="M668" s="5"/>
      <c r="N668" s="5"/>
      <c r="O668" s="5"/>
      <c r="P668" s="5"/>
      <c r="Q668" s="5"/>
      <c r="R668" s="5"/>
    </row>
    <row r="669" spans="1:18">
      <c r="A669" s="5"/>
      <c r="B669" s="5"/>
      <c r="C669" s="5"/>
      <c r="D669" s="5"/>
      <c r="E669" s="5"/>
      <c r="F669" s="5"/>
      <c r="G669" s="5"/>
      <c r="H669" s="5"/>
      <c r="I669" s="5"/>
      <c r="J669" s="5"/>
      <c r="K669" s="5"/>
      <c r="L669" s="5"/>
      <c r="M669" s="5"/>
      <c r="N669" s="5"/>
      <c r="O669" s="5"/>
      <c r="P669" s="5"/>
      <c r="Q669" s="5"/>
      <c r="R669" s="5"/>
    </row>
    <row r="670" spans="1:18">
      <c r="A670" s="5"/>
      <c r="B670" s="5"/>
      <c r="C670" s="5"/>
      <c r="D670" s="5"/>
      <c r="E670" s="5"/>
      <c r="F670" s="5"/>
      <c r="G670" s="5"/>
      <c r="H670" s="5"/>
      <c r="I670" s="5"/>
      <c r="J670" s="5"/>
      <c r="K670" s="5"/>
      <c r="L670" s="5"/>
      <c r="M670" s="5"/>
      <c r="N670" s="5"/>
      <c r="O670" s="5"/>
      <c r="P670" s="5"/>
      <c r="Q670" s="5"/>
      <c r="R670" s="5"/>
    </row>
    <row r="671" spans="1:18">
      <c r="A671" s="5"/>
      <c r="B671" s="5"/>
      <c r="C671" s="5"/>
      <c r="D671" s="5"/>
      <c r="E671" s="5"/>
      <c r="F671" s="5"/>
      <c r="G671" s="5"/>
      <c r="H671" s="5"/>
      <c r="I671" s="5"/>
      <c r="J671" s="5"/>
      <c r="K671" s="5"/>
      <c r="L671" s="5"/>
      <c r="M671" s="5"/>
      <c r="N671" s="5"/>
      <c r="O671" s="5"/>
      <c r="P671" s="5"/>
      <c r="Q671" s="5"/>
      <c r="R671" s="5"/>
    </row>
    <row r="672" spans="1:18">
      <c r="A672" s="5"/>
      <c r="B672" s="5"/>
      <c r="C672" s="5"/>
      <c r="D672" s="5"/>
      <c r="E672" s="5"/>
      <c r="F672" s="5"/>
      <c r="G672" s="5"/>
      <c r="H672" s="5"/>
      <c r="I672" s="5"/>
      <c r="J672" s="5"/>
      <c r="K672" s="5"/>
      <c r="L672" s="5"/>
      <c r="M672" s="5"/>
      <c r="N672" s="5"/>
      <c r="O672" s="5"/>
      <c r="P672" s="5"/>
      <c r="Q672" s="5"/>
      <c r="R672" s="5"/>
    </row>
    <row r="673" spans="1:18">
      <c r="A673" s="5"/>
      <c r="B673" s="5"/>
      <c r="C673" s="5"/>
      <c r="D673" s="5"/>
      <c r="E673" s="5"/>
      <c r="F673" s="5"/>
      <c r="G673" s="5"/>
      <c r="H673" s="5"/>
      <c r="I673" s="5"/>
      <c r="J673" s="5"/>
      <c r="K673" s="5"/>
      <c r="L673" s="5"/>
      <c r="M673" s="5"/>
      <c r="N673" s="5"/>
      <c r="O673" s="5"/>
      <c r="P673" s="5"/>
      <c r="Q673" s="5"/>
      <c r="R673" s="5"/>
    </row>
    <row r="674" spans="1:18">
      <c r="A674" s="5"/>
      <c r="B674" s="5"/>
      <c r="C674" s="5"/>
      <c r="D674" s="5"/>
      <c r="E674" s="5"/>
      <c r="F674" s="5"/>
      <c r="G674" s="5"/>
      <c r="H674" s="5"/>
      <c r="I674" s="5"/>
      <c r="J674" s="5"/>
      <c r="K674" s="5"/>
      <c r="L674" s="5"/>
      <c r="M674" s="5"/>
      <c r="N674" s="5"/>
      <c r="O674" s="5"/>
      <c r="P674" s="5"/>
      <c r="Q674" s="5"/>
      <c r="R674" s="5"/>
    </row>
    <row r="675" spans="1:18">
      <c r="A675" s="5"/>
      <c r="B675" s="5"/>
      <c r="C675" s="5"/>
      <c r="D675" s="5"/>
      <c r="E675" s="5"/>
      <c r="F675" s="5"/>
      <c r="G675" s="5"/>
      <c r="H675" s="5"/>
      <c r="I675" s="5"/>
      <c r="J675" s="5"/>
      <c r="K675" s="5"/>
      <c r="L675" s="5"/>
      <c r="M675" s="5"/>
      <c r="N675" s="5"/>
      <c r="O675" s="5"/>
      <c r="P675" s="5"/>
      <c r="Q675" s="5"/>
      <c r="R675" s="5"/>
    </row>
    <row r="676" spans="1:18">
      <c r="A676" s="5"/>
      <c r="B676" s="5"/>
      <c r="C676" s="5"/>
      <c r="D676" s="5"/>
      <c r="E676" s="5"/>
      <c r="F676" s="5"/>
      <c r="G676" s="5"/>
      <c r="H676" s="5"/>
      <c r="I676" s="5"/>
      <c r="J676" s="5"/>
      <c r="K676" s="5"/>
      <c r="L676" s="5"/>
      <c r="M676" s="5"/>
      <c r="N676" s="5"/>
      <c r="O676" s="5"/>
      <c r="P676" s="5"/>
      <c r="Q676" s="5"/>
      <c r="R676" s="5"/>
    </row>
    <row r="677" spans="1:18">
      <c r="A677" s="5"/>
      <c r="B677" s="5"/>
      <c r="C677" s="5"/>
      <c r="D677" s="5"/>
      <c r="E677" s="5"/>
      <c r="F677" s="5"/>
      <c r="G677" s="5"/>
      <c r="H677" s="5"/>
      <c r="I677" s="5"/>
      <c r="J677" s="5"/>
      <c r="K677" s="5"/>
      <c r="L677" s="5"/>
      <c r="M677" s="5"/>
      <c r="N677" s="5"/>
      <c r="O677" s="5"/>
      <c r="P677" s="5"/>
      <c r="Q677" s="5"/>
      <c r="R677" s="5"/>
    </row>
    <row r="678" spans="1:18">
      <c r="A678" s="5"/>
      <c r="B678" s="5"/>
      <c r="C678" s="5"/>
      <c r="D678" s="5"/>
      <c r="E678" s="5"/>
      <c r="F678" s="5"/>
      <c r="G678" s="5"/>
      <c r="H678" s="5"/>
      <c r="I678" s="5"/>
      <c r="J678" s="5"/>
      <c r="K678" s="5"/>
      <c r="L678" s="5"/>
      <c r="M678" s="5"/>
      <c r="N678" s="5"/>
      <c r="O678" s="5"/>
      <c r="P678" s="5"/>
      <c r="Q678" s="5"/>
      <c r="R678" s="5"/>
    </row>
    <row r="679" spans="1:18">
      <c r="A679" s="5"/>
      <c r="B679" s="5"/>
      <c r="C679" s="5"/>
      <c r="D679" s="5"/>
      <c r="E679" s="5"/>
      <c r="F679" s="5"/>
      <c r="G679" s="5"/>
      <c r="H679" s="5"/>
      <c r="I679" s="5"/>
      <c r="J679" s="5"/>
      <c r="K679" s="5"/>
      <c r="L679" s="5"/>
      <c r="M679" s="5"/>
      <c r="N679" s="5"/>
      <c r="O679" s="5"/>
      <c r="P679" s="5"/>
      <c r="Q679" s="5"/>
      <c r="R679" s="5"/>
    </row>
    <row r="680" spans="1:18">
      <c r="A680" s="5"/>
      <c r="B680" s="5"/>
      <c r="C680" s="5"/>
      <c r="D680" s="5"/>
      <c r="E680" s="5"/>
      <c r="F680" s="5"/>
      <c r="G680" s="5"/>
      <c r="H680" s="5"/>
      <c r="I680" s="5"/>
      <c r="J680" s="5"/>
      <c r="K680" s="5"/>
      <c r="L680" s="5"/>
      <c r="M680" s="5"/>
      <c r="N680" s="5"/>
      <c r="O680" s="5"/>
      <c r="P680" s="5"/>
      <c r="Q680" s="5"/>
      <c r="R680" s="5"/>
    </row>
    <row r="681" spans="1:18">
      <c r="A681" s="5"/>
      <c r="B681" s="5"/>
      <c r="C681" s="5"/>
      <c r="D681" s="5"/>
      <c r="E681" s="5"/>
      <c r="F681" s="5"/>
      <c r="G681" s="5"/>
      <c r="H681" s="5"/>
      <c r="I681" s="5"/>
      <c r="J681" s="5"/>
      <c r="K681" s="5"/>
      <c r="L681" s="5"/>
      <c r="M681" s="5"/>
      <c r="N681" s="5"/>
      <c r="O681" s="5"/>
      <c r="P681" s="5"/>
      <c r="Q681" s="5"/>
      <c r="R681" s="5"/>
    </row>
    <row r="682" spans="1:18">
      <c r="A682" s="5"/>
      <c r="B682" s="5"/>
      <c r="C682" s="5"/>
      <c r="D682" s="5"/>
      <c r="E682" s="5"/>
      <c r="F682" s="5"/>
      <c r="G682" s="5"/>
      <c r="H682" s="5"/>
      <c r="I682" s="5"/>
      <c r="J682" s="5"/>
      <c r="K682" s="5"/>
      <c r="L682" s="5"/>
      <c r="M682" s="5"/>
      <c r="N682" s="5"/>
      <c r="O682" s="5"/>
      <c r="P682" s="5"/>
      <c r="Q682" s="5"/>
      <c r="R682" s="5"/>
    </row>
    <row r="683" spans="1:18">
      <c r="A683" s="5"/>
      <c r="B683" s="5"/>
      <c r="C683" s="5"/>
      <c r="D683" s="5"/>
      <c r="E683" s="5"/>
      <c r="F683" s="5"/>
      <c r="G683" s="5"/>
      <c r="H683" s="5"/>
      <c r="I683" s="5"/>
      <c r="J683" s="5"/>
      <c r="K683" s="5"/>
      <c r="L683" s="5"/>
      <c r="M683" s="5"/>
      <c r="N683" s="5"/>
      <c r="O683" s="5"/>
      <c r="P683" s="5"/>
      <c r="Q683" s="5"/>
      <c r="R683" s="5"/>
    </row>
    <row r="684" spans="1:18">
      <c r="A684" s="5"/>
      <c r="B684" s="5"/>
      <c r="C684" s="5"/>
      <c r="D684" s="5"/>
      <c r="E684" s="5"/>
      <c r="F684" s="5"/>
      <c r="G684" s="5"/>
      <c r="H684" s="5"/>
      <c r="I684" s="5"/>
      <c r="J684" s="5"/>
      <c r="K684" s="5"/>
      <c r="L684" s="5"/>
      <c r="M684" s="5"/>
      <c r="N684" s="5"/>
      <c r="O684" s="5"/>
      <c r="P684" s="5"/>
      <c r="Q684" s="5"/>
      <c r="R684" s="5"/>
    </row>
    <row r="685" spans="1:18">
      <c r="A685" s="5"/>
      <c r="B685" s="5"/>
      <c r="C685" s="5"/>
      <c r="D685" s="5"/>
      <c r="E685" s="5"/>
      <c r="F685" s="5"/>
      <c r="G685" s="5"/>
      <c r="H685" s="5"/>
      <c r="I685" s="5"/>
      <c r="J685" s="5"/>
      <c r="K685" s="5"/>
      <c r="L685" s="5"/>
      <c r="M685" s="5"/>
      <c r="N685" s="5"/>
      <c r="O685" s="5"/>
      <c r="P685" s="5"/>
      <c r="Q685" s="5"/>
      <c r="R685" s="5"/>
    </row>
    <row r="686" spans="1:18">
      <c r="A686" s="5"/>
      <c r="B686" s="5"/>
      <c r="C686" s="5"/>
      <c r="D686" s="5"/>
      <c r="E686" s="5"/>
      <c r="F686" s="5"/>
      <c r="G686" s="5"/>
      <c r="H686" s="5"/>
      <c r="I686" s="5"/>
      <c r="J686" s="5"/>
      <c r="K686" s="5"/>
      <c r="L686" s="5"/>
      <c r="M686" s="5"/>
      <c r="N686" s="5"/>
      <c r="O686" s="5"/>
      <c r="P686" s="5"/>
      <c r="Q686" s="5"/>
      <c r="R686" s="5"/>
    </row>
    <row r="687" spans="1:18">
      <c r="A687" s="5"/>
      <c r="B687" s="5"/>
      <c r="C687" s="5"/>
      <c r="D687" s="5"/>
      <c r="E687" s="5"/>
      <c r="F687" s="5"/>
      <c r="G687" s="5"/>
      <c r="H687" s="5"/>
      <c r="I687" s="5"/>
      <c r="J687" s="5"/>
      <c r="K687" s="5"/>
      <c r="L687" s="5"/>
      <c r="M687" s="5"/>
      <c r="N687" s="5"/>
      <c r="O687" s="5"/>
      <c r="P687" s="5"/>
      <c r="Q687" s="5"/>
      <c r="R687" s="5"/>
    </row>
    <row r="688" spans="1:18">
      <c r="A688" s="5"/>
      <c r="B688" s="5"/>
      <c r="C688" s="5"/>
      <c r="D688" s="5"/>
      <c r="E688" s="5"/>
      <c r="F688" s="5"/>
      <c r="G688" s="5"/>
      <c r="H688" s="5"/>
      <c r="I688" s="5"/>
      <c r="J688" s="5"/>
      <c r="K688" s="5"/>
      <c r="L688" s="5"/>
      <c r="M688" s="5"/>
      <c r="N688" s="5"/>
      <c r="O688" s="5"/>
      <c r="P688" s="5"/>
      <c r="Q688" s="5"/>
      <c r="R688" s="5"/>
    </row>
    <row r="689" spans="1:18">
      <c r="A689" s="5"/>
      <c r="B689" s="5"/>
      <c r="C689" s="5"/>
      <c r="D689" s="5"/>
      <c r="E689" s="5"/>
      <c r="F689" s="5"/>
      <c r="G689" s="5"/>
      <c r="H689" s="5"/>
      <c r="I689" s="5"/>
      <c r="J689" s="5"/>
      <c r="K689" s="5"/>
      <c r="L689" s="5"/>
      <c r="M689" s="5"/>
      <c r="N689" s="5"/>
      <c r="O689" s="5"/>
      <c r="P689" s="5"/>
      <c r="Q689" s="5"/>
      <c r="R689" s="5"/>
    </row>
    <row r="690" spans="1:18">
      <c r="A690" s="5"/>
      <c r="B690" s="5"/>
      <c r="C690" s="5"/>
      <c r="D690" s="5"/>
      <c r="E690" s="5"/>
      <c r="F690" s="5"/>
      <c r="G690" s="5"/>
      <c r="H690" s="5"/>
      <c r="I690" s="5"/>
      <c r="J690" s="5"/>
      <c r="K690" s="5"/>
      <c r="L690" s="5"/>
      <c r="M690" s="5"/>
      <c r="N690" s="5"/>
      <c r="O690" s="5"/>
      <c r="P690" s="5"/>
      <c r="Q690" s="5"/>
      <c r="R690" s="5"/>
    </row>
    <row r="691" spans="1:18">
      <c r="A691" s="5"/>
      <c r="B691" s="5"/>
      <c r="C691" s="5"/>
      <c r="D691" s="5"/>
      <c r="E691" s="5"/>
      <c r="F691" s="5"/>
      <c r="G691" s="5"/>
      <c r="H691" s="5"/>
      <c r="I691" s="5"/>
      <c r="J691" s="5"/>
      <c r="K691" s="5"/>
      <c r="L691" s="5"/>
      <c r="M691" s="5"/>
      <c r="N691" s="5"/>
      <c r="O691" s="5"/>
      <c r="P691" s="5"/>
      <c r="Q691" s="5"/>
      <c r="R691" s="5"/>
    </row>
    <row r="692" spans="1:18">
      <c r="A692" s="5"/>
      <c r="B692" s="5"/>
      <c r="C692" s="5"/>
      <c r="D692" s="5"/>
      <c r="E692" s="5"/>
      <c r="F692" s="5"/>
      <c r="G692" s="5"/>
      <c r="H692" s="5"/>
      <c r="I692" s="5"/>
      <c r="J692" s="5"/>
      <c r="K692" s="5"/>
      <c r="L692" s="5"/>
      <c r="M692" s="5"/>
      <c r="N692" s="5"/>
      <c r="O692" s="5"/>
      <c r="P692" s="5"/>
      <c r="Q692" s="5"/>
      <c r="R692" s="5"/>
    </row>
    <row r="693" spans="1:18">
      <c r="A693" s="5"/>
      <c r="B693" s="5"/>
      <c r="C693" s="5"/>
      <c r="D693" s="5"/>
      <c r="E693" s="5"/>
      <c r="F693" s="5"/>
      <c r="G693" s="5"/>
      <c r="H693" s="5"/>
      <c r="I693" s="5"/>
      <c r="J693" s="5"/>
      <c r="K693" s="5"/>
      <c r="L693" s="5"/>
      <c r="M693" s="5"/>
      <c r="N693" s="5"/>
      <c r="O693" s="5"/>
      <c r="P693" s="5"/>
      <c r="Q693" s="5"/>
      <c r="R693" s="5"/>
    </row>
    <row r="694" spans="1:18">
      <c r="A694" s="5"/>
      <c r="B694" s="5"/>
      <c r="C694" s="5"/>
      <c r="D694" s="5"/>
      <c r="E694" s="5"/>
      <c r="F694" s="5"/>
      <c r="G694" s="5"/>
      <c r="H694" s="5"/>
      <c r="I694" s="5"/>
      <c r="J694" s="5"/>
      <c r="K694" s="5"/>
      <c r="L694" s="5"/>
      <c r="M694" s="5"/>
      <c r="N694" s="5"/>
      <c r="O694" s="5"/>
      <c r="P694" s="5"/>
      <c r="Q694" s="5"/>
      <c r="R694" s="5"/>
    </row>
    <row r="695" spans="1:18">
      <c r="A695" s="5"/>
      <c r="B695" s="5"/>
      <c r="C695" s="5"/>
      <c r="D695" s="5"/>
      <c r="E695" s="5"/>
      <c r="F695" s="5"/>
      <c r="G695" s="5"/>
      <c r="H695" s="5"/>
      <c r="I695" s="5"/>
      <c r="J695" s="5"/>
      <c r="K695" s="5"/>
      <c r="L695" s="5"/>
      <c r="M695" s="5"/>
      <c r="N695" s="5"/>
      <c r="O695" s="5"/>
      <c r="P695" s="5"/>
      <c r="Q695" s="5"/>
      <c r="R695" s="5"/>
    </row>
    <row r="696" spans="1:18">
      <c r="A696" s="5"/>
      <c r="B696" s="5"/>
      <c r="C696" s="5"/>
      <c r="D696" s="5"/>
      <c r="E696" s="5"/>
      <c r="F696" s="5"/>
      <c r="G696" s="5"/>
      <c r="H696" s="5"/>
      <c r="I696" s="5"/>
      <c r="J696" s="5"/>
      <c r="K696" s="5"/>
      <c r="L696" s="5"/>
      <c r="M696" s="5"/>
      <c r="N696" s="5"/>
      <c r="O696" s="5"/>
      <c r="P696" s="5"/>
      <c r="Q696" s="5"/>
      <c r="R696" s="5"/>
    </row>
    <row r="697" spans="1:18">
      <c r="A697" s="5"/>
      <c r="B697" s="5"/>
      <c r="C697" s="5"/>
      <c r="D697" s="5"/>
      <c r="E697" s="5"/>
      <c r="F697" s="5"/>
      <c r="G697" s="5"/>
      <c r="H697" s="5"/>
      <c r="I697" s="5"/>
      <c r="J697" s="5"/>
      <c r="K697" s="5"/>
      <c r="L697" s="5"/>
      <c r="M697" s="5"/>
      <c r="N697" s="5"/>
      <c r="O697" s="5"/>
      <c r="P697" s="5"/>
      <c r="Q697" s="5"/>
      <c r="R697" s="5"/>
    </row>
    <row r="698" spans="1:18">
      <c r="A698" s="5"/>
      <c r="B698" s="5"/>
      <c r="C698" s="5"/>
      <c r="D698" s="5"/>
      <c r="E698" s="5"/>
      <c r="F698" s="5"/>
      <c r="G698" s="5"/>
      <c r="H698" s="5"/>
      <c r="I698" s="5"/>
      <c r="J698" s="5"/>
      <c r="K698" s="5"/>
      <c r="L698" s="5"/>
      <c r="M698" s="5"/>
      <c r="N698" s="5"/>
      <c r="O698" s="5"/>
      <c r="P698" s="5"/>
      <c r="Q698" s="5"/>
      <c r="R698" s="5"/>
    </row>
    <row r="699" spans="1:18">
      <c r="A699" s="5"/>
      <c r="B699" s="5"/>
      <c r="C699" s="5"/>
      <c r="D699" s="5"/>
      <c r="E699" s="5"/>
      <c r="F699" s="5"/>
      <c r="G699" s="5"/>
      <c r="H699" s="5"/>
      <c r="I699" s="5"/>
      <c r="J699" s="5"/>
      <c r="K699" s="5"/>
      <c r="L699" s="5"/>
      <c r="M699" s="5"/>
      <c r="N699" s="5"/>
      <c r="O699" s="5"/>
      <c r="P699" s="5"/>
      <c r="Q699" s="5"/>
      <c r="R699" s="5"/>
    </row>
    <row r="700" spans="1:18">
      <c r="A700" s="5"/>
      <c r="B700" s="5"/>
      <c r="C700" s="5"/>
      <c r="D700" s="5"/>
      <c r="E700" s="5"/>
      <c r="F700" s="5"/>
      <c r="G700" s="5"/>
      <c r="H700" s="5"/>
      <c r="I700" s="5"/>
      <c r="J700" s="5"/>
      <c r="K700" s="5"/>
      <c r="L700" s="5"/>
      <c r="M700" s="5"/>
      <c r="N700" s="5"/>
      <c r="O700" s="5"/>
      <c r="P700" s="5"/>
      <c r="Q700" s="5"/>
      <c r="R700" s="5"/>
    </row>
    <row r="701" spans="1:18">
      <c r="A701" s="5"/>
      <c r="B701" s="5"/>
      <c r="C701" s="5"/>
      <c r="D701" s="5"/>
      <c r="E701" s="5"/>
      <c r="F701" s="5"/>
      <c r="G701" s="5"/>
      <c r="H701" s="5"/>
      <c r="I701" s="5"/>
      <c r="J701" s="5"/>
      <c r="K701" s="5"/>
      <c r="L701" s="5"/>
      <c r="M701" s="5"/>
      <c r="N701" s="5"/>
      <c r="O701" s="5"/>
      <c r="P701" s="5"/>
      <c r="Q701" s="5"/>
      <c r="R701" s="5"/>
    </row>
    <row r="702" spans="1:18">
      <c r="A702" s="5"/>
      <c r="B702" s="5"/>
      <c r="C702" s="5"/>
      <c r="D702" s="5"/>
      <c r="E702" s="5"/>
      <c r="F702" s="5"/>
      <c r="G702" s="5"/>
      <c r="H702" s="5"/>
      <c r="I702" s="5"/>
      <c r="J702" s="5"/>
      <c r="K702" s="5"/>
      <c r="L702" s="5"/>
      <c r="M702" s="5"/>
      <c r="N702" s="5"/>
      <c r="O702" s="5"/>
      <c r="P702" s="5"/>
      <c r="Q702" s="5"/>
      <c r="R702" s="5"/>
    </row>
    <row r="703" spans="1:18">
      <c r="A703" s="5"/>
      <c r="B703" s="5"/>
      <c r="C703" s="5"/>
      <c r="D703" s="5"/>
      <c r="E703" s="5"/>
      <c r="F703" s="5"/>
      <c r="G703" s="5"/>
      <c r="H703" s="5"/>
      <c r="I703" s="5"/>
      <c r="J703" s="5"/>
      <c r="K703" s="5"/>
      <c r="L703" s="5"/>
      <c r="M703" s="5"/>
      <c r="N703" s="5"/>
      <c r="O703" s="5"/>
      <c r="P703" s="5"/>
      <c r="Q703" s="5"/>
      <c r="R703" s="5"/>
    </row>
    <row r="704" spans="1:18">
      <c r="A704" s="5"/>
      <c r="B704" s="5"/>
      <c r="C704" s="5"/>
      <c r="D704" s="5"/>
      <c r="E704" s="5"/>
      <c r="F704" s="5"/>
      <c r="G704" s="5"/>
      <c r="H704" s="5"/>
      <c r="I704" s="5"/>
      <c r="J704" s="5"/>
      <c r="K704" s="5"/>
      <c r="L704" s="5"/>
      <c r="M704" s="5"/>
      <c r="N704" s="5"/>
      <c r="O704" s="5"/>
      <c r="P704" s="5"/>
      <c r="Q704" s="5"/>
      <c r="R704" s="5"/>
    </row>
    <row r="705" spans="1:18">
      <c r="A705" s="5"/>
      <c r="B705" s="5"/>
      <c r="C705" s="5"/>
      <c r="D705" s="5"/>
      <c r="E705" s="5"/>
      <c r="F705" s="5"/>
      <c r="G705" s="5"/>
      <c r="H705" s="5"/>
      <c r="I705" s="5"/>
      <c r="J705" s="5"/>
      <c r="K705" s="5"/>
      <c r="L705" s="5"/>
      <c r="M705" s="5"/>
      <c r="N705" s="5"/>
      <c r="O705" s="5"/>
      <c r="P705" s="5"/>
      <c r="Q705" s="5"/>
      <c r="R705" s="5"/>
    </row>
    <row r="706" spans="1:18">
      <c r="A706" s="5"/>
      <c r="B706" s="5"/>
      <c r="C706" s="5"/>
      <c r="D706" s="5"/>
      <c r="E706" s="5"/>
      <c r="F706" s="5"/>
      <c r="G706" s="5"/>
      <c r="H706" s="5"/>
      <c r="I706" s="5"/>
      <c r="J706" s="5"/>
      <c r="K706" s="5"/>
      <c r="L706" s="5"/>
      <c r="M706" s="5"/>
      <c r="N706" s="5"/>
      <c r="O706" s="5"/>
      <c r="P706" s="5"/>
      <c r="Q706" s="5"/>
      <c r="R706" s="5"/>
    </row>
    <row r="707" spans="1:18">
      <c r="A707" s="5"/>
      <c r="B707" s="5"/>
      <c r="C707" s="5"/>
      <c r="D707" s="5"/>
      <c r="E707" s="5"/>
      <c r="F707" s="5"/>
      <c r="G707" s="5"/>
      <c r="H707" s="5"/>
      <c r="I707" s="5"/>
      <c r="J707" s="5"/>
      <c r="K707" s="5"/>
      <c r="L707" s="5"/>
      <c r="M707" s="5"/>
      <c r="N707" s="5"/>
      <c r="O707" s="5"/>
      <c r="P707" s="5"/>
      <c r="Q707" s="5"/>
      <c r="R707" s="5"/>
    </row>
    <row r="708" spans="1:18">
      <c r="A708" s="5"/>
      <c r="B708" s="5"/>
      <c r="C708" s="5"/>
      <c r="D708" s="5"/>
      <c r="E708" s="5"/>
      <c r="F708" s="5"/>
      <c r="G708" s="5"/>
      <c r="H708" s="5"/>
      <c r="I708" s="5"/>
      <c r="J708" s="5"/>
      <c r="K708" s="5"/>
      <c r="L708" s="5"/>
      <c r="M708" s="5"/>
      <c r="N708" s="5"/>
      <c r="O708" s="5"/>
      <c r="P708" s="5"/>
      <c r="Q708" s="5"/>
      <c r="R708" s="5"/>
    </row>
    <row r="709" spans="1:18">
      <c r="A709" s="5"/>
      <c r="B709" s="5"/>
      <c r="C709" s="5"/>
      <c r="D709" s="5"/>
      <c r="E709" s="5"/>
      <c r="F709" s="5"/>
      <c r="G709" s="5"/>
      <c r="H709" s="5"/>
      <c r="I709" s="5"/>
      <c r="J709" s="5"/>
      <c r="K709" s="5"/>
      <c r="L709" s="5"/>
      <c r="M709" s="5"/>
      <c r="N709" s="5"/>
      <c r="O709" s="5"/>
      <c r="P709" s="5"/>
      <c r="Q709" s="5"/>
      <c r="R709" s="5"/>
    </row>
    <row r="710" spans="1:18">
      <c r="A710" s="5"/>
      <c r="B710" s="5"/>
      <c r="C710" s="5"/>
      <c r="D710" s="5"/>
      <c r="E710" s="5"/>
      <c r="F710" s="5"/>
      <c r="G710" s="5"/>
      <c r="H710" s="5"/>
      <c r="I710" s="5"/>
      <c r="J710" s="5"/>
      <c r="K710" s="5"/>
      <c r="L710" s="5"/>
      <c r="M710" s="5"/>
      <c r="N710" s="5"/>
      <c r="O710" s="5"/>
      <c r="P710" s="5"/>
      <c r="Q710" s="5"/>
      <c r="R710" s="5"/>
    </row>
    <row r="711" spans="1:18">
      <c r="A711" s="5"/>
      <c r="B711" s="5"/>
      <c r="C711" s="5"/>
      <c r="D711" s="5"/>
      <c r="E711" s="5"/>
      <c r="F711" s="5"/>
      <c r="G711" s="5"/>
      <c r="H711" s="5"/>
      <c r="I711" s="5"/>
      <c r="J711" s="5"/>
      <c r="K711" s="5"/>
      <c r="L711" s="5"/>
      <c r="M711" s="5"/>
      <c r="N711" s="5"/>
      <c r="O711" s="5"/>
      <c r="P711" s="5"/>
      <c r="Q711" s="5"/>
      <c r="R711" s="5"/>
    </row>
    <row r="712" spans="1:18">
      <c r="A712" s="5"/>
      <c r="B712" s="5"/>
      <c r="C712" s="5"/>
      <c r="D712" s="5"/>
      <c r="E712" s="5"/>
      <c r="F712" s="5"/>
      <c r="G712" s="5"/>
      <c r="H712" s="5"/>
      <c r="I712" s="5"/>
      <c r="J712" s="5"/>
      <c r="K712" s="5"/>
      <c r="L712" s="5"/>
      <c r="M712" s="5"/>
      <c r="N712" s="5"/>
      <c r="O712" s="5"/>
      <c r="P712" s="5"/>
      <c r="Q712" s="5"/>
      <c r="R712" s="5"/>
    </row>
    <row r="713" spans="1:18">
      <c r="A713" s="5"/>
      <c r="B713" s="5"/>
      <c r="C713" s="5"/>
      <c r="D713" s="5"/>
      <c r="E713" s="5"/>
      <c r="F713" s="5"/>
      <c r="G713" s="5"/>
      <c r="H713" s="5"/>
      <c r="I713" s="5"/>
      <c r="J713" s="5"/>
      <c r="K713" s="5"/>
      <c r="L713" s="5"/>
      <c r="M713" s="5"/>
      <c r="N713" s="5"/>
      <c r="O713" s="5"/>
      <c r="P713" s="5"/>
      <c r="Q713" s="5"/>
      <c r="R713" s="5"/>
    </row>
    <row r="714" spans="1:18">
      <c r="A714" s="5"/>
      <c r="B714" s="5"/>
      <c r="C714" s="5"/>
      <c r="D714" s="5"/>
      <c r="E714" s="5"/>
      <c r="F714" s="5"/>
      <c r="G714" s="5"/>
      <c r="H714" s="5"/>
      <c r="I714" s="5"/>
      <c r="J714" s="5"/>
      <c r="K714" s="5"/>
      <c r="L714" s="5"/>
      <c r="M714" s="5"/>
      <c r="N714" s="5"/>
      <c r="O714" s="5"/>
      <c r="P714" s="5"/>
      <c r="Q714" s="5"/>
      <c r="R714" s="5"/>
    </row>
    <row r="715" spans="1:18">
      <c r="A715" s="5"/>
      <c r="B715" s="5"/>
      <c r="C715" s="5"/>
      <c r="D715" s="5"/>
      <c r="E715" s="5"/>
      <c r="F715" s="5"/>
      <c r="G715" s="5"/>
      <c r="H715" s="5"/>
      <c r="I715" s="5"/>
      <c r="J715" s="5"/>
      <c r="K715" s="5"/>
      <c r="L715" s="5"/>
      <c r="M715" s="5"/>
      <c r="N715" s="5"/>
      <c r="O715" s="5"/>
      <c r="P715" s="5"/>
      <c r="Q715" s="5"/>
      <c r="R715" s="5"/>
    </row>
    <row r="716" spans="1:18">
      <c r="A716" s="5"/>
      <c r="B716" s="5"/>
      <c r="C716" s="5"/>
      <c r="D716" s="5"/>
      <c r="E716" s="5"/>
      <c r="F716" s="5"/>
      <c r="G716" s="5"/>
      <c r="H716" s="5"/>
      <c r="I716" s="5"/>
      <c r="J716" s="5"/>
      <c r="K716" s="5"/>
      <c r="L716" s="5"/>
      <c r="M716" s="5"/>
      <c r="N716" s="5"/>
      <c r="O716" s="5"/>
      <c r="P716" s="5"/>
      <c r="Q716" s="5"/>
      <c r="R716" s="5"/>
    </row>
    <row r="717" spans="1:18">
      <c r="A717" s="5"/>
      <c r="B717" s="5"/>
      <c r="C717" s="5"/>
      <c r="D717" s="5"/>
      <c r="E717" s="5"/>
      <c r="F717" s="5"/>
      <c r="G717" s="5"/>
      <c r="H717" s="5"/>
      <c r="I717" s="5"/>
      <c r="J717" s="5"/>
      <c r="K717" s="5"/>
      <c r="L717" s="5"/>
      <c r="M717" s="5"/>
      <c r="N717" s="5"/>
      <c r="O717" s="5"/>
      <c r="P717" s="5"/>
      <c r="Q717" s="5"/>
      <c r="R717" s="5"/>
    </row>
    <row r="718" spans="1:18">
      <c r="A718" s="5"/>
      <c r="B718" s="5"/>
      <c r="C718" s="5"/>
      <c r="D718" s="5"/>
      <c r="E718" s="5"/>
      <c r="F718" s="5"/>
      <c r="G718" s="5"/>
      <c r="H718" s="5"/>
      <c r="I718" s="5"/>
      <c r="J718" s="5"/>
      <c r="K718" s="5"/>
      <c r="L718" s="5"/>
      <c r="M718" s="5"/>
      <c r="N718" s="5"/>
      <c r="O718" s="5"/>
      <c r="P718" s="5"/>
      <c r="Q718" s="5"/>
      <c r="R718" s="5"/>
    </row>
    <row r="719" spans="1:18">
      <c r="A719" s="5"/>
      <c r="B719" s="5"/>
      <c r="C719" s="5"/>
      <c r="D719" s="5"/>
      <c r="E719" s="5"/>
      <c r="F719" s="5"/>
      <c r="G719" s="5"/>
      <c r="H719" s="5"/>
      <c r="I719" s="5"/>
      <c r="J719" s="5"/>
      <c r="K719" s="5"/>
      <c r="L719" s="5"/>
      <c r="M719" s="5"/>
      <c r="N719" s="5"/>
      <c r="O719" s="5"/>
      <c r="P719" s="5"/>
      <c r="Q719" s="5"/>
      <c r="R719" s="5"/>
    </row>
    <row r="720" spans="1:18">
      <c r="A720" s="5"/>
      <c r="B720" s="5"/>
      <c r="C720" s="5"/>
      <c r="D720" s="5"/>
      <c r="E720" s="5"/>
      <c r="F720" s="5"/>
      <c r="G720" s="5"/>
      <c r="H720" s="5"/>
      <c r="I720" s="5"/>
      <c r="J720" s="5"/>
      <c r="K720" s="5"/>
      <c r="L720" s="5"/>
      <c r="M720" s="5"/>
      <c r="N720" s="5"/>
      <c r="O720" s="5"/>
      <c r="P720" s="5"/>
      <c r="Q720" s="5"/>
      <c r="R720" s="5"/>
    </row>
    <row r="721" spans="1:18">
      <c r="A721" s="5"/>
      <c r="B721" s="5"/>
      <c r="C721" s="5"/>
      <c r="D721" s="5"/>
      <c r="E721" s="5"/>
      <c r="F721" s="5"/>
      <c r="G721" s="5"/>
      <c r="H721" s="5"/>
      <c r="I721" s="5"/>
      <c r="J721" s="5"/>
      <c r="K721" s="5"/>
      <c r="L721" s="5"/>
      <c r="M721" s="5"/>
      <c r="N721" s="5"/>
      <c r="O721" s="5"/>
      <c r="P721" s="5"/>
      <c r="Q721" s="5"/>
      <c r="R721" s="5"/>
    </row>
    <row r="722" spans="1:18">
      <c r="A722" s="5"/>
      <c r="B722" s="5"/>
      <c r="C722" s="5"/>
      <c r="D722" s="5"/>
      <c r="E722" s="5"/>
      <c r="F722" s="5"/>
      <c r="G722" s="5"/>
      <c r="H722" s="5"/>
      <c r="I722" s="5"/>
      <c r="J722" s="5"/>
      <c r="K722" s="5"/>
      <c r="L722" s="5"/>
      <c r="M722" s="5"/>
      <c r="N722" s="5"/>
      <c r="O722" s="5"/>
      <c r="P722" s="5"/>
      <c r="Q722" s="5"/>
      <c r="R722" s="5"/>
    </row>
    <row r="723" spans="1:18">
      <c r="A723" s="5"/>
      <c r="B723" s="5"/>
      <c r="C723" s="5"/>
      <c r="D723" s="5"/>
      <c r="E723" s="5"/>
      <c r="F723" s="5"/>
      <c r="G723" s="5"/>
      <c r="H723" s="5"/>
      <c r="I723" s="5"/>
      <c r="J723" s="5"/>
      <c r="K723" s="5"/>
      <c r="L723" s="5"/>
      <c r="M723" s="5"/>
      <c r="N723" s="5"/>
      <c r="O723" s="5"/>
      <c r="P723" s="5"/>
      <c r="Q723" s="5"/>
      <c r="R723" s="5"/>
    </row>
    <row r="724" spans="1:18">
      <c r="A724" s="5"/>
      <c r="B724" s="5"/>
      <c r="C724" s="5"/>
      <c r="D724" s="5"/>
      <c r="E724" s="5"/>
      <c r="F724" s="5"/>
      <c r="G724" s="5"/>
      <c r="H724" s="5"/>
      <c r="I724" s="5"/>
      <c r="J724" s="5"/>
      <c r="K724" s="5"/>
      <c r="L724" s="5"/>
      <c r="M724" s="5"/>
      <c r="N724" s="5"/>
      <c r="O724" s="5"/>
      <c r="P724" s="5"/>
      <c r="Q724" s="5"/>
      <c r="R724" s="5"/>
    </row>
    <row r="725" spans="1:18">
      <c r="A725" s="5"/>
      <c r="B725" s="5"/>
      <c r="C725" s="5"/>
      <c r="D725" s="5"/>
      <c r="E725" s="5"/>
      <c r="F725" s="5"/>
      <c r="G725" s="5"/>
      <c r="H725" s="5"/>
      <c r="I725" s="5"/>
      <c r="J725" s="5"/>
      <c r="K725" s="5"/>
      <c r="L725" s="5"/>
      <c r="M725" s="5"/>
      <c r="N725" s="5"/>
      <c r="O725" s="5"/>
      <c r="P725" s="5"/>
      <c r="Q725" s="5"/>
      <c r="R725" s="5"/>
    </row>
    <row r="726" spans="1:18">
      <c r="A726" s="5"/>
      <c r="B726" s="5"/>
      <c r="C726" s="5"/>
      <c r="D726" s="5"/>
      <c r="E726" s="5"/>
      <c r="F726" s="5"/>
      <c r="G726" s="5"/>
      <c r="H726" s="5"/>
      <c r="I726" s="5"/>
      <c r="J726" s="5"/>
      <c r="K726" s="5"/>
      <c r="L726" s="5"/>
      <c r="M726" s="5"/>
      <c r="N726" s="5"/>
      <c r="O726" s="5"/>
      <c r="P726" s="5"/>
      <c r="Q726" s="5"/>
      <c r="R726" s="5"/>
    </row>
    <row r="727" spans="1:18">
      <c r="A727" s="5"/>
      <c r="B727" s="5"/>
      <c r="C727" s="5"/>
      <c r="D727" s="5"/>
      <c r="E727" s="5"/>
      <c r="F727" s="5"/>
      <c r="G727" s="5"/>
      <c r="H727" s="5"/>
      <c r="I727" s="5"/>
      <c r="J727" s="5"/>
      <c r="K727" s="5"/>
      <c r="L727" s="5"/>
      <c r="M727" s="5"/>
      <c r="N727" s="5"/>
      <c r="O727" s="5"/>
      <c r="P727" s="5"/>
      <c r="Q727" s="5"/>
      <c r="R727" s="5"/>
    </row>
    <row r="728" spans="1:18">
      <c r="A728" s="5"/>
      <c r="B728" s="5"/>
      <c r="C728" s="5"/>
      <c r="D728" s="5"/>
      <c r="E728" s="5"/>
      <c r="F728" s="5"/>
      <c r="G728" s="5"/>
      <c r="H728" s="5"/>
      <c r="I728" s="5"/>
      <c r="J728" s="5"/>
      <c r="K728" s="5"/>
      <c r="L728" s="5"/>
      <c r="M728" s="5"/>
      <c r="N728" s="5"/>
      <c r="O728" s="5"/>
      <c r="P728" s="5"/>
      <c r="Q728" s="5"/>
      <c r="R728" s="5"/>
    </row>
    <row r="729" spans="1:18">
      <c r="A729" s="5"/>
      <c r="B729" s="5"/>
      <c r="C729" s="5"/>
      <c r="D729" s="5"/>
      <c r="E729" s="5"/>
      <c r="F729" s="5"/>
      <c r="G729" s="5"/>
      <c r="H729" s="5"/>
      <c r="I729" s="5"/>
      <c r="J729" s="5"/>
      <c r="K729" s="5"/>
      <c r="L729" s="5"/>
      <c r="M729" s="5"/>
      <c r="N729" s="5"/>
      <c r="O729" s="5"/>
      <c r="P729" s="5"/>
      <c r="Q729" s="5"/>
      <c r="R729" s="5"/>
    </row>
    <row r="730" spans="1:18">
      <c r="A730" s="5"/>
      <c r="B730" s="5"/>
      <c r="C730" s="5"/>
      <c r="D730" s="5"/>
      <c r="E730" s="5"/>
      <c r="F730" s="5"/>
      <c r="G730" s="5"/>
      <c r="H730" s="5"/>
      <c r="I730" s="5"/>
      <c r="J730" s="5"/>
      <c r="K730" s="5"/>
      <c r="L730" s="5"/>
      <c r="M730" s="5"/>
      <c r="N730" s="5"/>
      <c r="O730" s="5"/>
      <c r="P730" s="5"/>
      <c r="Q730" s="5"/>
      <c r="R730" s="5"/>
    </row>
    <row r="731" spans="1:18">
      <c r="A731" s="5"/>
      <c r="B731" s="5"/>
      <c r="C731" s="5"/>
      <c r="D731" s="5"/>
      <c r="E731" s="5"/>
      <c r="F731" s="5"/>
      <c r="G731" s="5"/>
      <c r="H731" s="5"/>
      <c r="I731" s="5"/>
      <c r="J731" s="5"/>
      <c r="K731" s="5"/>
      <c r="L731" s="5"/>
      <c r="M731" s="5"/>
      <c r="N731" s="5"/>
      <c r="O731" s="5"/>
      <c r="P731" s="5"/>
      <c r="Q731" s="5"/>
      <c r="R731" s="5"/>
    </row>
    <row r="732" spans="1:18">
      <c r="A732" s="5"/>
      <c r="B732" s="5"/>
      <c r="C732" s="5"/>
      <c r="D732" s="5"/>
      <c r="E732" s="5"/>
      <c r="F732" s="5"/>
      <c r="G732" s="5"/>
      <c r="H732" s="5"/>
      <c r="I732" s="5"/>
      <c r="J732" s="5"/>
      <c r="K732" s="5"/>
      <c r="L732" s="5"/>
      <c r="M732" s="5"/>
      <c r="N732" s="5"/>
      <c r="O732" s="5"/>
      <c r="P732" s="5"/>
      <c r="Q732" s="5"/>
      <c r="R732" s="5"/>
    </row>
    <row r="733" spans="1:18">
      <c r="A733" s="5"/>
      <c r="B733" s="5"/>
      <c r="C733" s="5"/>
      <c r="D733" s="5"/>
      <c r="E733" s="5"/>
      <c r="F733" s="5"/>
      <c r="G733" s="5"/>
      <c r="H733" s="5"/>
      <c r="I733" s="5"/>
      <c r="J733" s="5"/>
      <c r="K733" s="5"/>
      <c r="L733" s="5"/>
      <c r="M733" s="5"/>
      <c r="N733" s="5"/>
      <c r="O733" s="5"/>
      <c r="P733" s="5"/>
      <c r="Q733" s="5"/>
      <c r="R733" s="5"/>
    </row>
    <row r="734" spans="1:18">
      <c r="A734" s="5"/>
      <c r="B734" s="5"/>
      <c r="C734" s="5"/>
      <c r="D734" s="5"/>
      <c r="E734" s="5"/>
      <c r="F734" s="5"/>
      <c r="G734" s="5"/>
      <c r="H734" s="5"/>
      <c r="I734" s="5"/>
      <c r="J734" s="5"/>
      <c r="K734" s="5"/>
      <c r="L734" s="5"/>
      <c r="M734" s="5"/>
      <c r="N734" s="5"/>
      <c r="O734" s="5"/>
      <c r="P734" s="5"/>
      <c r="Q734" s="5"/>
      <c r="R734" s="5"/>
    </row>
    <row r="735" spans="1:18">
      <c r="A735" s="5"/>
      <c r="B735" s="5"/>
      <c r="C735" s="5"/>
      <c r="D735" s="5"/>
      <c r="E735" s="5"/>
      <c r="F735" s="5"/>
      <c r="G735" s="5"/>
      <c r="H735" s="5"/>
      <c r="I735" s="5"/>
      <c r="J735" s="5"/>
      <c r="K735" s="5"/>
      <c r="L735" s="5"/>
      <c r="M735" s="5"/>
      <c r="N735" s="5"/>
      <c r="O735" s="5"/>
      <c r="P735" s="5"/>
      <c r="Q735" s="5"/>
      <c r="R735" s="5"/>
    </row>
    <row r="736" spans="1:18">
      <c r="A736" s="5"/>
      <c r="B736" s="5"/>
      <c r="C736" s="5"/>
      <c r="D736" s="5"/>
      <c r="E736" s="5"/>
      <c r="F736" s="5"/>
      <c r="G736" s="5"/>
      <c r="H736" s="5"/>
      <c r="I736" s="5"/>
      <c r="J736" s="5"/>
      <c r="K736" s="5"/>
      <c r="L736" s="5"/>
      <c r="M736" s="5"/>
      <c r="N736" s="5"/>
      <c r="O736" s="5"/>
      <c r="P736" s="5"/>
      <c r="Q736" s="5"/>
      <c r="R736" s="5"/>
    </row>
    <row r="737" spans="1:18">
      <c r="A737" s="5"/>
      <c r="B737" s="5"/>
      <c r="C737" s="5"/>
      <c r="D737" s="5"/>
      <c r="E737" s="5"/>
      <c r="F737" s="5"/>
      <c r="G737" s="5"/>
      <c r="H737" s="5"/>
      <c r="I737" s="5"/>
      <c r="J737" s="5"/>
      <c r="K737" s="5"/>
      <c r="L737" s="5"/>
      <c r="M737" s="5"/>
      <c r="N737" s="5"/>
      <c r="O737" s="5"/>
      <c r="P737" s="5"/>
      <c r="Q737" s="5"/>
      <c r="R737" s="5"/>
    </row>
    <row r="738" spans="1:18">
      <c r="A738" s="5"/>
      <c r="B738" s="5"/>
      <c r="C738" s="5"/>
      <c r="D738" s="5"/>
      <c r="E738" s="5"/>
      <c r="F738" s="5"/>
      <c r="G738" s="5"/>
      <c r="H738" s="5"/>
      <c r="I738" s="5"/>
      <c r="J738" s="5"/>
      <c r="K738" s="5"/>
      <c r="L738" s="5"/>
      <c r="M738" s="5"/>
      <c r="N738" s="5"/>
      <c r="O738" s="5"/>
      <c r="P738" s="5"/>
      <c r="Q738" s="5"/>
      <c r="R738" s="5"/>
    </row>
    <row r="739" spans="1:18">
      <c r="A739" s="5"/>
      <c r="B739" s="5"/>
      <c r="C739" s="5"/>
      <c r="D739" s="5"/>
      <c r="E739" s="5"/>
      <c r="F739" s="5"/>
      <c r="G739" s="5"/>
      <c r="H739" s="5"/>
      <c r="I739" s="5"/>
      <c r="J739" s="5"/>
      <c r="K739" s="5"/>
      <c r="L739" s="5"/>
      <c r="M739" s="5"/>
      <c r="N739" s="5"/>
      <c r="O739" s="5"/>
      <c r="P739" s="5"/>
      <c r="Q739" s="5"/>
      <c r="R739" s="5"/>
    </row>
    <row r="740" spans="1:18">
      <c r="A740" s="5"/>
      <c r="B740" s="5"/>
      <c r="C740" s="5"/>
      <c r="D740" s="5"/>
      <c r="E740" s="5"/>
      <c r="F740" s="5"/>
      <c r="G740" s="5"/>
      <c r="H740" s="5"/>
      <c r="I740" s="5"/>
      <c r="J740" s="5"/>
      <c r="K740" s="5"/>
      <c r="L740" s="5"/>
      <c r="M740" s="5"/>
      <c r="N740" s="5"/>
      <c r="O740" s="5"/>
      <c r="P740" s="5"/>
      <c r="Q740" s="5"/>
      <c r="R740" s="5"/>
    </row>
    <row r="741" spans="1:18">
      <c r="A741" s="5"/>
      <c r="B741" s="5"/>
      <c r="C741" s="5"/>
      <c r="D741" s="5"/>
      <c r="E741" s="5"/>
      <c r="F741" s="5"/>
      <c r="G741" s="5"/>
      <c r="H741" s="5"/>
      <c r="I741" s="5"/>
      <c r="J741" s="5"/>
      <c r="K741" s="5"/>
      <c r="L741" s="5"/>
      <c r="M741" s="5"/>
      <c r="N741" s="5"/>
      <c r="O741" s="5"/>
      <c r="P741" s="5"/>
      <c r="Q741" s="5"/>
      <c r="R741" s="5"/>
    </row>
    <row r="742" spans="1:18">
      <c r="A742" s="5"/>
      <c r="B742" s="5"/>
      <c r="C742" s="5"/>
      <c r="D742" s="5"/>
      <c r="E742" s="5"/>
      <c r="F742" s="5"/>
      <c r="G742" s="5"/>
      <c r="H742" s="5"/>
      <c r="I742" s="5"/>
      <c r="J742" s="5"/>
      <c r="K742" s="5"/>
      <c r="L742" s="5"/>
      <c r="M742" s="5"/>
      <c r="N742" s="5"/>
      <c r="O742" s="5"/>
      <c r="P742" s="5"/>
      <c r="Q742" s="5"/>
      <c r="R742" s="5"/>
    </row>
    <row r="743" spans="1:18">
      <c r="A743" s="5"/>
      <c r="B743" s="5"/>
      <c r="C743" s="5"/>
      <c r="D743" s="5"/>
      <c r="E743" s="5"/>
      <c r="F743" s="5"/>
      <c r="G743" s="5"/>
      <c r="H743" s="5"/>
      <c r="I743" s="5"/>
      <c r="J743" s="5"/>
      <c r="K743" s="5"/>
      <c r="L743" s="5"/>
      <c r="M743" s="5"/>
      <c r="N743" s="5"/>
      <c r="O743" s="5"/>
      <c r="P743" s="5"/>
      <c r="Q743" s="5"/>
      <c r="R743" s="5"/>
    </row>
    <row r="744" spans="1:18">
      <c r="A744" s="5"/>
      <c r="B744" s="5"/>
      <c r="C744" s="5"/>
      <c r="D744" s="5"/>
      <c r="E744" s="5"/>
      <c r="F744" s="5"/>
      <c r="G744" s="5"/>
      <c r="H744" s="5"/>
      <c r="I744" s="5"/>
      <c r="J744" s="5"/>
      <c r="K744" s="5"/>
      <c r="L744" s="5"/>
      <c r="M744" s="5"/>
      <c r="N744" s="5"/>
      <c r="O744" s="5"/>
      <c r="P744" s="5"/>
      <c r="Q744" s="5"/>
      <c r="R744" s="5"/>
    </row>
    <row r="745" spans="1:18">
      <c r="A745" s="5"/>
      <c r="B745" s="5"/>
      <c r="C745" s="5"/>
      <c r="D745" s="5"/>
      <c r="E745" s="5"/>
      <c r="F745" s="5"/>
      <c r="G745" s="5"/>
      <c r="H745" s="5"/>
      <c r="I745" s="5"/>
      <c r="J745" s="5"/>
      <c r="K745" s="5"/>
      <c r="L745" s="5"/>
      <c r="M745" s="5"/>
      <c r="N745" s="5"/>
      <c r="O745" s="5"/>
      <c r="P745" s="5"/>
      <c r="Q745" s="5"/>
      <c r="R745" s="5"/>
    </row>
    <row r="746" spans="1:18">
      <c r="A746" s="5"/>
      <c r="B746" s="5"/>
      <c r="C746" s="5"/>
      <c r="D746" s="5"/>
      <c r="E746" s="5"/>
      <c r="F746" s="5"/>
      <c r="G746" s="5"/>
      <c r="H746" s="5"/>
      <c r="I746" s="5"/>
      <c r="J746" s="5"/>
      <c r="K746" s="5"/>
      <c r="L746" s="5"/>
      <c r="M746" s="5"/>
      <c r="N746" s="5"/>
      <c r="O746" s="5"/>
      <c r="P746" s="5"/>
      <c r="Q746" s="5"/>
      <c r="R746" s="5"/>
    </row>
    <row r="747" spans="1:18">
      <c r="A747" s="5"/>
      <c r="B747" s="5"/>
      <c r="C747" s="5"/>
      <c r="D747" s="5"/>
      <c r="E747" s="5"/>
      <c r="F747" s="5"/>
      <c r="G747" s="5"/>
      <c r="H747" s="5"/>
      <c r="I747" s="5"/>
      <c r="J747" s="5"/>
      <c r="K747" s="5"/>
      <c r="L747" s="5"/>
      <c r="M747" s="5"/>
      <c r="N747" s="5"/>
      <c r="O747" s="5"/>
      <c r="P747" s="5"/>
      <c r="Q747" s="5"/>
      <c r="R747" s="5"/>
    </row>
    <row r="748" spans="1:18">
      <c r="A748" s="5"/>
      <c r="B748" s="5"/>
      <c r="C748" s="5"/>
      <c r="D748" s="5"/>
      <c r="E748" s="5"/>
      <c r="F748" s="5"/>
      <c r="G748" s="5"/>
      <c r="H748" s="5"/>
      <c r="I748" s="5"/>
      <c r="J748" s="5"/>
      <c r="K748" s="5"/>
      <c r="L748" s="5"/>
      <c r="M748" s="5"/>
      <c r="N748" s="5"/>
      <c r="O748" s="5"/>
      <c r="P748" s="5"/>
      <c r="Q748" s="5"/>
      <c r="R748" s="5"/>
    </row>
    <row r="749" spans="1:18">
      <c r="A749" s="5"/>
      <c r="B749" s="5"/>
      <c r="C749" s="5"/>
      <c r="D749" s="5"/>
      <c r="E749" s="5"/>
      <c r="F749" s="5"/>
      <c r="G749" s="5"/>
      <c r="H749" s="5"/>
      <c r="I749" s="5"/>
      <c r="J749" s="5"/>
      <c r="K749" s="5"/>
      <c r="L749" s="5"/>
      <c r="M749" s="5"/>
      <c r="N749" s="5"/>
      <c r="O749" s="5"/>
      <c r="P749" s="5"/>
      <c r="Q749" s="5"/>
      <c r="R749" s="5"/>
    </row>
    <row r="750" spans="1:18">
      <c r="A750" s="5"/>
      <c r="B750" s="5"/>
      <c r="C750" s="5"/>
      <c r="D750" s="5"/>
      <c r="E750" s="5"/>
      <c r="F750" s="5"/>
      <c r="G750" s="5"/>
      <c r="H750" s="5"/>
      <c r="I750" s="5"/>
      <c r="J750" s="5"/>
      <c r="K750" s="5"/>
      <c r="L750" s="5"/>
      <c r="M750" s="5"/>
      <c r="N750" s="5"/>
      <c r="O750" s="5"/>
      <c r="P750" s="5"/>
      <c r="Q750" s="5"/>
      <c r="R750" s="5"/>
    </row>
    <row r="751" spans="1:18">
      <c r="A751" s="5"/>
      <c r="B751" s="5"/>
      <c r="C751" s="5"/>
      <c r="D751" s="5"/>
      <c r="E751" s="5"/>
      <c r="F751" s="5"/>
      <c r="G751" s="5"/>
      <c r="H751" s="5"/>
      <c r="I751" s="5"/>
      <c r="J751" s="5"/>
      <c r="K751" s="5"/>
      <c r="L751" s="5"/>
      <c r="M751" s="5"/>
      <c r="N751" s="5"/>
      <c r="O751" s="5"/>
      <c r="P751" s="5"/>
      <c r="Q751" s="5"/>
      <c r="R751" s="5"/>
    </row>
    <row r="752" spans="1:18">
      <c r="A752" s="5"/>
      <c r="B752" s="5"/>
      <c r="C752" s="5"/>
      <c r="D752" s="5"/>
      <c r="E752" s="5"/>
      <c r="F752" s="5"/>
      <c r="G752" s="5"/>
      <c r="H752" s="5"/>
      <c r="I752" s="5"/>
      <c r="J752" s="5"/>
      <c r="K752" s="5"/>
      <c r="L752" s="5"/>
      <c r="M752" s="5"/>
      <c r="N752" s="5"/>
      <c r="O752" s="5"/>
      <c r="P752" s="5"/>
      <c r="Q752" s="5"/>
      <c r="R752" s="5"/>
    </row>
    <row r="753" spans="1:18">
      <c r="A753" s="5"/>
      <c r="B753" s="5"/>
      <c r="C753" s="5"/>
      <c r="D753" s="5"/>
      <c r="E753" s="5"/>
      <c r="F753" s="5"/>
      <c r="G753" s="5"/>
      <c r="H753" s="5"/>
      <c r="I753" s="5"/>
      <c r="J753" s="5"/>
      <c r="K753" s="5"/>
      <c r="L753" s="5"/>
      <c r="M753" s="5"/>
      <c r="N753" s="5"/>
      <c r="O753" s="5"/>
      <c r="P753" s="5"/>
      <c r="Q753" s="5"/>
      <c r="R753" s="5"/>
    </row>
    <row r="754" spans="1:18">
      <c r="A754" s="5"/>
      <c r="B754" s="5"/>
      <c r="C754" s="5"/>
      <c r="D754" s="5"/>
      <c r="E754" s="5"/>
      <c r="F754" s="5"/>
      <c r="G754" s="5"/>
      <c r="H754" s="5"/>
      <c r="I754" s="5"/>
      <c r="J754" s="5"/>
      <c r="K754" s="5"/>
      <c r="L754" s="5"/>
      <c r="M754" s="5"/>
      <c r="N754" s="5"/>
      <c r="O754" s="5"/>
      <c r="P754" s="5"/>
      <c r="Q754" s="5"/>
      <c r="R754" s="5"/>
    </row>
    <row r="755" spans="1:18">
      <c r="A755" s="5"/>
      <c r="B755" s="5"/>
      <c r="C755" s="5"/>
      <c r="D755" s="5"/>
      <c r="E755" s="5"/>
      <c r="F755" s="5"/>
      <c r="G755" s="5"/>
      <c r="H755" s="5"/>
      <c r="I755" s="5"/>
      <c r="J755" s="5"/>
      <c r="K755" s="5"/>
      <c r="L755" s="5"/>
      <c r="M755" s="5"/>
      <c r="N755" s="5"/>
      <c r="O755" s="5"/>
      <c r="P755" s="5"/>
      <c r="Q755" s="5"/>
      <c r="R755" s="5"/>
    </row>
    <row r="756" spans="1:18">
      <c r="A756" s="5"/>
      <c r="B756" s="5"/>
      <c r="C756" s="5"/>
      <c r="D756" s="5"/>
      <c r="E756" s="5"/>
      <c r="F756" s="5"/>
      <c r="G756" s="5"/>
      <c r="H756" s="5"/>
      <c r="I756" s="5"/>
      <c r="J756" s="5"/>
      <c r="K756" s="5"/>
      <c r="L756" s="5"/>
      <c r="M756" s="5"/>
      <c r="N756" s="5"/>
      <c r="O756" s="5"/>
      <c r="P756" s="5"/>
      <c r="Q756" s="5"/>
      <c r="R756" s="5"/>
    </row>
    <row r="757" spans="1:18">
      <c r="A757" s="5"/>
      <c r="B757" s="5"/>
      <c r="C757" s="5"/>
      <c r="D757" s="5"/>
      <c r="E757" s="5"/>
      <c r="F757" s="5"/>
      <c r="G757" s="5"/>
      <c r="H757" s="5"/>
      <c r="I757" s="5"/>
      <c r="J757" s="5"/>
      <c r="K757" s="5"/>
      <c r="L757" s="5"/>
      <c r="M757" s="5"/>
      <c r="N757" s="5"/>
      <c r="O757" s="5"/>
      <c r="P757" s="5"/>
      <c r="Q757" s="5"/>
      <c r="R757" s="5"/>
    </row>
    <row r="758" spans="1:18">
      <c r="A758" s="5"/>
      <c r="B758" s="5"/>
      <c r="C758" s="5"/>
      <c r="D758" s="5"/>
      <c r="E758" s="5"/>
      <c r="F758" s="5"/>
      <c r="G758" s="5"/>
      <c r="H758" s="5"/>
      <c r="I758" s="5"/>
      <c r="J758" s="5"/>
      <c r="K758" s="5"/>
      <c r="L758" s="5"/>
      <c r="M758" s="5"/>
      <c r="N758" s="5"/>
      <c r="O758" s="5"/>
      <c r="P758" s="5"/>
      <c r="Q758" s="5"/>
      <c r="R758" s="5"/>
    </row>
    <row r="759" spans="1:18">
      <c r="A759" s="5"/>
      <c r="B759" s="5"/>
      <c r="C759" s="5"/>
      <c r="D759" s="5"/>
      <c r="E759" s="5"/>
      <c r="F759" s="5"/>
      <c r="G759" s="5"/>
      <c r="H759" s="5"/>
      <c r="I759" s="5"/>
      <c r="J759" s="5"/>
      <c r="K759" s="5"/>
      <c r="L759" s="5"/>
      <c r="M759" s="5"/>
      <c r="N759" s="5"/>
      <c r="O759" s="5"/>
      <c r="P759" s="5"/>
      <c r="Q759" s="5"/>
      <c r="R759" s="5"/>
    </row>
    <row r="760" spans="1:18">
      <c r="A760" s="5"/>
      <c r="B760" s="5"/>
      <c r="C760" s="5"/>
      <c r="D760" s="5"/>
      <c r="E760" s="5"/>
      <c r="F760" s="5"/>
      <c r="G760" s="5"/>
      <c r="H760" s="5"/>
      <c r="I760" s="5"/>
      <c r="J760" s="5"/>
      <c r="K760" s="5"/>
      <c r="L760" s="5"/>
      <c r="M760" s="5"/>
      <c r="N760" s="5"/>
      <c r="O760" s="5"/>
      <c r="P760" s="5"/>
      <c r="Q760" s="5"/>
      <c r="R760" s="5"/>
    </row>
    <row r="761" spans="1:18">
      <c r="A761" s="5"/>
      <c r="B761" s="5"/>
      <c r="C761" s="5"/>
      <c r="D761" s="5"/>
      <c r="E761" s="5"/>
      <c r="F761" s="5"/>
      <c r="G761" s="5"/>
      <c r="H761" s="5"/>
      <c r="I761" s="5"/>
      <c r="J761" s="5"/>
      <c r="K761" s="5"/>
      <c r="L761" s="5"/>
      <c r="M761" s="5"/>
      <c r="N761" s="5"/>
      <c r="O761" s="5"/>
      <c r="P761" s="5"/>
      <c r="Q761" s="5"/>
      <c r="R761" s="5"/>
    </row>
    <row r="762" spans="1:18">
      <c r="A762" s="5"/>
      <c r="B762" s="5"/>
      <c r="C762" s="5"/>
      <c r="D762" s="5"/>
      <c r="E762" s="5"/>
      <c r="F762" s="5"/>
      <c r="G762" s="5"/>
      <c r="H762" s="5"/>
      <c r="I762" s="5"/>
      <c r="J762" s="5"/>
      <c r="K762" s="5"/>
      <c r="L762" s="5"/>
      <c r="M762" s="5"/>
      <c r="N762" s="5"/>
      <c r="O762" s="5"/>
      <c r="P762" s="5"/>
      <c r="Q762" s="5"/>
      <c r="R762" s="5"/>
    </row>
    <row r="763" spans="1:18">
      <c r="A763" s="5"/>
      <c r="B763" s="5"/>
      <c r="C763" s="5"/>
      <c r="D763" s="5"/>
      <c r="E763" s="5"/>
      <c r="F763" s="5"/>
      <c r="G763" s="5"/>
      <c r="H763" s="5"/>
      <c r="I763" s="5"/>
      <c r="J763" s="5"/>
      <c r="K763" s="5"/>
      <c r="L763" s="5"/>
      <c r="M763" s="5"/>
      <c r="N763" s="5"/>
      <c r="O763" s="5"/>
      <c r="P763" s="5"/>
      <c r="Q763" s="5"/>
      <c r="R763" s="5"/>
    </row>
    <row r="764" spans="1:18">
      <c r="A764" s="5"/>
      <c r="B764" s="5"/>
      <c r="C764" s="5"/>
      <c r="D764" s="5"/>
      <c r="E764" s="5"/>
      <c r="F764" s="5"/>
      <c r="G764" s="5"/>
      <c r="H764" s="5"/>
      <c r="I764" s="5"/>
      <c r="J764" s="5"/>
      <c r="K764" s="5"/>
      <c r="L764" s="5"/>
      <c r="M764" s="5"/>
      <c r="N764" s="5"/>
      <c r="O764" s="5"/>
      <c r="P764" s="5"/>
      <c r="Q764" s="5"/>
      <c r="R764" s="5"/>
    </row>
    <row r="765" spans="1:18">
      <c r="A765" s="5"/>
      <c r="B765" s="5"/>
      <c r="C765" s="5"/>
      <c r="D765" s="5"/>
      <c r="E765" s="5"/>
      <c r="F765" s="5"/>
      <c r="G765" s="5"/>
      <c r="H765" s="5"/>
      <c r="I765" s="5"/>
      <c r="J765" s="5"/>
      <c r="K765" s="5"/>
      <c r="L765" s="5"/>
      <c r="M765" s="5"/>
      <c r="N765" s="5"/>
      <c r="O765" s="5"/>
      <c r="P765" s="5"/>
      <c r="Q765" s="5"/>
      <c r="R765" s="5"/>
    </row>
    <row r="766" spans="1:18">
      <c r="A766" s="5"/>
      <c r="B766" s="5"/>
      <c r="C766" s="5"/>
      <c r="D766" s="5"/>
      <c r="E766" s="5"/>
      <c r="F766" s="5"/>
      <c r="G766" s="5"/>
      <c r="H766" s="5"/>
      <c r="I766" s="5"/>
      <c r="J766" s="5"/>
      <c r="K766" s="5"/>
      <c r="L766" s="5"/>
      <c r="M766" s="5"/>
      <c r="N766" s="5"/>
      <c r="O766" s="5"/>
      <c r="P766" s="5"/>
      <c r="Q766" s="5"/>
      <c r="R766" s="5"/>
    </row>
    <row r="767" spans="1:18">
      <c r="A767" s="5"/>
      <c r="B767" s="5"/>
      <c r="C767" s="5"/>
      <c r="D767" s="5"/>
      <c r="E767" s="5"/>
      <c r="F767" s="5"/>
      <c r="G767" s="5"/>
      <c r="H767" s="5"/>
      <c r="I767" s="5"/>
      <c r="J767" s="5"/>
      <c r="K767" s="5"/>
      <c r="L767" s="5"/>
      <c r="M767" s="5"/>
      <c r="N767" s="5"/>
      <c r="O767" s="5"/>
      <c r="P767" s="5"/>
      <c r="Q767" s="5"/>
      <c r="R767" s="5"/>
    </row>
    <row r="768" spans="1:18">
      <c r="A768" s="5"/>
      <c r="B768" s="5"/>
      <c r="C768" s="5"/>
      <c r="D768" s="5"/>
      <c r="E768" s="5"/>
      <c r="F768" s="5"/>
      <c r="G768" s="5"/>
      <c r="H768" s="5"/>
      <c r="I768" s="5"/>
      <c r="J768" s="5"/>
      <c r="K768" s="5"/>
      <c r="L768" s="5"/>
      <c r="M768" s="5"/>
      <c r="N768" s="5"/>
      <c r="O768" s="5"/>
      <c r="P768" s="5"/>
      <c r="Q768" s="5"/>
      <c r="R768" s="5"/>
    </row>
    <row r="769" spans="1:18">
      <c r="A769" s="5"/>
      <c r="B769" s="5"/>
      <c r="C769" s="5"/>
      <c r="D769" s="5"/>
      <c r="E769" s="5"/>
      <c r="F769" s="5"/>
      <c r="G769" s="5"/>
      <c r="H769" s="5"/>
      <c r="I769" s="5"/>
      <c r="J769" s="5"/>
      <c r="K769" s="5"/>
      <c r="L769" s="5"/>
      <c r="M769" s="5"/>
      <c r="N769" s="5"/>
      <c r="O769" s="5"/>
      <c r="P769" s="5"/>
      <c r="Q769" s="5"/>
      <c r="R769" s="5"/>
    </row>
    <row r="770" spans="1:18">
      <c r="A770" s="5"/>
      <c r="B770" s="5"/>
      <c r="C770" s="5"/>
      <c r="D770" s="5"/>
      <c r="E770" s="5"/>
      <c r="F770" s="5"/>
      <c r="G770" s="5"/>
      <c r="H770" s="5"/>
      <c r="I770" s="5"/>
      <c r="J770" s="5"/>
      <c r="K770" s="5"/>
      <c r="L770" s="5"/>
      <c r="M770" s="5"/>
      <c r="N770" s="5"/>
      <c r="O770" s="5"/>
      <c r="P770" s="5"/>
      <c r="Q770" s="5"/>
      <c r="R770" s="5"/>
    </row>
    <row r="771" spans="1:18">
      <c r="A771" s="5"/>
      <c r="B771" s="5"/>
      <c r="C771" s="5"/>
      <c r="D771" s="5"/>
      <c r="E771" s="5"/>
      <c r="F771" s="5"/>
      <c r="G771" s="5"/>
      <c r="H771" s="5"/>
      <c r="I771" s="5"/>
      <c r="J771" s="5"/>
      <c r="K771" s="5"/>
      <c r="L771" s="5"/>
      <c r="M771" s="5"/>
      <c r="N771" s="5"/>
      <c r="O771" s="5"/>
      <c r="P771" s="5"/>
      <c r="Q771" s="5"/>
      <c r="R771" s="5"/>
    </row>
    <row r="772" spans="1:18">
      <c r="A772" s="5"/>
      <c r="B772" s="5"/>
      <c r="C772" s="5"/>
      <c r="D772" s="5"/>
      <c r="E772" s="5"/>
      <c r="F772" s="5"/>
      <c r="G772" s="5"/>
      <c r="H772" s="5"/>
      <c r="I772" s="5"/>
      <c r="J772" s="5"/>
      <c r="K772" s="5"/>
      <c r="L772" s="5"/>
      <c r="M772" s="5"/>
      <c r="N772" s="5"/>
      <c r="O772" s="5"/>
      <c r="P772" s="5"/>
      <c r="Q772" s="5"/>
      <c r="R772" s="5"/>
    </row>
    <row r="773" spans="1:18">
      <c r="A773" s="5"/>
      <c r="B773" s="5"/>
      <c r="C773" s="5"/>
      <c r="D773" s="5"/>
      <c r="E773" s="5"/>
      <c r="F773" s="5"/>
      <c r="G773" s="5"/>
      <c r="H773" s="5"/>
      <c r="I773" s="5"/>
      <c r="J773" s="5"/>
      <c r="K773" s="5"/>
      <c r="L773" s="5"/>
      <c r="M773" s="5"/>
      <c r="N773" s="5"/>
      <c r="O773" s="5"/>
      <c r="P773" s="5"/>
      <c r="Q773" s="5"/>
      <c r="R773" s="5"/>
    </row>
    <row r="774" spans="1:18">
      <c r="A774" s="5"/>
      <c r="B774" s="5"/>
      <c r="C774" s="5"/>
      <c r="D774" s="5"/>
      <c r="E774" s="5"/>
      <c r="F774" s="5"/>
      <c r="G774" s="5"/>
      <c r="H774" s="5"/>
      <c r="I774" s="5"/>
      <c r="J774" s="5"/>
      <c r="K774" s="5"/>
      <c r="L774" s="5"/>
      <c r="M774" s="5"/>
      <c r="N774" s="5"/>
      <c r="O774" s="5"/>
      <c r="P774" s="5"/>
      <c r="Q774" s="5"/>
      <c r="R774" s="5"/>
    </row>
    <row r="775" spans="1:18">
      <c r="A775" s="5"/>
      <c r="B775" s="5"/>
      <c r="C775" s="5"/>
      <c r="D775" s="5"/>
      <c r="E775" s="5"/>
      <c r="F775" s="5"/>
      <c r="G775" s="5"/>
      <c r="H775" s="5"/>
      <c r="I775" s="5"/>
      <c r="J775" s="5"/>
      <c r="K775" s="5"/>
      <c r="L775" s="5"/>
      <c r="M775" s="5"/>
      <c r="N775" s="5"/>
      <c r="O775" s="5"/>
      <c r="P775" s="5"/>
      <c r="Q775" s="5"/>
      <c r="R775" s="5"/>
    </row>
    <row r="776" spans="1:18">
      <c r="A776" s="5"/>
      <c r="B776" s="5"/>
      <c r="C776" s="5"/>
      <c r="D776" s="5"/>
      <c r="E776" s="5"/>
      <c r="F776" s="5"/>
      <c r="G776" s="5"/>
      <c r="H776" s="5"/>
      <c r="I776" s="5"/>
      <c r="J776" s="5"/>
      <c r="K776" s="5"/>
      <c r="L776" s="5"/>
      <c r="M776" s="5"/>
      <c r="N776" s="5"/>
      <c r="O776" s="5"/>
      <c r="P776" s="5"/>
      <c r="Q776" s="5"/>
      <c r="R776" s="5"/>
    </row>
    <row r="777" spans="1:18">
      <c r="A777" s="5"/>
      <c r="B777" s="5"/>
      <c r="C777" s="5"/>
      <c r="D777" s="5"/>
      <c r="E777" s="5"/>
      <c r="F777" s="5"/>
      <c r="G777" s="5"/>
      <c r="H777" s="5"/>
      <c r="I777" s="5"/>
      <c r="J777" s="5"/>
      <c r="K777" s="5"/>
      <c r="L777" s="5"/>
      <c r="M777" s="5"/>
      <c r="N777" s="5"/>
      <c r="O777" s="5"/>
      <c r="P777" s="5"/>
      <c r="Q777" s="5"/>
      <c r="R777" s="5"/>
    </row>
    <row r="778" spans="1:18">
      <c r="A778" s="5"/>
      <c r="B778" s="5"/>
      <c r="C778" s="5"/>
      <c r="D778" s="5"/>
      <c r="E778" s="5"/>
      <c r="F778" s="5"/>
      <c r="G778" s="5"/>
      <c r="H778" s="5"/>
      <c r="I778" s="5"/>
      <c r="J778" s="5"/>
      <c r="K778" s="5"/>
      <c r="L778" s="5"/>
      <c r="M778" s="5"/>
      <c r="N778" s="5"/>
      <c r="O778" s="5"/>
      <c r="P778" s="5"/>
      <c r="Q778" s="5"/>
      <c r="R778" s="5"/>
    </row>
    <row r="779" spans="1:18">
      <c r="A779" s="5"/>
      <c r="B779" s="5"/>
      <c r="C779" s="5"/>
      <c r="D779" s="5"/>
      <c r="E779" s="5"/>
      <c r="F779" s="5"/>
      <c r="G779" s="5"/>
      <c r="H779" s="5"/>
      <c r="I779" s="5"/>
      <c r="J779" s="5"/>
      <c r="K779" s="5"/>
      <c r="L779" s="5"/>
      <c r="M779" s="5"/>
      <c r="N779" s="5"/>
      <c r="O779" s="5"/>
      <c r="P779" s="5"/>
      <c r="Q779" s="5"/>
      <c r="R779" s="5"/>
    </row>
    <row r="780" spans="1:18">
      <c r="A780" s="5"/>
      <c r="B780" s="5"/>
      <c r="C780" s="5"/>
      <c r="D780" s="5"/>
      <c r="E780" s="5"/>
      <c r="F780" s="5"/>
      <c r="G780" s="5"/>
      <c r="H780" s="5"/>
      <c r="I780" s="5"/>
      <c r="J780" s="5"/>
      <c r="K780" s="5"/>
      <c r="L780" s="5"/>
      <c r="M780" s="5"/>
      <c r="N780" s="5"/>
      <c r="O780" s="5"/>
      <c r="P780" s="5"/>
      <c r="Q780" s="5"/>
      <c r="R780" s="5"/>
    </row>
    <row r="781" spans="1:18">
      <c r="A781" s="5"/>
      <c r="B781" s="5"/>
      <c r="C781" s="5"/>
      <c r="D781" s="5"/>
      <c r="E781" s="5"/>
      <c r="F781" s="5"/>
      <c r="G781" s="5"/>
      <c r="H781" s="5"/>
      <c r="I781" s="5"/>
      <c r="J781" s="5"/>
      <c r="K781" s="5"/>
      <c r="L781" s="5"/>
      <c r="M781" s="5"/>
      <c r="N781" s="5"/>
      <c r="O781" s="5"/>
      <c r="P781" s="5"/>
      <c r="Q781" s="5"/>
      <c r="R781" s="5"/>
    </row>
    <row r="782" spans="1:18">
      <c r="A782" s="5"/>
      <c r="B782" s="5"/>
      <c r="C782" s="5"/>
      <c r="D782" s="5"/>
      <c r="E782" s="5"/>
      <c r="F782" s="5"/>
      <c r="G782" s="5"/>
      <c r="H782" s="5"/>
      <c r="I782" s="5"/>
      <c r="J782" s="5"/>
      <c r="K782" s="5"/>
      <c r="L782" s="5"/>
      <c r="M782" s="5"/>
      <c r="N782" s="5"/>
      <c r="O782" s="5"/>
      <c r="P782" s="5"/>
      <c r="Q782" s="5"/>
      <c r="R782" s="5"/>
    </row>
    <row r="783" spans="1:18">
      <c r="A783" s="5"/>
      <c r="B783" s="5"/>
      <c r="C783" s="5"/>
      <c r="D783" s="5"/>
      <c r="E783" s="5"/>
      <c r="F783" s="5"/>
      <c r="G783" s="5"/>
      <c r="H783" s="5"/>
      <c r="I783" s="5"/>
      <c r="J783" s="5"/>
      <c r="K783" s="5"/>
      <c r="L783" s="5"/>
      <c r="M783" s="5"/>
      <c r="N783" s="5"/>
      <c r="O783" s="5"/>
      <c r="P783" s="5"/>
      <c r="Q783" s="5"/>
      <c r="R783" s="5"/>
    </row>
    <row r="784" spans="1:18">
      <c r="A784" s="5"/>
      <c r="B784" s="5"/>
      <c r="C784" s="5"/>
      <c r="D784" s="5"/>
      <c r="E784" s="5"/>
      <c r="F784" s="5"/>
      <c r="G784" s="5"/>
      <c r="H784" s="5"/>
      <c r="I784" s="5"/>
      <c r="J784" s="5"/>
      <c r="K784" s="5"/>
      <c r="L784" s="5"/>
      <c r="M784" s="5"/>
      <c r="N784" s="5"/>
      <c r="O784" s="5"/>
      <c r="P784" s="5"/>
      <c r="Q784" s="5"/>
      <c r="R784" s="5"/>
    </row>
    <row r="785" spans="1:18">
      <c r="A785" s="5"/>
      <c r="B785" s="5"/>
      <c r="C785" s="5"/>
      <c r="D785" s="5"/>
      <c r="E785" s="5"/>
      <c r="F785" s="5"/>
      <c r="G785" s="5"/>
      <c r="H785" s="5"/>
      <c r="I785" s="5"/>
      <c r="J785" s="5"/>
      <c r="K785" s="5"/>
      <c r="L785" s="5"/>
      <c r="M785" s="5"/>
      <c r="N785" s="5"/>
      <c r="O785" s="5"/>
      <c r="P785" s="5"/>
      <c r="Q785" s="5"/>
      <c r="R785" s="5"/>
    </row>
    <row r="786" spans="1:18">
      <c r="A786" s="5"/>
      <c r="B786" s="5"/>
      <c r="C786" s="5"/>
      <c r="D786" s="5"/>
      <c r="E786" s="5"/>
      <c r="F786" s="5"/>
      <c r="G786" s="5"/>
      <c r="H786" s="5"/>
      <c r="I786" s="5"/>
      <c r="J786" s="5"/>
      <c r="K786" s="5"/>
      <c r="L786" s="5"/>
      <c r="M786" s="5"/>
      <c r="N786" s="5"/>
      <c r="O786" s="5"/>
      <c r="P786" s="5"/>
      <c r="Q786" s="5"/>
      <c r="R786" s="5"/>
    </row>
    <row r="787" spans="1:18">
      <c r="A787" s="5"/>
      <c r="B787" s="5"/>
      <c r="C787" s="5"/>
      <c r="D787" s="5"/>
      <c r="E787" s="5"/>
      <c r="F787" s="5"/>
      <c r="G787" s="5"/>
      <c r="H787" s="5"/>
      <c r="I787" s="5"/>
      <c r="J787" s="5"/>
      <c r="K787" s="5"/>
      <c r="L787" s="5"/>
      <c r="M787" s="5"/>
      <c r="N787" s="5"/>
      <c r="O787" s="5"/>
      <c r="P787" s="5"/>
      <c r="Q787" s="5"/>
      <c r="R787" s="5"/>
    </row>
    <row r="788" spans="1:18">
      <c r="A788" s="5"/>
      <c r="B788" s="5"/>
      <c r="C788" s="5"/>
      <c r="D788" s="5"/>
      <c r="E788" s="5"/>
      <c r="F788" s="5"/>
      <c r="G788" s="5"/>
      <c r="H788" s="5"/>
      <c r="I788" s="5"/>
      <c r="J788" s="5"/>
      <c r="K788" s="5"/>
      <c r="L788" s="5"/>
      <c r="M788" s="5"/>
      <c r="N788" s="5"/>
      <c r="O788" s="5"/>
      <c r="P788" s="5"/>
      <c r="Q788" s="5"/>
      <c r="R788" s="5"/>
    </row>
    <row r="789" spans="1:18">
      <c r="A789" s="5"/>
      <c r="B789" s="5"/>
      <c r="C789" s="5"/>
      <c r="D789" s="5"/>
      <c r="E789" s="5"/>
      <c r="F789" s="5"/>
      <c r="G789" s="5"/>
      <c r="H789" s="5"/>
      <c r="I789" s="5"/>
      <c r="J789" s="5"/>
      <c r="K789" s="5"/>
      <c r="L789" s="5"/>
      <c r="M789" s="5"/>
      <c r="N789" s="5"/>
      <c r="O789" s="5"/>
      <c r="P789" s="5"/>
      <c r="Q789" s="5"/>
      <c r="R789" s="5"/>
    </row>
    <row r="790" spans="1:18">
      <c r="A790" s="5"/>
      <c r="B790" s="5"/>
      <c r="C790" s="5"/>
      <c r="D790" s="5"/>
      <c r="E790" s="5"/>
      <c r="F790" s="5"/>
      <c r="G790" s="5"/>
      <c r="H790" s="5"/>
      <c r="I790" s="5"/>
      <c r="J790" s="5"/>
      <c r="K790" s="5"/>
      <c r="L790" s="5"/>
      <c r="M790" s="5"/>
      <c r="N790" s="5"/>
      <c r="O790" s="5"/>
      <c r="P790" s="5"/>
      <c r="Q790" s="5"/>
      <c r="R790" s="5"/>
    </row>
    <row r="791" spans="1:18">
      <c r="A791" s="5"/>
      <c r="B791" s="5"/>
      <c r="C791" s="5"/>
      <c r="D791" s="5"/>
      <c r="E791" s="5"/>
      <c r="F791" s="5"/>
      <c r="G791" s="5"/>
      <c r="H791" s="5"/>
      <c r="I791" s="5"/>
      <c r="J791" s="5"/>
      <c r="K791" s="5"/>
      <c r="L791" s="5"/>
      <c r="M791" s="5"/>
      <c r="N791" s="5"/>
      <c r="O791" s="5"/>
      <c r="P791" s="5"/>
      <c r="Q791" s="5"/>
      <c r="R791" s="5"/>
    </row>
    <row r="792" spans="1:18">
      <c r="A792" s="5"/>
      <c r="B792" s="5"/>
      <c r="C792" s="5"/>
      <c r="D792" s="5"/>
      <c r="E792" s="5"/>
      <c r="F792" s="5"/>
      <c r="G792" s="5"/>
      <c r="H792" s="5"/>
      <c r="I792" s="5"/>
      <c r="J792" s="5"/>
      <c r="K792" s="5"/>
      <c r="L792" s="5"/>
      <c r="M792" s="5"/>
      <c r="N792" s="5"/>
      <c r="O792" s="5"/>
      <c r="P792" s="5"/>
      <c r="Q792" s="5"/>
      <c r="R792" s="5"/>
    </row>
    <row r="793" spans="1:18">
      <c r="A793" s="5"/>
      <c r="B793" s="5"/>
      <c r="C793" s="5"/>
      <c r="D793" s="5"/>
      <c r="E793" s="5"/>
      <c r="F793" s="5"/>
      <c r="G793" s="5"/>
      <c r="H793" s="5"/>
      <c r="I793" s="5"/>
      <c r="J793" s="5"/>
      <c r="K793" s="5"/>
      <c r="L793" s="5"/>
      <c r="M793" s="5"/>
      <c r="N793" s="5"/>
      <c r="O793" s="5"/>
      <c r="P793" s="5"/>
      <c r="Q793" s="5"/>
      <c r="R793" s="5"/>
    </row>
    <row r="794" spans="1:18">
      <c r="A794" s="5"/>
      <c r="B794" s="5"/>
      <c r="C794" s="5"/>
      <c r="D794" s="5"/>
      <c r="E794" s="5"/>
      <c r="F794" s="5"/>
      <c r="G794" s="5"/>
      <c r="H794" s="5"/>
      <c r="I794" s="5"/>
      <c r="J794" s="5"/>
      <c r="K794" s="5"/>
      <c r="L794" s="5"/>
      <c r="M794" s="5"/>
      <c r="N794" s="5"/>
      <c r="O794" s="5"/>
      <c r="P794" s="5"/>
      <c r="Q794" s="5"/>
      <c r="R794" s="5"/>
    </row>
    <row r="795" spans="1:18">
      <c r="A795" s="5"/>
      <c r="B795" s="5"/>
      <c r="C795" s="5"/>
      <c r="D795" s="5"/>
      <c r="E795" s="5"/>
      <c r="F795" s="5"/>
      <c r="G795" s="5"/>
      <c r="H795" s="5"/>
      <c r="I795" s="5"/>
      <c r="J795" s="5"/>
      <c r="K795" s="5"/>
      <c r="L795" s="5"/>
      <c r="M795" s="5"/>
      <c r="N795" s="5"/>
      <c r="O795" s="5"/>
      <c r="P795" s="5"/>
      <c r="Q795" s="5"/>
      <c r="R795" s="5"/>
    </row>
    <row r="796" spans="1:18">
      <c r="A796" s="5"/>
      <c r="B796" s="5"/>
      <c r="C796" s="5"/>
      <c r="D796" s="5"/>
      <c r="E796" s="5"/>
      <c r="F796" s="5"/>
      <c r="G796" s="5"/>
      <c r="H796" s="5"/>
      <c r="I796" s="5"/>
      <c r="J796" s="5"/>
      <c r="K796" s="5"/>
      <c r="L796" s="5"/>
      <c r="M796" s="5"/>
      <c r="N796" s="5"/>
      <c r="O796" s="5"/>
      <c r="P796" s="5"/>
      <c r="Q796" s="5"/>
      <c r="R796" s="5"/>
    </row>
    <row r="797" spans="1:18">
      <c r="A797" s="5"/>
      <c r="B797" s="5"/>
      <c r="C797" s="5"/>
      <c r="D797" s="5"/>
      <c r="E797" s="5"/>
      <c r="F797" s="5"/>
      <c r="G797" s="5"/>
      <c r="H797" s="5"/>
      <c r="I797" s="5"/>
      <c r="J797" s="5"/>
      <c r="K797" s="5"/>
      <c r="L797" s="5"/>
      <c r="M797" s="5"/>
      <c r="N797" s="5"/>
      <c r="O797" s="5"/>
      <c r="P797" s="5"/>
      <c r="Q797" s="5"/>
      <c r="R797" s="5"/>
    </row>
    <row r="798" spans="1:18">
      <c r="A798" s="5"/>
      <c r="B798" s="5"/>
      <c r="C798" s="5"/>
      <c r="D798" s="5"/>
      <c r="E798" s="5"/>
      <c r="F798" s="5"/>
      <c r="G798" s="5"/>
      <c r="H798" s="5"/>
      <c r="I798" s="5"/>
      <c r="J798" s="5"/>
      <c r="K798" s="5"/>
      <c r="L798" s="5"/>
      <c r="M798" s="5"/>
      <c r="N798" s="5"/>
      <c r="O798" s="5"/>
      <c r="P798" s="5"/>
      <c r="Q798" s="5"/>
      <c r="R798" s="5"/>
    </row>
    <row r="799" spans="1:18">
      <c r="A799" s="5"/>
      <c r="B799" s="5"/>
      <c r="C799" s="5"/>
      <c r="D799" s="5"/>
      <c r="E799" s="5"/>
      <c r="F799" s="5"/>
      <c r="G799" s="5"/>
      <c r="H799" s="5"/>
      <c r="I799" s="5"/>
      <c r="J799" s="5"/>
      <c r="K799" s="5"/>
      <c r="L799" s="5"/>
      <c r="M799" s="5"/>
      <c r="N799" s="5"/>
      <c r="O799" s="5"/>
      <c r="P799" s="5"/>
      <c r="Q799" s="5"/>
      <c r="R799" s="5"/>
    </row>
    <row r="800" spans="1:18">
      <c r="A800" s="5"/>
      <c r="B800" s="5"/>
      <c r="C800" s="5"/>
      <c r="D800" s="5"/>
      <c r="E800" s="5"/>
      <c r="F800" s="5"/>
      <c r="G800" s="5"/>
      <c r="H800" s="5"/>
      <c r="I800" s="5"/>
      <c r="J800" s="5"/>
      <c r="K800" s="5"/>
      <c r="L800" s="5"/>
      <c r="M800" s="5"/>
      <c r="N800" s="5"/>
      <c r="O800" s="5"/>
      <c r="P800" s="5"/>
      <c r="Q800" s="5"/>
      <c r="R800" s="5"/>
    </row>
    <row r="801" spans="1:18">
      <c r="A801" s="5"/>
      <c r="B801" s="5"/>
      <c r="C801" s="5"/>
      <c r="D801" s="5"/>
      <c r="E801" s="5"/>
      <c r="F801" s="5"/>
      <c r="G801" s="5"/>
      <c r="H801" s="5"/>
      <c r="I801" s="5"/>
      <c r="J801" s="5"/>
      <c r="K801" s="5"/>
      <c r="L801" s="5"/>
      <c r="M801" s="5"/>
      <c r="N801" s="5"/>
      <c r="O801" s="5"/>
      <c r="P801" s="5"/>
      <c r="Q801" s="5"/>
      <c r="R801" s="5"/>
    </row>
    <row r="802" spans="1:18">
      <c r="A802" s="5"/>
      <c r="B802" s="5"/>
      <c r="C802" s="5"/>
      <c r="D802" s="5"/>
      <c r="E802" s="5"/>
      <c r="F802" s="5"/>
      <c r="G802" s="5"/>
      <c r="H802" s="5"/>
      <c r="I802" s="5"/>
      <c r="J802" s="5"/>
      <c r="K802" s="5"/>
      <c r="L802" s="5"/>
      <c r="M802" s="5"/>
      <c r="N802" s="5"/>
      <c r="O802" s="5"/>
      <c r="P802" s="5"/>
      <c r="Q802" s="5"/>
      <c r="R802" s="5"/>
    </row>
    <row r="803" spans="1:18">
      <c r="A803" s="5"/>
      <c r="B803" s="5"/>
      <c r="C803" s="5"/>
      <c r="D803" s="5"/>
      <c r="E803" s="5"/>
      <c r="F803" s="5"/>
      <c r="G803" s="5"/>
      <c r="H803" s="5"/>
      <c r="I803" s="5"/>
      <c r="J803" s="5"/>
      <c r="K803" s="5"/>
      <c r="L803" s="5"/>
      <c r="M803" s="5"/>
      <c r="N803" s="5"/>
      <c r="O803" s="5"/>
      <c r="P803" s="5"/>
      <c r="Q803" s="5"/>
      <c r="R803" s="5"/>
    </row>
    <row r="804" spans="1:18">
      <c r="A804" s="5"/>
      <c r="B804" s="5"/>
      <c r="C804" s="5"/>
      <c r="D804" s="5"/>
      <c r="E804" s="5"/>
      <c r="F804" s="5"/>
      <c r="G804" s="5"/>
      <c r="H804" s="5"/>
      <c r="I804" s="5"/>
      <c r="J804" s="5"/>
      <c r="K804" s="5"/>
      <c r="L804" s="5"/>
      <c r="M804" s="5"/>
      <c r="N804" s="5"/>
      <c r="O804" s="5"/>
      <c r="P804" s="5"/>
      <c r="Q804" s="5"/>
      <c r="R804" s="5"/>
    </row>
    <row r="805" spans="1:18">
      <c r="A805" s="5"/>
      <c r="B805" s="5"/>
      <c r="C805" s="5"/>
      <c r="D805" s="5"/>
      <c r="E805" s="5"/>
      <c r="F805" s="5"/>
      <c r="G805" s="5"/>
      <c r="H805" s="5"/>
      <c r="I805" s="5"/>
      <c r="J805" s="5"/>
      <c r="K805" s="5"/>
      <c r="L805" s="5"/>
      <c r="M805" s="5"/>
      <c r="N805" s="5"/>
      <c r="O805" s="5"/>
      <c r="P805" s="5"/>
      <c r="Q805" s="5"/>
      <c r="R805" s="5"/>
    </row>
    <row r="806" spans="1:18">
      <c r="A806" s="5"/>
      <c r="B806" s="5"/>
      <c r="C806" s="5"/>
      <c r="D806" s="5"/>
      <c r="E806" s="5"/>
      <c r="F806" s="5"/>
      <c r="G806" s="5"/>
      <c r="H806" s="5"/>
      <c r="I806" s="5"/>
      <c r="J806" s="5"/>
      <c r="K806" s="5"/>
      <c r="L806" s="5"/>
      <c r="M806" s="5"/>
      <c r="N806" s="5"/>
      <c r="O806" s="5"/>
      <c r="P806" s="5"/>
      <c r="Q806" s="5"/>
      <c r="R806" s="5"/>
    </row>
    <row r="807" spans="1:18">
      <c r="A807" s="5"/>
      <c r="B807" s="5"/>
      <c r="C807" s="5"/>
      <c r="D807" s="5"/>
      <c r="E807" s="5"/>
      <c r="F807" s="5"/>
      <c r="G807" s="5"/>
      <c r="H807" s="5"/>
      <c r="I807" s="5"/>
      <c r="J807" s="5"/>
      <c r="K807" s="5"/>
      <c r="L807" s="5"/>
      <c r="M807" s="5"/>
      <c r="N807" s="5"/>
      <c r="O807" s="5"/>
      <c r="P807" s="5"/>
      <c r="Q807" s="5"/>
      <c r="R807" s="5"/>
    </row>
    <row r="808" spans="1:18">
      <c r="A808" s="5"/>
      <c r="B808" s="5"/>
      <c r="C808" s="5"/>
      <c r="D808" s="5"/>
      <c r="E808" s="5"/>
      <c r="F808" s="5"/>
      <c r="G808" s="5"/>
      <c r="H808" s="5"/>
      <c r="I808" s="5"/>
      <c r="J808" s="5"/>
      <c r="K808" s="5"/>
      <c r="L808" s="5"/>
      <c r="M808" s="5"/>
      <c r="N808" s="5"/>
      <c r="O808" s="5"/>
      <c r="P808" s="5"/>
      <c r="Q808" s="5"/>
      <c r="R808" s="5"/>
    </row>
    <row r="809" spans="1:18">
      <c r="A809" s="5"/>
      <c r="B809" s="5"/>
      <c r="C809" s="5"/>
      <c r="D809" s="5"/>
      <c r="E809" s="5"/>
      <c r="F809" s="5"/>
      <c r="G809" s="5"/>
      <c r="H809" s="5"/>
      <c r="I809" s="5"/>
      <c r="J809" s="5"/>
      <c r="K809" s="5"/>
      <c r="L809" s="5"/>
      <c r="M809" s="5"/>
      <c r="N809" s="5"/>
      <c r="O809" s="5"/>
      <c r="P809" s="5"/>
      <c r="Q809" s="5"/>
      <c r="R809" s="5"/>
    </row>
    <row r="810" spans="1:18">
      <c r="A810" s="5"/>
      <c r="B810" s="5"/>
      <c r="C810" s="5"/>
      <c r="D810" s="5"/>
      <c r="E810" s="5"/>
      <c r="F810" s="5"/>
      <c r="G810" s="5"/>
      <c r="H810" s="5"/>
      <c r="I810" s="5"/>
      <c r="J810" s="5"/>
      <c r="K810" s="5"/>
      <c r="L810" s="5"/>
      <c r="M810" s="5"/>
      <c r="N810" s="5"/>
      <c r="O810" s="5"/>
      <c r="P810" s="5"/>
      <c r="Q810" s="5"/>
      <c r="R810" s="5"/>
    </row>
    <row r="811" spans="1:18">
      <c r="A811" s="5"/>
      <c r="B811" s="5"/>
      <c r="C811" s="5"/>
      <c r="D811" s="5"/>
      <c r="E811" s="5"/>
      <c r="F811" s="5"/>
      <c r="G811" s="5"/>
      <c r="H811" s="5"/>
      <c r="I811" s="5"/>
      <c r="J811" s="5"/>
      <c r="K811" s="5"/>
      <c r="L811" s="5"/>
      <c r="M811" s="5"/>
      <c r="N811" s="5"/>
      <c r="O811" s="5"/>
      <c r="P811" s="5"/>
      <c r="Q811" s="5"/>
      <c r="R811" s="5"/>
    </row>
    <row r="812" spans="1:18">
      <c r="A812" s="5"/>
      <c r="B812" s="5"/>
      <c r="C812" s="5"/>
      <c r="D812" s="5"/>
      <c r="E812" s="5"/>
      <c r="F812" s="5"/>
      <c r="G812" s="5"/>
      <c r="H812" s="5"/>
      <c r="I812" s="5"/>
      <c r="J812" s="5"/>
      <c r="K812" s="5"/>
      <c r="L812" s="5"/>
      <c r="M812" s="5"/>
      <c r="N812" s="5"/>
      <c r="O812" s="5"/>
      <c r="P812" s="5"/>
      <c r="Q812" s="5"/>
      <c r="R812" s="5"/>
    </row>
    <row r="813" spans="1:18">
      <c r="A813" s="5"/>
      <c r="B813" s="5"/>
      <c r="C813" s="5"/>
      <c r="D813" s="5"/>
      <c r="E813" s="5"/>
      <c r="F813" s="5"/>
      <c r="G813" s="5"/>
      <c r="H813" s="5"/>
      <c r="I813" s="5"/>
      <c r="J813" s="5"/>
      <c r="K813" s="5"/>
      <c r="L813" s="5"/>
      <c r="M813" s="5"/>
      <c r="N813" s="5"/>
      <c r="O813" s="5"/>
      <c r="P813" s="5"/>
      <c r="Q813" s="5"/>
      <c r="R813" s="5"/>
    </row>
    <row r="814" spans="1:18">
      <c r="A814" s="5"/>
      <c r="B814" s="5"/>
      <c r="C814" s="5"/>
      <c r="D814" s="5"/>
      <c r="E814" s="5"/>
      <c r="F814" s="5"/>
      <c r="G814" s="5"/>
      <c r="H814" s="5"/>
      <c r="I814" s="5"/>
      <c r="J814" s="5"/>
      <c r="K814" s="5"/>
      <c r="L814" s="5"/>
      <c r="M814" s="5"/>
      <c r="N814" s="5"/>
      <c r="O814" s="5"/>
      <c r="P814" s="5"/>
      <c r="Q814" s="5"/>
      <c r="R814" s="5"/>
    </row>
    <row r="815" spans="1:18">
      <c r="A815" s="5"/>
      <c r="B815" s="5"/>
      <c r="C815" s="5"/>
      <c r="D815" s="5"/>
      <c r="E815" s="5"/>
      <c r="F815" s="5"/>
      <c r="G815" s="5"/>
      <c r="H815" s="5"/>
      <c r="I815" s="5"/>
      <c r="J815" s="5"/>
      <c r="K815" s="5"/>
      <c r="L815" s="5"/>
      <c r="M815" s="5"/>
      <c r="N815" s="5"/>
      <c r="O815" s="5"/>
      <c r="P815" s="5"/>
      <c r="Q815" s="5"/>
      <c r="R815" s="5"/>
    </row>
    <row r="816" spans="1:18">
      <c r="A816" s="5"/>
      <c r="B816" s="5"/>
      <c r="C816" s="5"/>
      <c r="D816" s="5"/>
      <c r="E816" s="5"/>
      <c r="F816" s="5"/>
      <c r="G816" s="5"/>
      <c r="H816" s="5"/>
      <c r="I816" s="5"/>
      <c r="J816" s="5"/>
      <c r="K816" s="5"/>
      <c r="L816" s="5"/>
      <c r="M816" s="5"/>
      <c r="N816" s="5"/>
      <c r="O816" s="5"/>
      <c r="P816" s="5"/>
      <c r="Q816" s="5"/>
      <c r="R816" s="5"/>
    </row>
    <row r="817" spans="1:18">
      <c r="A817" s="5"/>
      <c r="B817" s="5"/>
      <c r="C817" s="5"/>
      <c r="D817" s="5"/>
      <c r="E817" s="5"/>
      <c r="F817" s="5"/>
      <c r="G817" s="5"/>
      <c r="H817" s="5"/>
      <c r="I817" s="5"/>
      <c r="J817" s="5"/>
      <c r="K817" s="5"/>
      <c r="L817" s="5"/>
      <c r="M817" s="5"/>
      <c r="N817" s="5"/>
      <c r="O817" s="5"/>
      <c r="P817" s="5"/>
      <c r="Q817" s="5"/>
      <c r="R817" s="5"/>
    </row>
    <row r="818" spans="1:18">
      <c r="A818" s="5"/>
      <c r="B818" s="5"/>
      <c r="C818" s="5"/>
      <c r="D818" s="5"/>
      <c r="E818" s="5"/>
      <c r="F818" s="5"/>
      <c r="G818" s="5"/>
      <c r="H818" s="5"/>
      <c r="I818" s="5"/>
      <c r="J818" s="5"/>
      <c r="K818" s="5"/>
      <c r="L818" s="5"/>
      <c r="M818" s="5"/>
      <c r="N818" s="5"/>
      <c r="O818" s="5"/>
      <c r="P818" s="5"/>
      <c r="Q818" s="5"/>
      <c r="R818" s="5"/>
    </row>
    <row r="819" spans="1:18">
      <c r="A819" s="5"/>
      <c r="B819" s="5"/>
      <c r="C819" s="5"/>
      <c r="D819" s="5"/>
      <c r="E819" s="5"/>
      <c r="F819" s="5"/>
      <c r="G819" s="5"/>
      <c r="H819" s="5"/>
      <c r="I819" s="5"/>
      <c r="J819" s="5"/>
      <c r="K819" s="5"/>
      <c r="L819" s="5"/>
      <c r="M819" s="5"/>
      <c r="N819" s="5"/>
      <c r="O819" s="5"/>
      <c r="P819" s="5"/>
      <c r="Q819" s="5"/>
      <c r="R819" s="5"/>
    </row>
    <row r="820" spans="1:18">
      <c r="A820" s="5"/>
      <c r="B820" s="5"/>
      <c r="C820" s="5"/>
      <c r="D820" s="5"/>
      <c r="E820" s="5"/>
      <c r="F820" s="5"/>
      <c r="G820" s="5"/>
      <c r="H820" s="5"/>
      <c r="I820" s="5"/>
      <c r="J820" s="5"/>
      <c r="K820" s="5"/>
      <c r="L820" s="5"/>
      <c r="M820" s="5"/>
      <c r="N820" s="5"/>
      <c r="O820" s="5"/>
      <c r="P820" s="5"/>
      <c r="Q820" s="5"/>
      <c r="R820" s="5"/>
    </row>
    <row r="821" spans="1:18">
      <c r="A821" s="5"/>
      <c r="B821" s="5"/>
      <c r="C821" s="5"/>
      <c r="D821" s="5"/>
      <c r="E821" s="5"/>
      <c r="F821" s="5"/>
      <c r="G821" s="5"/>
      <c r="H821" s="5"/>
      <c r="I821" s="5"/>
      <c r="J821" s="5"/>
      <c r="K821" s="5"/>
      <c r="L821" s="5"/>
      <c r="M821" s="5"/>
      <c r="N821" s="5"/>
      <c r="O821" s="5"/>
      <c r="P821" s="5"/>
      <c r="Q821" s="5"/>
      <c r="R821" s="5"/>
    </row>
    <row r="822" spans="1:18">
      <c r="A822" s="5"/>
      <c r="B822" s="5"/>
      <c r="C822" s="5"/>
      <c r="D822" s="5"/>
      <c r="E822" s="5"/>
      <c r="F822" s="5"/>
      <c r="G822" s="5"/>
      <c r="H822" s="5"/>
      <c r="I822" s="5"/>
      <c r="J822" s="5"/>
      <c r="K822" s="5"/>
      <c r="L822" s="5"/>
      <c r="M822" s="5"/>
      <c r="N822" s="5"/>
      <c r="O822" s="5"/>
      <c r="P822" s="5"/>
      <c r="Q822" s="5"/>
      <c r="R822" s="5"/>
    </row>
    <row r="823" spans="1:18">
      <c r="A823" s="5"/>
      <c r="B823" s="5"/>
      <c r="C823" s="5"/>
      <c r="D823" s="5"/>
      <c r="E823" s="5"/>
      <c r="F823" s="5"/>
      <c r="G823" s="5"/>
      <c r="H823" s="5"/>
      <c r="I823" s="5"/>
      <c r="J823" s="5"/>
      <c r="K823" s="5"/>
      <c r="L823" s="5"/>
      <c r="M823" s="5"/>
      <c r="N823" s="5"/>
      <c r="O823" s="5"/>
      <c r="P823" s="5"/>
      <c r="Q823" s="5"/>
      <c r="R823" s="5"/>
    </row>
    <row r="824" spans="1:18">
      <c r="A824" s="5"/>
      <c r="B824" s="5"/>
      <c r="C824" s="5"/>
      <c r="D824" s="5"/>
      <c r="E824" s="5"/>
      <c r="F824" s="5"/>
      <c r="G824" s="5"/>
      <c r="H824" s="5"/>
      <c r="I824" s="5"/>
      <c r="J824" s="5"/>
      <c r="K824" s="5"/>
      <c r="L824" s="5"/>
      <c r="M824" s="5"/>
      <c r="N824" s="5"/>
      <c r="O824" s="5"/>
      <c r="P824" s="5"/>
      <c r="Q824" s="5"/>
      <c r="R824" s="5"/>
    </row>
    <row r="825" spans="1:18">
      <c r="A825" s="5"/>
      <c r="B825" s="5"/>
      <c r="C825" s="5"/>
      <c r="D825" s="5"/>
      <c r="E825" s="5"/>
      <c r="F825" s="5"/>
      <c r="G825" s="5"/>
      <c r="H825" s="5"/>
      <c r="I825" s="5"/>
      <c r="J825" s="5"/>
      <c r="K825" s="5"/>
      <c r="L825" s="5"/>
      <c r="M825" s="5"/>
      <c r="N825" s="5"/>
      <c r="O825" s="5"/>
      <c r="P825" s="5"/>
      <c r="Q825" s="5"/>
      <c r="R825" s="5"/>
    </row>
    <row r="826" spans="1:18">
      <c r="A826" s="5"/>
      <c r="B826" s="5"/>
      <c r="C826" s="5"/>
      <c r="D826" s="5"/>
      <c r="E826" s="5"/>
      <c r="F826" s="5"/>
      <c r="G826" s="5"/>
      <c r="H826" s="5"/>
      <c r="I826" s="5"/>
      <c r="J826" s="5"/>
      <c r="K826" s="5"/>
      <c r="L826" s="5"/>
      <c r="M826" s="5"/>
      <c r="N826" s="5"/>
      <c r="O826" s="5"/>
      <c r="P826" s="5"/>
      <c r="Q826" s="5"/>
      <c r="R826" s="5"/>
    </row>
    <row r="827" spans="1:18">
      <c r="A827" s="5"/>
      <c r="B827" s="5"/>
      <c r="C827" s="5"/>
      <c r="D827" s="5"/>
      <c r="E827" s="5"/>
      <c r="F827" s="5"/>
      <c r="G827" s="5"/>
      <c r="H827" s="5"/>
      <c r="I827" s="5"/>
      <c r="J827" s="5"/>
      <c r="K827" s="5"/>
      <c r="L827" s="5"/>
      <c r="M827" s="5"/>
      <c r="N827" s="5"/>
      <c r="O827" s="5"/>
      <c r="P827" s="5"/>
      <c r="Q827" s="5"/>
      <c r="R827" s="5"/>
    </row>
    <row r="828" spans="1:18">
      <c r="A828" s="5"/>
      <c r="B828" s="5"/>
      <c r="C828" s="5"/>
      <c r="D828" s="5"/>
      <c r="E828" s="5"/>
      <c r="F828" s="5"/>
      <c r="G828" s="5"/>
      <c r="H828" s="5"/>
      <c r="I828" s="5"/>
      <c r="J828" s="5"/>
      <c r="K828" s="5"/>
      <c r="L828" s="5"/>
      <c r="M828" s="5"/>
      <c r="N828" s="5"/>
      <c r="O828" s="5"/>
      <c r="P828" s="5"/>
      <c r="Q828" s="5"/>
      <c r="R828" s="5"/>
    </row>
    <row r="829" spans="1:18">
      <c r="A829" s="5"/>
      <c r="B829" s="5"/>
      <c r="C829" s="5"/>
      <c r="D829" s="5"/>
      <c r="E829" s="5"/>
      <c r="F829" s="5"/>
      <c r="G829" s="5"/>
      <c r="H829" s="5"/>
      <c r="I829" s="5"/>
      <c r="J829" s="5"/>
      <c r="K829" s="5"/>
      <c r="L829" s="5"/>
      <c r="M829" s="5"/>
      <c r="N829" s="5"/>
      <c r="O829" s="5"/>
      <c r="P829" s="5"/>
      <c r="Q829" s="5"/>
      <c r="R829" s="5"/>
    </row>
    <row r="830" spans="1:18">
      <c r="A830" s="5"/>
      <c r="B830" s="5"/>
      <c r="C830" s="5"/>
      <c r="D830" s="5"/>
      <c r="E830" s="5"/>
      <c r="F830" s="5"/>
      <c r="G830" s="5"/>
      <c r="H830" s="5"/>
      <c r="I830" s="5"/>
      <c r="J830" s="5"/>
      <c r="K830" s="5"/>
      <c r="L830" s="5"/>
      <c r="M830" s="5"/>
      <c r="N830" s="5"/>
      <c r="O830" s="5"/>
      <c r="P830" s="5"/>
      <c r="Q830" s="5"/>
      <c r="R830" s="5"/>
    </row>
    <row r="831" spans="1:18">
      <c r="A831" s="5"/>
      <c r="B831" s="5"/>
      <c r="C831" s="5"/>
      <c r="D831" s="5"/>
      <c r="E831" s="5"/>
      <c r="F831" s="5"/>
      <c r="G831" s="5"/>
      <c r="H831" s="5"/>
      <c r="I831" s="5"/>
      <c r="J831" s="5"/>
      <c r="K831" s="5"/>
      <c r="L831" s="5"/>
      <c r="M831" s="5"/>
      <c r="N831" s="5"/>
      <c r="O831" s="5"/>
      <c r="P831" s="5"/>
      <c r="Q831" s="5"/>
      <c r="R831" s="5"/>
    </row>
    <row r="832" spans="1:18">
      <c r="A832" s="5"/>
      <c r="B832" s="5"/>
      <c r="C832" s="5"/>
      <c r="D832" s="5"/>
      <c r="E832" s="5"/>
      <c r="F832" s="5"/>
      <c r="G832" s="5"/>
      <c r="H832" s="5"/>
      <c r="I832" s="5"/>
      <c r="J832" s="5"/>
      <c r="K832" s="5"/>
      <c r="L832" s="5"/>
      <c r="M832" s="5"/>
      <c r="N832" s="5"/>
      <c r="O832" s="5"/>
      <c r="P832" s="5"/>
      <c r="Q832" s="5"/>
      <c r="R832" s="5"/>
    </row>
    <row r="833" spans="1:18">
      <c r="A833" s="5"/>
      <c r="B833" s="5"/>
      <c r="C833" s="5"/>
      <c r="D833" s="5"/>
      <c r="E833" s="5"/>
      <c r="F833" s="5"/>
      <c r="G833" s="5"/>
      <c r="H833" s="5"/>
      <c r="I833" s="5"/>
      <c r="J833" s="5"/>
      <c r="K833" s="5"/>
      <c r="L833" s="5"/>
      <c r="M833" s="5"/>
      <c r="N833" s="5"/>
      <c r="O833" s="5"/>
      <c r="P833" s="5"/>
      <c r="Q833" s="5"/>
      <c r="R833" s="5"/>
    </row>
    <row r="834" spans="1:18">
      <c r="A834" s="5"/>
      <c r="B834" s="5"/>
      <c r="C834" s="5"/>
      <c r="D834" s="5"/>
      <c r="E834" s="5"/>
      <c r="F834" s="5"/>
      <c r="G834" s="5"/>
      <c r="H834" s="5"/>
      <c r="I834" s="5"/>
      <c r="J834" s="5"/>
      <c r="K834" s="5"/>
      <c r="L834" s="5"/>
      <c r="M834" s="5"/>
      <c r="N834" s="5"/>
      <c r="O834" s="5"/>
      <c r="P834" s="5"/>
      <c r="Q834" s="5"/>
      <c r="R834" s="5"/>
    </row>
    <row r="835" spans="1:18">
      <c r="A835" s="5"/>
      <c r="B835" s="5"/>
      <c r="C835" s="5"/>
      <c r="D835" s="5"/>
      <c r="E835" s="5"/>
      <c r="F835" s="5"/>
      <c r="G835" s="5"/>
      <c r="H835" s="5"/>
      <c r="I835" s="5"/>
      <c r="J835" s="5"/>
      <c r="K835" s="5"/>
      <c r="L835" s="5"/>
      <c r="M835" s="5"/>
      <c r="N835" s="5"/>
      <c r="O835" s="5"/>
      <c r="P835" s="5"/>
      <c r="Q835" s="5"/>
      <c r="R835" s="5"/>
    </row>
    <row r="836" spans="1:18">
      <c r="A836" s="5"/>
      <c r="B836" s="5"/>
      <c r="C836" s="5"/>
      <c r="D836" s="5"/>
      <c r="E836" s="5"/>
      <c r="F836" s="5"/>
      <c r="G836" s="5"/>
      <c r="H836" s="5"/>
      <c r="I836" s="5"/>
      <c r="J836" s="5"/>
      <c r="K836" s="5"/>
      <c r="L836" s="5"/>
      <c r="M836" s="5"/>
      <c r="N836" s="5"/>
      <c r="O836" s="5"/>
      <c r="P836" s="5"/>
      <c r="Q836" s="5"/>
      <c r="R836" s="5"/>
    </row>
    <row r="837" spans="1:18">
      <c r="A837" s="5"/>
      <c r="B837" s="5"/>
      <c r="C837" s="5"/>
      <c r="D837" s="5"/>
      <c r="E837" s="5"/>
      <c r="F837" s="5"/>
      <c r="G837" s="5"/>
      <c r="H837" s="5"/>
      <c r="I837" s="5"/>
      <c r="J837" s="5"/>
      <c r="K837" s="5"/>
      <c r="L837" s="5"/>
      <c r="M837" s="5"/>
      <c r="N837" s="5"/>
      <c r="O837" s="5"/>
      <c r="P837" s="5"/>
      <c r="Q837" s="5"/>
      <c r="R837" s="5"/>
    </row>
    <row r="838" spans="1:18">
      <c r="A838" s="5"/>
      <c r="B838" s="5"/>
      <c r="C838" s="5"/>
      <c r="D838" s="5"/>
      <c r="E838" s="5"/>
      <c r="F838" s="5"/>
      <c r="G838" s="5"/>
      <c r="H838" s="5"/>
      <c r="I838" s="5"/>
      <c r="J838" s="5"/>
      <c r="K838" s="5"/>
      <c r="L838" s="5"/>
      <c r="M838" s="5"/>
      <c r="N838" s="5"/>
      <c r="O838" s="5"/>
      <c r="P838" s="5"/>
      <c r="Q838" s="5"/>
      <c r="R838" s="5"/>
    </row>
    <row r="839" spans="1:18">
      <c r="A839" s="5"/>
      <c r="B839" s="5"/>
      <c r="C839" s="5"/>
      <c r="D839" s="5"/>
      <c r="E839" s="5"/>
      <c r="F839" s="5"/>
      <c r="G839" s="5"/>
      <c r="H839" s="5"/>
      <c r="I839" s="5"/>
      <c r="J839" s="5"/>
      <c r="K839" s="5"/>
      <c r="L839" s="5"/>
      <c r="M839" s="5"/>
      <c r="N839" s="5"/>
      <c r="O839" s="5"/>
      <c r="P839" s="5"/>
      <c r="Q839" s="5"/>
      <c r="R839" s="5"/>
    </row>
    <row r="840" spans="1:18">
      <c r="A840" s="5"/>
      <c r="B840" s="5"/>
      <c r="C840" s="5"/>
      <c r="D840" s="5"/>
      <c r="E840" s="5"/>
      <c r="F840" s="5"/>
      <c r="G840" s="5"/>
      <c r="H840" s="5"/>
      <c r="I840" s="5"/>
      <c r="J840" s="5"/>
      <c r="K840" s="5"/>
      <c r="L840" s="5"/>
      <c r="M840" s="5"/>
      <c r="N840" s="5"/>
      <c r="O840" s="5"/>
      <c r="P840" s="5"/>
      <c r="Q840" s="5"/>
      <c r="R840" s="5"/>
    </row>
    <row r="841" spans="1:18">
      <c r="A841" s="5"/>
      <c r="B841" s="5"/>
      <c r="C841" s="5"/>
      <c r="D841" s="5"/>
      <c r="E841" s="5"/>
      <c r="F841" s="5"/>
      <c r="G841" s="5"/>
      <c r="H841" s="5"/>
      <c r="I841" s="5"/>
      <c r="J841" s="5"/>
      <c r="K841" s="5"/>
      <c r="L841" s="5"/>
      <c r="M841" s="5"/>
      <c r="N841" s="5"/>
      <c r="O841" s="5"/>
      <c r="P841" s="5"/>
      <c r="Q841" s="5"/>
      <c r="R841" s="5"/>
    </row>
    <row r="842" spans="1:18">
      <c r="A842" s="5"/>
      <c r="B842" s="5"/>
      <c r="C842" s="5"/>
      <c r="D842" s="5"/>
      <c r="E842" s="5"/>
      <c r="F842" s="5"/>
      <c r="G842" s="5"/>
      <c r="H842" s="5"/>
      <c r="I842" s="5"/>
      <c r="J842" s="5"/>
      <c r="K842" s="5"/>
      <c r="L842" s="5"/>
      <c r="M842" s="5"/>
      <c r="N842" s="5"/>
      <c r="O842" s="5"/>
      <c r="P842" s="5"/>
      <c r="Q842" s="5"/>
      <c r="R842" s="5"/>
    </row>
    <row r="843" spans="1:18">
      <c r="A843" s="5"/>
      <c r="B843" s="5"/>
      <c r="C843" s="5"/>
      <c r="D843" s="5"/>
      <c r="E843" s="5"/>
      <c r="F843" s="5"/>
      <c r="G843" s="5"/>
      <c r="H843" s="5"/>
      <c r="I843" s="5"/>
      <c r="J843" s="5"/>
      <c r="K843" s="5"/>
      <c r="L843" s="5"/>
      <c r="M843" s="5"/>
      <c r="N843" s="5"/>
      <c r="O843" s="5"/>
      <c r="P843" s="5"/>
      <c r="Q843" s="5"/>
      <c r="R843" s="5"/>
    </row>
    <row r="844" spans="1:18">
      <c r="A844" s="5"/>
      <c r="B844" s="5"/>
      <c r="C844" s="5"/>
      <c r="D844" s="5"/>
      <c r="E844" s="5"/>
      <c r="F844" s="5"/>
      <c r="G844" s="5"/>
      <c r="H844" s="5"/>
      <c r="I844" s="5"/>
      <c r="J844" s="5"/>
      <c r="K844" s="5"/>
      <c r="L844" s="5"/>
      <c r="M844" s="5"/>
      <c r="N844" s="5"/>
      <c r="O844" s="5"/>
      <c r="P844" s="5"/>
      <c r="Q844" s="5"/>
      <c r="R844" s="5"/>
    </row>
    <row r="845" spans="1:18">
      <c r="A845" s="5"/>
      <c r="B845" s="5"/>
      <c r="C845" s="5"/>
      <c r="D845" s="5"/>
      <c r="E845" s="5"/>
      <c r="F845" s="5"/>
      <c r="G845" s="5"/>
      <c r="H845" s="5"/>
      <c r="I845" s="5"/>
      <c r="J845" s="5"/>
      <c r="K845" s="5"/>
      <c r="L845" s="5"/>
      <c r="M845" s="5"/>
      <c r="N845" s="5"/>
      <c r="O845" s="5"/>
      <c r="P845" s="5"/>
      <c r="Q845" s="5"/>
      <c r="R845" s="5"/>
    </row>
    <row r="846" spans="1:18">
      <c r="A846" s="5"/>
      <c r="B846" s="5"/>
      <c r="C846" s="5"/>
      <c r="D846" s="5"/>
      <c r="E846" s="5"/>
      <c r="F846" s="5"/>
      <c r="G846" s="5"/>
      <c r="H846" s="5"/>
      <c r="I846" s="5"/>
      <c r="J846" s="5"/>
      <c r="K846" s="5"/>
      <c r="L846" s="5"/>
      <c r="M846" s="5"/>
      <c r="N846" s="5"/>
      <c r="O846" s="5"/>
      <c r="P846" s="5"/>
      <c r="Q846" s="5"/>
      <c r="R846" s="5"/>
    </row>
    <row r="847" spans="1:18">
      <c r="A847" s="5"/>
      <c r="B847" s="5"/>
      <c r="C847" s="5"/>
      <c r="D847" s="5"/>
      <c r="E847" s="5"/>
      <c r="F847" s="5"/>
      <c r="G847" s="5"/>
      <c r="H847" s="5"/>
      <c r="I847" s="5"/>
      <c r="J847" s="5"/>
      <c r="K847" s="5"/>
      <c r="L847" s="5"/>
      <c r="M847" s="5"/>
      <c r="N847" s="5"/>
      <c r="O847" s="5"/>
      <c r="P847" s="5"/>
      <c r="Q847" s="5"/>
      <c r="R847" s="5"/>
    </row>
    <row r="848" spans="1:18">
      <c r="A848" s="5"/>
      <c r="B848" s="5"/>
      <c r="C848" s="5"/>
      <c r="D848" s="5"/>
      <c r="E848" s="5"/>
      <c r="F848" s="5"/>
      <c r="G848" s="5"/>
      <c r="H848" s="5"/>
      <c r="I848" s="5"/>
      <c r="J848" s="5"/>
      <c r="K848" s="5"/>
      <c r="L848" s="5"/>
      <c r="M848" s="5"/>
      <c r="N848" s="5"/>
      <c r="O848" s="5"/>
      <c r="P848" s="5"/>
      <c r="Q848" s="5"/>
      <c r="R848" s="5"/>
    </row>
    <row r="849" spans="1:18">
      <c r="A849" s="5"/>
      <c r="B849" s="5"/>
      <c r="C849" s="5"/>
      <c r="D849" s="5"/>
      <c r="E849" s="5"/>
      <c r="F849" s="5"/>
      <c r="G849" s="5"/>
      <c r="H849" s="5"/>
      <c r="I849" s="5"/>
      <c r="J849" s="5"/>
      <c r="K849" s="5"/>
      <c r="L849" s="5"/>
      <c r="M849" s="5"/>
      <c r="N849" s="5"/>
      <c r="O849" s="5"/>
      <c r="P849" s="5"/>
      <c r="Q849" s="5"/>
      <c r="R849" s="5"/>
    </row>
    <row r="850" spans="1:18">
      <c r="A850" s="5"/>
      <c r="B850" s="5"/>
      <c r="C850" s="5"/>
      <c r="D850" s="5"/>
      <c r="E850" s="5"/>
      <c r="F850" s="5"/>
      <c r="G850" s="5"/>
      <c r="H850" s="5"/>
      <c r="I850" s="5"/>
      <c r="J850" s="5"/>
      <c r="K850" s="5"/>
      <c r="L850" s="5"/>
      <c r="M850" s="5"/>
      <c r="N850" s="5"/>
      <c r="O850" s="5"/>
      <c r="P850" s="5"/>
      <c r="Q850" s="5"/>
      <c r="R850" s="5"/>
    </row>
    <row r="851" spans="1:18">
      <c r="A851" s="5"/>
      <c r="B851" s="5"/>
      <c r="C851" s="5"/>
      <c r="D851" s="5"/>
      <c r="E851" s="5"/>
      <c r="F851" s="5"/>
      <c r="G851" s="5"/>
      <c r="H851" s="5"/>
      <c r="I851" s="5"/>
      <c r="J851" s="5"/>
      <c r="K851" s="5"/>
      <c r="L851" s="5"/>
      <c r="M851" s="5"/>
      <c r="N851" s="5"/>
      <c r="O851" s="5"/>
      <c r="P851" s="5"/>
      <c r="Q851" s="5"/>
      <c r="R851" s="5"/>
    </row>
    <row r="852" spans="1:18">
      <c r="A852" s="5"/>
      <c r="B852" s="5"/>
      <c r="C852" s="5"/>
      <c r="D852" s="5"/>
      <c r="E852" s="5"/>
      <c r="F852" s="5"/>
      <c r="G852" s="5"/>
      <c r="H852" s="5"/>
      <c r="I852" s="5"/>
      <c r="J852" s="5"/>
      <c r="K852" s="5"/>
      <c r="L852" s="5"/>
      <c r="M852" s="5"/>
      <c r="N852" s="5"/>
      <c r="O852" s="5"/>
      <c r="P852" s="5"/>
      <c r="Q852" s="5"/>
      <c r="R852" s="5"/>
    </row>
    <row r="853" spans="1:18">
      <c r="A853" s="5"/>
      <c r="B853" s="5"/>
      <c r="C853" s="5"/>
      <c r="D853" s="5"/>
      <c r="E853" s="5"/>
      <c r="F853" s="5"/>
      <c r="G853" s="5"/>
      <c r="H853" s="5"/>
      <c r="I853" s="5"/>
      <c r="J853" s="5"/>
      <c r="K853" s="5"/>
      <c r="L853" s="5"/>
      <c r="M853" s="5"/>
      <c r="N853" s="5"/>
      <c r="O853" s="5"/>
      <c r="P853" s="5"/>
      <c r="Q853" s="5"/>
      <c r="R853" s="5"/>
    </row>
    <row r="854" spans="1:18">
      <c r="A854" s="5"/>
      <c r="B854" s="5"/>
      <c r="C854" s="5"/>
      <c r="D854" s="5"/>
      <c r="E854" s="5"/>
      <c r="F854" s="5"/>
      <c r="G854" s="5"/>
      <c r="H854" s="5"/>
      <c r="I854" s="5"/>
      <c r="J854" s="5"/>
      <c r="K854" s="5"/>
      <c r="L854" s="5"/>
      <c r="M854" s="5"/>
      <c r="N854" s="5"/>
      <c r="O854" s="5"/>
      <c r="P854" s="5"/>
      <c r="Q854" s="5"/>
      <c r="R854" s="5"/>
    </row>
    <row r="855" spans="1:18">
      <c r="A855" s="5"/>
      <c r="B855" s="5"/>
      <c r="C855" s="5"/>
      <c r="D855" s="5"/>
      <c r="E855" s="5"/>
      <c r="F855" s="5"/>
      <c r="G855" s="5"/>
      <c r="H855" s="5"/>
      <c r="I855" s="5"/>
      <c r="J855" s="5"/>
      <c r="K855" s="5"/>
      <c r="L855" s="5"/>
      <c r="M855" s="5"/>
      <c r="N855" s="5"/>
      <c r="O855" s="5"/>
      <c r="P855" s="5"/>
      <c r="Q855" s="5"/>
      <c r="R855" s="5"/>
    </row>
    <row r="856" spans="1:18">
      <c r="A856" s="5"/>
      <c r="B856" s="5"/>
      <c r="C856" s="5"/>
      <c r="D856" s="5"/>
      <c r="E856" s="5"/>
      <c r="F856" s="5"/>
      <c r="G856" s="5"/>
      <c r="H856" s="5"/>
      <c r="I856" s="5"/>
      <c r="J856" s="5"/>
      <c r="K856" s="5"/>
      <c r="L856" s="5"/>
      <c r="M856" s="5"/>
      <c r="N856" s="5"/>
      <c r="O856" s="5"/>
      <c r="P856" s="5"/>
      <c r="Q856" s="5"/>
      <c r="R856" s="5"/>
    </row>
    <row r="857" spans="1:18">
      <c r="A857" s="5"/>
      <c r="B857" s="5"/>
      <c r="C857" s="5"/>
      <c r="D857" s="5"/>
      <c r="E857" s="5"/>
      <c r="F857" s="5"/>
      <c r="G857" s="5"/>
      <c r="H857" s="5"/>
      <c r="I857" s="5"/>
      <c r="J857" s="5"/>
      <c r="K857" s="5"/>
      <c r="L857" s="5"/>
      <c r="M857" s="5"/>
      <c r="N857" s="5"/>
      <c r="O857" s="5"/>
      <c r="P857" s="5"/>
      <c r="Q857" s="5"/>
      <c r="R857" s="5"/>
    </row>
    <row r="858" spans="1:18">
      <c r="A858" s="5"/>
      <c r="B858" s="5"/>
      <c r="C858" s="5"/>
      <c r="D858" s="5"/>
      <c r="E858" s="5"/>
      <c r="F858" s="5"/>
      <c r="G858" s="5"/>
      <c r="H858" s="5"/>
      <c r="I858" s="5"/>
      <c r="J858" s="5"/>
      <c r="K858" s="5"/>
      <c r="L858" s="5"/>
      <c r="M858" s="5"/>
      <c r="N858" s="5"/>
      <c r="O858" s="5"/>
      <c r="P858" s="5"/>
      <c r="Q858" s="5"/>
      <c r="R858" s="5"/>
    </row>
    <row r="859" spans="1:18">
      <c r="A859" s="5"/>
      <c r="B859" s="5"/>
      <c r="C859" s="5"/>
      <c r="D859" s="5"/>
      <c r="E859" s="5"/>
      <c r="F859" s="5"/>
      <c r="G859" s="5"/>
      <c r="H859" s="5"/>
      <c r="I859" s="5"/>
      <c r="J859" s="5"/>
      <c r="K859" s="5"/>
      <c r="L859" s="5"/>
      <c r="M859" s="5"/>
      <c r="N859" s="5"/>
      <c r="O859" s="5"/>
      <c r="P859" s="5"/>
      <c r="Q859" s="5"/>
      <c r="R859" s="5"/>
    </row>
    <row r="860" spans="1:18">
      <c r="A860" s="5"/>
      <c r="B860" s="5"/>
      <c r="C860" s="5"/>
      <c r="D860" s="5"/>
      <c r="E860" s="5"/>
      <c r="F860" s="5"/>
      <c r="G860" s="5"/>
      <c r="H860" s="5"/>
      <c r="I860" s="5"/>
      <c r="J860" s="5"/>
      <c r="K860" s="5"/>
      <c r="L860" s="5"/>
      <c r="M860" s="5"/>
      <c r="N860" s="5"/>
      <c r="O860" s="5"/>
      <c r="P860" s="5"/>
      <c r="Q860" s="5"/>
      <c r="R860" s="5"/>
    </row>
    <row r="861" spans="1:18">
      <c r="A861" s="5"/>
      <c r="B861" s="5"/>
      <c r="C861" s="5"/>
      <c r="D861" s="5"/>
      <c r="E861" s="5"/>
      <c r="F861" s="5"/>
      <c r="G861" s="5"/>
      <c r="H861" s="5"/>
      <c r="I861" s="5"/>
      <c r="J861" s="5"/>
      <c r="K861" s="5"/>
      <c r="L861" s="5"/>
      <c r="M861" s="5"/>
      <c r="N861" s="5"/>
      <c r="O861" s="5"/>
      <c r="P861" s="5"/>
      <c r="Q861" s="5"/>
      <c r="R861" s="5"/>
    </row>
    <row r="862" spans="1:18">
      <c r="A862" s="5"/>
      <c r="B862" s="5"/>
      <c r="C862" s="5"/>
      <c r="D862" s="5"/>
      <c r="E862" s="5"/>
      <c r="F862" s="5"/>
      <c r="G862" s="5"/>
      <c r="H862" s="5"/>
      <c r="I862" s="5"/>
      <c r="J862" s="5"/>
      <c r="K862" s="5"/>
      <c r="L862" s="5"/>
      <c r="M862" s="5"/>
      <c r="N862" s="5"/>
      <c r="O862" s="5"/>
      <c r="P862" s="5"/>
      <c r="Q862" s="5"/>
      <c r="R862" s="5"/>
    </row>
    <row r="863" spans="1:18">
      <c r="A863" s="5"/>
      <c r="B863" s="5"/>
      <c r="C863" s="5"/>
      <c r="D863" s="5"/>
      <c r="E863" s="5"/>
      <c r="F863" s="5"/>
      <c r="G863" s="5"/>
      <c r="H863" s="5"/>
      <c r="I863" s="5"/>
      <c r="J863" s="5"/>
      <c r="K863" s="5"/>
      <c r="L863" s="5"/>
      <c r="M863" s="5"/>
      <c r="N863" s="5"/>
      <c r="O863" s="5"/>
      <c r="P863" s="5"/>
      <c r="Q863" s="5"/>
      <c r="R863" s="5"/>
    </row>
    <row r="864" spans="1:18">
      <c r="A864" s="5"/>
      <c r="B864" s="5"/>
      <c r="C864" s="5"/>
      <c r="D864" s="5"/>
      <c r="E864" s="5"/>
      <c r="F864" s="5"/>
      <c r="G864" s="5"/>
      <c r="H864" s="5"/>
      <c r="I864" s="5"/>
      <c r="J864" s="5"/>
      <c r="K864" s="5"/>
      <c r="L864" s="5"/>
      <c r="M864" s="5"/>
      <c r="N864" s="5"/>
      <c r="O864" s="5"/>
      <c r="P864" s="5"/>
      <c r="Q864" s="5"/>
      <c r="R864" s="5"/>
    </row>
    <row r="865" spans="1:18">
      <c r="A865" s="5"/>
      <c r="B865" s="5"/>
      <c r="C865" s="5"/>
      <c r="D865" s="5"/>
      <c r="E865" s="5"/>
      <c r="F865" s="5"/>
      <c r="G865" s="5"/>
      <c r="H865" s="5"/>
      <c r="I865" s="5"/>
      <c r="J865" s="5"/>
      <c r="K865" s="5"/>
      <c r="L865" s="5"/>
      <c r="M865" s="5"/>
      <c r="N865" s="5"/>
      <c r="O865" s="5"/>
      <c r="P865" s="5"/>
      <c r="Q865" s="5"/>
      <c r="R865" s="5"/>
    </row>
    <row r="866" spans="1:18">
      <c r="A866" s="5"/>
      <c r="B866" s="5"/>
      <c r="C866" s="5"/>
      <c r="D866" s="5"/>
      <c r="E866" s="5"/>
      <c r="F866" s="5"/>
      <c r="G866" s="5"/>
      <c r="H866" s="5"/>
      <c r="I866" s="5"/>
      <c r="J866" s="5"/>
      <c r="K866" s="5"/>
      <c r="L866" s="5"/>
      <c r="M866" s="5"/>
      <c r="N866" s="5"/>
      <c r="O866" s="5"/>
      <c r="P866" s="5"/>
      <c r="Q866" s="5"/>
      <c r="R866" s="5"/>
    </row>
    <row r="867" spans="1:18">
      <c r="A867" s="5"/>
      <c r="B867" s="5"/>
      <c r="C867" s="5"/>
      <c r="D867" s="5"/>
      <c r="E867" s="5"/>
      <c r="F867" s="5"/>
      <c r="G867" s="5"/>
      <c r="H867" s="5"/>
      <c r="I867" s="5"/>
      <c r="J867" s="5"/>
      <c r="K867" s="5"/>
      <c r="L867" s="5"/>
      <c r="M867" s="5"/>
      <c r="N867" s="5"/>
      <c r="O867" s="5"/>
      <c r="P867" s="5"/>
      <c r="Q867" s="5"/>
      <c r="R867" s="5"/>
    </row>
    <row r="868" spans="1:18">
      <c r="A868" s="5"/>
      <c r="B868" s="5"/>
      <c r="C868" s="5"/>
      <c r="D868" s="5"/>
      <c r="E868" s="5"/>
      <c r="F868" s="5"/>
      <c r="G868" s="5"/>
      <c r="H868" s="5"/>
      <c r="I868" s="5"/>
      <c r="J868" s="5"/>
      <c r="K868" s="5"/>
      <c r="L868" s="5"/>
      <c r="M868" s="5"/>
      <c r="N868" s="5"/>
      <c r="O868" s="5"/>
      <c r="P868" s="5"/>
      <c r="Q868" s="5"/>
      <c r="R868" s="5"/>
    </row>
    <row r="869" spans="1:18">
      <c r="A869" s="5"/>
      <c r="B869" s="5"/>
      <c r="C869" s="5"/>
      <c r="D869" s="5"/>
      <c r="E869" s="5"/>
      <c r="F869" s="5"/>
      <c r="G869" s="5"/>
      <c r="H869" s="5"/>
      <c r="I869" s="5"/>
      <c r="J869" s="5"/>
      <c r="K869" s="5"/>
      <c r="L869" s="5"/>
      <c r="M869" s="5"/>
      <c r="N869" s="5"/>
      <c r="O869" s="5"/>
      <c r="P869" s="5"/>
      <c r="Q869" s="5"/>
      <c r="R869" s="5"/>
    </row>
    <row r="870" spans="1:18">
      <c r="A870" s="5"/>
      <c r="B870" s="5"/>
      <c r="C870" s="5"/>
      <c r="D870" s="5"/>
      <c r="E870" s="5"/>
      <c r="F870" s="5"/>
      <c r="G870" s="5"/>
      <c r="H870" s="5"/>
      <c r="I870" s="5"/>
      <c r="J870" s="5"/>
      <c r="K870" s="5"/>
      <c r="L870" s="5"/>
      <c r="M870" s="5"/>
      <c r="N870" s="5"/>
      <c r="O870" s="5"/>
      <c r="P870" s="5"/>
      <c r="Q870" s="5"/>
      <c r="R870" s="5"/>
    </row>
    <row r="871" spans="1:18">
      <c r="A871" s="5"/>
      <c r="B871" s="5"/>
      <c r="C871" s="5"/>
      <c r="D871" s="5"/>
      <c r="E871" s="5"/>
      <c r="F871" s="5"/>
      <c r="G871" s="5"/>
      <c r="H871" s="5"/>
      <c r="I871" s="5"/>
      <c r="J871" s="5"/>
      <c r="K871" s="5"/>
      <c r="L871" s="5"/>
      <c r="M871" s="5"/>
      <c r="N871" s="5"/>
      <c r="O871" s="5"/>
      <c r="P871" s="5"/>
      <c r="Q871" s="5"/>
      <c r="R871" s="5"/>
    </row>
    <row r="872" spans="1:18">
      <c r="A872" s="5"/>
      <c r="B872" s="5"/>
      <c r="C872" s="5"/>
      <c r="D872" s="5"/>
      <c r="E872" s="5"/>
      <c r="F872" s="5"/>
      <c r="G872" s="5"/>
      <c r="H872" s="5"/>
      <c r="I872" s="5"/>
      <c r="J872" s="5"/>
      <c r="K872" s="5"/>
      <c r="L872" s="5"/>
      <c r="M872" s="5"/>
      <c r="N872" s="5"/>
      <c r="O872" s="5"/>
      <c r="P872" s="5"/>
      <c r="Q872" s="5"/>
      <c r="R872" s="5"/>
    </row>
    <row r="873" spans="1:18">
      <c r="A873" s="5"/>
      <c r="B873" s="5"/>
      <c r="C873" s="5"/>
      <c r="D873" s="5"/>
      <c r="E873" s="5"/>
      <c r="F873" s="5"/>
      <c r="G873" s="5"/>
      <c r="H873" s="5"/>
      <c r="I873" s="5"/>
      <c r="J873" s="5"/>
      <c r="K873" s="5"/>
      <c r="L873" s="5"/>
      <c r="M873" s="5"/>
      <c r="N873" s="5"/>
      <c r="O873" s="5"/>
      <c r="P873" s="5"/>
      <c r="Q873" s="5"/>
      <c r="R873" s="5"/>
    </row>
    <row r="874" spans="1:18">
      <c r="A874" s="5"/>
      <c r="B874" s="5"/>
      <c r="C874" s="5"/>
      <c r="D874" s="5"/>
      <c r="E874" s="5"/>
      <c r="F874" s="5"/>
      <c r="G874" s="5"/>
      <c r="H874" s="5"/>
      <c r="I874" s="5"/>
      <c r="J874" s="5"/>
      <c r="K874" s="5"/>
      <c r="L874" s="5"/>
      <c r="M874" s="5"/>
      <c r="N874" s="5"/>
      <c r="O874" s="5"/>
      <c r="P874" s="5"/>
      <c r="Q874" s="5"/>
      <c r="R874" s="5"/>
    </row>
    <row r="875" spans="1:18">
      <c r="A875" s="5"/>
      <c r="B875" s="5"/>
      <c r="C875" s="5"/>
      <c r="D875" s="5"/>
      <c r="E875" s="5"/>
      <c r="F875" s="5"/>
      <c r="G875" s="5"/>
      <c r="H875" s="5"/>
      <c r="I875" s="5"/>
      <c r="J875" s="5"/>
      <c r="K875" s="5"/>
      <c r="L875" s="5"/>
      <c r="M875" s="5"/>
      <c r="N875" s="5"/>
      <c r="O875" s="5"/>
      <c r="P875" s="5"/>
      <c r="Q875" s="5"/>
      <c r="R875" s="5"/>
    </row>
    <row r="876" spans="1:18">
      <c r="A876" s="5"/>
      <c r="B876" s="5"/>
      <c r="C876" s="5"/>
      <c r="D876" s="5"/>
      <c r="E876" s="5"/>
      <c r="F876" s="5"/>
      <c r="G876" s="5"/>
      <c r="H876" s="5"/>
      <c r="I876" s="5"/>
      <c r="J876" s="5"/>
      <c r="K876" s="5"/>
      <c r="L876" s="5"/>
      <c r="M876" s="5"/>
      <c r="N876" s="5"/>
      <c r="O876" s="5"/>
      <c r="P876" s="5"/>
      <c r="Q876" s="5"/>
      <c r="R876" s="5"/>
    </row>
    <row r="877" spans="1:18">
      <c r="A877" s="5"/>
      <c r="B877" s="5"/>
      <c r="C877" s="5"/>
      <c r="D877" s="5"/>
      <c r="E877" s="5"/>
      <c r="F877" s="5"/>
      <c r="G877" s="5"/>
      <c r="H877" s="5"/>
      <c r="I877" s="5"/>
      <c r="J877" s="5"/>
      <c r="K877" s="5"/>
      <c r="L877" s="5"/>
      <c r="M877" s="5"/>
      <c r="N877" s="5"/>
      <c r="O877" s="5"/>
      <c r="P877" s="5"/>
      <c r="Q877" s="5"/>
      <c r="R877" s="5"/>
    </row>
    <row r="878" spans="1:18">
      <c r="A878" s="5"/>
      <c r="B878" s="5"/>
      <c r="C878" s="5"/>
      <c r="D878" s="5"/>
      <c r="E878" s="5"/>
      <c r="F878" s="5"/>
      <c r="G878" s="5"/>
      <c r="H878" s="5"/>
      <c r="I878" s="5"/>
      <c r="J878" s="5"/>
      <c r="K878" s="5"/>
      <c r="L878" s="5"/>
      <c r="M878" s="5"/>
      <c r="N878" s="5"/>
      <c r="O878" s="5"/>
      <c r="P878" s="5"/>
      <c r="Q878" s="5"/>
      <c r="R878" s="5"/>
    </row>
    <row r="879" spans="1:18">
      <c r="A879" s="5"/>
      <c r="B879" s="5"/>
      <c r="C879" s="5"/>
      <c r="D879" s="5"/>
      <c r="E879" s="5"/>
      <c r="F879" s="5"/>
      <c r="G879" s="5"/>
      <c r="H879" s="5"/>
      <c r="I879" s="5"/>
      <c r="J879" s="5"/>
      <c r="K879" s="5"/>
      <c r="L879" s="5"/>
      <c r="M879" s="5"/>
      <c r="N879" s="5"/>
      <c r="O879" s="5"/>
      <c r="P879" s="5"/>
      <c r="Q879" s="5"/>
      <c r="R879" s="5"/>
    </row>
    <row r="880" spans="1:18">
      <c r="A880" s="5"/>
      <c r="B880" s="5"/>
      <c r="C880" s="5"/>
      <c r="D880" s="5"/>
      <c r="E880" s="5"/>
      <c r="F880" s="5"/>
      <c r="G880" s="5"/>
      <c r="H880" s="5"/>
      <c r="I880" s="5"/>
      <c r="J880" s="5"/>
      <c r="K880" s="5"/>
      <c r="L880" s="5"/>
      <c r="M880" s="5"/>
      <c r="N880" s="5"/>
      <c r="O880" s="5"/>
      <c r="P880" s="5"/>
      <c r="Q880" s="5"/>
      <c r="R880" s="5"/>
    </row>
    <row r="881" spans="1:18">
      <c r="A881" s="5"/>
      <c r="B881" s="5"/>
      <c r="C881" s="5"/>
      <c r="D881" s="5"/>
      <c r="E881" s="5"/>
      <c r="F881" s="5"/>
      <c r="G881" s="5"/>
      <c r="H881" s="5"/>
      <c r="I881" s="5"/>
      <c r="J881" s="5"/>
      <c r="K881" s="5"/>
      <c r="L881" s="5"/>
      <c r="M881" s="5"/>
      <c r="N881" s="5"/>
      <c r="O881" s="5"/>
      <c r="P881" s="5"/>
      <c r="Q881" s="5"/>
      <c r="R881" s="5"/>
    </row>
    <row r="882" spans="1:18">
      <c r="A882" s="5"/>
      <c r="B882" s="5"/>
      <c r="C882" s="5"/>
      <c r="D882" s="5"/>
      <c r="E882" s="5"/>
      <c r="F882" s="5"/>
      <c r="G882" s="5"/>
      <c r="H882" s="5"/>
      <c r="I882" s="5"/>
      <c r="J882" s="5"/>
      <c r="K882" s="5"/>
      <c r="L882" s="5"/>
      <c r="M882" s="5"/>
      <c r="N882" s="5"/>
      <c r="O882" s="5"/>
      <c r="P882" s="5"/>
      <c r="Q882" s="5"/>
      <c r="R882" s="5"/>
    </row>
    <row r="883" spans="1:18">
      <c r="A883" s="5"/>
      <c r="B883" s="5"/>
      <c r="C883" s="5"/>
      <c r="D883" s="5"/>
      <c r="E883" s="5"/>
      <c r="F883" s="5"/>
      <c r="G883" s="5"/>
      <c r="H883" s="5"/>
      <c r="I883" s="5"/>
      <c r="J883" s="5"/>
      <c r="K883" s="5"/>
      <c r="L883" s="5"/>
      <c r="M883" s="5"/>
      <c r="N883" s="5"/>
      <c r="O883" s="5"/>
      <c r="P883" s="5"/>
      <c r="Q883" s="5"/>
      <c r="R883" s="5"/>
    </row>
    <row r="884" spans="1:18">
      <c r="A884" s="5"/>
      <c r="B884" s="5"/>
      <c r="C884" s="5"/>
      <c r="D884" s="5"/>
      <c r="E884" s="5"/>
      <c r="F884" s="5"/>
      <c r="G884" s="5"/>
      <c r="H884" s="5"/>
      <c r="I884" s="5"/>
      <c r="J884" s="5"/>
      <c r="K884" s="5"/>
      <c r="L884" s="5"/>
      <c r="M884" s="5"/>
      <c r="N884" s="5"/>
      <c r="O884" s="5"/>
      <c r="P884" s="5"/>
      <c r="Q884" s="5"/>
      <c r="R884" s="5"/>
    </row>
    <row r="885" spans="1:18">
      <c r="A885" s="5"/>
      <c r="B885" s="5"/>
      <c r="C885" s="5"/>
      <c r="D885" s="5"/>
      <c r="E885" s="5"/>
      <c r="F885" s="5"/>
      <c r="G885" s="5"/>
      <c r="H885" s="5"/>
      <c r="I885" s="5"/>
      <c r="J885" s="5"/>
      <c r="K885" s="5"/>
      <c r="L885" s="5"/>
      <c r="M885" s="5"/>
      <c r="N885" s="5"/>
      <c r="O885" s="5"/>
      <c r="P885" s="5"/>
      <c r="Q885" s="5"/>
      <c r="R885" s="5"/>
    </row>
    <row r="886" spans="1:18">
      <c r="A886" s="5"/>
      <c r="B886" s="5"/>
      <c r="C886" s="5"/>
      <c r="D886" s="5"/>
      <c r="E886" s="5"/>
      <c r="F886" s="5"/>
      <c r="G886" s="5"/>
      <c r="H886" s="5"/>
      <c r="I886" s="5"/>
      <c r="J886" s="5"/>
      <c r="K886" s="5"/>
      <c r="L886" s="5"/>
      <c r="M886" s="5"/>
      <c r="N886" s="5"/>
      <c r="O886" s="5"/>
      <c r="P886" s="5"/>
      <c r="Q886" s="5"/>
      <c r="R886" s="5"/>
    </row>
    <row r="887" spans="1:18">
      <c r="A887" s="5"/>
      <c r="B887" s="5"/>
      <c r="C887" s="5"/>
      <c r="D887" s="5"/>
      <c r="E887" s="5"/>
      <c r="F887" s="5"/>
      <c r="G887" s="5"/>
      <c r="H887" s="5"/>
      <c r="I887" s="5"/>
      <c r="J887" s="5"/>
      <c r="K887" s="5"/>
      <c r="L887" s="5"/>
      <c r="M887" s="5"/>
      <c r="N887" s="5"/>
      <c r="O887" s="5"/>
      <c r="P887" s="5"/>
      <c r="Q887" s="5"/>
      <c r="R887" s="5"/>
    </row>
    <row r="888" spans="1:18">
      <c r="A888" s="5"/>
      <c r="B888" s="5"/>
      <c r="C888" s="5"/>
      <c r="D888" s="5"/>
      <c r="E888" s="5"/>
      <c r="F888" s="5"/>
      <c r="G888" s="5"/>
      <c r="H888" s="5"/>
      <c r="I888" s="5"/>
      <c r="J888" s="5"/>
      <c r="K888" s="5"/>
      <c r="L888" s="5"/>
      <c r="M888" s="5"/>
      <c r="N888" s="5"/>
      <c r="O888" s="5"/>
      <c r="P888" s="5"/>
      <c r="Q888" s="5"/>
      <c r="R888" s="5"/>
    </row>
    <row r="889" spans="1:18">
      <c r="A889" s="5"/>
      <c r="B889" s="5"/>
      <c r="C889" s="5"/>
      <c r="D889" s="5"/>
      <c r="E889" s="5"/>
      <c r="F889" s="5"/>
      <c r="G889" s="5"/>
      <c r="H889" s="5"/>
      <c r="I889" s="5"/>
      <c r="J889" s="5"/>
      <c r="K889" s="5"/>
      <c r="L889" s="5"/>
      <c r="M889" s="5"/>
      <c r="N889" s="5"/>
      <c r="O889" s="5"/>
      <c r="P889" s="5"/>
      <c r="Q889" s="5"/>
      <c r="R889" s="5"/>
    </row>
    <row r="890" spans="1:18">
      <c r="A890" s="5"/>
      <c r="B890" s="5"/>
      <c r="C890" s="5"/>
      <c r="D890" s="5"/>
      <c r="E890" s="5"/>
      <c r="F890" s="5"/>
      <c r="G890" s="5"/>
      <c r="H890" s="5"/>
      <c r="I890" s="5"/>
      <c r="J890" s="5"/>
      <c r="K890" s="5"/>
      <c r="L890" s="5"/>
      <c r="M890" s="5"/>
      <c r="N890" s="5"/>
      <c r="O890" s="5"/>
      <c r="P890" s="5"/>
      <c r="Q890" s="5"/>
      <c r="R890" s="5"/>
    </row>
    <row r="891" spans="1:18">
      <c r="A891" s="5"/>
      <c r="B891" s="5"/>
      <c r="C891" s="5"/>
      <c r="D891" s="5"/>
      <c r="E891" s="5"/>
      <c r="F891" s="5"/>
      <c r="G891" s="5"/>
      <c r="H891" s="5"/>
      <c r="I891" s="5"/>
      <c r="J891" s="5"/>
      <c r="K891" s="5"/>
      <c r="L891" s="5"/>
      <c r="M891" s="5"/>
      <c r="N891" s="5"/>
      <c r="O891" s="5"/>
      <c r="P891" s="5"/>
      <c r="Q891" s="5"/>
      <c r="R891" s="5"/>
    </row>
    <row r="892" spans="1:18">
      <c r="A892" s="5"/>
      <c r="B892" s="5"/>
      <c r="C892" s="5"/>
      <c r="D892" s="5"/>
      <c r="E892" s="5"/>
      <c r="F892" s="5"/>
      <c r="G892" s="5"/>
      <c r="H892" s="5"/>
      <c r="I892" s="5"/>
      <c r="J892" s="5"/>
      <c r="K892" s="5"/>
      <c r="L892" s="5"/>
      <c r="M892" s="5"/>
      <c r="N892" s="5"/>
      <c r="O892" s="5"/>
      <c r="P892" s="5"/>
      <c r="Q892" s="5"/>
      <c r="R892" s="5"/>
    </row>
    <row r="893" spans="1:18">
      <c r="A893" s="5"/>
      <c r="B893" s="5"/>
      <c r="C893" s="5"/>
      <c r="D893" s="5"/>
      <c r="E893" s="5"/>
      <c r="F893" s="5"/>
      <c r="G893" s="5"/>
      <c r="H893" s="5"/>
      <c r="I893" s="5"/>
      <c r="J893" s="5"/>
      <c r="K893" s="5"/>
      <c r="L893" s="5"/>
      <c r="M893" s="5"/>
      <c r="N893" s="5"/>
      <c r="O893" s="5"/>
      <c r="P893" s="5"/>
      <c r="Q893" s="5"/>
      <c r="R893" s="5"/>
    </row>
    <row r="894" spans="1:18">
      <c r="A894" s="5"/>
      <c r="B894" s="5"/>
      <c r="C894" s="5"/>
      <c r="D894" s="5"/>
      <c r="E894" s="5"/>
      <c r="F894" s="5"/>
      <c r="G894" s="5"/>
      <c r="H894" s="5"/>
      <c r="I894" s="5"/>
      <c r="J894" s="5"/>
      <c r="K894" s="5"/>
      <c r="L894" s="5"/>
      <c r="M894" s="5"/>
      <c r="N894" s="5"/>
      <c r="O894" s="5"/>
      <c r="P894" s="5"/>
      <c r="Q894" s="5"/>
      <c r="R894" s="5"/>
    </row>
    <row r="895" spans="1:18">
      <c r="A895" s="5"/>
      <c r="B895" s="5"/>
      <c r="C895" s="5"/>
      <c r="D895" s="5"/>
      <c r="E895" s="5"/>
      <c r="F895" s="5"/>
      <c r="G895" s="5"/>
      <c r="H895" s="5"/>
      <c r="I895" s="5"/>
      <c r="J895" s="5"/>
      <c r="K895" s="5"/>
      <c r="L895" s="5"/>
      <c r="M895" s="5"/>
      <c r="N895" s="5"/>
      <c r="O895" s="5"/>
      <c r="P895" s="5"/>
      <c r="Q895" s="5"/>
      <c r="R895" s="5"/>
    </row>
    <row r="896" spans="1:18">
      <c r="A896" s="5"/>
      <c r="B896" s="5"/>
      <c r="C896" s="5"/>
      <c r="D896" s="5"/>
      <c r="E896" s="5"/>
      <c r="F896" s="5"/>
      <c r="G896" s="5"/>
      <c r="H896" s="5"/>
      <c r="I896" s="5"/>
      <c r="J896" s="5"/>
      <c r="K896" s="5"/>
      <c r="L896" s="5"/>
      <c r="M896" s="5"/>
      <c r="N896" s="5"/>
      <c r="O896" s="5"/>
      <c r="P896" s="5"/>
      <c r="Q896" s="5"/>
      <c r="R896" s="5"/>
    </row>
    <row r="897" spans="1:18">
      <c r="A897" s="5"/>
      <c r="B897" s="5"/>
      <c r="C897" s="5"/>
      <c r="D897" s="5"/>
      <c r="E897" s="5"/>
      <c r="F897" s="5"/>
      <c r="G897" s="5"/>
      <c r="H897" s="5"/>
      <c r="I897" s="5"/>
      <c r="J897" s="5"/>
      <c r="K897" s="5"/>
      <c r="L897" s="5"/>
      <c r="M897" s="5"/>
      <c r="N897" s="5"/>
      <c r="O897" s="5"/>
      <c r="P897" s="5"/>
      <c r="Q897" s="5"/>
      <c r="R897" s="5"/>
    </row>
    <row r="898" spans="1:18">
      <c r="A898" s="5"/>
      <c r="B898" s="5"/>
      <c r="C898" s="5"/>
      <c r="D898" s="5"/>
      <c r="E898" s="5"/>
      <c r="F898" s="5"/>
      <c r="G898" s="5"/>
      <c r="H898" s="5"/>
      <c r="I898" s="5"/>
      <c r="J898" s="5"/>
      <c r="K898" s="5"/>
      <c r="L898" s="5"/>
      <c r="M898" s="5"/>
      <c r="N898" s="5"/>
      <c r="O898" s="5"/>
      <c r="P898" s="5"/>
      <c r="Q898" s="5"/>
      <c r="R898" s="5"/>
    </row>
    <row r="899" spans="1:18">
      <c r="A899" s="5"/>
      <c r="B899" s="5"/>
      <c r="C899" s="5"/>
      <c r="D899" s="5"/>
      <c r="E899" s="5"/>
      <c r="F899" s="5"/>
      <c r="G899" s="5"/>
      <c r="H899" s="5"/>
      <c r="I899" s="5"/>
      <c r="J899" s="5"/>
      <c r="K899" s="5"/>
      <c r="L899" s="5"/>
      <c r="M899" s="5"/>
      <c r="N899" s="5"/>
      <c r="O899" s="5"/>
      <c r="P899" s="5"/>
      <c r="Q899" s="5"/>
      <c r="R899" s="5"/>
    </row>
    <row r="900" spans="1:18">
      <c r="A900" s="5"/>
      <c r="B900" s="5"/>
      <c r="C900" s="5"/>
      <c r="D900" s="5"/>
      <c r="E900" s="5"/>
      <c r="F900" s="5"/>
      <c r="G900" s="5"/>
      <c r="H900" s="5"/>
      <c r="I900" s="5"/>
      <c r="J900" s="5"/>
      <c r="K900" s="5"/>
      <c r="L900" s="5"/>
      <c r="M900" s="5"/>
      <c r="N900" s="5"/>
      <c r="O900" s="5"/>
      <c r="P900" s="5"/>
      <c r="Q900" s="5"/>
      <c r="R900" s="5"/>
    </row>
    <row r="901" spans="1:18">
      <c r="A901" s="5"/>
      <c r="B901" s="5"/>
      <c r="C901" s="5"/>
      <c r="D901" s="5"/>
      <c r="E901" s="5"/>
      <c r="F901" s="5"/>
      <c r="G901" s="5"/>
      <c r="H901" s="5"/>
      <c r="I901" s="5"/>
      <c r="J901" s="5"/>
      <c r="K901" s="5"/>
      <c r="L901" s="5"/>
      <c r="M901" s="5"/>
      <c r="N901" s="5"/>
      <c r="O901" s="5"/>
      <c r="P901" s="5"/>
      <c r="Q901" s="5"/>
      <c r="R901" s="5"/>
    </row>
    <row r="902" spans="1:18">
      <c r="A902" s="5"/>
      <c r="B902" s="5"/>
      <c r="C902" s="5"/>
      <c r="D902" s="5"/>
      <c r="E902" s="5"/>
      <c r="F902" s="5"/>
      <c r="G902" s="5"/>
      <c r="H902" s="5"/>
      <c r="I902" s="5"/>
      <c r="J902" s="5"/>
      <c r="K902" s="5"/>
      <c r="L902" s="5"/>
      <c r="M902" s="5"/>
      <c r="N902" s="5"/>
      <c r="O902" s="5"/>
      <c r="P902" s="5"/>
      <c r="Q902" s="5"/>
      <c r="R902" s="5"/>
    </row>
    <row r="903" spans="1:18">
      <c r="A903" s="5"/>
      <c r="B903" s="5"/>
      <c r="C903" s="5"/>
      <c r="D903" s="5"/>
      <c r="E903" s="5"/>
      <c r="F903" s="5"/>
      <c r="G903" s="5"/>
      <c r="H903" s="5"/>
      <c r="I903" s="5"/>
      <c r="J903" s="5"/>
      <c r="K903" s="5"/>
      <c r="L903" s="5"/>
      <c r="M903" s="5"/>
      <c r="N903" s="5"/>
      <c r="O903" s="5"/>
      <c r="P903" s="5"/>
      <c r="Q903" s="5"/>
      <c r="R903" s="5"/>
    </row>
    <row r="904" spans="1:18">
      <c r="A904" s="5"/>
      <c r="B904" s="5"/>
      <c r="C904" s="5"/>
      <c r="D904" s="5"/>
      <c r="E904" s="5"/>
      <c r="F904" s="5"/>
      <c r="G904" s="5"/>
      <c r="H904" s="5"/>
      <c r="I904" s="5"/>
      <c r="J904" s="5"/>
      <c r="K904" s="5"/>
      <c r="L904" s="5"/>
      <c r="M904" s="5"/>
      <c r="N904" s="5"/>
      <c r="O904" s="5"/>
      <c r="P904" s="5"/>
      <c r="Q904" s="5"/>
      <c r="R904" s="5"/>
    </row>
    <row r="905" spans="1:18">
      <c r="A905" s="5"/>
      <c r="B905" s="5"/>
      <c r="C905" s="5"/>
      <c r="D905" s="5"/>
      <c r="E905" s="5"/>
      <c r="F905" s="5"/>
      <c r="G905" s="5"/>
      <c r="H905" s="5"/>
      <c r="I905" s="5"/>
      <c r="J905" s="5"/>
      <c r="K905" s="5"/>
      <c r="L905" s="5"/>
      <c r="M905" s="5"/>
      <c r="N905" s="5"/>
      <c r="O905" s="5"/>
      <c r="P905" s="5"/>
      <c r="Q905" s="5"/>
      <c r="R905" s="5"/>
    </row>
    <row r="906" spans="1:18">
      <c r="A906" s="5"/>
      <c r="B906" s="5"/>
      <c r="C906" s="5"/>
      <c r="D906" s="5"/>
      <c r="E906" s="5"/>
      <c r="F906" s="5"/>
      <c r="G906" s="5"/>
      <c r="H906" s="5"/>
      <c r="I906" s="5"/>
      <c r="J906" s="5"/>
      <c r="K906" s="5"/>
      <c r="L906" s="5"/>
      <c r="M906" s="5"/>
      <c r="N906" s="5"/>
      <c r="O906" s="5"/>
      <c r="P906" s="5"/>
      <c r="Q906" s="5"/>
      <c r="R906" s="5"/>
    </row>
    <row r="907" spans="1:18">
      <c r="A907" s="5"/>
      <c r="B907" s="5"/>
      <c r="C907" s="5"/>
      <c r="D907" s="5"/>
      <c r="E907" s="5"/>
      <c r="F907" s="5"/>
      <c r="G907" s="5"/>
      <c r="H907" s="5"/>
      <c r="I907" s="5"/>
      <c r="J907" s="5"/>
      <c r="K907" s="5"/>
      <c r="L907" s="5"/>
      <c r="M907" s="5"/>
      <c r="N907" s="5"/>
      <c r="O907" s="5"/>
      <c r="P907" s="5"/>
      <c r="Q907" s="5"/>
      <c r="R907" s="5"/>
    </row>
    <row r="908" spans="1:18">
      <c r="A908" s="5"/>
      <c r="B908" s="5"/>
      <c r="C908" s="5"/>
      <c r="D908" s="5"/>
      <c r="E908" s="5"/>
      <c r="F908" s="5"/>
      <c r="G908" s="5"/>
      <c r="H908" s="5"/>
      <c r="I908" s="5"/>
      <c r="J908" s="5"/>
      <c r="K908" s="5"/>
      <c r="L908" s="5"/>
      <c r="M908" s="5"/>
      <c r="N908" s="5"/>
      <c r="O908" s="5"/>
      <c r="P908" s="5"/>
      <c r="Q908" s="5"/>
      <c r="R908" s="5"/>
    </row>
    <row r="909" spans="1:18">
      <c r="A909" s="5"/>
      <c r="B909" s="5"/>
      <c r="C909" s="5"/>
      <c r="D909" s="5"/>
      <c r="E909" s="5"/>
      <c r="F909" s="5"/>
      <c r="G909" s="5"/>
      <c r="H909" s="5"/>
      <c r="I909" s="5"/>
      <c r="J909" s="5"/>
      <c r="K909" s="5"/>
      <c r="L909" s="5"/>
      <c r="M909" s="5"/>
      <c r="N909" s="5"/>
      <c r="O909" s="5"/>
      <c r="P909" s="5"/>
      <c r="Q909" s="5"/>
      <c r="R909" s="5"/>
    </row>
    <row r="910" spans="1:18">
      <c r="A910" s="5"/>
      <c r="B910" s="5"/>
      <c r="C910" s="5"/>
      <c r="D910" s="5"/>
      <c r="E910" s="5"/>
      <c r="F910" s="5"/>
      <c r="G910" s="5"/>
      <c r="H910" s="5"/>
      <c r="I910" s="5"/>
      <c r="J910" s="5"/>
      <c r="K910" s="5"/>
      <c r="L910" s="5"/>
      <c r="M910" s="5"/>
      <c r="N910" s="5"/>
      <c r="O910" s="5"/>
      <c r="P910" s="5"/>
      <c r="Q910" s="5"/>
      <c r="R910" s="5"/>
    </row>
    <row r="911" spans="1:18">
      <c r="A911" s="5"/>
      <c r="B911" s="5"/>
      <c r="C911" s="5"/>
      <c r="D911" s="5"/>
      <c r="E911" s="5"/>
      <c r="F911" s="5"/>
      <c r="G911" s="5"/>
      <c r="H911" s="5"/>
      <c r="I911" s="5"/>
      <c r="J911" s="5"/>
      <c r="K911" s="5"/>
      <c r="L911" s="5"/>
      <c r="M911" s="5"/>
      <c r="N911" s="5"/>
      <c r="O911" s="5"/>
      <c r="P911" s="5"/>
      <c r="Q911" s="5"/>
      <c r="R911" s="5"/>
    </row>
    <row r="912" spans="1:18">
      <c r="A912" s="5"/>
      <c r="B912" s="5"/>
      <c r="C912" s="5"/>
      <c r="D912" s="5"/>
      <c r="E912" s="5"/>
      <c r="F912" s="5"/>
      <c r="G912" s="5"/>
      <c r="H912" s="5"/>
      <c r="I912" s="5"/>
      <c r="J912" s="5"/>
      <c r="K912" s="5"/>
      <c r="L912" s="5"/>
      <c r="M912" s="5"/>
      <c r="N912" s="5"/>
      <c r="O912" s="5"/>
      <c r="P912" s="5"/>
      <c r="Q912" s="5"/>
      <c r="R912" s="5"/>
    </row>
    <row r="913" spans="1:18">
      <c r="A913" s="5"/>
      <c r="B913" s="5"/>
      <c r="C913" s="5"/>
      <c r="D913" s="5"/>
      <c r="E913" s="5"/>
      <c r="F913" s="5"/>
      <c r="G913" s="5"/>
      <c r="H913" s="5"/>
      <c r="I913" s="5"/>
      <c r="J913" s="5"/>
      <c r="K913" s="5"/>
      <c r="L913" s="5"/>
      <c r="M913" s="5"/>
      <c r="N913" s="5"/>
      <c r="O913" s="5"/>
      <c r="P913" s="5"/>
      <c r="Q913" s="5"/>
      <c r="R913" s="5"/>
    </row>
    <row r="914" spans="1:18">
      <c r="A914" s="5"/>
      <c r="B914" s="5"/>
      <c r="C914" s="5"/>
      <c r="D914" s="5"/>
      <c r="E914" s="5"/>
      <c r="F914" s="5"/>
      <c r="G914" s="5"/>
      <c r="H914" s="5"/>
      <c r="I914" s="5"/>
      <c r="J914" s="5"/>
      <c r="K914" s="5"/>
      <c r="L914" s="5"/>
      <c r="M914" s="5"/>
      <c r="N914" s="5"/>
      <c r="O914" s="5"/>
      <c r="P914" s="5"/>
      <c r="Q914" s="5"/>
      <c r="R914" s="5"/>
    </row>
    <row r="915" spans="1:18">
      <c r="A915" s="5"/>
      <c r="B915" s="5"/>
      <c r="C915" s="5"/>
      <c r="D915" s="5"/>
      <c r="E915" s="5"/>
      <c r="F915" s="5"/>
      <c r="G915" s="5"/>
      <c r="H915" s="5"/>
      <c r="I915" s="5"/>
      <c r="J915" s="5"/>
      <c r="K915" s="5"/>
      <c r="L915" s="5"/>
      <c r="M915" s="5"/>
      <c r="N915" s="5"/>
      <c r="O915" s="5"/>
      <c r="P915" s="5"/>
      <c r="Q915" s="5"/>
      <c r="R915" s="5"/>
    </row>
    <row r="916" spans="1:18">
      <c r="A916" s="5"/>
      <c r="B916" s="5"/>
      <c r="C916" s="5"/>
      <c r="D916" s="5"/>
      <c r="E916" s="5"/>
      <c r="F916" s="5"/>
      <c r="G916" s="5"/>
      <c r="H916" s="5"/>
      <c r="I916" s="5"/>
      <c r="J916" s="5"/>
      <c r="K916" s="5"/>
      <c r="L916" s="5"/>
      <c r="M916" s="5"/>
      <c r="N916" s="5"/>
      <c r="O916" s="5"/>
      <c r="P916" s="5"/>
      <c r="Q916" s="5"/>
      <c r="R916" s="5"/>
    </row>
    <row r="917" spans="1:18">
      <c r="A917" s="5"/>
      <c r="B917" s="5"/>
      <c r="C917" s="5"/>
      <c r="D917" s="5"/>
      <c r="E917" s="5"/>
      <c r="F917" s="5"/>
      <c r="G917" s="5"/>
      <c r="H917" s="5"/>
      <c r="I917" s="5"/>
      <c r="J917" s="5"/>
      <c r="K917" s="5"/>
      <c r="L917" s="5"/>
      <c r="M917" s="5"/>
      <c r="N917" s="5"/>
      <c r="O917" s="5"/>
      <c r="P917" s="5"/>
      <c r="Q917" s="5"/>
      <c r="R917" s="5"/>
    </row>
    <row r="918" spans="1:18">
      <c r="A918" s="5"/>
      <c r="B918" s="5"/>
      <c r="C918" s="5"/>
      <c r="D918" s="5"/>
      <c r="E918" s="5"/>
      <c r="F918" s="5"/>
      <c r="G918" s="5"/>
      <c r="H918" s="5"/>
      <c r="I918" s="5"/>
      <c r="J918" s="5"/>
      <c r="K918" s="5"/>
      <c r="L918" s="5"/>
      <c r="M918" s="5"/>
      <c r="N918" s="5"/>
      <c r="O918" s="5"/>
      <c r="P918" s="5"/>
      <c r="Q918" s="5"/>
      <c r="R918" s="5"/>
    </row>
    <row r="919" spans="1:18">
      <c r="A919" s="5"/>
      <c r="B919" s="5"/>
      <c r="C919" s="5"/>
      <c r="D919" s="5"/>
      <c r="E919" s="5"/>
      <c r="F919" s="5"/>
      <c r="G919" s="5"/>
      <c r="H919" s="5"/>
      <c r="I919" s="5"/>
      <c r="J919" s="5"/>
      <c r="K919" s="5"/>
      <c r="L919" s="5"/>
      <c r="M919" s="5"/>
      <c r="N919" s="5"/>
      <c r="O919" s="5"/>
      <c r="P919" s="5"/>
      <c r="Q919" s="5"/>
      <c r="R919" s="5"/>
    </row>
    <row r="920" spans="1:18">
      <c r="A920" s="5"/>
      <c r="B920" s="5"/>
      <c r="C920" s="5"/>
      <c r="D920" s="5"/>
      <c r="E920" s="5"/>
      <c r="F920" s="5"/>
      <c r="G920" s="5"/>
      <c r="H920" s="5"/>
      <c r="I920" s="5"/>
      <c r="J920" s="5"/>
      <c r="K920" s="5"/>
      <c r="L920" s="5"/>
      <c r="M920" s="5"/>
      <c r="N920" s="5"/>
      <c r="O920" s="5"/>
      <c r="P920" s="5"/>
      <c r="Q920" s="5"/>
      <c r="R920" s="5"/>
    </row>
    <row r="921" spans="1:18">
      <c r="A921" s="5"/>
      <c r="B921" s="5"/>
      <c r="C921" s="5"/>
      <c r="D921" s="5"/>
      <c r="E921" s="5"/>
      <c r="F921" s="5"/>
      <c r="G921" s="5"/>
      <c r="H921" s="5"/>
      <c r="I921" s="5"/>
      <c r="J921" s="5"/>
      <c r="K921" s="5"/>
      <c r="L921" s="5"/>
      <c r="M921" s="5"/>
      <c r="N921" s="5"/>
      <c r="O921" s="5"/>
      <c r="P921" s="5"/>
      <c r="Q921" s="5"/>
      <c r="R921" s="5"/>
    </row>
    <row r="922" spans="1:18">
      <c r="A922" s="5"/>
      <c r="B922" s="5"/>
      <c r="C922" s="5"/>
      <c r="D922" s="5"/>
      <c r="E922" s="5"/>
      <c r="F922" s="5"/>
      <c r="G922" s="5"/>
      <c r="H922" s="5"/>
      <c r="I922" s="5"/>
      <c r="J922" s="5"/>
      <c r="K922" s="5"/>
      <c r="L922" s="5"/>
      <c r="M922" s="5"/>
      <c r="N922" s="5"/>
      <c r="O922" s="5"/>
      <c r="P922" s="5"/>
      <c r="Q922" s="5"/>
      <c r="R922" s="5"/>
    </row>
    <row r="923" spans="1:18">
      <c r="A923" s="5"/>
      <c r="B923" s="5"/>
      <c r="C923" s="5"/>
      <c r="D923" s="5"/>
      <c r="E923" s="5"/>
      <c r="F923" s="5"/>
      <c r="G923" s="5"/>
      <c r="H923" s="5"/>
      <c r="I923" s="5"/>
      <c r="J923" s="5"/>
      <c r="K923" s="5"/>
      <c r="L923" s="5"/>
      <c r="M923" s="5"/>
      <c r="N923" s="5"/>
      <c r="O923" s="5"/>
      <c r="P923" s="5"/>
      <c r="Q923" s="5"/>
      <c r="R923" s="5"/>
    </row>
    <row r="924" spans="1:18">
      <c r="A924" s="5"/>
      <c r="B924" s="5"/>
      <c r="C924" s="5"/>
      <c r="D924" s="5"/>
      <c r="E924" s="5"/>
      <c r="F924" s="5"/>
      <c r="G924" s="5"/>
      <c r="H924" s="5"/>
      <c r="I924" s="5"/>
      <c r="J924" s="5"/>
      <c r="K924" s="5"/>
      <c r="L924" s="5"/>
      <c r="M924" s="5"/>
      <c r="N924" s="5"/>
      <c r="O924" s="5"/>
      <c r="P924" s="5"/>
      <c r="Q924" s="5"/>
      <c r="R924" s="5"/>
    </row>
    <row r="925" spans="1:18">
      <c r="A925" s="5"/>
      <c r="B925" s="5"/>
      <c r="C925" s="5"/>
      <c r="D925" s="5"/>
      <c r="E925" s="5"/>
      <c r="F925" s="5"/>
      <c r="G925" s="5"/>
      <c r="H925" s="5"/>
      <c r="I925" s="5"/>
      <c r="J925" s="5"/>
      <c r="K925" s="5"/>
      <c r="L925" s="5"/>
      <c r="M925" s="5"/>
      <c r="N925" s="5"/>
      <c r="O925" s="5"/>
      <c r="P925" s="5"/>
      <c r="Q925" s="5"/>
      <c r="R925" s="5"/>
    </row>
    <row r="926" spans="1:18">
      <c r="A926" s="5"/>
      <c r="B926" s="5"/>
      <c r="C926" s="5"/>
      <c r="D926" s="5"/>
      <c r="E926" s="5"/>
      <c r="F926" s="5"/>
      <c r="G926" s="5"/>
      <c r="H926" s="5"/>
      <c r="I926" s="5"/>
      <c r="J926" s="5"/>
      <c r="K926" s="5"/>
      <c r="L926" s="5"/>
      <c r="M926" s="5"/>
      <c r="N926" s="5"/>
      <c r="O926" s="5"/>
      <c r="P926" s="5"/>
      <c r="Q926" s="5"/>
      <c r="R926" s="5"/>
    </row>
    <row r="927" spans="1:18">
      <c r="A927" s="5"/>
      <c r="B927" s="5"/>
      <c r="C927" s="5"/>
      <c r="D927" s="5"/>
      <c r="E927" s="5"/>
      <c r="F927" s="5"/>
      <c r="G927" s="5"/>
      <c r="H927" s="5"/>
      <c r="I927" s="5"/>
      <c r="J927" s="5"/>
      <c r="K927" s="5"/>
      <c r="L927" s="5"/>
      <c r="M927" s="5"/>
      <c r="N927" s="5"/>
      <c r="O927" s="5"/>
      <c r="P927" s="5"/>
      <c r="Q927" s="5"/>
      <c r="R927" s="5"/>
    </row>
    <row r="928" spans="1:18">
      <c r="A928" s="5"/>
      <c r="B928" s="5"/>
      <c r="C928" s="5"/>
      <c r="D928" s="5"/>
      <c r="E928" s="5"/>
      <c r="F928" s="5"/>
      <c r="G928" s="5"/>
      <c r="H928" s="5"/>
      <c r="I928" s="5"/>
      <c r="J928" s="5"/>
      <c r="K928" s="5"/>
      <c r="L928" s="5"/>
      <c r="M928" s="5"/>
      <c r="N928" s="5"/>
      <c r="O928" s="5"/>
      <c r="P928" s="5"/>
      <c r="Q928" s="5"/>
      <c r="R928" s="5"/>
    </row>
    <row r="929" spans="1:18">
      <c r="A929" s="5"/>
      <c r="B929" s="5"/>
      <c r="C929" s="5"/>
      <c r="D929" s="5"/>
      <c r="E929" s="5"/>
      <c r="F929" s="5"/>
      <c r="G929" s="5"/>
      <c r="H929" s="5"/>
      <c r="I929" s="5"/>
      <c r="J929" s="5"/>
      <c r="K929" s="5"/>
      <c r="L929" s="5"/>
      <c r="M929" s="5"/>
      <c r="N929" s="5"/>
      <c r="O929" s="5"/>
      <c r="P929" s="5"/>
      <c r="Q929" s="5"/>
      <c r="R929" s="5"/>
    </row>
    <row r="930" spans="1:18">
      <c r="A930" s="5"/>
      <c r="B930" s="5"/>
      <c r="C930" s="5"/>
      <c r="D930" s="5"/>
      <c r="E930" s="5"/>
      <c r="F930" s="5"/>
      <c r="G930" s="5"/>
      <c r="H930" s="5"/>
      <c r="I930" s="5"/>
      <c r="J930" s="5"/>
      <c r="K930" s="5"/>
      <c r="L930" s="5"/>
      <c r="M930" s="5"/>
      <c r="N930" s="5"/>
      <c r="O930" s="5"/>
      <c r="P930" s="5"/>
      <c r="Q930" s="5"/>
      <c r="R930" s="5"/>
    </row>
    <row r="931" spans="1:18">
      <c r="A931" s="5"/>
      <c r="B931" s="5"/>
      <c r="C931" s="5"/>
      <c r="D931" s="5"/>
      <c r="E931" s="5"/>
      <c r="F931" s="5"/>
      <c r="G931" s="5"/>
      <c r="H931" s="5"/>
      <c r="I931" s="5"/>
      <c r="J931" s="5"/>
      <c r="K931" s="5"/>
      <c r="L931" s="5"/>
      <c r="M931" s="5"/>
      <c r="N931" s="5"/>
      <c r="O931" s="5"/>
      <c r="P931" s="5"/>
      <c r="Q931" s="5"/>
      <c r="R931" s="5"/>
    </row>
    <row r="932" spans="1:18">
      <c r="A932" s="5"/>
      <c r="B932" s="5"/>
      <c r="C932" s="5"/>
      <c r="D932" s="5"/>
      <c r="E932" s="5"/>
      <c r="F932" s="5"/>
      <c r="G932" s="5"/>
      <c r="H932" s="5"/>
      <c r="I932" s="5"/>
      <c r="J932" s="5"/>
      <c r="K932" s="5"/>
      <c r="L932" s="5"/>
      <c r="M932" s="5"/>
      <c r="N932" s="5"/>
      <c r="O932" s="5"/>
      <c r="P932" s="5"/>
      <c r="Q932" s="5"/>
      <c r="R932" s="5"/>
    </row>
    <row r="933" spans="1:18">
      <c r="A933" s="5"/>
      <c r="B933" s="5"/>
      <c r="C933" s="5"/>
      <c r="D933" s="5"/>
      <c r="E933" s="5"/>
      <c r="F933" s="5"/>
      <c r="G933" s="5"/>
      <c r="H933" s="5"/>
      <c r="I933" s="5"/>
      <c r="J933" s="5"/>
      <c r="K933" s="5"/>
      <c r="L933" s="5"/>
      <c r="M933" s="5"/>
      <c r="N933" s="5"/>
      <c r="O933" s="5"/>
      <c r="P933" s="5"/>
      <c r="Q933" s="5"/>
      <c r="R933" s="5"/>
    </row>
    <row r="934" spans="1:18">
      <c r="A934" s="5"/>
      <c r="B934" s="5"/>
      <c r="C934" s="5"/>
      <c r="D934" s="5"/>
      <c r="E934" s="5"/>
      <c r="F934" s="5"/>
      <c r="G934" s="5"/>
      <c r="H934" s="5"/>
      <c r="I934" s="5"/>
      <c r="J934" s="5"/>
      <c r="K934" s="5"/>
      <c r="L934" s="5"/>
      <c r="M934" s="5"/>
      <c r="N934" s="5"/>
      <c r="O934" s="5"/>
      <c r="P934" s="5"/>
      <c r="Q934" s="5"/>
      <c r="R934" s="5"/>
    </row>
    <row r="935" spans="1:18">
      <c r="A935" s="5"/>
      <c r="B935" s="5"/>
      <c r="C935" s="5"/>
      <c r="D935" s="5"/>
      <c r="E935" s="5"/>
      <c r="F935" s="5"/>
      <c r="G935" s="5"/>
      <c r="H935" s="5"/>
      <c r="I935" s="5"/>
      <c r="J935" s="5"/>
      <c r="K935" s="5"/>
      <c r="L935" s="5"/>
      <c r="M935" s="5"/>
      <c r="N935" s="5"/>
      <c r="O935" s="5"/>
      <c r="P935" s="5"/>
      <c r="Q935" s="5"/>
      <c r="R935" s="5"/>
    </row>
    <row r="936" spans="1:18">
      <c r="A936" s="5"/>
      <c r="B936" s="5"/>
      <c r="C936" s="5"/>
      <c r="D936" s="5"/>
      <c r="E936" s="5"/>
      <c r="F936" s="5"/>
      <c r="G936" s="5"/>
      <c r="H936" s="5"/>
      <c r="I936" s="5"/>
      <c r="J936" s="5"/>
      <c r="K936" s="5"/>
      <c r="L936" s="5"/>
      <c r="M936" s="5"/>
      <c r="N936" s="5"/>
      <c r="O936" s="5"/>
      <c r="P936" s="5"/>
      <c r="Q936" s="5"/>
      <c r="R936" s="5"/>
    </row>
    <row r="937" spans="1:18">
      <c r="A937" s="5"/>
      <c r="B937" s="5"/>
      <c r="C937" s="5"/>
      <c r="D937" s="5"/>
      <c r="E937" s="5"/>
      <c r="F937" s="5"/>
      <c r="G937" s="5"/>
      <c r="H937" s="5"/>
      <c r="I937" s="5"/>
      <c r="J937" s="5"/>
      <c r="K937" s="5"/>
      <c r="L937" s="5"/>
      <c r="M937" s="5"/>
      <c r="N937" s="5"/>
      <c r="O937" s="5"/>
      <c r="P937" s="5"/>
      <c r="Q937" s="5"/>
      <c r="R937" s="5"/>
    </row>
    <row r="938" spans="1:18">
      <c r="A938" s="5"/>
      <c r="B938" s="5"/>
      <c r="C938" s="5"/>
      <c r="D938" s="5"/>
      <c r="E938" s="5"/>
      <c r="F938" s="5"/>
      <c r="G938" s="5"/>
      <c r="H938" s="5"/>
      <c r="I938" s="5"/>
      <c r="J938" s="5"/>
      <c r="K938" s="5"/>
      <c r="L938" s="5"/>
      <c r="M938" s="5"/>
      <c r="N938" s="5"/>
      <c r="O938" s="5"/>
      <c r="P938" s="5"/>
      <c r="Q938" s="5"/>
      <c r="R938" s="5"/>
    </row>
    <row r="939" spans="1:18">
      <c r="A939" s="5"/>
      <c r="B939" s="5"/>
      <c r="C939" s="5"/>
      <c r="D939" s="5"/>
      <c r="E939" s="5"/>
      <c r="F939" s="5"/>
      <c r="G939" s="5"/>
      <c r="H939" s="5"/>
      <c r="I939" s="5"/>
      <c r="J939" s="5"/>
      <c r="K939" s="5"/>
      <c r="L939" s="5"/>
      <c r="M939" s="5"/>
      <c r="N939" s="5"/>
      <c r="O939" s="5"/>
      <c r="P939" s="5"/>
      <c r="Q939" s="5"/>
      <c r="R939" s="5"/>
    </row>
    <row r="940" spans="1:18">
      <c r="A940" s="5"/>
      <c r="B940" s="5"/>
      <c r="C940" s="5"/>
      <c r="D940" s="5"/>
      <c r="E940" s="5"/>
      <c r="F940" s="5"/>
      <c r="G940" s="5"/>
      <c r="H940" s="5"/>
      <c r="I940" s="5"/>
      <c r="J940" s="5"/>
      <c r="K940" s="5"/>
      <c r="L940" s="5"/>
      <c r="M940" s="5"/>
      <c r="N940" s="5"/>
      <c r="O940" s="5"/>
      <c r="P940" s="5"/>
      <c r="Q940" s="5"/>
      <c r="R940" s="5"/>
    </row>
    <row r="941" spans="1:18">
      <c r="A941" s="5"/>
      <c r="B941" s="5"/>
      <c r="C941" s="5"/>
      <c r="D941" s="5"/>
      <c r="E941" s="5"/>
      <c r="F941" s="5"/>
      <c r="G941" s="5"/>
      <c r="H941" s="5"/>
      <c r="I941" s="5"/>
      <c r="J941" s="5"/>
      <c r="K941" s="5"/>
      <c r="L941" s="5"/>
      <c r="M941" s="5"/>
      <c r="N941" s="5"/>
      <c r="O941" s="5"/>
      <c r="P941" s="5"/>
      <c r="Q941" s="5"/>
      <c r="R941" s="5"/>
    </row>
    <row r="942" spans="1:18">
      <c r="A942" s="5"/>
      <c r="B942" s="5"/>
      <c r="C942" s="5"/>
      <c r="D942" s="5"/>
      <c r="E942" s="5"/>
      <c r="F942" s="5"/>
      <c r="G942" s="5"/>
      <c r="H942" s="5"/>
      <c r="I942" s="5"/>
      <c r="J942" s="5"/>
      <c r="K942" s="5"/>
      <c r="L942" s="5"/>
      <c r="M942" s="5"/>
      <c r="N942" s="5"/>
      <c r="O942" s="5"/>
      <c r="P942" s="5"/>
      <c r="Q942" s="5"/>
      <c r="R942" s="5"/>
    </row>
    <row r="943" spans="1:18">
      <c r="A943" s="5"/>
      <c r="B943" s="5"/>
      <c r="C943" s="5"/>
      <c r="D943" s="5"/>
      <c r="E943" s="5"/>
      <c r="F943" s="5"/>
      <c r="G943" s="5"/>
      <c r="H943" s="5"/>
      <c r="I943" s="5"/>
      <c r="J943" s="5"/>
      <c r="K943" s="5"/>
      <c r="L943" s="5"/>
      <c r="M943" s="5"/>
      <c r="N943" s="5"/>
      <c r="O943" s="5"/>
      <c r="P943" s="5"/>
      <c r="Q943" s="5"/>
      <c r="R943" s="5"/>
    </row>
    <row r="944" spans="1:18">
      <c r="A944" s="5"/>
      <c r="B944" s="5"/>
      <c r="C944" s="5"/>
      <c r="D944" s="5"/>
      <c r="E944" s="5"/>
      <c r="F944" s="5"/>
      <c r="G944" s="5"/>
      <c r="H944" s="5"/>
      <c r="I944" s="5"/>
      <c r="J944" s="5"/>
      <c r="K944" s="5"/>
      <c r="L944" s="5"/>
      <c r="M944" s="5"/>
      <c r="N944" s="5"/>
      <c r="O944" s="5"/>
      <c r="P944" s="5"/>
      <c r="Q944" s="5"/>
      <c r="R944" s="5"/>
    </row>
    <row r="945" spans="1:18">
      <c r="A945" s="5"/>
      <c r="B945" s="5"/>
      <c r="C945" s="5"/>
      <c r="D945" s="5"/>
      <c r="E945" s="5"/>
      <c r="F945" s="5"/>
      <c r="G945" s="5"/>
      <c r="H945" s="5"/>
      <c r="I945" s="5"/>
      <c r="J945" s="5"/>
      <c r="K945" s="5"/>
      <c r="L945" s="5"/>
      <c r="M945" s="5"/>
      <c r="N945" s="5"/>
      <c r="O945" s="5"/>
      <c r="P945" s="5"/>
      <c r="Q945" s="5"/>
      <c r="R945" s="5"/>
    </row>
    <row r="946" spans="1:18">
      <c r="A946" s="5"/>
      <c r="B946" s="5"/>
      <c r="C946" s="5"/>
      <c r="D946" s="5"/>
      <c r="E946" s="5"/>
      <c r="F946" s="5"/>
      <c r="G946" s="5"/>
      <c r="H946" s="5"/>
      <c r="I946" s="5"/>
      <c r="J946" s="5"/>
      <c r="K946" s="5"/>
      <c r="L946" s="5"/>
      <c r="M946" s="5"/>
      <c r="N946" s="5"/>
      <c r="O946" s="5"/>
      <c r="P946" s="5"/>
      <c r="Q946" s="5"/>
      <c r="R946" s="5"/>
    </row>
    <row r="947" spans="1:18">
      <c r="A947" s="5"/>
      <c r="B947" s="5"/>
      <c r="C947" s="5"/>
      <c r="D947" s="5"/>
      <c r="E947" s="5"/>
      <c r="F947" s="5"/>
      <c r="G947" s="5"/>
      <c r="H947" s="5"/>
      <c r="I947" s="5"/>
      <c r="J947" s="5"/>
      <c r="K947" s="5"/>
      <c r="L947" s="5"/>
      <c r="M947" s="5"/>
      <c r="N947" s="5"/>
      <c r="O947" s="5"/>
      <c r="P947" s="5"/>
      <c r="Q947" s="5"/>
      <c r="R947" s="5"/>
    </row>
    <row r="948" spans="1:18">
      <c r="A948" s="5"/>
      <c r="B948" s="5"/>
      <c r="C948" s="5"/>
      <c r="D948" s="5"/>
      <c r="E948" s="5"/>
      <c r="F948" s="5"/>
      <c r="G948" s="5"/>
      <c r="H948" s="5"/>
      <c r="I948" s="5"/>
      <c r="J948" s="5"/>
      <c r="K948" s="5"/>
      <c r="L948" s="5"/>
      <c r="M948" s="5"/>
      <c r="N948" s="5"/>
      <c r="O948" s="5"/>
      <c r="P948" s="5"/>
      <c r="Q948" s="5"/>
      <c r="R948" s="5"/>
    </row>
    <row r="949" spans="1:18">
      <c r="A949" s="5"/>
      <c r="B949" s="5"/>
      <c r="C949" s="5"/>
      <c r="D949" s="5"/>
      <c r="E949" s="5"/>
      <c r="F949" s="5"/>
      <c r="G949" s="5"/>
      <c r="H949" s="5"/>
      <c r="I949" s="5"/>
      <c r="J949" s="5"/>
      <c r="K949" s="5"/>
      <c r="L949" s="5"/>
      <c r="M949" s="5"/>
      <c r="N949" s="5"/>
      <c r="O949" s="5"/>
      <c r="P949" s="5"/>
      <c r="Q949" s="5"/>
      <c r="R949" s="5"/>
    </row>
    <row r="950" spans="1:18">
      <c r="A950" s="5"/>
      <c r="B950" s="5"/>
      <c r="C950" s="5"/>
      <c r="D950" s="5"/>
      <c r="E950" s="5"/>
      <c r="F950" s="5"/>
      <c r="G950" s="5"/>
      <c r="H950" s="5"/>
      <c r="I950" s="5"/>
      <c r="J950" s="5"/>
      <c r="K950" s="5"/>
      <c r="L950" s="5"/>
      <c r="M950" s="5"/>
      <c r="N950" s="5"/>
      <c r="O950" s="5"/>
      <c r="P950" s="5"/>
      <c r="Q950" s="5"/>
      <c r="R950" s="5"/>
    </row>
    <row r="951" spans="1:18">
      <c r="A951" s="5"/>
      <c r="B951" s="5"/>
      <c r="C951" s="5"/>
      <c r="D951" s="5"/>
      <c r="E951" s="5"/>
      <c r="F951" s="5"/>
      <c r="G951" s="5"/>
      <c r="H951" s="5"/>
      <c r="I951" s="5"/>
      <c r="J951" s="5"/>
      <c r="K951" s="5"/>
      <c r="L951" s="5"/>
      <c r="M951" s="5"/>
      <c r="N951" s="5"/>
      <c r="O951" s="5"/>
      <c r="P951" s="5"/>
      <c r="Q951" s="5"/>
      <c r="R951" s="5"/>
    </row>
    <row r="952" spans="1:18">
      <c r="A952" s="5"/>
      <c r="B952" s="5"/>
      <c r="C952" s="5"/>
      <c r="D952" s="5"/>
      <c r="E952" s="5"/>
      <c r="F952" s="5"/>
      <c r="G952" s="5"/>
      <c r="H952" s="5"/>
      <c r="I952" s="5"/>
      <c r="J952" s="5"/>
      <c r="K952" s="5"/>
      <c r="L952" s="5"/>
      <c r="M952" s="5"/>
      <c r="N952" s="5"/>
      <c r="O952" s="5"/>
      <c r="P952" s="5"/>
      <c r="Q952" s="5"/>
      <c r="R952" s="5"/>
    </row>
    <row r="953" spans="1:18">
      <c r="A953" s="5"/>
      <c r="B953" s="5"/>
      <c r="C953" s="5"/>
      <c r="D953" s="5"/>
      <c r="E953" s="5"/>
      <c r="F953" s="5"/>
      <c r="G953" s="5"/>
      <c r="H953" s="5"/>
      <c r="I953" s="5"/>
      <c r="J953" s="5"/>
      <c r="K953" s="5"/>
      <c r="L953" s="5"/>
      <c r="M953" s="5"/>
      <c r="N953" s="5"/>
      <c r="O953" s="5"/>
      <c r="P953" s="5"/>
      <c r="Q953" s="5"/>
      <c r="R953" s="5"/>
    </row>
    <row r="954" spans="1:18">
      <c r="A954" s="5"/>
      <c r="B954" s="5"/>
      <c r="C954" s="5"/>
      <c r="D954" s="5"/>
      <c r="E954" s="5"/>
      <c r="F954" s="5"/>
      <c r="G954" s="5"/>
      <c r="H954" s="5"/>
      <c r="I954" s="5"/>
      <c r="J954" s="5"/>
      <c r="K954" s="5"/>
      <c r="L954" s="5"/>
      <c r="M954" s="5"/>
      <c r="N954" s="5"/>
      <c r="O954" s="5"/>
      <c r="P954" s="5"/>
      <c r="Q954" s="5"/>
      <c r="R954" s="5"/>
    </row>
    <row r="955" spans="1:18">
      <c r="A955" s="5"/>
      <c r="B955" s="5"/>
      <c r="C955" s="5"/>
      <c r="D955" s="5"/>
      <c r="E955" s="5"/>
      <c r="F955" s="5"/>
      <c r="G955" s="5"/>
      <c r="H955" s="5"/>
      <c r="I955" s="5"/>
      <c r="J955" s="5"/>
      <c r="K955" s="5"/>
      <c r="L955" s="5"/>
      <c r="M955" s="5"/>
      <c r="N955" s="5"/>
      <c r="O955" s="5"/>
      <c r="P955" s="5"/>
      <c r="Q955" s="5"/>
      <c r="R955" s="5"/>
    </row>
    <row r="956" spans="1:18">
      <c r="A956" s="5"/>
      <c r="B956" s="5"/>
      <c r="C956" s="5"/>
      <c r="D956" s="5"/>
      <c r="E956" s="5"/>
      <c r="F956" s="5"/>
      <c r="G956" s="5"/>
      <c r="H956" s="5"/>
      <c r="I956" s="5"/>
      <c r="J956" s="5"/>
      <c r="K956" s="5"/>
      <c r="L956" s="5"/>
      <c r="M956" s="5"/>
      <c r="N956" s="5"/>
      <c r="O956" s="5"/>
      <c r="P956" s="5"/>
      <c r="Q956" s="5"/>
      <c r="R956" s="5"/>
    </row>
    <row r="957" spans="1:18">
      <c r="A957" s="5"/>
      <c r="B957" s="5"/>
      <c r="C957" s="5"/>
      <c r="D957" s="5"/>
      <c r="E957" s="5"/>
      <c r="F957" s="5"/>
      <c r="G957" s="5"/>
      <c r="H957" s="5"/>
      <c r="I957" s="5"/>
      <c r="J957" s="5"/>
      <c r="K957" s="5"/>
      <c r="L957" s="5"/>
      <c r="M957" s="5"/>
      <c r="N957" s="5"/>
      <c r="O957" s="5"/>
      <c r="P957" s="5"/>
      <c r="Q957" s="5"/>
      <c r="R957" s="5"/>
    </row>
    <row r="958" spans="1:18">
      <c r="A958" s="5"/>
      <c r="B958" s="5"/>
      <c r="C958" s="5"/>
      <c r="D958" s="5"/>
      <c r="E958" s="5"/>
      <c r="F958" s="5"/>
      <c r="G958" s="5"/>
      <c r="H958" s="5"/>
      <c r="I958" s="5"/>
      <c r="J958" s="5"/>
      <c r="K958" s="5"/>
      <c r="L958" s="5"/>
      <c r="M958" s="5"/>
      <c r="N958" s="5"/>
      <c r="O958" s="5"/>
      <c r="P958" s="5"/>
      <c r="Q958" s="5"/>
      <c r="R958" s="5"/>
    </row>
    <row r="959" spans="1:18">
      <c r="A959" s="5"/>
      <c r="B959" s="5"/>
      <c r="C959" s="5"/>
      <c r="D959" s="5"/>
      <c r="E959" s="5"/>
      <c r="F959" s="5"/>
      <c r="G959" s="5"/>
      <c r="H959" s="5"/>
      <c r="I959" s="5"/>
      <c r="J959" s="5"/>
      <c r="K959" s="5"/>
      <c r="L959" s="5"/>
      <c r="M959" s="5"/>
      <c r="N959" s="5"/>
      <c r="O959" s="5"/>
      <c r="P959" s="5"/>
      <c r="Q959" s="5"/>
      <c r="R959" s="5"/>
    </row>
    <row r="960" spans="1:18">
      <c r="A960" s="5"/>
      <c r="B960" s="5"/>
      <c r="C960" s="5"/>
      <c r="D960" s="5"/>
      <c r="E960" s="5"/>
      <c r="F960" s="5"/>
      <c r="G960" s="5"/>
      <c r="H960" s="5"/>
      <c r="I960" s="5"/>
      <c r="J960" s="5"/>
      <c r="K960" s="5"/>
      <c r="L960" s="5"/>
      <c r="M960" s="5"/>
      <c r="N960" s="5"/>
      <c r="O960" s="5"/>
      <c r="P960" s="5"/>
      <c r="Q960" s="5"/>
      <c r="R960" s="5"/>
    </row>
    <row r="961" spans="1:18">
      <c r="A961" s="5"/>
      <c r="B961" s="5"/>
      <c r="C961" s="5"/>
      <c r="D961" s="5"/>
      <c r="E961" s="5"/>
      <c r="F961" s="5"/>
      <c r="G961" s="5"/>
      <c r="H961" s="5"/>
      <c r="I961" s="5"/>
      <c r="J961" s="5"/>
      <c r="K961" s="5"/>
      <c r="L961" s="5"/>
      <c r="M961" s="5"/>
      <c r="N961" s="5"/>
      <c r="O961" s="5"/>
      <c r="P961" s="5"/>
      <c r="Q961" s="5"/>
      <c r="R961" s="5"/>
    </row>
    <row r="962" spans="1:18">
      <c r="A962" s="5"/>
      <c r="B962" s="5"/>
      <c r="C962" s="5"/>
      <c r="D962" s="5"/>
      <c r="E962" s="5"/>
      <c r="F962" s="5"/>
      <c r="G962" s="5"/>
      <c r="H962" s="5"/>
      <c r="I962" s="5"/>
      <c r="J962" s="5"/>
      <c r="K962" s="5"/>
      <c r="L962" s="5"/>
      <c r="M962" s="5"/>
      <c r="N962" s="5"/>
      <c r="O962" s="5"/>
      <c r="P962" s="5"/>
      <c r="Q962" s="5"/>
      <c r="R962" s="5"/>
    </row>
    <row r="963" spans="1:18">
      <c r="A963" s="5"/>
      <c r="B963" s="5"/>
      <c r="C963" s="5"/>
      <c r="D963" s="5"/>
      <c r="E963" s="5"/>
      <c r="F963" s="5"/>
      <c r="G963" s="5"/>
      <c r="H963" s="5"/>
      <c r="I963" s="5"/>
      <c r="J963" s="5"/>
      <c r="K963" s="5"/>
      <c r="L963" s="5"/>
      <c r="M963" s="5"/>
      <c r="N963" s="5"/>
      <c r="O963" s="5"/>
      <c r="P963" s="5"/>
      <c r="Q963" s="5"/>
      <c r="R963" s="5"/>
    </row>
    <row r="964" spans="1:18">
      <c r="A964" s="5"/>
      <c r="B964" s="5"/>
      <c r="C964" s="5"/>
      <c r="D964" s="5"/>
      <c r="E964" s="5"/>
      <c r="F964" s="5"/>
      <c r="G964" s="5"/>
      <c r="H964" s="5"/>
      <c r="I964" s="5"/>
      <c r="J964" s="5"/>
      <c r="K964" s="5"/>
      <c r="L964" s="5"/>
      <c r="M964" s="5"/>
      <c r="N964" s="5"/>
      <c r="O964" s="5"/>
      <c r="P964" s="5"/>
      <c r="Q964" s="5"/>
      <c r="R964" s="5"/>
    </row>
    <row r="965" spans="1:18">
      <c r="A965" s="5"/>
      <c r="B965" s="5"/>
      <c r="C965" s="5"/>
      <c r="D965" s="5"/>
      <c r="E965" s="5"/>
      <c r="F965" s="5"/>
      <c r="G965" s="5"/>
      <c r="H965" s="5"/>
      <c r="I965" s="5"/>
      <c r="J965" s="5"/>
      <c r="K965" s="5"/>
      <c r="L965" s="5"/>
      <c r="M965" s="5"/>
      <c r="N965" s="5"/>
      <c r="O965" s="5"/>
      <c r="P965" s="5"/>
      <c r="Q965" s="5"/>
      <c r="R965" s="5"/>
    </row>
    <row r="966" spans="1:18">
      <c r="A966" s="5"/>
      <c r="B966" s="5"/>
      <c r="C966" s="5"/>
      <c r="D966" s="5"/>
      <c r="E966" s="5"/>
      <c r="F966" s="5"/>
      <c r="G966" s="5"/>
      <c r="H966" s="5"/>
      <c r="I966" s="5"/>
      <c r="J966" s="5"/>
      <c r="K966" s="5"/>
      <c r="L966" s="5"/>
      <c r="M966" s="5"/>
      <c r="N966" s="5"/>
      <c r="O966" s="5"/>
      <c r="P966" s="5"/>
      <c r="Q966" s="5"/>
      <c r="R966" s="5"/>
    </row>
    <row r="967" spans="1:18">
      <c r="A967" s="5"/>
      <c r="B967" s="5"/>
      <c r="C967" s="5"/>
      <c r="D967" s="5"/>
      <c r="E967" s="5"/>
      <c r="F967" s="5"/>
      <c r="G967" s="5"/>
      <c r="H967" s="5"/>
      <c r="I967" s="5"/>
      <c r="J967" s="5"/>
      <c r="K967" s="5"/>
      <c r="L967" s="5"/>
      <c r="M967" s="5"/>
      <c r="N967" s="5"/>
      <c r="O967" s="5"/>
      <c r="P967" s="5"/>
      <c r="Q967" s="5"/>
      <c r="R967" s="5"/>
    </row>
    <row r="968" spans="1:18">
      <c r="A968" s="5"/>
      <c r="B968" s="5"/>
      <c r="C968" s="5"/>
      <c r="D968" s="5"/>
      <c r="E968" s="5"/>
      <c r="F968" s="5"/>
      <c r="G968" s="5"/>
      <c r="H968" s="5"/>
      <c r="I968" s="5"/>
      <c r="J968" s="5"/>
      <c r="K968" s="5"/>
      <c r="L968" s="5"/>
      <c r="M968" s="5"/>
      <c r="N968" s="5"/>
      <c r="O968" s="5"/>
      <c r="P968" s="5"/>
      <c r="Q968" s="5"/>
      <c r="R968" s="5"/>
    </row>
    <row r="969" spans="1:18">
      <c r="A969" s="5"/>
      <c r="B969" s="5"/>
      <c r="C969" s="5"/>
      <c r="D969" s="5"/>
      <c r="E969" s="5"/>
      <c r="F969" s="5"/>
      <c r="G969" s="5"/>
      <c r="H969" s="5"/>
      <c r="I969" s="5"/>
      <c r="J969" s="5"/>
      <c r="K969" s="5"/>
      <c r="L969" s="5"/>
      <c r="M969" s="5"/>
      <c r="N969" s="5"/>
      <c r="O969" s="5"/>
      <c r="P969" s="5"/>
      <c r="Q969" s="5"/>
      <c r="R969" s="5"/>
    </row>
    <row r="970" spans="1:18">
      <c r="A970" s="5"/>
      <c r="B970" s="5"/>
      <c r="C970" s="5"/>
      <c r="D970" s="5"/>
      <c r="E970" s="5"/>
      <c r="F970" s="5"/>
      <c r="G970" s="5"/>
      <c r="H970" s="5"/>
      <c r="I970" s="5"/>
      <c r="J970" s="5"/>
      <c r="K970" s="5"/>
      <c r="L970" s="5"/>
      <c r="M970" s="5"/>
      <c r="N970" s="5"/>
      <c r="O970" s="5"/>
      <c r="P970" s="5"/>
      <c r="Q970" s="5"/>
      <c r="R970" s="5"/>
    </row>
    <row r="971" spans="1:18">
      <c r="A971" s="5"/>
      <c r="B971" s="5"/>
      <c r="C971" s="5"/>
      <c r="D971" s="5"/>
      <c r="E971" s="5"/>
      <c r="F971" s="5"/>
      <c r="G971" s="5"/>
      <c r="H971" s="5"/>
      <c r="I971" s="5"/>
      <c r="J971" s="5"/>
      <c r="K971" s="5"/>
      <c r="L971" s="5"/>
      <c r="M971" s="5"/>
      <c r="N971" s="5"/>
      <c r="O971" s="5"/>
      <c r="P971" s="5"/>
      <c r="Q971" s="5"/>
      <c r="R971" s="5"/>
    </row>
    <row r="972" spans="1:18">
      <c r="A972" s="5"/>
      <c r="B972" s="5"/>
      <c r="C972" s="5"/>
      <c r="D972" s="5"/>
      <c r="E972" s="5"/>
      <c r="F972" s="5"/>
      <c r="G972" s="5"/>
      <c r="H972" s="5"/>
      <c r="I972" s="5"/>
      <c r="J972" s="5"/>
      <c r="K972" s="5"/>
      <c r="L972" s="5"/>
      <c r="M972" s="5"/>
      <c r="N972" s="5"/>
      <c r="O972" s="5"/>
      <c r="P972" s="5"/>
      <c r="Q972" s="5"/>
      <c r="R972" s="5"/>
    </row>
    <row r="973" spans="1:18">
      <c r="A973" s="5"/>
      <c r="B973" s="5"/>
      <c r="C973" s="5"/>
      <c r="D973" s="5"/>
      <c r="E973" s="5"/>
      <c r="F973" s="5"/>
      <c r="G973" s="5"/>
      <c r="H973" s="5"/>
      <c r="I973" s="5"/>
      <c r="J973" s="5"/>
      <c r="K973" s="5"/>
      <c r="L973" s="5"/>
      <c r="M973" s="5"/>
      <c r="N973" s="5"/>
      <c r="O973" s="5"/>
      <c r="P973" s="5"/>
      <c r="Q973" s="5"/>
      <c r="R973" s="5"/>
    </row>
    <row r="974" spans="1:18">
      <c r="A974" s="5"/>
      <c r="B974" s="5"/>
      <c r="C974" s="5"/>
      <c r="D974" s="5"/>
      <c r="E974" s="5"/>
      <c r="F974" s="5"/>
      <c r="G974" s="5"/>
      <c r="H974" s="5"/>
      <c r="I974" s="5"/>
      <c r="J974" s="5"/>
      <c r="K974" s="5"/>
      <c r="L974" s="5"/>
      <c r="M974" s="5"/>
      <c r="N974" s="5"/>
      <c r="O974" s="5"/>
      <c r="P974" s="5"/>
      <c r="Q974" s="5"/>
      <c r="R974" s="5"/>
    </row>
    <row r="975" spans="1:18">
      <c r="A975" s="5"/>
      <c r="B975" s="5"/>
      <c r="C975" s="5"/>
      <c r="D975" s="5"/>
      <c r="E975" s="5"/>
      <c r="F975" s="5"/>
      <c r="G975" s="5"/>
      <c r="H975" s="5"/>
      <c r="I975" s="5"/>
      <c r="J975" s="5"/>
      <c r="K975" s="5"/>
      <c r="L975" s="5"/>
      <c r="M975" s="5"/>
      <c r="N975" s="5"/>
      <c r="O975" s="5"/>
      <c r="P975" s="5"/>
      <c r="Q975" s="5"/>
      <c r="R975" s="5"/>
    </row>
    <row r="976" spans="1:18">
      <c r="A976" s="5"/>
      <c r="B976" s="5"/>
      <c r="C976" s="5"/>
      <c r="D976" s="5"/>
      <c r="E976" s="5"/>
      <c r="F976" s="5"/>
      <c r="G976" s="5"/>
      <c r="H976" s="5"/>
      <c r="I976" s="5"/>
      <c r="J976" s="5"/>
      <c r="K976" s="5"/>
      <c r="L976" s="5"/>
      <c r="M976" s="5"/>
      <c r="N976" s="5"/>
      <c r="O976" s="5"/>
      <c r="P976" s="5"/>
      <c r="Q976" s="5"/>
      <c r="R976" s="5"/>
    </row>
    <row r="977" spans="1:18">
      <c r="A977" s="5"/>
      <c r="B977" s="5"/>
      <c r="C977" s="5"/>
      <c r="D977" s="5"/>
      <c r="E977" s="5"/>
      <c r="F977" s="5"/>
      <c r="G977" s="5"/>
      <c r="H977" s="5"/>
      <c r="I977" s="5"/>
      <c r="J977" s="5"/>
      <c r="K977" s="5"/>
      <c r="L977" s="5"/>
      <c r="M977" s="5"/>
      <c r="N977" s="5"/>
      <c r="O977" s="5"/>
      <c r="P977" s="5"/>
      <c r="Q977" s="5"/>
      <c r="R977" s="5"/>
    </row>
    <row r="978" spans="1:18">
      <c r="A978" s="5"/>
      <c r="B978" s="5"/>
      <c r="C978" s="5"/>
      <c r="D978" s="5"/>
      <c r="E978" s="5"/>
      <c r="F978" s="5"/>
      <c r="G978" s="5"/>
      <c r="H978" s="5"/>
      <c r="I978" s="5"/>
      <c r="J978" s="5"/>
      <c r="K978" s="5"/>
      <c r="L978" s="5"/>
      <c r="M978" s="5"/>
      <c r="N978" s="5"/>
      <c r="O978" s="5"/>
      <c r="P978" s="5"/>
      <c r="Q978" s="5"/>
      <c r="R978" s="5"/>
    </row>
    <row r="979" spans="1:18">
      <c r="A979" s="5"/>
      <c r="B979" s="5"/>
      <c r="C979" s="5"/>
      <c r="D979" s="5"/>
      <c r="E979" s="5"/>
      <c r="F979" s="5"/>
      <c r="G979" s="5"/>
      <c r="H979" s="5"/>
      <c r="I979" s="5"/>
      <c r="J979" s="5"/>
      <c r="K979" s="5"/>
      <c r="L979" s="5"/>
      <c r="M979" s="5"/>
      <c r="N979" s="5"/>
      <c r="O979" s="5"/>
      <c r="P979" s="5"/>
      <c r="Q979" s="5"/>
      <c r="R979" s="5"/>
    </row>
    <row r="980" spans="1:18">
      <c r="A980" s="5"/>
      <c r="B980" s="5"/>
      <c r="C980" s="5"/>
      <c r="D980" s="5"/>
      <c r="E980" s="5"/>
      <c r="F980" s="5"/>
      <c r="G980" s="5"/>
      <c r="H980" s="5"/>
      <c r="I980" s="5"/>
      <c r="J980" s="5"/>
      <c r="K980" s="5"/>
      <c r="L980" s="5"/>
      <c r="M980" s="5"/>
      <c r="N980" s="5"/>
      <c r="O980" s="5"/>
      <c r="P980" s="5"/>
      <c r="Q980" s="5"/>
      <c r="R980" s="5"/>
    </row>
    <row r="981" spans="1:18">
      <c r="A981" s="5"/>
      <c r="B981" s="5"/>
      <c r="C981" s="5"/>
      <c r="D981" s="5"/>
      <c r="E981" s="5"/>
      <c r="F981" s="5"/>
      <c r="G981" s="5"/>
      <c r="H981" s="5"/>
      <c r="I981" s="5"/>
      <c r="J981" s="5"/>
      <c r="K981" s="5"/>
      <c r="L981" s="5"/>
      <c r="M981" s="5"/>
      <c r="N981" s="5"/>
      <c r="O981" s="5"/>
      <c r="P981" s="5"/>
      <c r="Q981" s="5"/>
      <c r="R981" s="5"/>
    </row>
    <row r="982" spans="1:18">
      <c r="A982" s="5"/>
      <c r="B982" s="5"/>
      <c r="C982" s="5"/>
      <c r="D982" s="5"/>
      <c r="E982" s="5"/>
      <c r="F982" s="5"/>
      <c r="G982" s="5"/>
      <c r="H982" s="5"/>
      <c r="I982" s="5"/>
      <c r="J982" s="5"/>
      <c r="K982" s="5"/>
      <c r="L982" s="5"/>
      <c r="M982" s="5"/>
      <c r="N982" s="5"/>
      <c r="O982" s="5"/>
      <c r="P982" s="5"/>
      <c r="Q982" s="5"/>
      <c r="R982" s="5"/>
    </row>
    <row r="983" spans="1:18">
      <c r="A983" s="5"/>
      <c r="B983" s="5"/>
      <c r="C983" s="5"/>
      <c r="D983" s="5"/>
      <c r="E983" s="5"/>
      <c r="F983" s="5"/>
      <c r="G983" s="5"/>
      <c r="H983" s="5"/>
      <c r="I983" s="5"/>
      <c r="J983" s="5"/>
      <c r="K983" s="5"/>
      <c r="L983" s="5"/>
      <c r="M983" s="5"/>
      <c r="N983" s="5"/>
      <c r="O983" s="5"/>
      <c r="P983" s="5"/>
      <c r="Q983" s="5"/>
      <c r="R983" s="5"/>
    </row>
    <row r="984" spans="1:18">
      <c r="A984" s="5"/>
      <c r="B984" s="5"/>
      <c r="C984" s="5"/>
      <c r="D984" s="5"/>
      <c r="E984" s="5"/>
      <c r="F984" s="5"/>
      <c r="G984" s="5"/>
      <c r="H984" s="5"/>
      <c r="I984" s="5"/>
      <c r="J984" s="5"/>
      <c r="K984" s="5"/>
      <c r="L984" s="5"/>
      <c r="M984" s="5"/>
      <c r="N984" s="5"/>
      <c r="O984" s="5"/>
      <c r="P984" s="5"/>
      <c r="Q984" s="5"/>
      <c r="R984" s="5"/>
    </row>
    <row r="985" spans="1:18">
      <c r="A985" s="5"/>
      <c r="B985" s="5"/>
      <c r="C985" s="5"/>
      <c r="D985" s="5"/>
      <c r="E985" s="5"/>
      <c r="F985" s="5"/>
      <c r="G985" s="5"/>
      <c r="H985" s="5"/>
      <c r="I985" s="5"/>
      <c r="J985" s="5"/>
      <c r="K985" s="5"/>
      <c r="L985" s="5"/>
      <c r="M985" s="5"/>
      <c r="N985" s="5"/>
      <c r="O985" s="5"/>
      <c r="P985" s="5"/>
      <c r="Q985" s="5"/>
      <c r="R985" s="5"/>
    </row>
    <row r="986" spans="1:18">
      <c r="A986" s="5"/>
      <c r="B986" s="5"/>
      <c r="C986" s="5"/>
      <c r="D986" s="5"/>
      <c r="E986" s="5"/>
      <c r="F986" s="5"/>
      <c r="G986" s="5"/>
      <c r="H986" s="5"/>
      <c r="I986" s="5"/>
      <c r="J986" s="5"/>
      <c r="K986" s="5"/>
      <c r="L986" s="5"/>
      <c r="M986" s="5"/>
      <c r="N986" s="5"/>
      <c r="O986" s="5"/>
      <c r="P986" s="5"/>
      <c r="Q986" s="5"/>
      <c r="R986" s="5"/>
    </row>
    <row r="987" spans="1:18">
      <c r="A987" s="5"/>
      <c r="B987" s="5"/>
      <c r="C987" s="5"/>
      <c r="D987" s="5"/>
      <c r="E987" s="5"/>
      <c r="F987" s="5"/>
      <c r="G987" s="5"/>
      <c r="H987" s="5"/>
      <c r="I987" s="5"/>
      <c r="J987" s="5"/>
      <c r="K987" s="5"/>
      <c r="L987" s="5"/>
      <c r="M987" s="5"/>
      <c r="N987" s="5"/>
      <c r="O987" s="5"/>
      <c r="P987" s="5"/>
      <c r="Q987" s="5"/>
      <c r="R987" s="5"/>
    </row>
    <row r="988" spans="1:18">
      <c r="A988" s="5"/>
      <c r="B988" s="5"/>
      <c r="C988" s="5"/>
      <c r="D988" s="5"/>
      <c r="E988" s="5"/>
      <c r="F988" s="5"/>
      <c r="G988" s="5"/>
      <c r="H988" s="5"/>
      <c r="I988" s="5"/>
      <c r="J988" s="5"/>
      <c r="K988" s="5"/>
      <c r="L988" s="5"/>
      <c r="M988" s="5"/>
      <c r="N988" s="5"/>
      <c r="O988" s="5"/>
      <c r="P988" s="5"/>
      <c r="Q988" s="5"/>
      <c r="R988" s="5"/>
    </row>
    <row r="989" spans="1:18">
      <c r="A989" s="5"/>
      <c r="B989" s="5"/>
      <c r="C989" s="5"/>
      <c r="D989" s="5"/>
      <c r="E989" s="5"/>
      <c r="F989" s="5"/>
      <c r="G989" s="5"/>
      <c r="H989" s="5"/>
      <c r="I989" s="5"/>
      <c r="J989" s="5"/>
      <c r="K989" s="5"/>
      <c r="L989" s="5"/>
      <c r="M989" s="5"/>
      <c r="N989" s="5"/>
      <c r="O989" s="5"/>
      <c r="P989" s="5"/>
      <c r="Q989" s="5"/>
      <c r="R989" s="5"/>
    </row>
    <row r="990" spans="1:18">
      <c r="A990" s="5"/>
      <c r="B990" s="5"/>
      <c r="C990" s="5"/>
      <c r="D990" s="5"/>
      <c r="E990" s="5"/>
      <c r="F990" s="5"/>
      <c r="G990" s="5"/>
      <c r="H990" s="5"/>
      <c r="I990" s="5"/>
      <c r="J990" s="5"/>
      <c r="K990" s="5"/>
      <c r="L990" s="5"/>
      <c r="M990" s="5"/>
      <c r="N990" s="5"/>
      <c r="O990" s="5"/>
      <c r="P990" s="5"/>
      <c r="Q990" s="5"/>
      <c r="R990" s="5"/>
    </row>
    <row r="991" spans="1:18">
      <c r="A991" s="5"/>
      <c r="B991" s="5"/>
      <c r="C991" s="5"/>
      <c r="D991" s="5"/>
      <c r="E991" s="5"/>
      <c r="F991" s="5"/>
      <c r="G991" s="5"/>
      <c r="H991" s="5"/>
      <c r="I991" s="5"/>
      <c r="J991" s="5"/>
      <c r="K991" s="5"/>
      <c r="L991" s="5"/>
      <c r="M991" s="5"/>
      <c r="N991" s="5"/>
      <c r="O991" s="5"/>
      <c r="P991" s="5"/>
      <c r="Q991" s="5"/>
      <c r="R991" s="5"/>
    </row>
    <row r="992" spans="1:18">
      <c r="A992" s="5"/>
      <c r="B992" s="5"/>
      <c r="C992" s="5"/>
      <c r="D992" s="5"/>
      <c r="E992" s="5"/>
      <c r="F992" s="5"/>
      <c r="G992" s="5"/>
      <c r="H992" s="5"/>
      <c r="I992" s="5"/>
      <c r="J992" s="5"/>
      <c r="K992" s="5"/>
      <c r="L992" s="5"/>
      <c r="M992" s="5"/>
      <c r="N992" s="5"/>
      <c r="O992" s="5"/>
      <c r="P992" s="5"/>
      <c r="Q992" s="5"/>
      <c r="R992" s="5"/>
    </row>
    <row r="993" spans="1:18">
      <c r="A993" s="5"/>
      <c r="B993" s="5"/>
      <c r="C993" s="5"/>
      <c r="D993" s="5"/>
      <c r="E993" s="5"/>
      <c r="F993" s="5"/>
      <c r="G993" s="5"/>
      <c r="H993" s="5"/>
      <c r="I993" s="5"/>
      <c r="J993" s="5"/>
      <c r="K993" s="5"/>
      <c r="L993" s="5"/>
      <c r="M993" s="5"/>
      <c r="N993" s="5"/>
      <c r="O993" s="5"/>
      <c r="P993" s="5"/>
      <c r="Q993" s="5"/>
      <c r="R993" s="5"/>
    </row>
    <row r="994" spans="1:18">
      <c r="A994" s="5"/>
      <c r="B994" s="5"/>
      <c r="C994" s="5"/>
      <c r="D994" s="5"/>
      <c r="E994" s="5"/>
      <c r="F994" s="5"/>
      <c r="G994" s="5"/>
      <c r="H994" s="5"/>
      <c r="I994" s="5"/>
      <c r="J994" s="5"/>
      <c r="K994" s="5"/>
      <c r="L994" s="5"/>
      <c r="M994" s="5"/>
      <c r="N994" s="5"/>
      <c r="O994" s="5"/>
      <c r="P994" s="5"/>
      <c r="Q994" s="5"/>
      <c r="R994" s="5"/>
    </row>
    <row r="995" spans="1:18">
      <c r="A995" s="5"/>
      <c r="B995" s="5"/>
      <c r="C995" s="5"/>
      <c r="D995" s="5"/>
      <c r="E995" s="5"/>
      <c r="F995" s="5"/>
      <c r="G995" s="5"/>
      <c r="H995" s="5"/>
      <c r="I995" s="5"/>
      <c r="J995" s="5"/>
      <c r="K995" s="5"/>
      <c r="L995" s="5"/>
      <c r="M995" s="5"/>
      <c r="N995" s="5"/>
      <c r="O995" s="5"/>
      <c r="P995" s="5"/>
      <c r="Q995" s="5"/>
      <c r="R995" s="5"/>
    </row>
    <row r="996" spans="1:18">
      <c r="A996" s="5"/>
      <c r="B996" s="5"/>
      <c r="C996" s="5"/>
      <c r="D996" s="5"/>
      <c r="E996" s="5"/>
      <c r="F996" s="5"/>
      <c r="G996" s="5"/>
      <c r="H996" s="5"/>
      <c r="I996" s="5"/>
      <c r="J996" s="5"/>
      <c r="K996" s="5"/>
      <c r="L996" s="5"/>
      <c r="M996" s="5"/>
      <c r="N996" s="5"/>
      <c r="O996" s="5"/>
      <c r="P996" s="5"/>
      <c r="Q996" s="5"/>
      <c r="R996" s="5"/>
    </row>
    <row r="997" spans="1:18">
      <c r="A997" s="5"/>
      <c r="B997" s="5"/>
      <c r="C997" s="5"/>
      <c r="D997" s="5"/>
      <c r="E997" s="5"/>
      <c r="F997" s="5"/>
      <c r="G997" s="5"/>
      <c r="H997" s="5"/>
      <c r="I997" s="5"/>
      <c r="J997" s="5"/>
      <c r="K997" s="5"/>
      <c r="L997" s="5"/>
      <c r="M997" s="5"/>
      <c r="N997" s="5"/>
      <c r="O997" s="5"/>
      <c r="P997" s="5"/>
      <c r="Q997" s="5"/>
      <c r="R997" s="5"/>
    </row>
    <row r="998" spans="1:18">
      <c r="A998" s="5"/>
      <c r="B998" s="5"/>
      <c r="C998" s="5"/>
      <c r="D998" s="5"/>
      <c r="E998" s="5"/>
      <c r="F998" s="5"/>
      <c r="G998" s="5"/>
      <c r="H998" s="5"/>
      <c r="I998" s="5"/>
      <c r="J998" s="5"/>
      <c r="K998" s="5"/>
      <c r="L998" s="5"/>
      <c r="M998" s="5"/>
      <c r="N998" s="5"/>
      <c r="O998" s="5"/>
      <c r="P998" s="5"/>
      <c r="Q998" s="5"/>
      <c r="R998" s="5"/>
    </row>
    <row r="999" spans="1:18">
      <c r="A999" s="5"/>
      <c r="B999" s="5"/>
      <c r="C999" s="5"/>
      <c r="D999" s="5"/>
      <c r="E999" s="5"/>
      <c r="F999" s="5"/>
      <c r="G999" s="5"/>
      <c r="H999" s="5"/>
      <c r="I999" s="5"/>
      <c r="J999" s="5"/>
      <c r="K999" s="5"/>
      <c r="L999" s="5"/>
      <c r="M999" s="5"/>
      <c r="N999" s="5"/>
      <c r="O999" s="5"/>
      <c r="P999" s="5"/>
      <c r="Q999" s="5"/>
      <c r="R999" s="5"/>
    </row>
    <row r="1000" spans="1:18">
      <c r="A1000" s="5"/>
      <c r="B1000" s="5"/>
      <c r="C1000" s="5"/>
      <c r="D1000" s="5"/>
      <c r="E1000" s="5"/>
      <c r="F1000" s="5"/>
      <c r="G1000" s="5"/>
      <c r="H1000" s="5"/>
      <c r="I1000" s="5"/>
      <c r="J1000" s="5"/>
      <c r="K1000" s="5"/>
      <c r="L1000" s="5"/>
      <c r="M1000" s="5"/>
      <c r="N1000" s="5"/>
      <c r="O1000" s="5"/>
      <c r="P1000" s="5"/>
      <c r="Q1000" s="5"/>
      <c r="R1000" s="5"/>
    </row>
    <row r="1001" spans="1:18">
      <c r="A1001" s="5"/>
      <c r="B1001" s="5"/>
      <c r="C1001" s="5"/>
      <c r="D1001" s="5"/>
      <c r="E1001" s="5"/>
      <c r="F1001" s="5"/>
      <c r="G1001" s="5"/>
      <c r="H1001" s="5"/>
      <c r="I1001" s="5"/>
      <c r="J1001" s="5"/>
      <c r="K1001" s="5"/>
      <c r="L1001" s="5"/>
      <c r="M1001" s="5"/>
      <c r="N1001" s="5"/>
      <c r="O1001" s="5"/>
      <c r="P1001" s="5"/>
      <c r="Q1001" s="5"/>
      <c r="R1001" s="5"/>
    </row>
    <row r="1002" spans="1:18">
      <c r="A1002" s="27" t="s">
        <v>90</v>
      </c>
      <c r="B1002" s="27" t="s">
        <v>90</v>
      </c>
      <c r="C1002" s="28"/>
      <c r="D1002" s="28"/>
      <c r="E1002" s="28"/>
      <c r="F1002" s="28"/>
      <c r="G1002" s="28"/>
      <c r="H1002" s="28"/>
      <c r="I1002" s="28"/>
      <c r="J1002" s="28"/>
      <c r="K1002" s="28"/>
      <c r="L1002" s="28"/>
      <c r="M1002" s="28"/>
      <c r="N1002" s="28"/>
      <c r="O1002" s="28"/>
      <c r="P1002" s="28"/>
      <c r="Q1002" s="28"/>
      <c r="R1002" s="28"/>
    </row>
  </sheetData>
  <mergeCells count="13">
    <mergeCell ref="I4:J4"/>
    <mergeCell ref="N4:P4"/>
    <mergeCell ref="C5:C6"/>
    <mergeCell ref="D5:D6"/>
    <mergeCell ref="E5:E6"/>
    <mergeCell ref="F5:F6"/>
    <mergeCell ref="I7:I9"/>
    <mergeCell ref="J7:J9"/>
    <mergeCell ref="K7:K9"/>
    <mergeCell ref="L7:L9"/>
    <mergeCell ref="I13:I14"/>
    <mergeCell ref="J13:J14"/>
    <mergeCell ref="K13:L13"/>
  </mergeCells>
  <dataValidations count="1">
    <dataValidation type="list" allowBlank="1" showInputMessage="1" showErrorMessage="1" sqref="K6" xr:uid="{00000000-0002-0000-0500-000000000000}">
      <formula1>$W$2:$W$4</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sheetPr>
  <dimension ref="A1:AA1002"/>
  <sheetViews>
    <sheetView workbookViewId="0">
      <selection activeCell="D7" sqref="D7"/>
    </sheetView>
  </sheetViews>
  <sheetFormatPr baseColWidth="10" defaultColWidth="11" defaultRowHeight="16"/>
  <cols>
    <col min="1" max="1" width="3.33203125" customWidth="1"/>
    <col min="2" max="9" width="18.1640625" customWidth="1"/>
    <col min="10" max="11" width="7.6640625" customWidth="1"/>
    <col min="12" max="12" width="6.83203125" customWidth="1"/>
    <col min="13" max="15" width="13.1640625" customWidth="1"/>
    <col min="17" max="18" width="7.5" customWidth="1"/>
    <col min="25" max="27" width="10.83203125" style="5"/>
  </cols>
  <sheetData>
    <row r="1" spans="1:27" ht="23">
      <c r="A1" s="2"/>
      <c r="B1" s="3" t="s">
        <v>97</v>
      </c>
      <c r="C1" s="2"/>
      <c r="D1" s="2"/>
      <c r="E1" s="2"/>
      <c r="F1" s="2"/>
      <c r="G1" s="2"/>
      <c r="H1" s="2"/>
      <c r="I1" s="2"/>
      <c r="J1" s="2"/>
      <c r="K1" s="2"/>
      <c r="L1" s="2"/>
      <c r="M1" s="2"/>
      <c r="N1" s="2"/>
      <c r="O1" s="2"/>
      <c r="P1" s="2"/>
      <c r="Q1" s="2"/>
      <c r="R1" s="2"/>
      <c r="S1" s="2"/>
      <c r="T1" s="2"/>
      <c r="U1" s="2"/>
      <c r="V1" s="2"/>
      <c r="W1" s="2"/>
      <c r="X1" s="2"/>
      <c r="Y1" s="2"/>
      <c r="Z1" s="2"/>
      <c r="AA1" s="2"/>
    </row>
    <row r="2" spans="1:27">
      <c r="A2" s="7"/>
      <c r="B2" s="6"/>
      <c r="C2" s="6"/>
      <c r="D2" s="6"/>
      <c r="E2" s="6"/>
      <c r="F2" s="6"/>
      <c r="G2" s="6"/>
      <c r="H2" s="6"/>
      <c r="I2" s="6"/>
      <c r="J2" s="6"/>
      <c r="K2" s="6"/>
      <c r="L2" s="7"/>
      <c r="M2" s="17"/>
      <c r="N2" s="17"/>
      <c r="O2" s="17"/>
      <c r="P2" s="17"/>
      <c r="Q2" s="17"/>
      <c r="R2" s="6"/>
      <c r="S2" s="6"/>
      <c r="T2" s="6"/>
      <c r="U2" s="6"/>
      <c r="V2" s="6"/>
      <c r="W2" s="6"/>
      <c r="X2" s="6"/>
      <c r="Y2" s="6"/>
    </row>
    <row r="3" spans="1:27">
      <c r="A3" s="6"/>
      <c r="B3" s="6"/>
      <c r="C3" s="7"/>
      <c r="D3" s="7"/>
      <c r="E3" s="7"/>
      <c r="F3" s="7"/>
      <c r="G3" s="7"/>
      <c r="H3" s="7"/>
      <c r="I3" s="7"/>
      <c r="J3" s="7"/>
      <c r="K3" s="7"/>
      <c r="L3" s="7"/>
      <c r="M3" s="7"/>
      <c r="N3" s="7"/>
      <c r="O3" s="7"/>
      <c r="P3" s="7"/>
      <c r="Q3" s="7"/>
      <c r="R3" s="65"/>
      <c r="S3" s="65"/>
      <c r="T3" s="65"/>
      <c r="U3" s="65"/>
      <c r="V3" s="65"/>
      <c r="W3" s="65"/>
      <c r="X3" s="65"/>
      <c r="Y3" s="65"/>
    </row>
    <row r="4" spans="1:27" ht="17" thickBot="1">
      <c r="A4" s="32"/>
      <c r="B4" s="6"/>
      <c r="C4" s="8" t="s">
        <v>98</v>
      </c>
      <c r="D4" s="9"/>
      <c r="E4" s="19"/>
      <c r="F4" s="19"/>
      <c r="G4" s="92"/>
      <c r="H4" s="92"/>
      <c r="I4" s="92"/>
      <c r="J4" s="10"/>
      <c r="K4" s="7"/>
      <c r="L4" s="7"/>
      <c r="M4" s="168" t="s">
        <v>3</v>
      </c>
      <c r="N4" s="169"/>
      <c r="O4" s="9"/>
      <c r="P4" s="9"/>
      <c r="Q4" s="65"/>
      <c r="R4" s="65"/>
      <c r="S4" s="242" t="s">
        <v>99</v>
      </c>
      <c r="T4" s="243"/>
      <c r="U4" s="243"/>
      <c r="V4" s="243"/>
      <c r="W4" s="93"/>
      <c r="X4" s="93"/>
      <c r="Y4" s="94"/>
    </row>
    <row r="5" spans="1:27" ht="22" thickBot="1">
      <c r="A5" s="32"/>
      <c r="B5" s="6"/>
      <c r="C5" s="244"/>
      <c r="D5" s="166"/>
      <c r="E5" s="166"/>
      <c r="F5" s="166"/>
      <c r="G5" s="166"/>
      <c r="H5" s="166"/>
      <c r="I5" s="166"/>
      <c r="J5" s="246" t="s">
        <v>68</v>
      </c>
      <c r="K5" s="7"/>
      <c r="L5" s="7"/>
      <c r="M5" s="232" t="s">
        <v>118</v>
      </c>
      <c r="N5" s="233"/>
      <c r="O5" s="233"/>
      <c r="P5" s="234"/>
      <c r="Q5" s="7"/>
      <c r="R5" s="65"/>
      <c r="S5" s="67" t="s">
        <v>106</v>
      </c>
      <c r="T5" s="95"/>
      <c r="U5" s="95"/>
      <c r="V5" s="95"/>
      <c r="W5" s="95"/>
      <c r="X5" s="95"/>
      <c r="Y5" s="79"/>
    </row>
    <row r="6" spans="1:27" ht="17" thickBot="1">
      <c r="A6" s="32"/>
      <c r="B6" s="6"/>
      <c r="C6" s="245"/>
      <c r="D6" s="167" t="s">
        <v>100</v>
      </c>
      <c r="E6" s="167" t="s">
        <v>101</v>
      </c>
      <c r="F6" s="167" t="s">
        <v>102</v>
      </c>
      <c r="G6" s="167" t="s">
        <v>103</v>
      </c>
      <c r="H6" s="167" t="s">
        <v>104</v>
      </c>
      <c r="I6" s="167" t="s">
        <v>105</v>
      </c>
      <c r="J6" s="247"/>
      <c r="K6" s="7"/>
      <c r="L6" s="7"/>
      <c r="M6" s="235" t="s">
        <v>119</v>
      </c>
      <c r="N6" s="236"/>
      <c r="O6" s="236"/>
      <c r="P6" s="237"/>
      <c r="Q6" s="7"/>
      <c r="R6" s="65"/>
      <c r="S6" s="57"/>
      <c r="T6" s="57" t="str">
        <f>D6</f>
        <v>Column 1</v>
      </c>
      <c r="U6" s="157" t="str">
        <f t="shared" ref="U6:Y6" si="0">E6</f>
        <v>Column 2</v>
      </c>
      <c r="V6" s="157" t="str">
        <f t="shared" si="0"/>
        <v>Column 3</v>
      </c>
      <c r="W6" s="157" t="str">
        <f t="shared" si="0"/>
        <v>Column 4</v>
      </c>
      <c r="X6" s="157" t="str">
        <f t="shared" si="0"/>
        <v>Column 5</v>
      </c>
      <c r="Y6" s="157" t="str">
        <f t="shared" si="0"/>
        <v>Column 6</v>
      </c>
    </row>
    <row r="7" spans="1:27">
      <c r="A7" s="6"/>
      <c r="B7" s="6"/>
      <c r="C7" s="96" t="s">
        <v>107</v>
      </c>
      <c r="D7" s="97">
        <v>150</v>
      </c>
      <c r="E7" s="97">
        <v>152</v>
      </c>
      <c r="F7" s="97">
        <v>4</v>
      </c>
      <c r="G7" s="97"/>
      <c r="H7" s="97"/>
      <c r="I7" s="98"/>
      <c r="J7" s="99">
        <f>IF(SUM(D7:I7)&gt;0,SUM(D7:I7),"")</f>
        <v>306</v>
      </c>
      <c r="K7" s="7"/>
      <c r="L7" s="7"/>
      <c r="M7" s="238" t="s">
        <v>108</v>
      </c>
      <c r="N7" s="239"/>
      <c r="O7" s="172" t="s">
        <v>60</v>
      </c>
      <c r="P7" s="172" t="s">
        <v>14</v>
      </c>
      <c r="Q7" s="7"/>
      <c r="R7" s="65"/>
      <c r="S7" s="100" t="str">
        <f t="shared" ref="S7:S12" si="1">C7</f>
        <v>Row 1</v>
      </c>
      <c r="T7" s="101">
        <f t="shared" ref="T7:Y12" si="2">IF(ISNUMBER(D7),$J7*D$13/$J$13,"")</f>
        <v>143.36405529953916</v>
      </c>
      <c r="U7" s="101">
        <f t="shared" si="2"/>
        <v>157.93548387096774</v>
      </c>
      <c r="V7" s="101">
        <f t="shared" si="2"/>
        <v>4.7004608294930872</v>
      </c>
      <c r="W7" s="101" t="str">
        <f t="shared" si="2"/>
        <v/>
      </c>
      <c r="X7" s="101" t="str">
        <f t="shared" si="2"/>
        <v/>
      </c>
      <c r="Y7" s="101" t="str">
        <f t="shared" si="2"/>
        <v/>
      </c>
    </row>
    <row r="8" spans="1:27">
      <c r="A8" s="6"/>
      <c r="B8" s="6"/>
      <c r="C8" s="96" t="s">
        <v>109</v>
      </c>
      <c r="D8" s="97">
        <v>155</v>
      </c>
      <c r="E8" s="97">
        <v>184</v>
      </c>
      <c r="F8" s="97">
        <v>6</v>
      </c>
      <c r="G8" s="97"/>
      <c r="H8" s="97"/>
      <c r="I8" s="102"/>
      <c r="J8" s="99">
        <f t="shared" ref="J8:J12" si="3">IF(SUM(D8:I8)&gt;0,SUM(D8:I8),"")</f>
        <v>345</v>
      </c>
      <c r="K8" s="7"/>
      <c r="L8" s="7"/>
      <c r="M8" s="240"/>
      <c r="N8" s="241"/>
      <c r="O8" s="171"/>
      <c r="P8" s="209"/>
      <c r="Q8" s="7"/>
      <c r="R8" s="65"/>
      <c r="S8" s="100" t="str">
        <f t="shared" si="1"/>
        <v>Row 2</v>
      </c>
      <c r="T8" s="101">
        <f t="shared" si="2"/>
        <v>161.63594470046084</v>
      </c>
      <c r="U8" s="101">
        <f t="shared" si="2"/>
        <v>178.06451612903226</v>
      </c>
      <c r="V8" s="101">
        <f t="shared" si="2"/>
        <v>5.2995391705069128</v>
      </c>
      <c r="W8" s="101" t="str">
        <f t="shared" si="2"/>
        <v/>
      </c>
      <c r="X8" s="101" t="str">
        <f t="shared" si="2"/>
        <v/>
      </c>
      <c r="Y8" s="101" t="str">
        <f t="shared" si="2"/>
        <v/>
      </c>
    </row>
    <row r="9" spans="1:27">
      <c r="A9" s="6"/>
      <c r="B9" s="6"/>
      <c r="C9" s="96" t="s">
        <v>110</v>
      </c>
      <c r="D9" s="97"/>
      <c r="E9" s="97"/>
      <c r="F9" s="97"/>
      <c r="G9" s="97"/>
      <c r="H9" s="97"/>
      <c r="I9" s="102"/>
      <c r="J9" s="99" t="str">
        <f t="shared" si="3"/>
        <v/>
      </c>
      <c r="K9" s="7"/>
      <c r="L9" s="7"/>
      <c r="M9" s="207">
        <f>SUM(T17:Y22)</f>
        <v>1.197478419260317</v>
      </c>
      <c r="N9" s="208"/>
      <c r="O9" s="16">
        <f>(COUNT(J7:J12)-1)*(COUNT(D13:I13)-1)</f>
        <v>2</v>
      </c>
      <c r="P9" s="11">
        <f>CHIDIST(M9,O9)</f>
        <v>0.54950400889643569</v>
      </c>
      <c r="Q9" s="7"/>
      <c r="R9" s="65"/>
      <c r="S9" s="100" t="str">
        <f t="shared" si="1"/>
        <v>Row 3</v>
      </c>
      <c r="T9" s="101" t="str">
        <f t="shared" si="2"/>
        <v/>
      </c>
      <c r="U9" s="101" t="str">
        <f t="shared" si="2"/>
        <v/>
      </c>
      <c r="V9" s="101" t="str">
        <f t="shared" si="2"/>
        <v/>
      </c>
      <c r="W9" s="101" t="str">
        <f t="shared" si="2"/>
        <v/>
      </c>
      <c r="X9" s="101" t="str">
        <f t="shared" si="2"/>
        <v/>
      </c>
      <c r="Y9" s="101" t="str">
        <f t="shared" si="2"/>
        <v/>
      </c>
    </row>
    <row r="10" spans="1:27">
      <c r="A10" s="6"/>
      <c r="B10" s="6"/>
      <c r="C10" s="96" t="s">
        <v>111</v>
      </c>
      <c r="D10" s="97"/>
      <c r="E10" s="97"/>
      <c r="F10" s="97"/>
      <c r="G10" s="97"/>
      <c r="H10" s="97"/>
      <c r="I10" s="102"/>
      <c r="J10" s="99" t="str">
        <f t="shared" si="3"/>
        <v/>
      </c>
      <c r="K10" s="7"/>
      <c r="L10" s="7"/>
      <c r="M10" s="7"/>
      <c r="N10" s="7"/>
      <c r="O10" s="7"/>
      <c r="P10" s="7"/>
      <c r="Q10" s="7"/>
      <c r="R10" s="65"/>
      <c r="S10" s="100" t="str">
        <f t="shared" si="1"/>
        <v>Row 4</v>
      </c>
      <c r="T10" s="101" t="str">
        <f t="shared" si="2"/>
        <v/>
      </c>
      <c r="U10" s="101" t="str">
        <f t="shared" si="2"/>
        <v/>
      </c>
      <c r="V10" s="101" t="str">
        <f t="shared" si="2"/>
        <v/>
      </c>
      <c r="W10" s="101" t="str">
        <f t="shared" si="2"/>
        <v/>
      </c>
      <c r="X10" s="101" t="str">
        <f t="shared" si="2"/>
        <v/>
      </c>
      <c r="Y10" s="101" t="str">
        <f t="shared" si="2"/>
        <v/>
      </c>
    </row>
    <row r="11" spans="1:27">
      <c r="A11" s="6"/>
      <c r="B11" s="6"/>
      <c r="C11" s="96" t="s">
        <v>112</v>
      </c>
      <c r="D11" s="97"/>
      <c r="E11" s="97"/>
      <c r="F11" s="97"/>
      <c r="G11" s="97"/>
      <c r="H11" s="97"/>
      <c r="I11" s="102"/>
      <c r="J11" s="99" t="str">
        <f t="shared" si="3"/>
        <v/>
      </c>
      <c r="K11" s="7"/>
      <c r="L11" s="7"/>
      <c r="M11" s="7"/>
      <c r="N11" s="7"/>
      <c r="O11" s="7"/>
      <c r="P11" s="7"/>
      <c r="Q11" s="7"/>
      <c r="R11" s="65"/>
      <c r="S11" s="100" t="str">
        <f t="shared" si="1"/>
        <v>Row 5</v>
      </c>
      <c r="T11" s="101" t="str">
        <f t="shared" si="2"/>
        <v/>
      </c>
      <c r="U11" s="101" t="str">
        <f t="shared" si="2"/>
        <v/>
      </c>
      <c r="V11" s="101" t="str">
        <f t="shared" si="2"/>
        <v/>
      </c>
      <c r="W11" s="101" t="str">
        <f t="shared" si="2"/>
        <v/>
      </c>
      <c r="X11" s="101" t="str">
        <f t="shared" si="2"/>
        <v/>
      </c>
      <c r="Y11" s="101" t="str">
        <f t="shared" si="2"/>
        <v/>
      </c>
    </row>
    <row r="12" spans="1:27">
      <c r="A12" s="6"/>
      <c r="B12" s="6"/>
      <c r="C12" s="103" t="s">
        <v>113</v>
      </c>
      <c r="D12" s="104"/>
      <c r="E12" s="104"/>
      <c r="F12" s="104"/>
      <c r="G12" s="104"/>
      <c r="H12" s="104"/>
      <c r="I12" s="105"/>
      <c r="J12" s="99" t="str">
        <f t="shared" si="3"/>
        <v/>
      </c>
      <c r="K12" s="7"/>
      <c r="L12" s="7"/>
      <c r="M12" s="7"/>
      <c r="N12" s="7"/>
      <c r="O12" s="7"/>
      <c r="P12" s="7"/>
      <c r="Q12" s="7"/>
      <c r="R12" s="65"/>
      <c r="S12" s="100" t="str">
        <f t="shared" si="1"/>
        <v>Row 6</v>
      </c>
      <c r="T12" s="101" t="str">
        <f t="shared" si="2"/>
        <v/>
      </c>
      <c r="U12" s="101" t="str">
        <f t="shared" si="2"/>
        <v/>
      </c>
      <c r="V12" s="101" t="str">
        <f t="shared" si="2"/>
        <v/>
      </c>
      <c r="W12" s="101" t="str">
        <f t="shared" si="2"/>
        <v/>
      </c>
      <c r="X12" s="101" t="str">
        <f t="shared" si="2"/>
        <v/>
      </c>
      <c r="Y12" s="101" t="str">
        <f t="shared" si="2"/>
        <v/>
      </c>
    </row>
    <row r="13" spans="1:27">
      <c r="A13" s="6"/>
      <c r="B13" s="6"/>
      <c r="C13" s="106" t="s">
        <v>68</v>
      </c>
      <c r="D13" s="107">
        <f>IF(SUM(D7:D12)&gt;0,SUM(D7:D12),"")</f>
        <v>305</v>
      </c>
      <c r="E13" s="107">
        <f t="shared" ref="E13:I13" si="4">IF(SUM(E7:E12)&gt;0,SUM(E7:E12),"")</f>
        <v>336</v>
      </c>
      <c r="F13" s="107">
        <f t="shared" si="4"/>
        <v>10</v>
      </c>
      <c r="G13" s="107" t="str">
        <f t="shared" si="4"/>
        <v/>
      </c>
      <c r="H13" s="107" t="str">
        <f t="shared" si="4"/>
        <v/>
      </c>
      <c r="I13" s="107" t="str">
        <f t="shared" si="4"/>
        <v/>
      </c>
      <c r="J13" s="108">
        <f>SUM(J7:J12)</f>
        <v>651</v>
      </c>
      <c r="K13" s="7"/>
      <c r="L13" s="7"/>
      <c r="M13" s="7"/>
      <c r="N13" s="7"/>
      <c r="O13" s="7"/>
      <c r="P13" s="7"/>
      <c r="Q13" s="7"/>
      <c r="R13" s="65"/>
      <c r="S13" s="109"/>
      <c r="T13" s="109"/>
      <c r="U13" s="109"/>
      <c r="V13" s="109"/>
      <c r="W13" s="109"/>
      <c r="X13" s="109"/>
      <c r="Y13" s="109"/>
    </row>
    <row r="14" spans="1:27">
      <c r="A14" s="6"/>
      <c r="B14" s="6"/>
      <c r="C14" s="7"/>
      <c r="D14" s="17"/>
      <c r="E14" s="17"/>
      <c r="F14" s="17"/>
      <c r="G14" s="7"/>
      <c r="H14" s="7"/>
      <c r="I14" s="7"/>
      <c r="J14" s="7"/>
      <c r="K14" s="7"/>
      <c r="L14" s="7"/>
      <c r="M14" s="7"/>
      <c r="N14" s="7"/>
      <c r="O14" s="7"/>
      <c r="P14" s="7"/>
      <c r="Q14" s="7"/>
      <c r="R14" s="65"/>
      <c r="S14" s="242" t="s">
        <v>114</v>
      </c>
      <c r="T14" s="243"/>
      <c r="U14" s="243"/>
      <c r="V14" s="243"/>
      <c r="W14" s="93"/>
      <c r="X14" s="93"/>
      <c r="Y14" s="94"/>
    </row>
    <row r="15" spans="1:27" ht="22" thickBot="1">
      <c r="A15" s="6"/>
      <c r="B15" s="6"/>
      <c r="C15" s="18" t="s">
        <v>115</v>
      </c>
      <c r="D15" s="54"/>
      <c r="E15" s="19"/>
      <c r="F15" s="20"/>
      <c r="G15" s="7"/>
      <c r="H15" s="7"/>
      <c r="I15" s="7"/>
      <c r="J15" s="7"/>
      <c r="K15" s="7"/>
      <c r="L15" s="7"/>
      <c r="M15" s="7"/>
      <c r="N15" s="7"/>
      <c r="O15" s="7"/>
      <c r="P15" s="7"/>
      <c r="Q15" s="7"/>
      <c r="R15" s="65"/>
      <c r="S15" s="67" t="s">
        <v>116</v>
      </c>
      <c r="T15" s="95"/>
      <c r="U15" s="95"/>
      <c r="V15" s="95"/>
      <c r="W15" s="95"/>
      <c r="X15" s="95"/>
      <c r="Y15" s="79"/>
    </row>
    <row r="16" spans="1:27">
      <c r="A16" s="6"/>
      <c r="B16" s="6"/>
      <c r="C16" s="7"/>
      <c r="D16" s="7"/>
      <c r="E16" s="7"/>
      <c r="F16" s="7"/>
      <c r="G16" s="7"/>
      <c r="H16" s="7"/>
      <c r="I16" s="7"/>
      <c r="J16" s="7"/>
      <c r="K16" s="7"/>
      <c r="L16" s="7"/>
      <c r="M16" s="7"/>
      <c r="N16" s="7"/>
      <c r="O16" s="7"/>
      <c r="P16" s="7"/>
      <c r="Q16" s="7"/>
      <c r="R16" s="65"/>
      <c r="S16" s="57"/>
      <c r="T16" s="57" t="str">
        <f>T6</f>
        <v>Column 1</v>
      </c>
      <c r="U16" s="57" t="str">
        <f t="shared" ref="U16:Y16" si="5">U6</f>
        <v>Column 2</v>
      </c>
      <c r="V16" s="57" t="str">
        <f t="shared" si="5"/>
        <v>Column 3</v>
      </c>
      <c r="W16" s="57" t="str">
        <f t="shared" si="5"/>
        <v>Column 4</v>
      </c>
      <c r="X16" s="57" t="str">
        <f t="shared" si="5"/>
        <v>Column 5</v>
      </c>
      <c r="Y16" s="57" t="str">
        <f t="shared" si="5"/>
        <v>Column 6</v>
      </c>
    </row>
    <row r="17" spans="1:25">
      <c r="A17" s="6"/>
      <c r="B17" s="6"/>
      <c r="C17" s="7"/>
      <c r="D17" s="7"/>
      <c r="E17" s="7"/>
      <c r="F17" s="7"/>
      <c r="G17" s="17"/>
      <c r="H17" s="17"/>
      <c r="I17" s="17"/>
      <c r="J17" s="7"/>
      <c r="K17" s="7"/>
      <c r="L17" s="7"/>
      <c r="M17" s="7"/>
      <c r="N17" s="7"/>
      <c r="O17" s="7"/>
      <c r="P17" s="7"/>
      <c r="Q17" s="7"/>
      <c r="R17" s="65"/>
      <c r="S17" s="100" t="str">
        <f>S7</f>
        <v>Row 1</v>
      </c>
      <c r="T17" s="101">
        <f t="shared" ref="T17:Y22" si="6">IF(ISNUMBER(T7),(D7-T7)^2/T7,"")</f>
        <v>0.30716041043598924</v>
      </c>
      <c r="U17" s="101">
        <f t="shared" si="6"/>
        <v>0.22306557031414731</v>
      </c>
      <c r="V17" s="101">
        <f t="shared" si="6"/>
        <v>0.10438239812053844</v>
      </c>
      <c r="W17" s="101" t="str">
        <f t="shared" si="6"/>
        <v/>
      </c>
      <c r="X17" s="101" t="str">
        <f t="shared" si="6"/>
        <v/>
      </c>
      <c r="Y17" s="101" t="str">
        <f t="shared" si="6"/>
        <v/>
      </c>
    </row>
    <row r="18" spans="1:25">
      <c r="A18" s="6"/>
      <c r="B18" s="6"/>
      <c r="C18" s="7"/>
      <c r="D18" s="7"/>
      <c r="E18" s="7"/>
      <c r="F18" s="7"/>
      <c r="G18" s="7"/>
      <c r="H18" s="7"/>
      <c r="I18" s="7"/>
      <c r="J18" s="7"/>
      <c r="K18" s="7"/>
      <c r="L18" s="7"/>
      <c r="M18" s="7"/>
      <c r="N18" s="7"/>
      <c r="O18" s="7"/>
      <c r="P18" s="7"/>
      <c r="Q18" s="7"/>
      <c r="R18" s="65"/>
      <c r="S18" s="100" t="str">
        <f t="shared" ref="S18:S22" si="7">S8</f>
        <v>Row 2</v>
      </c>
      <c r="T18" s="101">
        <f t="shared" si="6"/>
        <v>0.27243792925626864</v>
      </c>
      <c r="U18" s="101">
        <f t="shared" si="6"/>
        <v>0.19784946236559153</v>
      </c>
      <c r="V18" s="101">
        <f t="shared" si="6"/>
        <v>9.2582648767781911E-2</v>
      </c>
      <c r="W18" s="101" t="str">
        <f t="shared" si="6"/>
        <v/>
      </c>
      <c r="X18" s="101" t="str">
        <f t="shared" si="6"/>
        <v/>
      </c>
      <c r="Y18" s="101" t="str">
        <f t="shared" si="6"/>
        <v/>
      </c>
    </row>
    <row r="19" spans="1:25">
      <c r="A19" s="6"/>
      <c r="B19" s="6"/>
      <c r="C19" s="7"/>
      <c r="D19" s="7"/>
      <c r="E19" s="7"/>
      <c r="F19" s="7"/>
      <c r="G19" s="7"/>
      <c r="H19" s="7"/>
      <c r="I19" s="7"/>
      <c r="J19" s="7"/>
      <c r="K19" s="7"/>
      <c r="L19" s="7"/>
      <c r="M19" s="7"/>
      <c r="N19" s="7"/>
      <c r="O19" s="7"/>
      <c r="P19" s="7"/>
      <c r="Q19" s="7"/>
      <c r="R19" s="65"/>
      <c r="S19" s="100" t="str">
        <f t="shared" si="7"/>
        <v>Row 3</v>
      </c>
      <c r="T19" s="101" t="str">
        <f t="shared" si="6"/>
        <v/>
      </c>
      <c r="U19" s="101" t="str">
        <f t="shared" si="6"/>
        <v/>
      </c>
      <c r="V19" s="101" t="str">
        <f t="shared" si="6"/>
        <v/>
      </c>
      <c r="W19" s="101" t="str">
        <f t="shared" si="6"/>
        <v/>
      </c>
      <c r="X19" s="101" t="str">
        <f t="shared" si="6"/>
        <v/>
      </c>
      <c r="Y19" s="101" t="str">
        <f t="shared" si="6"/>
        <v/>
      </c>
    </row>
    <row r="20" spans="1:25">
      <c r="A20" s="6"/>
      <c r="B20" s="6"/>
      <c r="C20" s="7"/>
      <c r="D20" s="7"/>
      <c r="E20" s="7"/>
      <c r="F20" s="7"/>
      <c r="G20" s="7"/>
      <c r="H20" s="7"/>
      <c r="I20" s="7"/>
      <c r="J20" s="7"/>
      <c r="K20" s="7"/>
      <c r="L20" s="7"/>
      <c r="M20" s="7"/>
      <c r="N20" s="7"/>
      <c r="O20" s="7"/>
      <c r="P20" s="7"/>
      <c r="Q20" s="7"/>
      <c r="R20" s="65"/>
      <c r="S20" s="100" t="str">
        <f t="shared" si="7"/>
        <v>Row 4</v>
      </c>
      <c r="T20" s="101" t="str">
        <f t="shared" si="6"/>
        <v/>
      </c>
      <c r="U20" s="101" t="str">
        <f t="shared" si="6"/>
        <v/>
      </c>
      <c r="V20" s="101" t="str">
        <f t="shared" si="6"/>
        <v/>
      </c>
      <c r="W20" s="101" t="str">
        <f t="shared" si="6"/>
        <v/>
      </c>
      <c r="X20" s="101" t="str">
        <f t="shared" si="6"/>
        <v/>
      </c>
      <c r="Y20" s="101" t="str">
        <f t="shared" si="6"/>
        <v/>
      </c>
    </row>
    <row r="21" spans="1:25">
      <c r="A21" s="6"/>
      <c r="B21" s="6"/>
      <c r="C21" s="7"/>
      <c r="D21" s="7"/>
      <c r="E21" s="7"/>
      <c r="F21" s="7"/>
      <c r="G21" s="7"/>
      <c r="H21" s="7"/>
      <c r="I21" s="7"/>
      <c r="J21" s="7"/>
      <c r="K21" s="7"/>
      <c r="L21" s="7"/>
      <c r="M21" s="7"/>
      <c r="N21" s="7"/>
      <c r="O21" s="7"/>
      <c r="P21" s="7"/>
      <c r="Q21" s="7"/>
      <c r="R21" s="65"/>
      <c r="S21" s="100" t="str">
        <f t="shared" si="7"/>
        <v>Row 5</v>
      </c>
      <c r="T21" s="101" t="str">
        <f t="shared" si="6"/>
        <v/>
      </c>
      <c r="U21" s="101" t="str">
        <f t="shared" si="6"/>
        <v/>
      </c>
      <c r="V21" s="101" t="str">
        <f t="shared" si="6"/>
        <v/>
      </c>
      <c r="W21" s="101" t="str">
        <f t="shared" si="6"/>
        <v/>
      </c>
      <c r="X21" s="101" t="str">
        <f t="shared" si="6"/>
        <v/>
      </c>
      <c r="Y21" s="101" t="str">
        <f t="shared" si="6"/>
        <v/>
      </c>
    </row>
    <row r="22" spans="1:25">
      <c r="A22" s="6"/>
      <c r="B22" s="6"/>
      <c r="C22" s="7"/>
      <c r="D22" s="7"/>
      <c r="E22" s="7"/>
      <c r="F22" s="7"/>
      <c r="G22" s="7"/>
      <c r="H22" s="7"/>
      <c r="I22" s="7"/>
      <c r="J22" s="7"/>
      <c r="K22" s="7"/>
      <c r="L22" s="7"/>
      <c r="M22" s="7"/>
      <c r="N22" s="7"/>
      <c r="O22" s="7"/>
      <c r="P22" s="7"/>
      <c r="Q22" s="7"/>
      <c r="R22" s="65"/>
      <c r="S22" s="100" t="str">
        <f t="shared" si="7"/>
        <v>Row 6</v>
      </c>
      <c r="T22" s="101" t="str">
        <f t="shared" si="6"/>
        <v/>
      </c>
      <c r="U22" s="101" t="str">
        <f t="shared" si="6"/>
        <v/>
      </c>
      <c r="V22" s="101" t="str">
        <f t="shared" si="6"/>
        <v/>
      </c>
      <c r="W22" s="101" t="str">
        <f t="shared" si="6"/>
        <v/>
      </c>
      <c r="X22" s="101" t="str">
        <f t="shared" si="6"/>
        <v/>
      </c>
      <c r="Y22" s="101" t="str">
        <f t="shared" si="6"/>
        <v/>
      </c>
    </row>
    <row r="23" spans="1:25">
      <c r="A23" s="6"/>
      <c r="B23" s="6"/>
      <c r="C23" s="7"/>
      <c r="D23" s="7"/>
      <c r="E23" s="7"/>
      <c r="F23" s="7"/>
      <c r="G23" s="7"/>
      <c r="H23" s="7"/>
      <c r="I23" s="7"/>
      <c r="J23" s="7"/>
      <c r="K23" s="7"/>
      <c r="L23" s="110"/>
      <c r="M23" s="110"/>
      <c r="N23" s="110"/>
      <c r="O23" s="110"/>
      <c r="P23" s="110"/>
      <c r="Q23" s="110"/>
      <c r="R23" s="65"/>
      <c r="S23" s="65"/>
      <c r="T23" s="65"/>
      <c r="U23" s="65"/>
      <c r="V23" s="65"/>
      <c r="W23" s="65"/>
      <c r="X23" s="65"/>
      <c r="Y23" s="65"/>
    </row>
    <row r="24" spans="1:25">
      <c r="A24" s="6"/>
      <c r="B24" s="6"/>
      <c r="C24" s="7"/>
      <c r="D24" s="7"/>
      <c r="E24" s="7"/>
      <c r="F24" s="7"/>
      <c r="G24" s="7"/>
      <c r="H24" s="7"/>
      <c r="I24" s="7"/>
      <c r="J24" s="7"/>
      <c r="K24" s="7"/>
      <c r="L24" s="7"/>
      <c r="M24" s="7"/>
      <c r="N24" s="7"/>
      <c r="O24" s="7"/>
      <c r="P24" s="7"/>
      <c r="Q24" s="7"/>
      <c r="R24" s="65"/>
      <c r="S24" s="65"/>
      <c r="T24" s="65"/>
      <c r="U24" s="65"/>
      <c r="V24" s="65"/>
      <c r="W24" s="65"/>
      <c r="X24" s="65"/>
      <c r="Y24" s="65"/>
    </row>
    <row r="25" spans="1:25">
      <c r="A25" s="6"/>
      <c r="B25" s="6"/>
      <c r="C25" s="7"/>
      <c r="D25" s="7"/>
      <c r="E25" s="7"/>
      <c r="F25" s="7"/>
      <c r="G25" s="7"/>
      <c r="H25" s="7"/>
      <c r="I25" s="7"/>
      <c r="J25" s="7"/>
      <c r="K25" s="7"/>
      <c r="L25" s="222"/>
      <c r="M25" s="222"/>
      <c r="N25" s="222"/>
      <c r="O25" s="222"/>
      <c r="P25" s="222"/>
      <c r="Q25" s="222"/>
      <c r="R25" s="65"/>
      <c r="S25" s="65"/>
      <c r="T25" s="65"/>
      <c r="U25" s="65"/>
      <c r="V25" s="65"/>
      <c r="W25" s="65"/>
      <c r="X25" s="65"/>
      <c r="Y25" s="65"/>
    </row>
    <row r="26" spans="1:25">
      <c r="A26" s="6"/>
      <c r="B26" s="6"/>
      <c r="C26" s="7"/>
      <c r="D26" s="7"/>
      <c r="E26" s="7"/>
      <c r="F26" s="7"/>
      <c r="G26" s="7"/>
      <c r="H26" s="7"/>
      <c r="I26" s="7"/>
      <c r="J26" s="7"/>
      <c r="K26" s="7"/>
      <c r="L26" s="222"/>
      <c r="M26" s="222"/>
      <c r="N26" s="222"/>
      <c r="O26" s="222"/>
      <c r="P26" s="222"/>
      <c r="Q26" s="222"/>
      <c r="R26" s="65"/>
      <c r="S26" s="65"/>
      <c r="T26" s="65"/>
      <c r="U26" s="65"/>
      <c r="V26" s="65"/>
      <c r="W26" s="65"/>
      <c r="X26" s="65"/>
      <c r="Y26" s="65"/>
    </row>
    <row r="27" spans="1:25">
      <c r="A27" s="6"/>
      <c r="B27" s="6"/>
      <c r="C27" s="7"/>
      <c r="D27" s="7"/>
      <c r="E27" s="7"/>
      <c r="F27" s="7"/>
      <c r="G27" s="7"/>
      <c r="H27" s="7"/>
      <c r="I27" s="7"/>
      <c r="J27" s="7"/>
      <c r="K27" s="7"/>
      <c r="L27" s="222"/>
      <c r="M27" s="222"/>
      <c r="N27" s="222"/>
      <c r="O27" s="222"/>
      <c r="P27" s="222"/>
      <c r="Q27" s="222"/>
      <c r="R27" s="65"/>
      <c r="S27" s="65"/>
      <c r="T27" s="65"/>
      <c r="U27" s="65"/>
      <c r="V27" s="65"/>
      <c r="W27" s="65"/>
      <c r="X27" s="65"/>
      <c r="Y27" s="65"/>
    </row>
    <row r="28" spans="1:25">
      <c r="A28" s="6"/>
      <c r="B28" s="6"/>
      <c r="C28" s="7"/>
      <c r="D28" s="7"/>
      <c r="E28" s="7"/>
      <c r="F28" s="7"/>
      <c r="G28" s="7"/>
      <c r="H28" s="7"/>
      <c r="I28" s="7"/>
      <c r="J28" s="7"/>
      <c r="K28" s="7"/>
      <c r="L28" s="222"/>
      <c r="M28" s="222"/>
      <c r="N28" s="222"/>
      <c r="O28" s="222"/>
      <c r="P28" s="222"/>
      <c r="Q28" s="222"/>
      <c r="R28" s="65"/>
      <c r="S28" s="65"/>
      <c r="T28" s="65"/>
      <c r="U28" s="65"/>
      <c r="V28" s="65"/>
      <c r="W28" s="65"/>
      <c r="X28" s="65"/>
      <c r="Y28" s="65"/>
    </row>
    <row r="29" spans="1:25">
      <c r="A29" s="6"/>
      <c r="B29" s="6"/>
      <c r="C29" s="7"/>
      <c r="D29" s="7"/>
      <c r="E29" s="7"/>
      <c r="F29" s="7"/>
      <c r="G29" s="7"/>
      <c r="H29" s="7"/>
      <c r="I29" s="7"/>
      <c r="J29" s="7"/>
      <c r="K29" s="7"/>
      <c r="L29" s="222"/>
      <c r="M29" s="222"/>
      <c r="N29" s="222"/>
      <c r="O29" s="222"/>
      <c r="P29" s="222"/>
      <c r="Q29" s="222"/>
      <c r="R29" s="65"/>
      <c r="S29" s="65"/>
      <c r="T29" s="65"/>
      <c r="U29" s="65"/>
      <c r="V29" s="65"/>
      <c r="W29" s="65"/>
      <c r="X29" s="65"/>
      <c r="Y29" s="65"/>
    </row>
    <row r="30" spans="1:25">
      <c r="A30" s="6"/>
      <c r="B30" s="6"/>
      <c r="C30" s="7"/>
      <c r="D30" s="7"/>
      <c r="E30" s="7"/>
      <c r="F30" s="7"/>
      <c r="G30" s="7"/>
      <c r="H30" s="7"/>
      <c r="I30" s="7"/>
      <c r="J30" s="7"/>
      <c r="K30" s="7"/>
      <c r="L30" s="222"/>
      <c r="M30" s="222"/>
      <c r="N30" s="222"/>
      <c r="O30" s="222"/>
      <c r="P30" s="222"/>
      <c r="Q30" s="222"/>
      <c r="R30" s="65"/>
      <c r="S30" s="65"/>
      <c r="T30" s="65"/>
      <c r="U30" s="65"/>
      <c r="V30" s="65"/>
      <c r="W30" s="65"/>
      <c r="X30" s="65"/>
      <c r="Y30" s="65"/>
    </row>
    <row r="31" spans="1:25">
      <c r="A31" s="6"/>
      <c r="B31" s="6"/>
      <c r="C31" s="7"/>
      <c r="D31" s="7"/>
      <c r="E31" s="7"/>
      <c r="F31" s="7"/>
      <c r="G31" s="7"/>
      <c r="H31" s="7"/>
      <c r="I31" s="7"/>
      <c r="J31" s="7"/>
      <c r="K31" s="7"/>
      <c r="L31" s="222"/>
      <c r="M31" s="222"/>
      <c r="N31" s="222"/>
      <c r="O31" s="222"/>
      <c r="P31" s="222"/>
      <c r="Q31" s="222"/>
      <c r="R31" s="65"/>
      <c r="S31" s="65"/>
      <c r="T31" s="65"/>
      <c r="U31" s="65"/>
      <c r="V31" s="65"/>
      <c r="W31" s="65"/>
      <c r="X31" s="65"/>
      <c r="Y31" s="65"/>
    </row>
    <row r="32" spans="1:25">
      <c r="A32" s="6"/>
      <c r="B32" s="6"/>
      <c r="C32" s="223" t="s">
        <v>117</v>
      </c>
      <c r="D32" s="224"/>
      <c r="E32" s="224"/>
      <c r="F32" s="225"/>
      <c r="G32" s="7"/>
      <c r="H32" s="7"/>
      <c r="I32" s="7"/>
      <c r="J32" s="7"/>
      <c r="K32" s="7"/>
      <c r="L32" s="7"/>
      <c r="M32" s="7"/>
      <c r="N32" s="7"/>
      <c r="O32" s="7"/>
      <c r="P32" s="7"/>
      <c r="Q32" s="7"/>
      <c r="R32" s="65"/>
      <c r="S32" s="65"/>
      <c r="T32" s="65"/>
      <c r="U32" s="65"/>
      <c r="V32" s="65"/>
      <c r="W32" s="65"/>
      <c r="X32" s="65"/>
      <c r="Y32" s="65"/>
    </row>
    <row r="33" spans="1:25">
      <c r="A33" s="6"/>
      <c r="B33" s="6"/>
      <c r="C33" s="226"/>
      <c r="D33" s="227"/>
      <c r="E33" s="227"/>
      <c r="F33" s="228"/>
      <c r="G33" s="7"/>
      <c r="H33" s="7"/>
      <c r="I33" s="7"/>
      <c r="J33" s="7"/>
      <c r="K33" s="7"/>
      <c r="L33" s="7"/>
      <c r="M33" s="7"/>
      <c r="N33" s="7"/>
      <c r="O33" s="7"/>
      <c r="P33" s="7"/>
      <c r="Q33" s="7"/>
      <c r="R33" s="65"/>
      <c r="S33" s="65"/>
      <c r="T33" s="65"/>
      <c r="U33" s="65"/>
      <c r="V33" s="65"/>
      <c r="W33" s="65"/>
      <c r="X33" s="65"/>
      <c r="Y33" s="65"/>
    </row>
    <row r="34" spans="1:25">
      <c r="A34" s="6"/>
      <c r="B34" s="6"/>
      <c r="C34" s="229"/>
      <c r="D34" s="230"/>
      <c r="E34" s="230"/>
      <c r="F34" s="231"/>
      <c r="G34" s="7"/>
      <c r="H34" s="7"/>
      <c r="I34" s="7"/>
      <c r="J34" s="7"/>
      <c r="K34" s="7"/>
      <c r="L34" s="7"/>
      <c r="M34" s="7"/>
      <c r="N34" s="7"/>
      <c r="O34" s="7"/>
      <c r="P34" s="7"/>
      <c r="Q34" s="7"/>
      <c r="R34" s="65"/>
      <c r="S34" s="65"/>
      <c r="T34" s="65"/>
      <c r="U34" s="65"/>
      <c r="V34" s="65"/>
      <c r="W34" s="65"/>
      <c r="X34" s="65"/>
      <c r="Y34" s="65"/>
    </row>
    <row r="35" spans="1:25">
      <c r="A35" s="6"/>
      <c r="B35" s="6"/>
      <c r="C35" s="7"/>
      <c r="D35" s="7"/>
      <c r="E35" s="7"/>
      <c r="F35" s="7"/>
      <c r="G35" s="7"/>
      <c r="H35" s="7"/>
      <c r="I35" s="7"/>
      <c r="J35" s="7"/>
      <c r="K35" s="7"/>
      <c r="L35" s="7"/>
      <c r="M35" s="7"/>
      <c r="N35" s="7"/>
      <c r="O35" s="7"/>
      <c r="P35" s="7"/>
      <c r="Q35" s="7"/>
      <c r="R35" s="65"/>
      <c r="S35" s="65"/>
      <c r="T35" s="65"/>
      <c r="U35" s="65"/>
      <c r="V35" s="65"/>
      <c r="W35" s="65"/>
      <c r="X35" s="65"/>
      <c r="Y35" s="65"/>
    </row>
    <row r="36" spans="1:25">
      <c r="A36" s="6"/>
      <c r="B36" s="6"/>
      <c r="C36" s="7"/>
      <c r="D36" s="7"/>
      <c r="E36" s="7"/>
      <c r="F36" s="7"/>
      <c r="G36" s="7"/>
      <c r="H36" s="7"/>
      <c r="I36" s="7"/>
      <c r="J36" s="7"/>
      <c r="K36" s="7"/>
      <c r="L36" s="7"/>
      <c r="M36" s="7"/>
      <c r="N36" s="7"/>
      <c r="O36" s="7"/>
      <c r="P36" s="7"/>
      <c r="Q36" s="7"/>
      <c r="R36" s="65"/>
      <c r="S36" s="65"/>
      <c r="T36" s="65"/>
      <c r="U36" s="65"/>
      <c r="V36" s="65"/>
      <c r="W36" s="65"/>
      <c r="X36" s="65"/>
      <c r="Y36" s="65"/>
    </row>
    <row r="37" spans="1:25">
      <c r="A37" s="6"/>
      <c r="B37" s="6"/>
      <c r="C37" s="7"/>
      <c r="D37" s="7"/>
      <c r="E37" s="7"/>
      <c r="F37" s="7"/>
      <c r="G37" s="7"/>
      <c r="H37" s="7"/>
      <c r="I37" s="7"/>
      <c r="J37" s="7"/>
      <c r="K37" s="7"/>
      <c r="L37" s="7"/>
      <c r="M37" s="7"/>
      <c r="N37" s="7"/>
      <c r="O37" s="7"/>
      <c r="P37" s="7"/>
      <c r="Q37" s="7"/>
      <c r="R37" s="65"/>
      <c r="S37" s="65"/>
      <c r="T37" s="65"/>
      <c r="U37" s="65"/>
      <c r="V37" s="65"/>
      <c r="W37" s="65"/>
      <c r="X37" s="65"/>
      <c r="Y37" s="65"/>
    </row>
    <row r="38" spans="1:25">
      <c r="A38" s="6"/>
      <c r="B38" s="6"/>
      <c r="C38" s="7"/>
      <c r="D38" s="7"/>
      <c r="E38" s="7"/>
      <c r="F38" s="7"/>
      <c r="G38" s="7"/>
      <c r="H38" s="7"/>
      <c r="I38" s="7"/>
      <c r="J38" s="7"/>
      <c r="K38" s="7"/>
      <c r="L38" s="7"/>
      <c r="M38" s="7"/>
      <c r="N38" s="7"/>
      <c r="O38" s="7"/>
      <c r="P38" s="7"/>
      <c r="Q38" s="7"/>
      <c r="R38" s="65"/>
      <c r="S38" s="65"/>
      <c r="T38" s="65"/>
      <c r="U38" s="65"/>
      <c r="V38" s="65"/>
      <c r="W38" s="65"/>
      <c r="X38" s="65"/>
      <c r="Y38" s="65"/>
    </row>
    <row r="39" spans="1:25">
      <c r="A39" s="6"/>
      <c r="B39" s="6"/>
      <c r="C39" s="7"/>
      <c r="D39" s="7"/>
      <c r="E39" s="7"/>
      <c r="F39" s="7"/>
      <c r="G39" s="7"/>
      <c r="H39" s="7"/>
      <c r="I39" s="7"/>
      <c r="J39" s="7"/>
      <c r="K39" s="7"/>
      <c r="L39" s="7"/>
      <c r="M39" s="7"/>
      <c r="N39" s="7"/>
      <c r="O39" s="7"/>
      <c r="P39" s="7"/>
      <c r="Q39" s="7"/>
      <c r="R39" s="65"/>
      <c r="S39" s="65"/>
      <c r="T39" s="65"/>
      <c r="U39" s="65"/>
      <c r="V39" s="65"/>
      <c r="W39" s="65"/>
      <c r="X39" s="65"/>
      <c r="Y39" s="65"/>
    </row>
    <row r="40" spans="1:25">
      <c r="A40" s="6"/>
      <c r="B40" s="6"/>
      <c r="C40" s="7"/>
      <c r="D40" s="7"/>
      <c r="E40" s="7"/>
      <c r="F40" s="7"/>
      <c r="G40" s="7"/>
      <c r="H40" s="7"/>
      <c r="I40" s="7"/>
      <c r="J40" s="7"/>
      <c r="K40" s="7"/>
      <c r="L40" s="7"/>
      <c r="M40" s="7"/>
      <c r="N40" s="7"/>
      <c r="O40" s="7"/>
      <c r="P40" s="7"/>
      <c r="Q40" s="7"/>
      <c r="R40" s="65"/>
      <c r="S40" s="65"/>
      <c r="T40" s="65"/>
      <c r="U40" s="65"/>
      <c r="V40" s="65"/>
      <c r="W40" s="65"/>
      <c r="X40" s="65"/>
      <c r="Y40" s="65"/>
    </row>
    <row r="41" spans="1:25">
      <c r="A41" s="5"/>
      <c r="B41" s="5"/>
      <c r="C41" s="5"/>
      <c r="D41" s="5"/>
      <c r="E41" s="5"/>
      <c r="F41" s="5"/>
      <c r="G41" s="5"/>
      <c r="H41" s="5"/>
      <c r="I41" s="5"/>
      <c r="J41" s="5"/>
      <c r="K41" s="5"/>
      <c r="L41" s="5"/>
      <c r="M41" s="5"/>
      <c r="N41" s="5"/>
      <c r="O41" s="5"/>
      <c r="P41" s="5"/>
      <c r="Q41" s="5"/>
      <c r="R41" s="5"/>
      <c r="S41" s="5"/>
      <c r="T41" s="5"/>
      <c r="Y41"/>
    </row>
    <row r="42" spans="1:25">
      <c r="A42" s="5"/>
      <c r="B42" s="5"/>
      <c r="C42" s="5"/>
      <c r="D42" s="5"/>
      <c r="E42" s="5"/>
      <c r="F42" s="5"/>
      <c r="G42" s="5"/>
      <c r="H42" s="5"/>
      <c r="I42" s="5"/>
      <c r="J42" s="5"/>
      <c r="K42" s="5"/>
      <c r="L42" s="5"/>
      <c r="M42" s="5"/>
      <c r="N42" s="5"/>
      <c r="O42" s="5"/>
      <c r="P42" s="5"/>
      <c r="Q42" s="5"/>
      <c r="R42" s="5"/>
      <c r="S42" s="5"/>
      <c r="T42" s="5"/>
      <c r="Y42"/>
    </row>
    <row r="43" spans="1:25">
      <c r="A43" s="5"/>
      <c r="B43" s="5"/>
      <c r="C43" s="5"/>
      <c r="D43" s="5"/>
      <c r="E43" s="5"/>
      <c r="F43" s="5"/>
      <c r="G43" s="5"/>
      <c r="H43" s="5"/>
      <c r="I43" s="5"/>
      <c r="J43" s="5"/>
      <c r="K43" s="5"/>
      <c r="L43" s="5"/>
      <c r="M43" s="5"/>
      <c r="N43" s="5"/>
      <c r="O43" s="5"/>
      <c r="P43" s="5"/>
      <c r="Q43" s="5"/>
      <c r="R43" s="5"/>
      <c r="S43" s="5"/>
      <c r="T43" s="5"/>
      <c r="Y43"/>
    </row>
    <row r="44" spans="1:25">
      <c r="A44" s="5"/>
      <c r="B44" s="5"/>
      <c r="C44" s="5"/>
      <c r="D44" s="5"/>
      <c r="E44" s="5"/>
      <c r="F44" s="5"/>
      <c r="G44" s="5"/>
      <c r="H44" s="5"/>
      <c r="I44" s="5"/>
      <c r="J44" s="5"/>
      <c r="K44" s="5"/>
      <c r="L44" s="5"/>
      <c r="M44" s="5"/>
      <c r="N44" s="5"/>
      <c r="O44" s="5"/>
      <c r="P44" s="5"/>
      <c r="Q44" s="5"/>
      <c r="R44" s="5"/>
      <c r="S44" s="5"/>
      <c r="T44" s="5"/>
      <c r="Y44"/>
    </row>
    <row r="45" spans="1:25">
      <c r="A45" s="5"/>
      <c r="B45" s="5"/>
      <c r="C45" s="5"/>
      <c r="D45" s="5"/>
      <c r="E45" s="5"/>
      <c r="F45" s="5"/>
      <c r="G45" s="5"/>
      <c r="H45" s="5"/>
      <c r="I45" s="5"/>
      <c r="J45" s="5"/>
      <c r="K45" s="5"/>
      <c r="L45" s="5"/>
      <c r="M45" s="5"/>
      <c r="N45" s="5"/>
      <c r="O45" s="5"/>
      <c r="P45" s="5"/>
      <c r="Q45" s="5"/>
      <c r="R45" s="5"/>
      <c r="S45" s="5"/>
      <c r="T45" s="5"/>
      <c r="Y45"/>
    </row>
    <row r="46" spans="1:25">
      <c r="A46" s="5"/>
      <c r="B46" s="5"/>
      <c r="C46" s="5"/>
      <c r="D46" s="5"/>
      <c r="E46" s="5"/>
      <c r="F46" s="5"/>
      <c r="G46" s="5"/>
      <c r="H46" s="5"/>
      <c r="I46" s="5"/>
      <c r="J46" s="5"/>
      <c r="K46" s="5"/>
      <c r="L46" s="5"/>
      <c r="M46" s="5"/>
      <c r="N46" s="5"/>
      <c r="O46" s="5"/>
      <c r="P46" s="5"/>
      <c r="Q46" s="5"/>
      <c r="R46" s="5"/>
      <c r="S46" s="5"/>
      <c r="T46" s="5"/>
      <c r="Y46"/>
    </row>
    <row r="47" spans="1:25">
      <c r="A47" s="5"/>
      <c r="B47" s="5"/>
      <c r="C47" s="5"/>
      <c r="D47" s="5"/>
      <c r="E47" s="5"/>
      <c r="F47" s="5"/>
      <c r="G47" s="5"/>
      <c r="H47" s="5"/>
      <c r="I47" s="5"/>
      <c r="J47" s="5"/>
      <c r="K47" s="5"/>
      <c r="L47" s="5"/>
      <c r="M47" s="5"/>
      <c r="N47" s="5"/>
      <c r="O47" s="5"/>
      <c r="P47" s="5"/>
      <c r="Q47" s="5"/>
      <c r="R47" s="5"/>
      <c r="S47" s="5"/>
      <c r="T47" s="5"/>
      <c r="Y47"/>
    </row>
    <row r="48" spans="1:25">
      <c r="A48" s="5"/>
      <c r="B48" s="5"/>
      <c r="C48" s="5"/>
      <c r="D48" s="5"/>
      <c r="E48" s="5"/>
      <c r="F48" s="5"/>
      <c r="G48" s="5"/>
      <c r="H48" s="5"/>
      <c r="I48" s="5"/>
      <c r="J48" s="5"/>
      <c r="K48" s="5"/>
      <c r="L48" s="5"/>
      <c r="M48" s="5"/>
      <c r="N48" s="5"/>
      <c r="O48" s="5"/>
      <c r="P48" s="5"/>
      <c r="Q48" s="5"/>
      <c r="R48" s="5"/>
      <c r="S48" s="5"/>
      <c r="T48" s="5"/>
      <c r="Y48"/>
    </row>
    <row r="49" spans="1:25">
      <c r="A49" s="5"/>
      <c r="B49" s="5"/>
      <c r="C49" s="5"/>
      <c r="D49" s="5"/>
      <c r="E49" s="5"/>
      <c r="F49" s="5"/>
      <c r="G49" s="5"/>
      <c r="H49" s="5"/>
      <c r="I49" s="5"/>
      <c r="J49" s="5"/>
      <c r="K49" s="5"/>
      <c r="L49" s="5"/>
      <c r="M49" s="5"/>
      <c r="N49" s="5"/>
      <c r="O49" s="5"/>
      <c r="P49" s="5"/>
      <c r="Q49" s="5"/>
      <c r="R49" s="5"/>
      <c r="S49" s="5"/>
      <c r="T49" s="5"/>
      <c r="Y49"/>
    </row>
    <row r="50" spans="1:25">
      <c r="A50" s="5"/>
      <c r="B50" s="5"/>
      <c r="C50" s="5"/>
      <c r="D50" s="5"/>
      <c r="E50" s="5"/>
      <c r="F50" s="5"/>
      <c r="G50" s="5"/>
      <c r="H50" s="5"/>
      <c r="I50" s="5"/>
      <c r="J50" s="5"/>
      <c r="K50" s="5"/>
      <c r="L50" s="5"/>
      <c r="M50" s="5"/>
      <c r="N50" s="5"/>
      <c r="O50" s="5"/>
      <c r="P50" s="5"/>
      <c r="Q50" s="5"/>
      <c r="R50" s="5"/>
      <c r="S50" s="5"/>
      <c r="T50" s="5"/>
      <c r="Y50"/>
    </row>
    <row r="51" spans="1:25">
      <c r="A51" s="5"/>
      <c r="B51" s="5"/>
      <c r="C51" s="5"/>
      <c r="D51" s="5"/>
      <c r="E51" s="5"/>
      <c r="F51" s="5"/>
      <c r="G51" s="5"/>
      <c r="H51" s="5"/>
      <c r="I51" s="5"/>
      <c r="J51" s="5"/>
      <c r="K51" s="5"/>
      <c r="L51" s="5"/>
      <c r="M51" s="5"/>
      <c r="N51" s="5"/>
      <c r="O51" s="5"/>
      <c r="P51" s="5"/>
      <c r="Q51" s="5"/>
      <c r="R51" s="5"/>
      <c r="S51" s="5"/>
      <c r="T51" s="5"/>
      <c r="Y51"/>
    </row>
    <row r="52" spans="1:25">
      <c r="A52" s="5"/>
      <c r="B52" s="5"/>
      <c r="C52" s="5"/>
      <c r="D52" s="5"/>
      <c r="E52" s="5"/>
      <c r="F52" s="5"/>
      <c r="G52" s="5"/>
      <c r="H52" s="5"/>
      <c r="I52" s="5"/>
      <c r="J52" s="5"/>
      <c r="K52" s="5"/>
      <c r="L52" s="5"/>
      <c r="M52" s="5"/>
      <c r="N52" s="5"/>
      <c r="O52" s="5"/>
      <c r="P52" s="5"/>
      <c r="Q52" s="5"/>
      <c r="R52" s="5"/>
      <c r="S52" s="5"/>
      <c r="T52" s="5"/>
      <c r="Y52"/>
    </row>
    <row r="53" spans="1:25">
      <c r="A53" s="5"/>
      <c r="B53" s="5"/>
      <c r="C53" s="5"/>
      <c r="D53" s="5"/>
      <c r="E53" s="5"/>
      <c r="F53" s="5"/>
      <c r="G53" s="5"/>
      <c r="H53" s="5"/>
      <c r="I53" s="5"/>
      <c r="J53" s="5"/>
      <c r="K53" s="5"/>
      <c r="L53" s="5"/>
      <c r="M53" s="5"/>
      <c r="N53" s="5"/>
      <c r="O53" s="5"/>
      <c r="P53" s="5"/>
      <c r="Q53" s="5"/>
      <c r="R53" s="5"/>
      <c r="S53" s="5"/>
      <c r="T53" s="5"/>
      <c r="Y53"/>
    </row>
    <row r="54" spans="1:25">
      <c r="A54" s="5"/>
      <c r="B54" s="5"/>
      <c r="C54" s="5"/>
      <c r="D54" s="5"/>
      <c r="E54" s="5"/>
      <c r="F54" s="5"/>
      <c r="G54" s="5"/>
      <c r="H54" s="5"/>
      <c r="I54" s="5"/>
      <c r="J54" s="5"/>
      <c r="K54" s="5"/>
      <c r="L54" s="5"/>
      <c r="M54" s="5"/>
      <c r="N54" s="5"/>
      <c r="O54" s="5"/>
      <c r="P54" s="5"/>
      <c r="Q54" s="5"/>
      <c r="R54" s="5"/>
      <c r="S54" s="5"/>
      <c r="T54" s="5"/>
      <c r="Y54"/>
    </row>
    <row r="55" spans="1:25">
      <c r="A55" s="5"/>
      <c r="B55" s="5"/>
      <c r="C55" s="5"/>
      <c r="D55" s="5"/>
      <c r="E55" s="5"/>
      <c r="F55" s="5"/>
      <c r="G55" s="5"/>
      <c r="H55" s="5"/>
      <c r="I55" s="5"/>
      <c r="J55" s="5"/>
      <c r="K55" s="5"/>
      <c r="L55" s="5"/>
      <c r="M55" s="5"/>
      <c r="N55" s="5"/>
      <c r="O55" s="5"/>
      <c r="P55" s="5"/>
      <c r="Q55" s="5"/>
      <c r="R55" s="5"/>
      <c r="S55" s="5"/>
      <c r="T55" s="5"/>
      <c r="Y55"/>
    </row>
    <row r="56" spans="1:25">
      <c r="A56" s="5"/>
      <c r="B56" s="5"/>
      <c r="C56" s="5"/>
      <c r="D56" s="5"/>
      <c r="E56" s="5"/>
      <c r="F56" s="5"/>
      <c r="G56" s="5"/>
      <c r="H56" s="5"/>
      <c r="I56" s="5"/>
      <c r="J56" s="5"/>
      <c r="K56" s="5"/>
      <c r="L56" s="5"/>
      <c r="M56" s="5"/>
      <c r="N56" s="5"/>
      <c r="O56" s="5"/>
      <c r="P56" s="5"/>
      <c r="Q56" s="5"/>
      <c r="R56" s="5"/>
      <c r="S56" s="5"/>
      <c r="T56" s="5"/>
      <c r="Y56"/>
    </row>
    <row r="57" spans="1:25">
      <c r="A57" s="5"/>
      <c r="B57" s="5"/>
      <c r="C57" s="5"/>
      <c r="D57" s="5"/>
      <c r="E57" s="5"/>
      <c r="F57" s="5"/>
      <c r="G57" s="5"/>
      <c r="H57" s="5"/>
      <c r="I57" s="5"/>
      <c r="J57" s="5"/>
      <c r="K57" s="5"/>
      <c r="L57" s="5"/>
      <c r="M57" s="5"/>
      <c r="N57" s="5"/>
      <c r="O57" s="5"/>
      <c r="P57" s="5"/>
      <c r="Q57" s="5"/>
      <c r="R57" s="5"/>
      <c r="S57" s="5"/>
      <c r="T57" s="5"/>
      <c r="Y57"/>
    </row>
    <row r="58" spans="1:25">
      <c r="A58" s="5"/>
      <c r="B58" s="5"/>
      <c r="C58" s="5"/>
      <c r="D58" s="5"/>
      <c r="E58" s="5"/>
      <c r="F58" s="5"/>
      <c r="G58" s="5"/>
      <c r="H58" s="5"/>
      <c r="I58" s="5"/>
      <c r="J58" s="5"/>
      <c r="K58" s="5"/>
      <c r="L58" s="5"/>
      <c r="M58" s="5"/>
      <c r="N58" s="5"/>
      <c r="O58" s="5"/>
      <c r="P58" s="5"/>
      <c r="Q58" s="5"/>
      <c r="R58" s="5"/>
      <c r="S58" s="5"/>
      <c r="T58" s="5"/>
      <c r="Y58"/>
    </row>
    <row r="59" spans="1:25">
      <c r="A59" s="5"/>
      <c r="B59" s="5"/>
      <c r="C59" s="5"/>
      <c r="D59" s="5"/>
      <c r="E59" s="5"/>
      <c r="F59" s="5"/>
      <c r="G59" s="5"/>
      <c r="H59" s="5"/>
      <c r="I59" s="5"/>
      <c r="J59" s="5"/>
      <c r="K59" s="5"/>
      <c r="L59" s="5"/>
      <c r="M59" s="5"/>
      <c r="N59" s="5"/>
      <c r="O59" s="5"/>
      <c r="P59" s="5"/>
      <c r="Q59" s="5"/>
      <c r="R59" s="5"/>
      <c r="S59" s="5"/>
      <c r="T59" s="5"/>
      <c r="Y59"/>
    </row>
    <row r="60" spans="1:25">
      <c r="A60" s="5"/>
      <c r="B60" s="5"/>
      <c r="C60" s="5"/>
      <c r="D60" s="5"/>
      <c r="E60" s="5"/>
      <c r="F60" s="5"/>
      <c r="G60" s="5"/>
      <c r="H60" s="5"/>
      <c r="I60" s="5"/>
      <c r="J60" s="5"/>
      <c r="K60" s="5"/>
      <c r="L60" s="5"/>
      <c r="M60" s="5"/>
      <c r="N60" s="5"/>
      <c r="O60" s="5"/>
      <c r="P60" s="5"/>
      <c r="Q60" s="5"/>
      <c r="R60" s="5"/>
      <c r="S60" s="5"/>
      <c r="T60" s="5"/>
      <c r="Y60"/>
    </row>
    <row r="61" spans="1:25">
      <c r="A61" s="5"/>
      <c r="B61" s="5"/>
      <c r="C61" s="5"/>
      <c r="D61" s="5"/>
      <c r="E61" s="5"/>
      <c r="F61" s="5"/>
      <c r="G61" s="5"/>
      <c r="H61" s="5"/>
      <c r="I61" s="5"/>
      <c r="J61" s="5"/>
      <c r="K61" s="5"/>
      <c r="L61" s="5"/>
      <c r="M61" s="5"/>
      <c r="N61" s="5"/>
      <c r="O61" s="5"/>
      <c r="P61" s="5"/>
      <c r="Q61" s="5"/>
      <c r="R61" s="5"/>
      <c r="S61" s="5"/>
      <c r="T61" s="5"/>
      <c r="Y61"/>
    </row>
    <row r="62" spans="1:25">
      <c r="A62" s="5"/>
      <c r="B62" s="5"/>
      <c r="C62" s="5"/>
      <c r="D62" s="5"/>
      <c r="E62" s="5"/>
      <c r="F62" s="5"/>
      <c r="G62" s="5"/>
      <c r="H62" s="5"/>
      <c r="I62" s="5"/>
      <c r="J62" s="5"/>
      <c r="K62" s="5"/>
      <c r="L62" s="5"/>
      <c r="M62" s="5"/>
      <c r="N62" s="5"/>
      <c r="O62" s="5"/>
      <c r="P62" s="5"/>
      <c r="Q62" s="5"/>
      <c r="R62" s="5"/>
      <c r="S62" s="5"/>
      <c r="T62" s="5"/>
      <c r="Y62"/>
    </row>
    <row r="63" spans="1:25">
      <c r="A63" s="5"/>
      <c r="B63" s="5"/>
      <c r="C63" s="5"/>
      <c r="D63" s="5"/>
      <c r="E63" s="5"/>
      <c r="F63" s="5"/>
      <c r="G63" s="5"/>
      <c r="H63" s="5"/>
      <c r="I63" s="5"/>
      <c r="J63" s="5"/>
      <c r="K63" s="5"/>
      <c r="L63" s="5"/>
      <c r="M63" s="5"/>
      <c r="N63" s="5"/>
      <c r="O63" s="5"/>
      <c r="P63" s="5"/>
      <c r="Q63" s="5"/>
      <c r="R63" s="5"/>
      <c r="S63" s="5"/>
      <c r="T63" s="5"/>
      <c r="Y63"/>
    </row>
    <row r="64" spans="1:25">
      <c r="A64" s="5"/>
      <c r="B64" s="5"/>
      <c r="C64" s="5"/>
      <c r="D64" s="5"/>
      <c r="E64" s="5"/>
      <c r="F64" s="5"/>
      <c r="G64" s="5"/>
      <c r="H64" s="5"/>
      <c r="I64" s="5"/>
      <c r="J64" s="5"/>
      <c r="K64" s="5"/>
      <c r="L64" s="5"/>
      <c r="M64" s="5"/>
      <c r="N64" s="5"/>
      <c r="O64" s="5"/>
      <c r="P64" s="5"/>
      <c r="Q64" s="5"/>
      <c r="R64" s="5"/>
      <c r="S64" s="5"/>
      <c r="T64" s="5"/>
      <c r="Y64"/>
    </row>
    <row r="65" spans="1:25">
      <c r="A65" s="5"/>
      <c r="B65" s="5"/>
      <c r="C65" s="5"/>
      <c r="D65" s="5"/>
      <c r="E65" s="5"/>
      <c r="F65" s="5"/>
      <c r="G65" s="5"/>
      <c r="H65" s="5"/>
      <c r="I65" s="5"/>
      <c r="J65" s="5"/>
      <c r="K65" s="5"/>
      <c r="L65" s="5"/>
      <c r="M65" s="5"/>
      <c r="N65" s="5"/>
      <c r="O65" s="5"/>
      <c r="P65" s="5"/>
      <c r="Q65" s="5"/>
      <c r="R65" s="5"/>
      <c r="S65" s="5"/>
      <c r="T65" s="5"/>
      <c r="Y65"/>
    </row>
    <row r="66" spans="1:25">
      <c r="A66" s="5"/>
      <c r="B66" s="5"/>
      <c r="C66" s="5"/>
      <c r="D66" s="5"/>
      <c r="E66" s="5"/>
      <c r="F66" s="5"/>
      <c r="G66" s="5"/>
      <c r="H66" s="5"/>
      <c r="I66" s="5"/>
      <c r="J66" s="5"/>
      <c r="K66" s="5"/>
      <c r="L66" s="5"/>
      <c r="M66" s="5"/>
      <c r="N66" s="5"/>
      <c r="O66" s="5"/>
      <c r="P66" s="5"/>
      <c r="Q66" s="5"/>
      <c r="R66" s="5"/>
      <c r="S66" s="5"/>
      <c r="T66" s="5"/>
      <c r="Y66"/>
    </row>
    <row r="67" spans="1:25">
      <c r="A67" s="5"/>
      <c r="B67" s="5"/>
      <c r="C67" s="5"/>
      <c r="D67" s="5"/>
      <c r="E67" s="5"/>
      <c r="F67" s="5"/>
      <c r="G67" s="5"/>
      <c r="H67" s="5"/>
      <c r="I67" s="5"/>
      <c r="J67" s="5"/>
      <c r="K67" s="5"/>
      <c r="L67" s="5"/>
      <c r="M67" s="5"/>
      <c r="N67" s="5"/>
      <c r="O67" s="5"/>
      <c r="P67" s="5"/>
      <c r="Q67" s="5"/>
      <c r="R67" s="5"/>
      <c r="S67" s="5"/>
      <c r="T67" s="5"/>
      <c r="Y67"/>
    </row>
    <row r="68" spans="1:25">
      <c r="A68" s="5"/>
      <c r="B68" s="5"/>
      <c r="C68" s="5"/>
      <c r="D68" s="5"/>
      <c r="E68" s="5"/>
      <c r="F68" s="5"/>
      <c r="G68" s="5"/>
      <c r="H68" s="5"/>
      <c r="I68" s="5"/>
      <c r="J68" s="5"/>
      <c r="K68" s="5"/>
      <c r="L68" s="5"/>
      <c r="M68" s="5"/>
      <c r="N68" s="5"/>
      <c r="O68" s="5"/>
      <c r="P68" s="5"/>
      <c r="Q68" s="5"/>
      <c r="R68" s="5"/>
      <c r="S68" s="5"/>
      <c r="T68" s="5"/>
      <c r="Y68"/>
    </row>
    <row r="69" spans="1:25">
      <c r="A69" s="5"/>
      <c r="B69" s="5"/>
      <c r="C69" s="5"/>
      <c r="D69" s="5"/>
      <c r="E69" s="5"/>
      <c r="F69" s="5"/>
      <c r="G69" s="5"/>
      <c r="H69" s="5"/>
      <c r="I69" s="5"/>
      <c r="J69" s="5"/>
      <c r="K69" s="5"/>
      <c r="L69" s="5"/>
      <c r="M69" s="5"/>
      <c r="N69" s="5"/>
      <c r="O69" s="5"/>
      <c r="P69" s="5"/>
      <c r="Q69" s="5"/>
      <c r="R69" s="5"/>
      <c r="S69" s="5"/>
      <c r="T69" s="5"/>
      <c r="Y69"/>
    </row>
    <row r="70" spans="1:25">
      <c r="A70" s="5"/>
      <c r="B70" s="5"/>
      <c r="C70" s="5"/>
      <c r="D70" s="5"/>
      <c r="E70" s="5"/>
      <c r="F70" s="5"/>
      <c r="G70" s="5"/>
      <c r="H70" s="5"/>
      <c r="I70" s="5"/>
      <c r="J70" s="5"/>
      <c r="K70" s="5"/>
      <c r="L70" s="5"/>
      <c r="M70" s="5"/>
      <c r="N70" s="5"/>
      <c r="O70" s="5"/>
      <c r="P70" s="5"/>
      <c r="Q70" s="5"/>
      <c r="R70" s="5"/>
      <c r="S70" s="5"/>
      <c r="T70" s="5"/>
      <c r="Y70"/>
    </row>
    <row r="71" spans="1:25">
      <c r="A71" s="5"/>
      <c r="B71" s="5"/>
      <c r="C71" s="5"/>
      <c r="D71" s="5"/>
      <c r="E71" s="5"/>
      <c r="F71" s="5"/>
      <c r="G71" s="5"/>
      <c r="H71" s="5"/>
      <c r="I71" s="5"/>
      <c r="J71" s="5"/>
      <c r="K71" s="5"/>
      <c r="L71" s="5"/>
      <c r="M71" s="5"/>
      <c r="N71" s="5"/>
      <c r="O71" s="5"/>
      <c r="P71" s="5"/>
      <c r="Q71" s="5"/>
      <c r="R71" s="5"/>
      <c r="S71" s="5"/>
    </row>
    <row r="72" spans="1:25">
      <c r="A72" s="5"/>
      <c r="B72" s="5"/>
      <c r="C72" s="5"/>
      <c r="D72" s="5"/>
      <c r="E72" s="5"/>
      <c r="F72" s="5"/>
      <c r="G72" s="5"/>
      <c r="H72" s="5"/>
      <c r="I72" s="5"/>
      <c r="J72" s="5"/>
      <c r="K72" s="5"/>
      <c r="L72" s="5"/>
      <c r="M72" s="5"/>
      <c r="N72" s="5"/>
      <c r="O72" s="5"/>
      <c r="P72" s="5"/>
      <c r="Q72" s="5"/>
      <c r="R72" s="5"/>
      <c r="S72" s="5"/>
    </row>
    <row r="73" spans="1:25">
      <c r="A73" s="5"/>
      <c r="B73" s="5"/>
      <c r="C73" s="5"/>
      <c r="D73" s="5"/>
      <c r="E73" s="5"/>
      <c r="F73" s="5"/>
      <c r="G73" s="5"/>
      <c r="H73" s="5"/>
      <c r="I73" s="5"/>
      <c r="J73" s="5"/>
      <c r="K73" s="5"/>
      <c r="L73" s="5"/>
      <c r="M73" s="5"/>
      <c r="N73" s="5"/>
      <c r="O73" s="5"/>
      <c r="P73" s="5"/>
      <c r="Q73" s="5"/>
      <c r="R73" s="5"/>
      <c r="S73" s="5"/>
    </row>
    <row r="74" spans="1:25">
      <c r="A74" s="5"/>
      <c r="B74" s="5"/>
      <c r="C74" s="5"/>
      <c r="D74" s="5"/>
      <c r="E74" s="5"/>
      <c r="F74" s="5"/>
      <c r="G74" s="5"/>
      <c r="H74" s="5"/>
      <c r="I74" s="5"/>
      <c r="J74" s="5"/>
      <c r="K74" s="5"/>
      <c r="L74" s="5"/>
      <c r="M74" s="5"/>
      <c r="N74" s="5"/>
      <c r="O74" s="5"/>
      <c r="P74" s="5"/>
      <c r="Q74" s="5"/>
      <c r="R74" s="5"/>
      <c r="S74" s="5"/>
    </row>
    <row r="75" spans="1:25">
      <c r="A75" s="5"/>
      <c r="B75" s="5"/>
      <c r="C75" s="5"/>
      <c r="D75" s="5"/>
      <c r="E75" s="5"/>
      <c r="F75" s="5"/>
      <c r="G75" s="5"/>
      <c r="H75" s="5"/>
      <c r="I75" s="5"/>
      <c r="J75" s="5"/>
      <c r="K75" s="5"/>
      <c r="L75" s="5"/>
      <c r="M75" s="5"/>
      <c r="N75" s="5"/>
      <c r="O75" s="5"/>
      <c r="P75" s="5"/>
      <c r="Q75" s="5"/>
      <c r="R75" s="5"/>
      <c r="S75" s="5"/>
    </row>
    <row r="76" spans="1:25">
      <c r="A76" s="5"/>
      <c r="B76" s="5"/>
      <c r="C76" s="5"/>
      <c r="D76" s="5"/>
      <c r="E76" s="5"/>
      <c r="F76" s="5"/>
      <c r="G76" s="5"/>
      <c r="H76" s="5"/>
      <c r="I76" s="5"/>
      <c r="J76" s="5"/>
      <c r="K76" s="5"/>
      <c r="L76" s="5"/>
      <c r="M76" s="5"/>
      <c r="N76" s="5"/>
      <c r="O76" s="5"/>
      <c r="P76" s="5"/>
      <c r="Q76" s="5"/>
      <c r="R76" s="5"/>
      <c r="S76" s="5"/>
    </row>
    <row r="77" spans="1:25">
      <c r="A77" s="5"/>
      <c r="B77" s="5"/>
      <c r="C77" s="5"/>
      <c r="D77" s="5"/>
      <c r="E77" s="5"/>
      <c r="F77" s="5"/>
      <c r="G77" s="5"/>
      <c r="H77" s="5"/>
      <c r="I77" s="5"/>
      <c r="J77" s="5"/>
      <c r="K77" s="5"/>
      <c r="L77" s="5"/>
      <c r="M77" s="5"/>
      <c r="N77" s="5"/>
      <c r="O77" s="5"/>
      <c r="P77" s="5"/>
      <c r="Q77" s="5"/>
      <c r="R77" s="5"/>
      <c r="S77" s="5"/>
    </row>
    <row r="78" spans="1:25">
      <c r="A78" s="5"/>
      <c r="B78" s="5"/>
      <c r="C78" s="5"/>
      <c r="D78" s="5"/>
      <c r="E78" s="5"/>
      <c r="F78" s="5"/>
      <c r="G78" s="5"/>
      <c r="H78" s="5"/>
      <c r="I78" s="5"/>
      <c r="J78" s="5"/>
      <c r="K78" s="5"/>
      <c r="L78" s="5"/>
      <c r="M78" s="5"/>
      <c r="N78" s="5"/>
      <c r="O78" s="5"/>
      <c r="P78" s="5"/>
      <c r="Q78" s="5"/>
      <c r="R78" s="5"/>
      <c r="S78" s="5"/>
    </row>
    <row r="79" spans="1:25">
      <c r="A79" s="5"/>
      <c r="B79" s="5"/>
      <c r="C79" s="5"/>
      <c r="D79" s="5"/>
      <c r="E79" s="5"/>
      <c r="F79" s="5"/>
      <c r="G79" s="5"/>
      <c r="H79" s="5"/>
      <c r="I79" s="5"/>
      <c r="J79" s="5"/>
      <c r="K79" s="5"/>
      <c r="L79" s="5"/>
      <c r="M79" s="5"/>
      <c r="N79" s="5"/>
      <c r="O79" s="5"/>
      <c r="P79" s="5"/>
      <c r="Q79" s="5"/>
      <c r="R79" s="5"/>
      <c r="S79" s="5"/>
    </row>
    <row r="80" spans="1:25">
      <c r="A80" s="5"/>
      <c r="B80" s="5"/>
      <c r="C80" s="5"/>
      <c r="D80" s="5"/>
      <c r="E80" s="5"/>
      <c r="F80" s="5"/>
      <c r="G80" s="5"/>
      <c r="H80" s="5"/>
      <c r="I80" s="5"/>
      <c r="J80" s="5"/>
      <c r="K80" s="5"/>
      <c r="L80" s="5"/>
      <c r="M80" s="5"/>
      <c r="N80" s="5"/>
      <c r="O80" s="5"/>
      <c r="P80" s="5"/>
      <c r="Q80" s="5"/>
      <c r="R80" s="5"/>
      <c r="S80" s="5"/>
    </row>
    <row r="81" spans="1:19">
      <c r="A81" s="5"/>
      <c r="B81" s="5"/>
      <c r="C81" s="5"/>
      <c r="D81" s="5"/>
      <c r="E81" s="5"/>
      <c r="F81" s="5"/>
      <c r="G81" s="5"/>
      <c r="H81" s="5"/>
      <c r="I81" s="5"/>
      <c r="J81" s="5"/>
      <c r="K81" s="5"/>
      <c r="L81" s="5"/>
      <c r="M81" s="5"/>
      <c r="N81" s="5"/>
      <c r="O81" s="5"/>
      <c r="P81" s="5"/>
      <c r="Q81" s="5"/>
      <c r="R81" s="5"/>
      <c r="S81" s="5"/>
    </row>
    <row r="82" spans="1:19">
      <c r="A82" s="5"/>
      <c r="B82" s="5"/>
      <c r="C82" s="5"/>
      <c r="D82" s="5"/>
      <c r="E82" s="5"/>
      <c r="F82" s="5"/>
      <c r="G82" s="5"/>
      <c r="H82" s="5"/>
      <c r="I82" s="5"/>
      <c r="J82" s="5"/>
      <c r="K82" s="5"/>
      <c r="L82" s="5"/>
      <c r="M82" s="5"/>
      <c r="N82" s="5"/>
      <c r="O82" s="5"/>
      <c r="P82" s="5"/>
      <c r="Q82" s="5"/>
      <c r="R82" s="5"/>
      <c r="S82" s="5"/>
    </row>
    <row r="83" spans="1:19">
      <c r="A83" s="5"/>
      <c r="B83" s="5"/>
      <c r="C83" s="5"/>
      <c r="D83" s="5"/>
      <c r="E83" s="5"/>
      <c r="F83" s="5"/>
      <c r="G83" s="5"/>
      <c r="H83" s="5"/>
      <c r="I83" s="5"/>
      <c r="J83" s="5"/>
      <c r="K83" s="5"/>
      <c r="L83" s="5"/>
      <c r="M83" s="5"/>
      <c r="N83" s="5"/>
      <c r="O83" s="5"/>
      <c r="P83" s="5"/>
      <c r="Q83" s="5"/>
      <c r="R83" s="5"/>
      <c r="S83" s="5"/>
    </row>
    <row r="84" spans="1:19">
      <c r="A84" s="5"/>
      <c r="B84" s="5"/>
      <c r="C84" s="5"/>
      <c r="D84" s="5"/>
      <c r="E84" s="5"/>
      <c r="F84" s="5"/>
      <c r="G84" s="5"/>
      <c r="H84" s="5"/>
      <c r="I84" s="5"/>
      <c r="J84" s="5"/>
      <c r="K84" s="5"/>
      <c r="L84" s="5"/>
      <c r="M84" s="5"/>
      <c r="N84" s="5"/>
      <c r="O84" s="5"/>
      <c r="P84" s="5"/>
      <c r="Q84" s="5"/>
      <c r="R84" s="5"/>
      <c r="S84" s="5"/>
    </row>
    <row r="85" spans="1:19">
      <c r="A85" s="5"/>
      <c r="B85" s="5"/>
      <c r="C85" s="5"/>
      <c r="D85" s="5"/>
      <c r="E85" s="5"/>
      <c r="F85" s="5"/>
      <c r="G85" s="5"/>
      <c r="H85" s="5"/>
      <c r="I85" s="5"/>
      <c r="J85" s="5"/>
      <c r="K85" s="5"/>
      <c r="L85" s="5"/>
      <c r="M85" s="5"/>
      <c r="N85" s="5"/>
      <c r="O85" s="5"/>
      <c r="P85" s="5"/>
      <c r="Q85" s="5"/>
      <c r="R85" s="5"/>
      <c r="S85" s="5"/>
    </row>
    <row r="86" spans="1:19">
      <c r="A86" s="5"/>
      <c r="B86" s="5"/>
      <c r="C86" s="5"/>
      <c r="D86" s="5"/>
      <c r="E86" s="5"/>
      <c r="F86" s="5"/>
      <c r="G86" s="5"/>
      <c r="H86" s="5"/>
      <c r="I86" s="5"/>
      <c r="J86" s="5"/>
      <c r="K86" s="5"/>
      <c r="L86" s="5"/>
      <c r="M86" s="5"/>
      <c r="N86" s="5"/>
      <c r="O86" s="5"/>
      <c r="P86" s="5"/>
      <c r="Q86" s="5"/>
      <c r="R86" s="5"/>
      <c r="S86" s="5"/>
    </row>
    <row r="87" spans="1:19">
      <c r="A87" s="5"/>
      <c r="B87" s="5"/>
      <c r="C87" s="5"/>
      <c r="D87" s="5"/>
      <c r="E87" s="5"/>
      <c r="F87" s="5"/>
      <c r="G87" s="5"/>
      <c r="H87" s="5"/>
      <c r="I87" s="5"/>
      <c r="J87" s="5"/>
      <c r="K87" s="5"/>
      <c r="L87" s="5"/>
      <c r="M87" s="5"/>
      <c r="N87" s="5"/>
      <c r="O87" s="5"/>
      <c r="P87" s="5"/>
      <c r="Q87" s="5"/>
      <c r="R87" s="5"/>
      <c r="S87" s="5"/>
    </row>
    <row r="88" spans="1:19">
      <c r="A88" s="5"/>
      <c r="B88" s="5"/>
      <c r="C88" s="5"/>
      <c r="D88" s="5"/>
      <c r="E88" s="5"/>
      <c r="F88" s="5"/>
      <c r="G88" s="5"/>
      <c r="H88" s="5"/>
      <c r="I88" s="5"/>
      <c r="J88" s="5"/>
      <c r="K88" s="5"/>
      <c r="L88" s="5"/>
      <c r="M88" s="5"/>
      <c r="N88" s="5"/>
      <c r="O88" s="5"/>
      <c r="P88" s="5"/>
      <c r="Q88" s="5"/>
      <c r="R88" s="5"/>
      <c r="S88" s="5"/>
    </row>
    <row r="89" spans="1:19">
      <c r="A89" s="5"/>
      <c r="B89" s="5"/>
      <c r="C89" s="5"/>
      <c r="D89" s="5"/>
      <c r="E89" s="5"/>
      <c r="F89" s="5"/>
      <c r="G89" s="5"/>
      <c r="H89" s="5"/>
      <c r="I89" s="5"/>
      <c r="J89" s="5"/>
      <c r="K89" s="5"/>
      <c r="L89" s="5"/>
      <c r="M89" s="5"/>
      <c r="N89" s="5"/>
      <c r="O89" s="5"/>
      <c r="P89" s="5"/>
      <c r="Q89" s="5"/>
      <c r="R89" s="5"/>
      <c r="S89" s="5"/>
    </row>
    <row r="90" spans="1:19">
      <c r="A90" s="5"/>
      <c r="B90" s="5"/>
      <c r="C90" s="5"/>
      <c r="D90" s="5"/>
      <c r="E90" s="5"/>
      <c r="F90" s="5"/>
      <c r="G90" s="5"/>
      <c r="H90" s="5"/>
      <c r="I90" s="5"/>
      <c r="J90" s="5"/>
      <c r="K90" s="5"/>
      <c r="L90" s="5"/>
      <c r="M90" s="5"/>
      <c r="N90" s="5"/>
      <c r="O90" s="5"/>
      <c r="P90" s="5"/>
      <c r="Q90" s="5"/>
      <c r="R90" s="5"/>
      <c r="S90" s="5"/>
    </row>
    <row r="91" spans="1:19">
      <c r="A91" s="5"/>
      <c r="B91" s="5"/>
      <c r="C91" s="5"/>
      <c r="D91" s="5"/>
      <c r="E91" s="5"/>
      <c r="F91" s="5"/>
      <c r="G91" s="5"/>
      <c r="H91" s="5"/>
      <c r="I91" s="5"/>
      <c r="J91" s="5"/>
      <c r="K91" s="5"/>
      <c r="L91" s="5"/>
      <c r="M91" s="5"/>
      <c r="N91" s="5"/>
      <c r="O91" s="5"/>
      <c r="P91" s="5"/>
      <c r="Q91" s="5"/>
      <c r="R91" s="5"/>
      <c r="S91" s="5"/>
    </row>
    <row r="92" spans="1:19">
      <c r="A92" s="5"/>
      <c r="B92" s="5"/>
      <c r="C92" s="5"/>
      <c r="D92" s="5"/>
      <c r="E92" s="5"/>
      <c r="F92" s="5"/>
      <c r="G92" s="5"/>
      <c r="H92" s="5"/>
      <c r="I92" s="5"/>
      <c r="J92" s="5"/>
      <c r="K92" s="5"/>
      <c r="L92" s="5"/>
      <c r="M92" s="5"/>
      <c r="N92" s="5"/>
      <c r="O92" s="5"/>
      <c r="P92" s="5"/>
      <c r="Q92" s="5"/>
      <c r="R92" s="5"/>
      <c r="S92" s="5"/>
    </row>
    <row r="93" spans="1:19">
      <c r="A93" s="5"/>
      <c r="B93" s="5"/>
      <c r="C93" s="5"/>
      <c r="D93" s="5"/>
      <c r="E93" s="5"/>
      <c r="F93" s="5"/>
      <c r="G93" s="5"/>
      <c r="H93" s="5"/>
      <c r="I93" s="5"/>
      <c r="J93" s="5"/>
      <c r="K93" s="5"/>
      <c r="L93" s="5"/>
      <c r="M93" s="5"/>
      <c r="N93" s="5"/>
      <c r="O93" s="5"/>
      <c r="P93" s="5"/>
      <c r="Q93" s="5"/>
      <c r="R93" s="5"/>
      <c r="S93" s="5"/>
    </row>
    <row r="94" spans="1:19">
      <c r="A94" s="5"/>
      <c r="B94" s="5"/>
      <c r="C94" s="5"/>
      <c r="D94" s="5"/>
      <c r="E94" s="5"/>
      <c r="F94" s="5"/>
      <c r="G94" s="5"/>
      <c r="H94" s="5"/>
      <c r="I94" s="5"/>
      <c r="J94" s="5"/>
      <c r="K94" s="5"/>
      <c r="L94" s="5"/>
      <c r="M94" s="5"/>
      <c r="N94" s="5"/>
      <c r="O94" s="5"/>
      <c r="P94" s="5"/>
      <c r="Q94" s="5"/>
      <c r="R94" s="5"/>
      <c r="S94" s="5"/>
    </row>
    <row r="95" spans="1:19">
      <c r="A95" s="5"/>
      <c r="B95" s="5"/>
      <c r="C95" s="5"/>
      <c r="D95" s="5"/>
      <c r="E95" s="5"/>
      <c r="F95" s="5"/>
      <c r="G95" s="5"/>
      <c r="H95" s="5"/>
      <c r="I95" s="5"/>
      <c r="J95" s="5"/>
      <c r="K95" s="5"/>
      <c r="L95" s="5"/>
      <c r="M95" s="5"/>
      <c r="N95" s="5"/>
      <c r="O95" s="5"/>
      <c r="P95" s="5"/>
      <c r="Q95" s="5"/>
      <c r="R95" s="5"/>
      <c r="S95" s="5"/>
    </row>
    <row r="96" spans="1:19">
      <c r="A96" s="5"/>
      <c r="B96" s="5"/>
      <c r="C96" s="5"/>
      <c r="D96" s="5"/>
      <c r="E96" s="5"/>
      <c r="F96" s="5"/>
      <c r="G96" s="5"/>
      <c r="H96" s="5"/>
      <c r="I96" s="5"/>
      <c r="J96" s="5"/>
      <c r="K96" s="5"/>
      <c r="L96" s="5"/>
      <c r="M96" s="5"/>
      <c r="N96" s="5"/>
      <c r="O96" s="5"/>
      <c r="P96" s="5"/>
      <c r="Q96" s="5"/>
      <c r="R96" s="5"/>
      <c r="S96" s="5"/>
    </row>
    <row r="97" spans="1:19">
      <c r="A97" s="5"/>
      <c r="B97" s="5"/>
      <c r="C97" s="5"/>
      <c r="D97" s="5"/>
      <c r="E97" s="5"/>
      <c r="F97" s="5"/>
      <c r="G97" s="5"/>
      <c r="H97" s="5"/>
      <c r="I97" s="5"/>
      <c r="J97" s="5"/>
      <c r="K97" s="5"/>
      <c r="L97" s="5"/>
      <c r="M97" s="5"/>
      <c r="N97" s="5"/>
      <c r="O97" s="5"/>
      <c r="P97" s="5"/>
      <c r="Q97" s="5"/>
      <c r="R97" s="5"/>
      <c r="S97" s="5"/>
    </row>
    <row r="98" spans="1:19">
      <c r="A98" s="5"/>
      <c r="B98" s="5"/>
      <c r="C98" s="5"/>
      <c r="D98" s="5"/>
      <c r="E98" s="5"/>
      <c r="F98" s="5"/>
      <c r="G98" s="5"/>
      <c r="H98" s="5"/>
      <c r="I98" s="5"/>
      <c r="J98" s="5"/>
      <c r="K98" s="5"/>
      <c r="L98" s="5"/>
      <c r="M98" s="5"/>
      <c r="N98" s="5"/>
      <c r="O98" s="5"/>
      <c r="P98" s="5"/>
      <c r="Q98" s="5"/>
      <c r="R98" s="5"/>
      <c r="S98" s="5"/>
    </row>
    <row r="99" spans="1:19">
      <c r="A99" s="5"/>
      <c r="B99" s="5"/>
      <c r="C99" s="5"/>
      <c r="D99" s="5"/>
      <c r="E99" s="5"/>
      <c r="F99" s="5"/>
      <c r="G99" s="5"/>
      <c r="H99" s="5"/>
      <c r="I99" s="5"/>
      <c r="J99" s="5"/>
      <c r="K99" s="5"/>
      <c r="L99" s="5"/>
      <c r="M99" s="5"/>
      <c r="N99" s="5"/>
      <c r="O99" s="5"/>
      <c r="P99" s="5"/>
      <c r="Q99" s="5"/>
      <c r="R99" s="5"/>
      <c r="S99" s="5"/>
    </row>
    <row r="100" spans="1:19">
      <c r="A100" s="5"/>
      <c r="B100" s="5"/>
      <c r="C100" s="5"/>
      <c r="D100" s="5"/>
      <c r="E100" s="5"/>
      <c r="F100" s="5"/>
      <c r="G100" s="5"/>
      <c r="H100" s="5"/>
      <c r="I100" s="5"/>
      <c r="J100" s="5"/>
      <c r="K100" s="5"/>
      <c r="L100" s="5"/>
      <c r="M100" s="5"/>
      <c r="N100" s="5"/>
      <c r="O100" s="5"/>
      <c r="P100" s="5"/>
      <c r="Q100" s="5"/>
      <c r="R100" s="5"/>
      <c r="S100" s="5"/>
    </row>
    <row r="101" spans="1:19">
      <c r="A101" s="5"/>
      <c r="B101" s="5"/>
      <c r="C101" s="5"/>
      <c r="D101" s="5"/>
      <c r="E101" s="5"/>
      <c r="F101" s="5"/>
      <c r="G101" s="5"/>
      <c r="H101" s="5"/>
      <c r="I101" s="5"/>
      <c r="J101" s="5"/>
      <c r="K101" s="5"/>
      <c r="L101" s="5"/>
      <c r="M101" s="5"/>
      <c r="N101" s="5"/>
      <c r="O101" s="5"/>
      <c r="P101" s="5"/>
      <c r="Q101" s="5"/>
      <c r="R101" s="5"/>
      <c r="S101" s="5"/>
    </row>
    <row r="102" spans="1:19">
      <c r="A102" s="5"/>
      <c r="B102" s="5"/>
      <c r="C102" s="5"/>
      <c r="D102" s="5"/>
      <c r="E102" s="5"/>
      <c r="F102" s="5"/>
      <c r="G102" s="5"/>
      <c r="H102" s="5"/>
      <c r="I102" s="5"/>
      <c r="J102" s="5"/>
      <c r="K102" s="5"/>
      <c r="L102" s="5"/>
      <c r="M102" s="5"/>
      <c r="N102" s="5"/>
      <c r="O102" s="5"/>
      <c r="P102" s="5"/>
      <c r="Q102" s="5"/>
      <c r="R102" s="5"/>
      <c r="S102" s="5"/>
    </row>
    <row r="103" spans="1:19">
      <c r="A103" s="5"/>
      <c r="B103" s="5"/>
      <c r="C103" s="5"/>
      <c r="D103" s="5"/>
      <c r="E103" s="5"/>
      <c r="F103" s="5"/>
      <c r="G103" s="5"/>
      <c r="H103" s="5"/>
      <c r="I103" s="5"/>
      <c r="J103" s="5"/>
      <c r="K103" s="5"/>
      <c r="L103" s="5"/>
      <c r="M103" s="5"/>
      <c r="N103" s="5"/>
      <c r="O103" s="5"/>
      <c r="P103" s="5"/>
      <c r="Q103" s="5"/>
      <c r="R103" s="5"/>
      <c r="S103" s="5"/>
    </row>
    <row r="104" spans="1:19">
      <c r="A104" s="5"/>
      <c r="B104" s="5"/>
      <c r="C104" s="5"/>
      <c r="D104" s="5"/>
      <c r="E104" s="5"/>
      <c r="F104" s="5"/>
      <c r="G104" s="5"/>
      <c r="H104" s="5"/>
      <c r="I104" s="5"/>
      <c r="J104" s="5"/>
      <c r="K104" s="5"/>
      <c r="L104" s="5"/>
      <c r="M104" s="5"/>
      <c r="N104" s="5"/>
      <c r="O104" s="5"/>
      <c r="P104" s="5"/>
      <c r="Q104" s="5"/>
      <c r="R104" s="5"/>
      <c r="S104" s="5"/>
    </row>
    <row r="105" spans="1:19">
      <c r="A105" s="5"/>
      <c r="B105" s="5"/>
      <c r="C105" s="5"/>
      <c r="D105" s="5"/>
      <c r="E105" s="5"/>
      <c r="F105" s="5"/>
      <c r="G105" s="5"/>
      <c r="H105" s="5"/>
      <c r="I105" s="5"/>
      <c r="J105" s="5"/>
      <c r="K105" s="5"/>
      <c r="L105" s="5"/>
      <c r="M105" s="5"/>
      <c r="N105" s="5"/>
      <c r="O105" s="5"/>
      <c r="P105" s="5"/>
      <c r="Q105" s="5"/>
      <c r="R105" s="5"/>
      <c r="S105" s="5"/>
    </row>
    <row r="106" spans="1:19">
      <c r="A106" s="5"/>
      <c r="B106" s="5"/>
      <c r="C106" s="5"/>
      <c r="D106" s="5"/>
      <c r="E106" s="5"/>
      <c r="F106" s="5"/>
      <c r="G106" s="5"/>
      <c r="H106" s="5"/>
      <c r="I106" s="5"/>
      <c r="J106" s="5"/>
      <c r="K106" s="5"/>
      <c r="L106" s="5"/>
      <c r="M106" s="5"/>
      <c r="N106" s="5"/>
      <c r="O106" s="5"/>
      <c r="P106" s="5"/>
      <c r="Q106" s="5"/>
      <c r="R106" s="5"/>
      <c r="S106" s="5"/>
    </row>
    <row r="107" spans="1:19">
      <c r="A107" s="5"/>
      <c r="B107" s="5"/>
      <c r="C107" s="5"/>
      <c r="D107" s="5"/>
      <c r="E107" s="5"/>
      <c r="F107" s="5"/>
      <c r="G107" s="5"/>
      <c r="H107" s="5"/>
      <c r="I107" s="5"/>
      <c r="J107" s="5"/>
      <c r="K107" s="5"/>
      <c r="L107" s="5"/>
      <c r="M107" s="5"/>
      <c r="N107" s="5"/>
      <c r="O107" s="5"/>
      <c r="P107" s="5"/>
      <c r="Q107" s="5"/>
      <c r="R107" s="5"/>
      <c r="S107" s="5"/>
    </row>
    <row r="108" spans="1:19">
      <c r="A108" s="5"/>
      <c r="B108" s="5"/>
      <c r="C108" s="5"/>
      <c r="D108" s="5"/>
      <c r="E108" s="5"/>
      <c r="F108" s="5"/>
      <c r="G108" s="5"/>
      <c r="H108" s="5"/>
      <c r="I108" s="5"/>
      <c r="J108" s="5"/>
      <c r="K108" s="5"/>
      <c r="L108" s="5"/>
      <c r="M108" s="5"/>
      <c r="N108" s="5"/>
      <c r="O108" s="5"/>
      <c r="P108" s="5"/>
      <c r="Q108" s="5"/>
      <c r="R108" s="5"/>
      <c r="S108" s="5"/>
    </row>
    <row r="109" spans="1:19">
      <c r="A109" s="5"/>
      <c r="B109" s="5"/>
      <c r="C109" s="5"/>
      <c r="D109" s="5"/>
      <c r="E109" s="5"/>
      <c r="F109" s="5"/>
      <c r="G109" s="5"/>
      <c r="H109" s="5"/>
      <c r="I109" s="5"/>
      <c r="J109" s="5"/>
      <c r="K109" s="5"/>
      <c r="L109" s="5"/>
      <c r="M109" s="5"/>
      <c r="N109" s="5"/>
      <c r="O109" s="5"/>
      <c r="P109" s="5"/>
      <c r="Q109" s="5"/>
      <c r="R109" s="5"/>
      <c r="S109" s="5"/>
    </row>
    <row r="110" spans="1:19">
      <c r="A110" s="5"/>
      <c r="B110" s="5"/>
      <c r="C110" s="5"/>
      <c r="D110" s="5"/>
      <c r="E110" s="5"/>
      <c r="F110" s="5"/>
      <c r="G110" s="5"/>
      <c r="H110" s="5"/>
      <c r="I110" s="5"/>
      <c r="J110" s="5"/>
      <c r="K110" s="5"/>
      <c r="L110" s="5"/>
      <c r="M110" s="5"/>
      <c r="N110" s="5"/>
      <c r="O110" s="5"/>
      <c r="P110" s="5"/>
      <c r="Q110" s="5"/>
      <c r="R110" s="5"/>
      <c r="S110" s="5"/>
    </row>
    <row r="111" spans="1:19">
      <c r="A111" s="5"/>
      <c r="B111" s="5"/>
      <c r="C111" s="5"/>
      <c r="D111" s="5"/>
      <c r="E111" s="5"/>
      <c r="F111" s="5"/>
      <c r="G111" s="5"/>
      <c r="H111" s="5"/>
      <c r="I111" s="5"/>
      <c r="J111" s="5"/>
      <c r="K111" s="5"/>
      <c r="L111" s="5"/>
      <c r="M111" s="5"/>
      <c r="N111" s="5"/>
      <c r="O111" s="5"/>
      <c r="P111" s="5"/>
      <c r="Q111" s="5"/>
      <c r="R111" s="5"/>
      <c r="S111" s="5"/>
    </row>
    <row r="112" spans="1:19">
      <c r="A112" s="5"/>
      <c r="B112" s="5"/>
      <c r="C112" s="5"/>
      <c r="D112" s="5"/>
      <c r="E112" s="5"/>
      <c r="F112" s="5"/>
      <c r="G112" s="5"/>
      <c r="H112" s="5"/>
      <c r="I112" s="5"/>
      <c r="J112" s="5"/>
      <c r="K112" s="5"/>
      <c r="L112" s="5"/>
      <c r="M112" s="5"/>
      <c r="N112" s="5"/>
      <c r="O112" s="5"/>
      <c r="P112" s="5"/>
      <c r="Q112" s="5"/>
      <c r="R112" s="5"/>
      <c r="S112" s="5"/>
    </row>
    <row r="113" spans="1:19">
      <c r="A113" s="5"/>
      <c r="B113" s="5"/>
      <c r="C113" s="5"/>
      <c r="D113" s="5"/>
      <c r="E113" s="5"/>
      <c r="F113" s="5"/>
      <c r="G113" s="5"/>
      <c r="H113" s="5"/>
      <c r="I113" s="5"/>
      <c r="J113" s="5"/>
      <c r="K113" s="5"/>
      <c r="L113" s="5"/>
      <c r="M113" s="5"/>
      <c r="N113" s="5"/>
      <c r="O113" s="5"/>
      <c r="P113" s="5"/>
      <c r="Q113" s="5"/>
      <c r="R113" s="5"/>
      <c r="S113" s="5"/>
    </row>
    <row r="114" spans="1:19">
      <c r="A114" s="5"/>
      <c r="B114" s="5"/>
      <c r="C114" s="5"/>
      <c r="D114" s="5"/>
      <c r="E114" s="5"/>
      <c r="F114" s="5"/>
      <c r="G114" s="5"/>
      <c r="H114" s="5"/>
      <c r="I114" s="5"/>
      <c r="J114" s="5"/>
      <c r="K114" s="5"/>
      <c r="L114" s="5"/>
      <c r="M114" s="5"/>
      <c r="N114" s="5"/>
      <c r="O114" s="5"/>
      <c r="P114" s="5"/>
      <c r="Q114" s="5"/>
      <c r="R114" s="5"/>
      <c r="S114" s="5"/>
    </row>
    <row r="115" spans="1:19">
      <c r="A115" s="5"/>
      <c r="B115" s="5"/>
      <c r="C115" s="5"/>
      <c r="D115" s="5"/>
      <c r="E115" s="5"/>
      <c r="F115" s="5"/>
      <c r="G115" s="5"/>
      <c r="H115" s="5"/>
      <c r="I115" s="5"/>
      <c r="J115" s="5"/>
      <c r="K115" s="5"/>
      <c r="L115" s="5"/>
      <c r="M115" s="5"/>
      <c r="N115" s="5"/>
      <c r="O115" s="5"/>
      <c r="P115" s="5"/>
      <c r="Q115" s="5"/>
      <c r="R115" s="5"/>
      <c r="S115" s="5"/>
    </row>
    <row r="116" spans="1:19">
      <c r="A116" s="5"/>
      <c r="B116" s="5"/>
      <c r="C116" s="5"/>
      <c r="D116" s="5"/>
      <c r="E116" s="5"/>
      <c r="F116" s="5"/>
      <c r="G116" s="5"/>
      <c r="H116" s="5"/>
      <c r="I116" s="5"/>
      <c r="J116" s="5"/>
      <c r="K116" s="5"/>
      <c r="L116" s="5"/>
      <c r="M116" s="5"/>
      <c r="N116" s="5"/>
      <c r="O116" s="5"/>
      <c r="P116" s="5"/>
      <c r="Q116" s="5"/>
      <c r="R116" s="5"/>
      <c r="S116" s="5"/>
    </row>
    <row r="117" spans="1:19">
      <c r="A117" s="5"/>
      <c r="B117" s="5"/>
      <c r="C117" s="5"/>
      <c r="D117" s="5"/>
      <c r="E117" s="5"/>
      <c r="F117" s="5"/>
      <c r="G117" s="5"/>
      <c r="H117" s="5"/>
      <c r="I117" s="5"/>
      <c r="J117" s="5"/>
      <c r="K117" s="5"/>
      <c r="L117" s="5"/>
      <c r="M117" s="5"/>
      <c r="N117" s="5"/>
      <c r="O117" s="5"/>
      <c r="P117" s="5"/>
      <c r="Q117" s="5"/>
      <c r="R117" s="5"/>
      <c r="S117" s="5"/>
    </row>
    <row r="118" spans="1:19">
      <c r="A118" s="5"/>
      <c r="B118" s="5"/>
      <c r="C118" s="5"/>
      <c r="D118" s="5"/>
      <c r="E118" s="5"/>
      <c r="F118" s="5"/>
      <c r="G118" s="5"/>
      <c r="H118" s="5"/>
      <c r="I118" s="5"/>
      <c r="J118" s="5"/>
      <c r="K118" s="5"/>
      <c r="L118" s="5"/>
      <c r="M118" s="5"/>
      <c r="N118" s="5"/>
      <c r="O118" s="5"/>
      <c r="P118" s="5"/>
      <c r="Q118" s="5"/>
      <c r="R118" s="5"/>
      <c r="S118" s="5"/>
    </row>
    <row r="119" spans="1:19">
      <c r="A119" s="5"/>
      <c r="B119" s="5"/>
      <c r="C119" s="5"/>
      <c r="D119" s="5"/>
      <c r="E119" s="5"/>
      <c r="F119" s="5"/>
      <c r="G119" s="5"/>
      <c r="H119" s="5"/>
      <c r="I119" s="5"/>
      <c r="J119" s="5"/>
      <c r="K119" s="5"/>
      <c r="L119" s="5"/>
      <c r="M119" s="5"/>
      <c r="N119" s="5"/>
      <c r="O119" s="5"/>
      <c r="P119" s="5"/>
      <c r="Q119" s="5"/>
      <c r="R119" s="5"/>
      <c r="S119" s="5"/>
    </row>
    <row r="120" spans="1:19">
      <c r="A120" s="5"/>
      <c r="B120" s="5"/>
      <c r="C120" s="5"/>
      <c r="D120" s="5"/>
      <c r="E120" s="5"/>
      <c r="F120" s="5"/>
      <c r="G120" s="5"/>
      <c r="H120" s="5"/>
      <c r="I120" s="5"/>
      <c r="J120" s="5"/>
      <c r="K120" s="5"/>
      <c r="L120" s="5"/>
      <c r="M120" s="5"/>
      <c r="N120" s="5"/>
      <c r="O120" s="5"/>
      <c r="P120" s="5"/>
      <c r="Q120" s="5"/>
      <c r="R120" s="5"/>
      <c r="S120" s="5"/>
    </row>
    <row r="121" spans="1:19">
      <c r="A121" s="5"/>
      <c r="B121" s="5"/>
      <c r="C121" s="5"/>
      <c r="D121" s="5"/>
      <c r="E121" s="5"/>
      <c r="F121" s="5"/>
      <c r="G121" s="5"/>
      <c r="H121" s="5"/>
      <c r="I121" s="5"/>
      <c r="J121" s="5"/>
      <c r="K121" s="5"/>
      <c r="L121" s="5"/>
      <c r="M121" s="5"/>
      <c r="N121" s="5"/>
      <c r="O121" s="5"/>
      <c r="P121" s="5"/>
      <c r="Q121" s="5"/>
      <c r="R121" s="5"/>
      <c r="S121" s="5"/>
    </row>
    <row r="122" spans="1:19">
      <c r="A122" s="5"/>
      <c r="B122" s="5"/>
      <c r="C122" s="5"/>
      <c r="D122" s="5"/>
      <c r="E122" s="5"/>
      <c r="F122" s="5"/>
      <c r="G122" s="5"/>
      <c r="H122" s="5"/>
      <c r="I122" s="5"/>
      <c r="J122" s="5"/>
      <c r="K122" s="5"/>
      <c r="L122" s="5"/>
      <c r="M122" s="5"/>
      <c r="N122" s="5"/>
      <c r="O122" s="5"/>
      <c r="P122" s="5"/>
      <c r="Q122" s="5"/>
      <c r="R122" s="5"/>
      <c r="S122" s="5"/>
    </row>
    <row r="123" spans="1:19">
      <c r="A123" s="5"/>
      <c r="B123" s="5"/>
      <c r="C123" s="5"/>
      <c r="D123" s="5"/>
      <c r="E123" s="5"/>
      <c r="F123" s="5"/>
      <c r="G123" s="5"/>
      <c r="H123" s="5"/>
      <c r="I123" s="5"/>
      <c r="J123" s="5"/>
      <c r="K123" s="5"/>
      <c r="L123" s="5"/>
      <c r="M123" s="5"/>
      <c r="N123" s="5"/>
      <c r="O123" s="5"/>
      <c r="P123" s="5"/>
      <c r="Q123" s="5"/>
      <c r="R123" s="5"/>
      <c r="S123" s="5"/>
    </row>
    <row r="124" spans="1:19">
      <c r="A124" s="5"/>
      <c r="B124" s="5"/>
      <c r="C124" s="5"/>
      <c r="D124" s="5"/>
      <c r="E124" s="5"/>
      <c r="F124" s="5"/>
      <c r="G124" s="5"/>
      <c r="H124" s="5"/>
      <c r="I124" s="5"/>
      <c r="J124" s="5"/>
      <c r="K124" s="5"/>
      <c r="L124" s="5"/>
      <c r="M124" s="5"/>
      <c r="N124" s="5"/>
      <c r="O124" s="5"/>
      <c r="P124" s="5"/>
      <c r="Q124" s="5"/>
      <c r="R124" s="5"/>
      <c r="S124" s="5"/>
    </row>
    <row r="125" spans="1:19">
      <c r="A125" s="5"/>
      <c r="B125" s="5"/>
      <c r="C125" s="5"/>
      <c r="D125" s="5"/>
      <c r="E125" s="5"/>
      <c r="F125" s="5"/>
      <c r="G125" s="5"/>
      <c r="H125" s="5"/>
      <c r="I125" s="5"/>
      <c r="J125" s="5"/>
      <c r="K125" s="5"/>
      <c r="L125" s="5"/>
      <c r="M125" s="5"/>
      <c r="N125" s="5"/>
      <c r="O125" s="5"/>
      <c r="P125" s="5"/>
      <c r="Q125" s="5"/>
      <c r="R125" s="5"/>
      <c r="S125" s="5"/>
    </row>
    <row r="126" spans="1:19">
      <c r="A126" s="5"/>
      <c r="B126" s="5"/>
      <c r="C126" s="5"/>
      <c r="D126" s="5"/>
      <c r="E126" s="5"/>
      <c r="F126" s="5"/>
      <c r="G126" s="5"/>
      <c r="H126" s="5"/>
      <c r="I126" s="5"/>
      <c r="J126" s="5"/>
      <c r="K126" s="5"/>
      <c r="L126" s="5"/>
      <c r="M126" s="5"/>
      <c r="N126" s="5"/>
      <c r="O126" s="5"/>
      <c r="P126" s="5"/>
      <c r="Q126" s="5"/>
      <c r="R126" s="5"/>
      <c r="S126" s="5"/>
    </row>
    <row r="127" spans="1:19">
      <c r="A127" s="5"/>
      <c r="B127" s="5"/>
      <c r="C127" s="5"/>
      <c r="D127" s="5"/>
      <c r="E127" s="5"/>
      <c r="F127" s="5"/>
      <c r="G127" s="5"/>
      <c r="H127" s="5"/>
      <c r="I127" s="5"/>
      <c r="J127" s="5"/>
      <c r="K127" s="5"/>
      <c r="L127" s="5"/>
      <c r="M127" s="5"/>
      <c r="N127" s="5"/>
      <c r="O127" s="5"/>
      <c r="P127" s="5"/>
      <c r="Q127" s="5"/>
      <c r="R127" s="5"/>
      <c r="S127" s="5"/>
    </row>
    <row r="128" spans="1:19">
      <c r="A128" s="5"/>
      <c r="B128" s="5"/>
      <c r="C128" s="5"/>
      <c r="D128" s="5"/>
      <c r="E128" s="5"/>
      <c r="F128" s="5"/>
      <c r="G128" s="5"/>
      <c r="H128" s="5"/>
      <c r="I128" s="5"/>
      <c r="J128" s="5"/>
      <c r="K128" s="5"/>
      <c r="L128" s="5"/>
      <c r="M128" s="5"/>
      <c r="N128" s="5"/>
      <c r="O128" s="5"/>
      <c r="P128" s="5"/>
      <c r="Q128" s="5"/>
      <c r="R128" s="5"/>
      <c r="S128" s="5"/>
    </row>
    <row r="129" spans="1:19">
      <c r="A129" s="5"/>
      <c r="B129" s="5"/>
      <c r="C129" s="5"/>
      <c r="D129" s="5"/>
      <c r="E129" s="5"/>
      <c r="F129" s="5"/>
      <c r="G129" s="5"/>
      <c r="H129" s="5"/>
      <c r="I129" s="5"/>
      <c r="J129" s="5"/>
      <c r="K129" s="5"/>
      <c r="L129" s="5"/>
      <c r="M129" s="5"/>
      <c r="N129" s="5"/>
      <c r="O129" s="5"/>
      <c r="P129" s="5"/>
      <c r="Q129" s="5"/>
      <c r="R129" s="5"/>
      <c r="S129" s="5"/>
    </row>
    <row r="130" spans="1:19">
      <c r="A130" s="5"/>
      <c r="B130" s="5"/>
      <c r="C130" s="5"/>
      <c r="D130" s="5"/>
      <c r="E130" s="5"/>
      <c r="F130" s="5"/>
      <c r="G130" s="5"/>
      <c r="H130" s="5"/>
      <c r="I130" s="5"/>
      <c r="J130" s="5"/>
      <c r="K130" s="5"/>
      <c r="L130" s="5"/>
      <c r="M130" s="5"/>
      <c r="N130" s="5"/>
      <c r="O130" s="5"/>
      <c r="P130" s="5"/>
      <c r="Q130" s="5"/>
      <c r="R130" s="5"/>
      <c r="S130" s="5"/>
    </row>
    <row r="131" spans="1:19">
      <c r="A131" s="5"/>
      <c r="B131" s="5"/>
      <c r="C131" s="5"/>
      <c r="D131" s="5"/>
      <c r="E131" s="5"/>
      <c r="F131" s="5"/>
      <c r="G131" s="5"/>
      <c r="H131" s="5"/>
      <c r="I131" s="5"/>
      <c r="J131" s="5"/>
      <c r="K131" s="5"/>
      <c r="L131" s="5"/>
      <c r="M131" s="5"/>
      <c r="N131" s="5"/>
      <c r="O131" s="5"/>
      <c r="P131" s="5"/>
      <c r="Q131" s="5"/>
      <c r="R131" s="5"/>
      <c r="S131" s="5"/>
    </row>
    <row r="132" spans="1:19">
      <c r="A132" s="5"/>
      <c r="B132" s="5"/>
      <c r="C132" s="5"/>
      <c r="D132" s="5"/>
      <c r="E132" s="5"/>
      <c r="F132" s="5"/>
      <c r="G132" s="5"/>
      <c r="H132" s="5"/>
      <c r="I132" s="5"/>
      <c r="J132" s="5"/>
      <c r="K132" s="5"/>
      <c r="L132" s="5"/>
      <c r="M132" s="5"/>
      <c r="N132" s="5"/>
      <c r="O132" s="5"/>
      <c r="P132" s="5"/>
      <c r="Q132" s="5"/>
      <c r="R132" s="5"/>
      <c r="S132" s="5"/>
    </row>
    <row r="133" spans="1:19">
      <c r="A133" s="5"/>
      <c r="B133" s="5"/>
      <c r="C133" s="5"/>
      <c r="D133" s="5"/>
      <c r="E133" s="5"/>
      <c r="F133" s="5"/>
      <c r="G133" s="5"/>
      <c r="H133" s="5"/>
      <c r="I133" s="5"/>
      <c r="J133" s="5"/>
      <c r="K133" s="5"/>
      <c r="L133" s="5"/>
      <c r="M133" s="5"/>
      <c r="N133" s="5"/>
      <c r="O133" s="5"/>
      <c r="P133" s="5"/>
      <c r="Q133" s="5"/>
      <c r="R133" s="5"/>
      <c r="S133" s="5"/>
    </row>
    <row r="134" spans="1:19">
      <c r="A134" s="5"/>
      <c r="B134" s="5"/>
      <c r="C134" s="5"/>
      <c r="D134" s="5"/>
      <c r="E134" s="5"/>
      <c r="F134" s="5"/>
      <c r="G134" s="5"/>
      <c r="H134" s="5"/>
      <c r="I134" s="5"/>
      <c r="J134" s="5"/>
      <c r="K134" s="5"/>
      <c r="L134" s="5"/>
      <c r="M134" s="5"/>
      <c r="N134" s="5"/>
      <c r="O134" s="5"/>
      <c r="P134" s="5"/>
      <c r="Q134" s="5"/>
      <c r="R134" s="5"/>
      <c r="S134" s="5"/>
    </row>
    <row r="135" spans="1:19">
      <c r="A135" s="5"/>
      <c r="B135" s="5"/>
      <c r="C135" s="5"/>
      <c r="D135" s="5"/>
      <c r="E135" s="5"/>
      <c r="F135" s="5"/>
      <c r="G135" s="5"/>
      <c r="H135" s="5"/>
      <c r="I135" s="5"/>
      <c r="J135" s="5"/>
      <c r="K135" s="5"/>
      <c r="L135" s="5"/>
      <c r="M135" s="5"/>
      <c r="N135" s="5"/>
      <c r="O135" s="5"/>
      <c r="P135" s="5"/>
      <c r="Q135" s="5"/>
      <c r="R135" s="5"/>
      <c r="S135" s="5"/>
    </row>
    <row r="136" spans="1:19">
      <c r="A136" s="5"/>
      <c r="B136" s="5"/>
      <c r="C136" s="5"/>
      <c r="D136" s="5"/>
      <c r="E136" s="5"/>
      <c r="F136" s="5"/>
      <c r="G136" s="5"/>
      <c r="H136" s="5"/>
      <c r="I136" s="5"/>
      <c r="J136" s="5"/>
      <c r="K136" s="5"/>
      <c r="L136" s="5"/>
      <c r="M136" s="5"/>
      <c r="N136" s="5"/>
      <c r="O136" s="5"/>
      <c r="P136" s="5"/>
      <c r="Q136" s="5"/>
      <c r="R136" s="5"/>
      <c r="S136" s="5"/>
    </row>
    <row r="137" spans="1:19">
      <c r="A137" s="5"/>
      <c r="B137" s="5"/>
      <c r="C137" s="5"/>
      <c r="D137" s="5"/>
      <c r="E137" s="5"/>
      <c r="F137" s="5"/>
      <c r="G137" s="5"/>
      <c r="H137" s="5"/>
      <c r="I137" s="5"/>
      <c r="J137" s="5"/>
      <c r="K137" s="5"/>
      <c r="L137" s="5"/>
      <c r="M137" s="5"/>
      <c r="N137" s="5"/>
      <c r="O137" s="5"/>
      <c r="P137" s="5"/>
      <c r="Q137" s="5"/>
      <c r="R137" s="5"/>
      <c r="S137" s="5"/>
    </row>
    <row r="138" spans="1:19">
      <c r="A138" s="5"/>
      <c r="B138" s="5"/>
      <c r="C138" s="5"/>
      <c r="D138" s="5"/>
      <c r="E138" s="5"/>
      <c r="F138" s="5"/>
      <c r="G138" s="5"/>
      <c r="H138" s="5"/>
      <c r="I138" s="5"/>
      <c r="J138" s="5"/>
      <c r="K138" s="5"/>
      <c r="L138" s="5"/>
      <c r="M138" s="5"/>
      <c r="N138" s="5"/>
      <c r="O138" s="5"/>
      <c r="P138" s="5"/>
      <c r="Q138" s="5"/>
      <c r="R138" s="5"/>
      <c r="S138" s="5"/>
    </row>
    <row r="139" spans="1:19">
      <c r="A139" s="5"/>
      <c r="B139" s="5"/>
      <c r="C139" s="5"/>
      <c r="D139" s="5"/>
      <c r="E139" s="5"/>
      <c r="F139" s="5"/>
      <c r="G139" s="5"/>
      <c r="H139" s="5"/>
      <c r="I139" s="5"/>
      <c r="J139" s="5"/>
      <c r="K139" s="5"/>
      <c r="L139" s="5"/>
      <c r="M139" s="5"/>
      <c r="N139" s="5"/>
      <c r="O139" s="5"/>
      <c r="P139" s="5"/>
      <c r="Q139" s="5"/>
      <c r="R139" s="5"/>
      <c r="S139" s="5"/>
    </row>
    <row r="140" spans="1:19">
      <c r="A140" s="5"/>
      <c r="B140" s="5"/>
      <c r="C140" s="5"/>
      <c r="D140" s="5"/>
      <c r="E140" s="5"/>
      <c r="F140" s="5"/>
      <c r="G140" s="5"/>
      <c r="H140" s="5"/>
      <c r="I140" s="5"/>
      <c r="J140" s="5"/>
      <c r="K140" s="5"/>
      <c r="L140" s="5"/>
      <c r="M140" s="5"/>
      <c r="N140" s="5"/>
      <c r="O140" s="5"/>
      <c r="P140" s="5"/>
      <c r="Q140" s="5"/>
      <c r="R140" s="5"/>
      <c r="S140" s="5"/>
    </row>
    <row r="141" spans="1:19">
      <c r="A141" s="5"/>
      <c r="B141" s="5"/>
      <c r="C141" s="5"/>
      <c r="D141" s="5"/>
      <c r="E141" s="5"/>
      <c r="F141" s="5"/>
      <c r="G141" s="5"/>
      <c r="H141" s="5"/>
      <c r="I141" s="5"/>
      <c r="J141" s="5"/>
      <c r="K141" s="5"/>
      <c r="L141" s="5"/>
      <c r="M141" s="5"/>
      <c r="N141" s="5"/>
      <c r="O141" s="5"/>
      <c r="P141" s="5"/>
      <c r="Q141" s="5"/>
      <c r="R141" s="5"/>
      <c r="S141" s="5"/>
    </row>
    <row r="142" spans="1:19">
      <c r="A142" s="5"/>
      <c r="B142" s="5"/>
      <c r="C142" s="5"/>
      <c r="D142" s="5"/>
      <c r="E142" s="5"/>
      <c r="F142" s="5"/>
      <c r="G142" s="5"/>
      <c r="H142" s="5"/>
      <c r="I142" s="5"/>
      <c r="J142" s="5"/>
      <c r="K142" s="5"/>
      <c r="L142" s="5"/>
      <c r="M142" s="5"/>
      <c r="N142" s="5"/>
      <c r="O142" s="5"/>
      <c r="P142" s="5"/>
      <c r="Q142" s="5"/>
      <c r="R142" s="5"/>
      <c r="S142" s="5"/>
    </row>
    <row r="143" spans="1:19">
      <c r="A143" s="5"/>
      <c r="B143" s="5"/>
      <c r="C143" s="5"/>
      <c r="D143" s="5"/>
      <c r="E143" s="5"/>
      <c r="F143" s="5"/>
      <c r="G143" s="5"/>
      <c r="H143" s="5"/>
      <c r="I143" s="5"/>
      <c r="J143" s="5"/>
      <c r="K143" s="5"/>
      <c r="L143" s="5"/>
      <c r="M143" s="5"/>
      <c r="N143" s="5"/>
      <c r="O143" s="5"/>
      <c r="P143" s="5"/>
      <c r="Q143" s="5"/>
      <c r="R143" s="5"/>
      <c r="S143" s="5"/>
    </row>
    <row r="144" spans="1:19">
      <c r="A144" s="5"/>
      <c r="B144" s="5"/>
      <c r="C144" s="5"/>
      <c r="D144" s="5"/>
      <c r="E144" s="5"/>
      <c r="F144" s="5"/>
      <c r="G144" s="5"/>
      <c r="H144" s="5"/>
      <c r="I144" s="5"/>
      <c r="J144" s="5"/>
      <c r="K144" s="5"/>
      <c r="L144" s="5"/>
      <c r="M144" s="5"/>
      <c r="N144" s="5"/>
      <c r="O144" s="5"/>
      <c r="P144" s="5"/>
      <c r="Q144" s="5"/>
      <c r="R144" s="5"/>
      <c r="S144" s="5"/>
    </row>
    <row r="145" spans="1:19">
      <c r="A145" s="5"/>
      <c r="B145" s="5"/>
      <c r="C145" s="5"/>
      <c r="D145" s="5"/>
      <c r="E145" s="5"/>
      <c r="F145" s="5"/>
      <c r="G145" s="5"/>
      <c r="H145" s="5"/>
      <c r="I145" s="5"/>
      <c r="J145" s="5"/>
      <c r="K145" s="5"/>
      <c r="L145" s="5"/>
      <c r="M145" s="5"/>
      <c r="N145" s="5"/>
      <c r="O145" s="5"/>
      <c r="P145" s="5"/>
      <c r="Q145" s="5"/>
      <c r="R145" s="5"/>
      <c r="S145" s="5"/>
    </row>
    <row r="146" spans="1:19">
      <c r="A146" s="5"/>
      <c r="B146" s="5"/>
      <c r="C146" s="5"/>
      <c r="D146" s="5"/>
      <c r="E146" s="5"/>
      <c r="F146" s="5"/>
      <c r="G146" s="5"/>
      <c r="H146" s="5"/>
      <c r="I146" s="5"/>
      <c r="J146" s="5"/>
      <c r="K146" s="5"/>
      <c r="L146" s="5"/>
      <c r="M146" s="5"/>
      <c r="N146" s="5"/>
      <c r="O146" s="5"/>
      <c r="P146" s="5"/>
      <c r="Q146" s="5"/>
      <c r="R146" s="5"/>
      <c r="S146" s="5"/>
    </row>
    <row r="147" spans="1:19">
      <c r="A147" s="5"/>
      <c r="B147" s="5"/>
      <c r="C147" s="5"/>
      <c r="D147" s="5"/>
      <c r="E147" s="5"/>
      <c r="F147" s="5"/>
      <c r="G147" s="5"/>
      <c r="H147" s="5"/>
      <c r="I147" s="5"/>
      <c r="J147" s="5"/>
      <c r="K147" s="5"/>
      <c r="L147" s="5"/>
      <c r="M147" s="5"/>
      <c r="N147" s="5"/>
      <c r="O147" s="5"/>
      <c r="P147" s="5"/>
      <c r="Q147" s="5"/>
      <c r="R147" s="5"/>
      <c r="S147" s="5"/>
    </row>
    <row r="148" spans="1:19">
      <c r="A148" s="5"/>
      <c r="B148" s="5"/>
      <c r="C148" s="5"/>
      <c r="D148" s="5"/>
      <c r="E148" s="5"/>
      <c r="F148" s="5"/>
      <c r="G148" s="5"/>
      <c r="H148" s="5"/>
      <c r="I148" s="5"/>
      <c r="J148" s="5"/>
      <c r="K148" s="5"/>
      <c r="L148" s="5"/>
      <c r="M148" s="5"/>
      <c r="N148" s="5"/>
      <c r="O148" s="5"/>
      <c r="P148" s="5"/>
      <c r="Q148" s="5"/>
      <c r="R148" s="5"/>
      <c r="S148" s="5"/>
    </row>
    <row r="149" spans="1:19">
      <c r="A149" s="5"/>
      <c r="B149" s="5"/>
      <c r="C149" s="5"/>
      <c r="D149" s="5"/>
      <c r="E149" s="5"/>
      <c r="F149" s="5"/>
      <c r="G149" s="5"/>
      <c r="H149" s="5"/>
      <c r="I149" s="5"/>
      <c r="J149" s="5"/>
      <c r="K149" s="5"/>
      <c r="L149" s="5"/>
      <c r="M149" s="5"/>
      <c r="N149" s="5"/>
      <c r="O149" s="5"/>
      <c r="P149" s="5"/>
      <c r="Q149" s="5"/>
      <c r="R149" s="5"/>
      <c r="S149" s="5"/>
    </row>
    <row r="150" spans="1:19">
      <c r="A150" s="5"/>
      <c r="B150" s="5"/>
      <c r="C150" s="5"/>
      <c r="D150" s="5"/>
      <c r="E150" s="5"/>
      <c r="F150" s="5"/>
      <c r="G150" s="5"/>
      <c r="H150" s="5"/>
      <c r="I150" s="5"/>
      <c r="J150" s="5"/>
      <c r="K150" s="5"/>
      <c r="L150" s="5"/>
      <c r="M150" s="5"/>
      <c r="N150" s="5"/>
      <c r="O150" s="5"/>
      <c r="P150" s="5"/>
      <c r="Q150" s="5"/>
      <c r="R150" s="5"/>
      <c r="S150" s="5"/>
    </row>
    <row r="151" spans="1:19">
      <c r="A151" s="5"/>
      <c r="B151" s="5"/>
      <c r="C151" s="5"/>
      <c r="D151" s="5"/>
      <c r="E151" s="5"/>
      <c r="F151" s="5"/>
      <c r="G151" s="5"/>
      <c r="H151" s="5"/>
      <c r="I151" s="5"/>
      <c r="J151" s="5"/>
      <c r="K151" s="5"/>
      <c r="L151" s="5"/>
      <c r="M151" s="5"/>
      <c r="N151" s="5"/>
      <c r="O151" s="5"/>
      <c r="P151" s="5"/>
      <c r="Q151" s="5"/>
      <c r="R151" s="5"/>
      <c r="S151" s="5"/>
    </row>
    <row r="152" spans="1:19">
      <c r="A152" s="5"/>
      <c r="B152" s="5"/>
      <c r="C152" s="5"/>
      <c r="D152" s="5"/>
      <c r="E152" s="5"/>
      <c r="F152" s="5"/>
      <c r="G152" s="5"/>
      <c r="H152" s="5"/>
      <c r="I152" s="5"/>
      <c r="J152" s="5"/>
      <c r="K152" s="5"/>
      <c r="L152" s="5"/>
      <c r="M152" s="5"/>
      <c r="N152" s="5"/>
      <c r="O152" s="5"/>
      <c r="P152" s="5"/>
      <c r="Q152" s="5"/>
      <c r="R152" s="5"/>
      <c r="S152" s="5"/>
    </row>
    <row r="153" spans="1:19">
      <c r="A153" s="5"/>
      <c r="B153" s="5"/>
      <c r="C153" s="5"/>
      <c r="D153" s="5"/>
      <c r="E153" s="5"/>
      <c r="F153" s="5"/>
      <c r="G153" s="5"/>
      <c r="H153" s="5"/>
      <c r="I153" s="5"/>
      <c r="J153" s="5"/>
      <c r="K153" s="5"/>
      <c r="L153" s="5"/>
      <c r="M153" s="5"/>
      <c r="N153" s="5"/>
      <c r="O153" s="5"/>
      <c r="P153" s="5"/>
      <c r="Q153" s="5"/>
      <c r="R153" s="5"/>
      <c r="S153" s="5"/>
    </row>
    <row r="154" spans="1:19">
      <c r="A154" s="5"/>
      <c r="B154" s="5"/>
      <c r="C154" s="5"/>
      <c r="D154" s="5"/>
      <c r="E154" s="5"/>
      <c r="F154" s="5"/>
      <c r="G154" s="5"/>
      <c r="H154" s="5"/>
      <c r="I154" s="5"/>
      <c r="J154" s="5"/>
      <c r="K154" s="5"/>
      <c r="L154" s="5"/>
      <c r="M154" s="5"/>
      <c r="N154" s="5"/>
      <c r="O154" s="5"/>
      <c r="P154" s="5"/>
      <c r="Q154" s="5"/>
      <c r="R154" s="5"/>
      <c r="S154" s="5"/>
    </row>
    <row r="155" spans="1:19">
      <c r="A155" s="5"/>
      <c r="B155" s="5"/>
      <c r="C155" s="5"/>
      <c r="D155" s="5"/>
      <c r="E155" s="5"/>
      <c r="F155" s="5"/>
      <c r="G155" s="5"/>
      <c r="H155" s="5"/>
      <c r="I155" s="5"/>
      <c r="J155" s="5"/>
      <c r="K155" s="5"/>
      <c r="L155" s="5"/>
      <c r="M155" s="5"/>
      <c r="N155" s="5"/>
      <c r="O155" s="5"/>
      <c r="P155" s="5"/>
      <c r="Q155" s="5"/>
      <c r="R155" s="5"/>
      <c r="S155" s="5"/>
    </row>
    <row r="156" spans="1:19">
      <c r="A156" s="5"/>
      <c r="B156" s="5"/>
      <c r="C156" s="5"/>
      <c r="D156" s="5"/>
      <c r="E156" s="5"/>
      <c r="F156" s="5"/>
      <c r="G156" s="5"/>
      <c r="H156" s="5"/>
      <c r="I156" s="5"/>
      <c r="J156" s="5"/>
      <c r="K156" s="5"/>
      <c r="L156" s="5"/>
      <c r="M156" s="5"/>
      <c r="N156" s="5"/>
      <c r="O156" s="5"/>
      <c r="P156" s="5"/>
      <c r="Q156" s="5"/>
      <c r="R156" s="5"/>
      <c r="S156" s="5"/>
    </row>
    <row r="157" spans="1:19">
      <c r="A157" s="5"/>
      <c r="B157" s="5"/>
      <c r="C157" s="5"/>
      <c r="D157" s="5"/>
      <c r="E157" s="5"/>
      <c r="F157" s="5"/>
      <c r="G157" s="5"/>
      <c r="H157" s="5"/>
      <c r="I157" s="5"/>
      <c r="J157" s="5"/>
      <c r="K157" s="5"/>
      <c r="L157" s="5"/>
      <c r="M157" s="5"/>
      <c r="N157" s="5"/>
      <c r="O157" s="5"/>
      <c r="P157" s="5"/>
      <c r="Q157" s="5"/>
      <c r="R157" s="5"/>
      <c r="S157" s="5"/>
    </row>
    <row r="158" spans="1:19">
      <c r="A158" s="5"/>
      <c r="B158" s="5"/>
      <c r="C158" s="5"/>
      <c r="D158" s="5"/>
      <c r="E158" s="5"/>
      <c r="F158" s="5"/>
      <c r="G158" s="5"/>
      <c r="H158" s="5"/>
      <c r="I158" s="5"/>
      <c r="J158" s="5"/>
      <c r="K158" s="5"/>
      <c r="L158" s="5"/>
      <c r="M158" s="5"/>
      <c r="N158" s="5"/>
      <c r="O158" s="5"/>
      <c r="P158" s="5"/>
      <c r="Q158" s="5"/>
      <c r="R158" s="5"/>
      <c r="S158" s="5"/>
    </row>
    <row r="159" spans="1:19">
      <c r="A159" s="5"/>
      <c r="B159" s="5"/>
      <c r="C159" s="5"/>
      <c r="D159" s="5"/>
      <c r="E159" s="5"/>
      <c r="F159" s="5"/>
      <c r="G159" s="5"/>
      <c r="H159" s="5"/>
      <c r="I159" s="5"/>
      <c r="J159" s="5"/>
      <c r="K159" s="5"/>
      <c r="L159" s="5"/>
      <c r="M159" s="5"/>
      <c r="N159" s="5"/>
      <c r="O159" s="5"/>
      <c r="P159" s="5"/>
      <c r="Q159" s="5"/>
      <c r="R159" s="5"/>
      <c r="S159" s="5"/>
    </row>
    <row r="160" spans="1:19">
      <c r="A160" s="5"/>
      <c r="B160" s="5"/>
      <c r="C160" s="5"/>
      <c r="D160" s="5"/>
      <c r="E160" s="5"/>
      <c r="F160" s="5"/>
      <c r="G160" s="5"/>
      <c r="H160" s="5"/>
      <c r="I160" s="5"/>
      <c r="J160" s="5"/>
      <c r="K160" s="5"/>
      <c r="L160" s="5"/>
      <c r="M160" s="5"/>
      <c r="N160" s="5"/>
      <c r="O160" s="5"/>
      <c r="P160" s="5"/>
      <c r="Q160" s="5"/>
      <c r="R160" s="5"/>
      <c r="S160" s="5"/>
    </row>
    <row r="161" spans="1:19">
      <c r="A161" s="5"/>
      <c r="B161" s="5"/>
      <c r="C161" s="5"/>
      <c r="D161" s="5"/>
      <c r="E161" s="5"/>
      <c r="F161" s="5"/>
      <c r="G161" s="5"/>
      <c r="H161" s="5"/>
      <c r="I161" s="5"/>
      <c r="J161" s="5"/>
      <c r="K161" s="5"/>
      <c r="L161" s="5"/>
      <c r="M161" s="5"/>
      <c r="N161" s="5"/>
      <c r="O161" s="5"/>
      <c r="P161" s="5"/>
      <c r="Q161" s="5"/>
      <c r="R161" s="5"/>
      <c r="S161" s="5"/>
    </row>
    <row r="162" spans="1:19">
      <c r="A162" s="5"/>
      <c r="B162" s="5"/>
      <c r="C162" s="5"/>
      <c r="D162" s="5"/>
      <c r="E162" s="5"/>
      <c r="F162" s="5"/>
      <c r="G162" s="5"/>
      <c r="H162" s="5"/>
      <c r="I162" s="5"/>
      <c r="J162" s="5"/>
      <c r="K162" s="5"/>
      <c r="L162" s="5"/>
      <c r="M162" s="5"/>
      <c r="N162" s="5"/>
      <c r="O162" s="5"/>
      <c r="P162" s="5"/>
      <c r="Q162" s="5"/>
      <c r="R162" s="5"/>
      <c r="S162" s="5"/>
    </row>
    <row r="163" spans="1:19">
      <c r="A163" s="5"/>
      <c r="B163" s="5"/>
      <c r="C163" s="5"/>
      <c r="D163" s="5"/>
      <c r="E163" s="5"/>
      <c r="F163" s="5"/>
      <c r="G163" s="5"/>
      <c r="H163" s="5"/>
      <c r="I163" s="5"/>
      <c r="J163" s="5"/>
      <c r="K163" s="5"/>
      <c r="L163" s="5"/>
      <c r="M163" s="5"/>
      <c r="N163" s="5"/>
      <c r="O163" s="5"/>
      <c r="P163" s="5"/>
      <c r="Q163" s="5"/>
      <c r="R163" s="5"/>
      <c r="S163" s="5"/>
    </row>
    <row r="164" spans="1:19">
      <c r="A164" s="5"/>
      <c r="B164" s="5"/>
      <c r="C164" s="5"/>
      <c r="D164" s="5"/>
      <c r="E164" s="5"/>
      <c r="F164" s="5"/>
      <c r="G164" s="5"/>
      <c r="H164" s="5"/>
      <c r="I164" s="5"/>
      <c r="J164" s="5"/>
      <c r="K164" s="5"/>
      <c r="L164" s="5"/>
      <c r="M164" s="5"/>
      <c r="N164" s="5"/>
      <c r="O164" s="5"/>
      <c r="P164" s="5"/>
      <c r="Q164" s="5"/>
      <c r="R164" s="5"/>
      <c r="S164" s="5"/>
    </row>
    <row r="165" spans="1:19">
      <c r="A165" s="5"/>
      <c r="B165" s="5"/>
      <c r="C165" s="5"/>
      <c r="D165" s="5"/>
      <c r="E165" s="5"/>
      <c r="F165" s="5"/>
      <c r="G165" s="5"/>
      <c r="H165" s="5"/>
      <c r="I165" s="5"/>
      <c r="J165" s="5"/>
      <c r="K165" s="5"/>
      <c r="L165" s="5"/>
      <c r="M165" s="5"/>
      <c r="N165" s="5"/>
      <c r="O165" s="5"/>
      <c r="P165" s="5"/>
      <c r="Q165" s="5"/>
      <c r="R165" s="5"/>
      <c r="S165" s="5"/>
    </row>
    <row r="166" spans="1:19">
      <c r="A166" s="5"/>
      <c r="B166" s="5"/>
      <c r="C166" s="5"/>
      <c r="D166" s="5"/>
      <c r="E166" s="5"/>
      <c r="F166" s="5"/>
      <c r="G166" s="5"/>
      <c r="H166" s="5"/>
      <c r="I166" s="5"/>
      <c r="J166" s="5"/>
      <c r="K166" s="5"/>
      <c r="L166" s="5"/>
      <c r="M166" s="5"/>
      <c r="N166" s="5"/>
      <c r="O166" s="5"/>
      <c r="P166" s="5"/>
      <c r="Q166" s="5"/>
      <c r="R166" s="5"/>
      <c r="S166" s="5"/>
    </row>
    <row r="167" spans="1:19">
      <c r="A167" s="5"/>
      <c r="B167" s="5"/>
      <c r="C167" s="5"/>
      <c r="D167" s="5"/>
      <c r="E167" s="5"/>
      <c r="F167" s="5"/>
      <c r="G167" s="5"/>
      <c r="H167" s="5"/>
      <c r="I167" s="5"/>
      <c r="J167" s="5"/>
      <c r="K167" s="5"/>
      <c r="L167" s="5"/>
      <c r="M167" s="5"/>
      <c r="N167" s="5"/>
      <c r="O167" s="5"/>
      <c r="P167" s="5"/>
      <c r="Q167" s="5"/>
      <c r="R167" s="5"/>
      <c r="S167" s="5"/>
    </row>
    <row r="168" spans="1:19">
      <c r="A168" s="5"/>
      <c r="B168" s="5"/>
      <c r="C168" s="5"/>
      <c r="D168" s="5"/>
      <c r="E168" s="5"/>
      <c r="F168" s="5"/>
      <c r="G168" s="5"/>
      <c r="H168" s="5"/>
      <c r="I168" s="5"/>
      <c r="J168" s="5"/>
      <c r="K168" s="5"/>
      <c r="L168" s="5"/>
      <c r="M168" s="5"/>
      <c r="N168" s="5"/>
      <c r="O168" s="5"/>
      <c r="P168" s="5"/>
      <c r="Q168" s="5"/>
      <c r="R168" s="5"/>
      <c r="S168" s="5"/>
    </row>
    <row r="169" spans="1:19">
      <c r="A169" s="5"/>
      <c r="B169" s="5"/>
      <c r="C169" s="5"/>
      <c r="D169" s="5"/>
      <c r="E169" s="5"/>
      <c r="F169" s="5"/>
      <c r="G169" s="5"/>
      <c r="H169" s="5"/>
      <c r="I169" s="5"/>
      <c r="J169" s="5"/>
      <c r="K169" s="5"/>
      <c r="L169" s="5"/>
      <c r="M169" s="5"/>
      <c r="N169" s="5"/>
      <c r="O169" s="5"/>
      <c r="P169" s="5"/>
      <c r="Q169" s="5"/>
      <c r="R169" s="5"/>
      <c r="S169" s="5"/>
    </row>
    <row r="170" spans="1:19">
      <c r="A170" s="5"/>
      <c r="B170" s="5"/>
      <c r="C170" s="5"/>
      <c r="D170" s="5"/>
      <c r="E170" s="5"/>
      <c r="F170" s="5"/>
      <c r="G170" s="5"/>
      <c r="H170" s="5"/>
      <c r="I170" s="5"/>
      <c r="J170" s="5"/>
      <c r="K170" s="5"/>
      <c r="L170" s="5"/>
      <c r="M170" s="5"/>
      <c r="N170" s="5"/>
      <c r="O170" s="5"/>
      <c r="P170" s="5"/>
      <c r="Q170" s="5"/>
      <c r="R170" s="5"/>
      <c r="S170" s="5"/>
    </row>
    <row r="171" spans="1:19">
      <c r="A171" s="5"/>
      <c r="B171" s="5"/>
      <c r="C171" s="5"/>
      <c r="D171" s="5"/>
      <c r="E171" s="5"/>
      <c r="F171" s="5"/>
      <c r="G171" s="5"/>
      <c r="H171" s="5"/>
      <c r="I171" s="5"/>
      <c r="J171" s="5"/>
      <c r="K171" s="5"/>
      <c r="L171" s="5"/>
      <c r="M171" s="5"/>
      <c r="N171" s="5"/>
      <c r="O171" s="5"/>
      <c r="P171" s="5"/>
      <c r="Q171" s="5"/>
      <c r="R171" s="5"/>
      <c r="S171" s="5"/>
    </row>
    <row r="172" spans="1:19">
      <c r="A172" s="5"/>
      <c r="B172" s="5"/>
      <c r="C172" s="5"/>
      <c r="D172" s="5"/>
      <c r="E172" s="5"/>
      <c r="F172" s="5"/>
      <c r="G172" s="5"/>
      <c r="H172" s="5"/>
      <c r="I172" s="5"/>
      <c r="J172" s="5"/>
      <c r="K172" s="5"/>
      <c r="L172" s="5"/>
      <c r="M172" s="5"/>
      <c r="N172" s="5"/>
      <c r="O172" s="5"/>
      <c r="P172" s="5"/>
      <c r="Q172" s="5"/>
      <c r="R172" s="5"/>
      <c r="S172" s="5"/>
    </row>
    <row r="173" spans="1:19">
      <c r="A173" s="5"/>
      <c r="B173" s="5"/>
      <c r="C173" s="5"/>
      <c r="D173" s="5"/>
      <c r="E173" s="5"/>
      <c r="F173" s="5"/>
      <c r="G173" s="5"/>
      <c r="H173" s="5"/>
      <c r="I173" s="5"/>
      <c r="J173" s="5"/>
      <c r="K173" s="5"/>
      <c r="L173" s="5"/>
      <c r="M173" s="5"/>
      <c r="N173" s="5"/>
      <c r="O173" s="5"/>
      <c r="P173" s="5"/>
      <c r="Q173" s="5"/>
      <c r="R173" s="5"/>
      <c r="S173" s="5"/>
    </row>
    <row r="174" spans="1:19">
      <c r="A174" s="5"/>
      <c r="B174" s="5"/>
      <c r="C174" s="5"/>
      <c r="D174" s="5"/>
      <c r="E174" s="5"/>
      <c r="F174" s="5"/>
      <c r="G174" s="5"/>
      <c r="H174" s="5"/>
      <c r="I174" s="5"/>
      <c r="J174" s="5"/>
      <c r="K174" s="5"/>
      <c r="L174" s="5"/>
      <c r="M174" s="5"/>
      <c r="N174" s="5"/>
      <c r="O174" s="5"/>
      <c r="P174" s="5"/>
      <c r="Q174" s="5"/>
      <c r="R174" s="5"/>
      <c r="S174" s="5"/>
    </row>
    <row r="175" spans="1:19">
      <c r="A175" s="5"/>
      <c r="B175" s="5"/>
      <c r="C175" s="5"/>
      <c r="D175" s="5"/>
      <c r="E175" s="5"/>
      <c r="F175" s="5"/>
      <c r="G175" s="5"/>
      <c r="H175" s="5"/>
      <c r="I175" s="5"/>
      <c r="J175" s="5"/>
      <c r="K175" s="5"/>
      <c r="L175" s="5"/>
      <c r="M175" s="5"/>
      <c r="N175" s="5"/>
      <c r="O175" s="5"/>
      <c r="P175" s="5"/>
      <c r="Q175" s="5"/>
      <c r="R175" s="5"/>
      <c r="S175" s="5"/>
    </row>
    <row r="176" spans="1:19">
      <c r="A176" s="5"/>
      <c r="B176" s="5"/>
      <c r="C176" s="5"/>
      <c r="D176" s="5"/>
      <c r="E176" s="5"/>
      <c r="F176" s="5"/>
      <c r="G176" s="5"/>
      <c r="H176" s="5"/>
      <c r="I176" s="5"/>
      <c r="J176" s="5"/>
      <c r="K176" s="5"/>
      <c r="L176" s="5"/>
      <c r="M176" s="5"/>
      <c r="N176" s="5"/>
      <c r="O176" s="5"/>
      <c r="P176" s="5"/>
      <c r="Q176" s="5"/>
      <c r="R176" s="5"/>
      <c r="S176" s="5"/>
    </row>
    <row r="177" spans="1:19">
      <c r="A177" s="5"/>
      <c r="B177" s="5"/>
      <c r="C177" s="5"/>
      <c r="D177" s="5"/>
      <c r="E177" s="5"/>
      <c r="F177" s="5"/>
      <c r="G177" s="5"/>
      <c r="H177" s="5"/>
      <c r="I177" s="5"/>
      <c r="J177" s="5"/>
      <c r="K177" s="5"/>
      <c r="L177" s="5"/>
      <c r="M177" s="5"/>
      <c r="N177" s="5"/>
      <c r="O177" s="5"/>
      <c r="P177" s="5"/>
      <c r="Q177" s="5"/>
      <c r="R177" s="5"/>
      <c r="S177" s="5"/>
    </row>
    <row r="178" spans="1:19">
      <c r="A178" s="5"/>
      <c r="B178" s="5"/>
      <c r="C178" s="5"/>
      <c r="D178" s="5"/>
      <c r="E178" s="5"/>
      <c r="F178" s="5"/>
      <c r="G178" s="5"/>
      <c r="H178" s="5"/>
      <c r="I178" s="5"/>
      <c r="J178" s="5"/>
      <c r="K178" s="5"/>
      <c r="L178" s="5"/>
      <c r="M178" s="5"/>
      <c r="N178" s="5"/>
      <c r="O178" s="5"/>
      <c r="P178" s="5"/>
      <c r="Q178" s="5"/>
      <c r="R178" s="5"/>
      <c r="S178" s="5"/>
    </row>
    <row r="179" spans="1:19">
      <c r="A179" s="5"/>
      <c r="B179" s="5"/>
      <c r="C179" s="5"/>
      <c r="D179" s="5"/>
      <c r="E179" s="5"/>
      <c r="F179" s="5"/>
      <c r="G179" s="5"/>
      <c r="H179" s="5"/>
      <c r="I179" s="5"/>
      <c r="J179" s="5"/>
      <c r="K179" s="5"/>
      <c r="L179" s="5"/>
      <c r="M179" s="5"/>
      <c r="N179" s="5"/>
      <c r="O179" s="5"/>
      <c r="P179" s="5"/>
      <c r="Q179" s="5"/>
      <c r="R179" s="5"/>
      <c r="S179" s="5"/>
    </row>
    <row r="180" spans="1:19">
      <c r="A180" s="5"/>
      <c r="B180" s="5"/>
      <c r="C180" s="5"/>
      <c r="D180" s="5"/>
      <c r="E180" s="5"/>
      <c r="F180" s="5"/>
      <c r="G180" s="5"/>
      <c r="H180" s="5"/>
      <c r="I180" s="5"/>
      <c r="J180" s="5"/>
      <c r="K180" s="5"/>
      <c r="L180" s="5"/>
      <c r="M180" s="5"/>
      <c r="N180" s="5"/>
      <c r="O180" s="5"/>
      <c r="P180" s="5"/>
      <c r="Q180" s="5"/>
      <c r="R180" s="5"/>
      <c r="S180" s="5"/>
    </row>
    <row r="181" spans="1:19">
      <c r="A181" s="5"/>
      <c r="B181" s="5"/>
      <c r="C181" s="5"/>
      <c r="D181" s="5"/>
      <c r="E181" s="5"/>
      <c r="F181" s="5"/>
      <c r="G181" s="5"/>
      <c r="H181" s="5"/>
      <c r="I181" s="5"/>
      <c r="J181" s="5"/>
      <c r="K181" s="5"/>
      <c r="L181" s="5"/>
      <c r="M181" s="5"/>
      <c r="N181" s="5"/>
      <c r="O181" s="5"/>
      <c r="P181" s="5"/>
      <c r="Q181" s="5"/>
      <c r="R181" s="5"/>
      <c r="S181" s="5"/>
    </row>
    <row r="182" spans="1:19">
      <c r="A182" s="5"/>
      <c r="B182" s="5"/>
      <c r="C182" s="5"/>
      <c r="D182" s="5"/>
      <c r="E182" s="5"/>
      <c r="F182" s="5"/>
      <c r="G182" s="5"/>
      <c r="H182" s="5"/>
      <c r="I182" s="5"/>
      <c r="J182" s="5"/>
      <c r="K182" s="5"/>
      <c r="L182" s="5"/>
      <c r="M182" s="5"/>
      <c r="N182" s="5"/>
      <c r="O182" s="5"/>
      <c r="P182" s="5"/>
      <c r="Q182" s="5"/>
      <c r="R182" s="5"/>
      <c r="S182" s="5"/>
    </row>
    <row r="183" spans="1:19">
      <c r="A183" s="5"/>
      <c r="B183" s="5"/>
      <c r="C183" s="5"/>
      <c r="D183" s="5"/>
      <c r="E183" s="5"/>
      <c r="F183" s="5"/>
      <c r="G183" s="5"/>
      <c r="H183" s="5"/>
      <c r="I183" s="5"/>
      <c r="J183" s="5"/>
      <c r="K183" s="5"/>
      <c r="L183" s="5"/>
      <c r="M183" s="5"/>
      <c r="N183" s="5"/>
      <c r="O183" s="5"/>
      <c r="P183" s="5"/>
      <c r="Q183" s="5"/>
      <c r="R183" s="5"/>
      <c r="S183" s="5"/>
    </row>
    <row r="184" spans="1:19">
      <c r="A184" s="5"/>
      <c r="B184" s="5"/>
      <c r="C184" s="5"/>
      <c r="D184" s="5"/>
      <c r="E184" s="5"/>
      <c r="F184" s="5"/>
      <c r="G184" s="5"/>
      <c r="H184" s="5"/>
      <c r="I184" s="5"/>
      <c r="J184" s="5"/>
      <c r="K184" s="5"/>
      <c r="L184" s="5"/>
      <c r="M184" s="5"/>
      <c r="N184" s="5"/>
      <c r="O184" s="5"/>
      <c r="P184" s="5"/>
      <c r="Q184" s="5"/>
      <c r="R184" s="5"/>
      <c r="S184" s="5"/>
    </row>
    <row r="185" spans="1:19">
      <c r="A185" s="5"/>
      <c r="B185" s="5"/>
      <c r="C185" s="5"/>
      <c r="D185" s="5"/>
      <c r="E185" s="5"/>
      <c r="F185" s="5"/>
      <c r="G185" s="5"/>
      <c r="H185" s="5"/>
      <c r="I185" s="5"/>
      <c r="J185" s="5"/>
      <c r="K185" s="5"/>
      <c r="L185" s="5"/>
      <c r="M185" s="5"/>
      <c r="N185" s="5"/>
      <c r="O185" s="5"/>
      <c r="P185" s="5"/>
      <c r="Q185" s="5"/>
      <c r="R185" s="5"/>
      <c r="S185" s="5"/>
    </row>
    <row r="186" spans="1:19">
      <c r="A186" s="5"/>
      <c r="B186" s="5"/>
      <c r="C186" s="5"/>
      <c r="D186" s="5"/>
      <c r="E186" s="5"/>
      <c r="F186" s="5"/>
      <c r="G186" s="5"/>
      <c r="H186" s="5"/>
      <c r="I186" s="5"/>
      <c r="J186" s="5"/>
      <c r="K186" s="5"/>
      <c r="L186" s="5"/>
      <c r="M186" s="5"/>
      <c r="N186" s="5"/>
      <c r="O186" s="5"/>
      <c r="P186" s="5"/>
      <c r="Q186" s="5"/>
      <c r="R186" s="5"/>
      <c r="S186" s="5"/>
    </row>
    <row r="187" spans="1:19">
      <c r="A187" s="5"/>
      <c r="B187" s="5"/>
      <c r="C187" s="5"/>
      <c r="D187" s="5"/>
      <c r="E187" s="5"/>
      <c r="F187" s="5"/>
      <c r="G187" s="5"/>
      <c r="H187" s="5"/>
      <c r="I187" s="5"/>
      <c r="J187" s="5"/>
      <c r="K187" s="5"/>
      <c r="L187" s="5"/>
      <c r="M187" s="5"/>
      <c r="N187" s="5"/>
      <c r="O187" s="5"/>
      <c r="P187" s="5"/>
      <c r="Q187" s="5"/>
      <c r="R187" s="5"/>
      <c r="S187" s="5"/>
    </row>
    <row r="188" spans="1:19">
      <c r="A188" s="5"/>
      <c r="B188" s="5"/>
      <c r="C188" s="5"/>
      <c r="D188" s="5"/>
      <c r="E188" s="5"/>
      <c r="F188" s="5"/>
      <c r="G188" s="5"/>
      <c r="H188" s="5"/>
      <c r="I188" s="5"/>
      <c r="J188" s="5"/>
      <c r="K188" s="5"/>
      <c r="L188" s="5"/>
      <c r="M188" s="5"/>
      <c r="N188" s="5"/>
      <c r="O188" s="5"/>
      <c r="P188" s="5"/>
      <c r="Q188" s="5"/>
      <c r="R188" s="5"/>
      <c r="S188" s="5"/>
    </row>
    <row r="189" spans="1:19">
      <c r="A189" s="5"/>
      <c r="B189" s="5"/>
      <c r="C189" s="5"/>
      <c r="D189" s="5"/>
      <c r="E189" s="5"/>
      <c r="F189" s="5"/>
      <c r="G189" s="5"/>
      <c r="H189" s="5"/>
      <c r="I189" s="5"/>
      <c r="J189" s="5"/>
      <c r="K189" s="5"/>
      <c r="L189" s="5"/>
      <c r="M189" s="5"/>
      <c r="N189" s="5"/>
      <c r="O189" s="5"/>
      <c r="P189" s="5"/>
      <c r="Q189" s="5"/>
      <c r="R189" s="5"/>
      <c r="S189" s="5"/>
    </row>
    <row r="190" spans="1:19">
      <c r="A190" s="5"/>
      <c r="B190" s="5"/>
      <c r="C190" s="5"/>
      <c r="D190" s="5"/>
      <c r="E190" s="5"/>
      <c r="F190" s="5"/>
      <c r="G190" s="5"/>
      <c r="H190" s="5"/>
      <c r="I190" s="5"/>
      <c r="J190" s="5"/>
      <c r="K190" s="5"/>
      <c r="L190" s="5"/>
      <c r="M190" s="5"/>
      <c r="N190" s="5"/>
      <c r="O190" s="5"/>
      <c r="P190" s="5"/>
      <c r="Q190" s="5"/>
      <c r="R190" s="5"/>
      <c r="S190" s="5"/>
    </row>
    <row r="191" spans="1:19">
      <c r="A191" s="5"/>
      <c r="B191" s="5"/>
      <c r="C191" s="5"/>
      <c r="D191" s="5"/>
      <c r="E191" s="5"/>
      <c r="F191" s="5"/>
      <c r="G191" s="5"/>
      <c r="H191" s="5"/>
      <c r="I191" s="5"/>
      <c r="J191" s="5"/>
      <c r="K191" s="5"/>
      <c r="L191" s="5"/>
      <c r="M191" s="5"/>
      <c r="N191" s="5"/>
      <c r="O191" s="5"/>
      <c r="P191" s="5"/>
      <c r="Q191" s="5"/>
      <c r="R191" s="5"/>
      <c r="S191" s="5"/>
    </row>
    <row r="192" spans="1:19">
      <c r="A192" s="5"/>
      <c r="B192" s="5"/>
      <c r="C192" s="5"/>
      <c r="D192" s="5"/>
      <c r="E192" s="5"/>
      <c r="F192" s="5"/>
      <c r="G192" s="5"/>
      <c r="H192" s="5"/>
      <c r="I192" s="5"/>
      <c r="J192" s="5"/>
      <c r="K192" s="5"/>
      <c r="L192" s="5"/>
      <c r="M192" s="5"/>
      <c r="N192" s="5"/>
      <c r="O192" s="5"/>
      <c r="P192" s="5"/>
      <c r="Q192" s="5"/>
      <c r="R192" s="5"/>
      <c r="S192" s="5"/>
    </row>
    <row r="193" spans="1:19">
      <c r="A193" s="5"/>
      <c r="B193" s="5"/>
      <c r="C193" s="5"/>
      <c r="D193" s="5"/>
      <c r="E193" s="5"/>
      <c r="F193" s="5"/>
      <c r="G193" s="5"/>
      <c r="H193" s="5"/>
      <c r="I193" s="5"/>
      <c r="J193" s="5"/>
      <c r="K193" s="5"/>
      <c r="L193" s="5"/>
      <c r="M193" s="5"/>
      <c r="N193" s="5"/>
      <c r="O193" s="5"/>
      <c r="P193" s="5"/>
      <c r="Q193" s="5"/>
      <c r="R193" s="5"/>
      <c r="S193" s="5"/>
    </row>
    <row r="194" spans="1:19">
      <c r="A194" s="5"/>
      <c r="B194" s="5"/>
      <c r="C194" s="5"/>
      <c r="D194" s="5"/>
      <c r="E194" s="5"/>
      <c r="F194" s="5"/>
      <c r="G194" s="5"/>
      <c r="H194" s="5"/>
      <c r="I194" s="5"/>
      <c r="J194" s="5"/>
      <c r="K194" s="5"/>
      <c r="L194" s="5"/>
      <c r="M194" s="5"/>
      <c r="N194" s="5"/>
      <c r="O194" s="5"/>
      <c r="P194" s="5"/>
      <c r="Q194" s="5"/>
      <c r="R194" s="5"/>
      <c r="S194" s="5"/>
    </row>
    <row r="195" spans="1:19">
      <c r="A195" s="5"/>
      <c r="B195" s="5"/>
      <c r="C195" s="5"/>
      <c r="D195" s="5"/>
      <c r="E195" s="5"/>
      <c r="F195" s="5"/>
      <c r="G195" s="5"/>
      <c r="H195" s="5"/>
      <c r="I195" s="5"/>
      <c r="J195" s="5"/>
      <c r="K195" s="5"/>
      <c r="L195" s="5"/>
      <c r="M195" s="5"/>
      <c r="N195" s="5"/>
      <c r="O195" s="5"/>
      <c r="P195" s="5"/>
      <c r="Q195" s="5"/>
      <c r="R195" s="5"/>
      <c r="S195" s="5"/>
    </row>
    <row r="196" spans="1:19">
      <c r="A196" s="5"/>
      <c r="B196" s="5"/>
      <c r="C196" s="5"/>
      <c r="D196" s="5"/>
      <c r="E196" s="5"/>
      <c r="F196" s="5"/>
      <c r="G196" s="5"/>
      <c r="H196" s="5"/>
      <c r="I196" s="5"/>
      <c r="J196" s="5"/>
      <c r="K196" s="5"/>
      <c r="L196" s="5"/>
      <c r="M196" s="5"/>
      <c r="N196" s="5"/>
      <c r="O196" s="5"/>
      <c r="P196" s="5"/>
      <c r="Q196" s="5"/>
      <c r="R196" s="5"/>
      <c r="S196" s="5"/>
    </row>
    <row r="197" spans="1:19">
      <c r="A197" s="5"/>
      <c r="B197" s="5"/>
      <c r="C197" s="5"/>
      <c r="D197" s="5"/>
      <c r="E197" s="5"/>
      <c r="F197" s="5"/>
      <c r="G197" s="5"/>
      <c r="H197" s="5"/>
      <c r="I197" s="5"/>
      <c r="J197" s="5"/>
      <c r="K197" s="5"/>
      <c r="L197" s="5"/>
      <c r="M197" s="5"/>
      <c r="N197" s="5"/>
      <c r="O197" s="5"/>
      <c r="P197" s="5"/>
      <c r="Q197" s="5"/>
      <c r="R197" s="5"/>
      <c r="S197" s="5"/>
    </row>
    <row r="198" spans="1:19">
      <c r="A198" s="5"/>
      <c r="B198" s="5"/>
      <c r="C198" s="5"/>
      <c r="D198" s="5"/>
      <c r="E198" s="5"/>
      <c r="F198" s="5"/>
      <c r="G198" s="5"/>
      <c r="H198" s="5"/>
      <c r="I198" s="5"/>
      <c r="J198" s="5"/>
      <c r="K198" s="5"/>
      <c r="L198" s="5"/>
      <c r="M198" s="5"/>
      <c r="N198" s="5"/>
      <c r="O198" s="5"/>
      <c r="P198" s="5"/>
      <c r="Q198" s="5"/>
      <c r="R198" s="5"/>
      <c r="S198" s="5"/>
    </row>
    <row r="199" spans="1:19">
      <c r="A199" s="5"/>
      <c r="B199" s="5"/>
      <c r="C199" s="5"/>
      <c r="D199" s="5"/>
      <c r="E199" s="5"/>
      <c r="F199" s="5"/>
      <c r="G199" s="5"/>
      <c r="H199" s="5"/>
      <c r="I199" s="5"/>
      <c r="J199" s="5"/>
      <c r="K199" s="5"/>
      <c r="L199" s="5"/>
      <c r="M199" s="5"/>
      <c r="N199" s="5"/>
      <c r="O199" s="5"/>
      <c r="P199" s="5"/>
      <c r="Q199" s="5"/>
      <c r="R199" s="5"/>
      <c r="S199" s="5"/>
    </row>
    <row r="200" spans="1:19">
      <c r="A200" s="5"/>
      <c r="B200" s="5"/>
      <c r="C200" s="5"/>
      <c r="D200" s="5"/>
      <c r="E200" s="5"/>
      <c r="F200" s="5"/>
      <c r="G200" s="5"/>
      <c r="H200" s="5"/>
      <c r="I200" s="5"/>
      <c r="J200" s="5"/>
      <c r="K200" s="5"/>
      <c r="L200" s="5"/>
      <c r="M200" s="5"/>
      <c r="N200" s="5"/>
      <c r="O200" s="5"/>
      <c r="P200" s="5"/>
      <c r="Q200" s="5"/>
      <c r="R200" s="5"/>
      <c r="S200" s="5"/>
    </row>
    <row r="201" spans="1:19">
      <c r="A201" s="5"/>
      <c r="B201" s="5"/>
      <c r="C201" s="5"/>
      <c r="D201" s="5"/>
      <c r="E201" s="5"/>
      <c r="F201" s="5"/>
      <c r="G201" s="5"/>
      <c r="H201" s="5"/>
      <c r="I201" s="5"/>
      <c r="J201" s="5"/>
      <c r="K201" s="5"/>
      <c r="L201" s="5"/>
      <c r="M201" s="5"/>
      <c r="N201" s="5"/>
      <c r="O201" s="5"/>
      <c r="P201" s="5"/>
      <c r="Q201" s="5"/>
      <c r="R201" s="5"/>
      <c r="S201" s="5"/>
    </row>
    <row r="202" spans="1:19">
      <c r="A202" s="5"/>
      <c r="B202" s="5"/>
      <c r="C202" s="5"/>
      <c r="D202" s="5"/>
      <c r="E202" s="5"/>
      <c r="F202" s="5"/>
      <c r="G202" s="5"/>
      <c r="H202" s="5"/>
      <c r="I202" s="5"/>
      <c r="J202" s="5"/>
      <c r="K202" s="5"/>
      <c r="L202" s="5"/>
      <c r="M202" s="5"/>
      <c r="N202" s="5"/>
      <c r="O202" s="5"/>
      <c r="P202" s="5"/>
      <c r="Q202" s="5"/>
      <c r="R202" s="5"/>
      <c r="S202" s="5"/>
    </row>
    <row r="203" spans="1:19">
      <c r="A203" s="5"/>
      <c r="B203" s="5"/>
      <c r="C203" s="5"/>
      <c r="D203" s="5"/>
      <c r="E203" s="5"/>
      <c r="F203" s="5"/>
      <c r="G203" s="5"/>
      <c r="H203" s="5"/>
      <c r="I203" s="5"/>
      <c r="J203" s="5"/>
      <c r="K203" s="5"/>
      <c r="L203" s="5"/>
      <c r="M203" s="5"/>
      <c r="N203" s="5"/>
      <c r="O203" s="5"/>
      <c r="P203" s="5"/>
      <c r="Q203" s="5"/>
      <c r="R203" s="5"/>
      <c r="S203" s="5"/>
    </row>
    <row r="204" spans="1:19">
      <c r="A204" s="5"/>
      <c r="B204" s="5"/>
      <c r="C204" s="5"/>
      <c r="D204" s="5"/>
      <c r="E204" s="5"/>
      <c r="F204" s="5"/>
      <c r="G204" s="5"/>
      <c r="H204" s="5"/>
      <c r="I204" s="5"/>
      <c r="J204" s="5"/>
      <c r="K204" s="5"/>
      <c r="L204" s="5"/>
      <c r="M204" s="5"/>
      <c r="N204" s="5"/>
      <c r="O204" s="5"/>
      <c r="P204" s="5"/>
      <c r="Q204" s="5"/>
      <c r="R204" s="5"/>
      <c r="S204" s="5"/>
    </row>
    <row r="205" spans="1:19">
      <c r="A205" s="5"/>
      <c r="B205" s="5"/>
      <c r="C205" s="5"/>
      <c r="D205" s="5"/>
      <c r="E205" s="5"/>
      <c r="F205" s="5"/>
      <c r="G205" s="5"/>
      <c r="H205" s="5"/>
      <c r="I205" s="5"/>
      <c r="J205" s="5"/>
      <c r="K205" s="5"/>
      <c r="L205" s="5"/>
      <c r="M205" s="5"/>
      <c r="N205" s="5"/>
      <c r="O205" s="5"/>
      <c r="P205" s="5"/>
      <c r="Q205" s="5"/>
      <c r="R205" s="5"/>
      <c r="S205" s="5"/>
    </row>
    <row r="206" spans="1:19">
      <c r="A206" s="5"/>
      <c r="B206" s="5"/>
      <c r="C206" s="5"/>
      <c r="D206" s="5"/>
      <c r="E206" s="5"/>
      <c r="F206" s="5"/>
      <c r="G206" s="5"/>
      <c r="H206" s="5"/>
      <c r="I206" s="5"/>
      <c r="J206" s="5"/>
      <c r="K206" s="5"/>
      <c r="L206" s="5"/>
      <c r="M206" s="5"/>
      <c r="N206" s="5"/>
      <c r="O206" s="5"/>
      <c r="P206" s="5"/>
      <c r="Q206" s="5"/>
      <c r="R206" s="5"/>
      <c r="S206" s="5"/>
    </row>
    <row r="207" spans="1:19">
      <c r="A207" s="5"/>
      <c r="B207" s="5"/>
      <c r="C207" s="5"/>
      <c r="D207" s="5"/>
      <c r="E207" s="5"/>
      <c r="F207" s="5"/>
      <c r="G207" s="5"/>
      <c r="H207" s="5"/>
      <c r="I207" s="5"/>
      <c r="J207" s="5"/>
      <c r="K207" s="5"/>
      <c r="L207" s="5"/>
      <c r="M207" s="5"/>
      <c r="N207" s="5"/>
      <c r="O207" s="5"/>
      <c r="P207" s="5"/>
      <c r="Q207" s="5"/>
      <c r="R207" s="5"/>
      <c r="S207" s="5"/>
    </row>
    <row r="208" spans="1:19">
      <c r="A208" s="5"/>
      <c r="B208" s="5"/>
      <c r="C208" s="5"/>
      <c r="D208" s="5"/>
      <c r="E208" s="5"/>
      <c r="F208" s="5"/>
      <c r="G208" s="5"/>
      <c r="H208" s="5"/>
      <c r="I208" s="5"/>
      <c r="J208" s="5"/>
      <c r="K208" s="5"/>
      <c r="L208" s="5"/>
      <c r="M208" s="5"/>
      <c r="N208" s="5"/>
      <c r="O208" s="5"/>
      <c r="P208" s="5"/>
      <c r="Q208" s="5"/>
      <c r="R208" s="5"/>
      <c r="S208" s="5"/>
    </row>
    <row r="209" spans="1:19">
      <c r="A209" s="5"/>
      <c r="B209" s="5"/>
      <c r="C209" s="5"/>
      <c r="D209" s="5"/>
      <c r="E209" s="5"/>
      <c r="F209" s="5"/>
      <c r="G209" s="5"/>
      <c r="H209" s="5"/>
      <c r="I209" s="5"/>
      <c r="J209" s="5"/>
      <c r="K209" s="5"/>
      <c r="L209" s="5"/>
      <c r="M209" s="5"/>
      <c r="N209" s="5"/>
      <c r="O209" s="5"/>
      <c r="P209" s="5"/>
      <c r="Q209" s="5"/>
      <c r="R209" s="5"/>
      <c r="S209" s="5"/>
    </row>
    <row r="210" spans="1:19">
      <c r="A210" s="5"/>
      <c r="B210" s="5"/>
      <c r="C210" s="5"/>
      <c r="D210" s="5"/>
      <c r="E210" s="5"/>
      <c r="F210" s="5"/>
      <c r="G210" s="5"/>
      <c r="H210" s="5"/>
      <c r="I210" s="5"/>
      <c r="J210" s="5"/>
      <c r="K210" s="5"/>
      <c r="L210" s="5"/>
      <c r="M210" s="5"/>
      <c r="N210" s="5"/>
      <c r="O210" s="5"/>
      <c r="P210" s="5"/>
      <c r="Q210" s="5"/>
      <c r="R210" s="5"/>
      <c r="S210" s="5"/>
    </row>
    <row r="211" spans="1:19">
      <c r="A211" s="5"/>
      <c r="B211" s="5"/>
      <c r="C211" s="5"/>
      <c r="D211" s="5"/>
      <c r="E211" s="5"/>
      <c r="F211" s="5"/>
      <c r="G211" s="5"/>
      <c r="H211" s="5"/>
      <c r="I211" s="5"/>
      <c r="J211" s="5"/>
      <c r="K211" s="5"/>
      <c r="L211" s="5"/>
      <c r="M211" s="5"/>
      <c r="N211" s="5"/>
      <c r="O211" s="5"/>
      <c r="P211" s="5"/>
      <c r="Q211" s="5"/>
      <c r="R211" s="5"/>
      <c r="S211" s="5"/>
    </row>
    <row r="212" spans="1:19">
      <c r="A212" s="5"/>
      <c r="B212" s="5"/>
      <c r="C212" s="5"/>
      <c r="D212" s="5"/>
      <c r="E212" s="5"/>
      <c r="F212" s="5"/>
      <c r="G212" s="5"/>
      <c r="H212" s="5"/>
      <c r="I212" s="5"/>
      <c r="J212" s="5"/>
      <c r="K212" s="5"/>
      <c r="L212" s="5"/>
      <c r="M212" s="5"/>
      <c r="N212" s="5"/>
      <c r="O212" s="5"/>
      <c r="P212" s="5"/>
      <c r="Q212" s="5"/>
      <c r="R212" s="5"/>
      <c r="S212" s="5"/>
    </row>
    <row r="213" spans="1:19">
      <c r="A213" s="5"/>
      <c r="B213" s="5"/>
      <c r="C213" s="5"/>
      <c r="D213" s="5"/>
      <c r="E213" s="5"/>
      <c r="F213" s="5"/>
      <c r="G213" s="5"/>
      <c r="H213" s="5"/>
      <c r="I213" s="5"/>
      <c r="J213" s="5"/>
      <c r="K213" s="5"/>
      <c r="L213" s="5"/>
      <c r="M213" s="5"/>
      <c r="N213" s="5"/>
      <c r="O213" s="5"/>
      <c r="P213" s="5"/>
      <c r="Q213" s="5"/>
      <c r="R213" s="5"/>
      <c r="S213" s="5"/>
    </row>
    <row r="214" spans="1:19">
      <c r="A214" s="5"/>
      <c r="B214" s="5"/>
      <c r="C214" s="5"/>
      <c r="D214" s="5"/>
      <c r="E214" s="5"/>
      <c r="F214" s="5"/>
      <c r="G214" s="5"/>
      <c r="H214" s="5"/>
      <c r="I214" s="5"/>
      <c r="J214" s="5"/>
      <c r="K214" s="5"/>
      <c r="L214" s="5"/>
      <c r="M214" s="5"/>
      <c r="N214" s="5"/>
      <c r="O214" s="5"/>
      <c r="P214" s="5"/>
      <c r="Q214" s="5"/>
      <c r="R214" s="5"/>
      <c r="S214" s="5"/>
    </row>
    <row r="215" spans="1:19">
      <c r="A215" s="5"/>
      <c r="B215" s="5"/>
      <c r="C215" s="5"/>
      <c r="D215" s="5"/>
      <c r="E215" s="5"/>
      <c r="F215" s="5"/>
      <c r="G215" s="5"/>
      <c r="H215" s="5"/>
      <c r="I215" s="5"/>
      <c r="J215" s="5"/>
      <c r="K215" s="5"/>
      <c r="L215" s="5"/>
      <c r="M215" s="5"/>
      <c r="N215" s="5"/>
      <c r="O215" s="5"/>
      <c r="P215" s="5"/>
      <c r="Q215" s="5"/>
      <c r="R215" s="5"/>
      <c r="S215" s="5"/>
    </row>
    <row r="216" spans="1:19">
      <c r="A216" s="5"/>
      <c r="B216" s="5"/>
      <c r="C216" s="5"/>
      <c r="D216" s="5"/>
      <c r="E216" s="5"/>
      <c r="F216" s="5"/>
      <c r="G216" s="5"/>
      <c r="H216" s="5"/>
      <c r="I216" s="5"/>
      <c r="J216" s="5"/>
      <c r="K216" s="5"/>
      <c r="L216" s="5"/>
      <c r="M216" s="5"/>
      <c r="N216" s="5"/>
      <c r="O216" s="5"/>
      <c r="P216" s="5"/>
      <c r="Q216" s="5"/>
      <c r="R216" s="5"/>
      <c r="S216" s="5"/>
    </row>
    <row r="217" spans="1:19">
      <c r="A217" s="5"/>
      <c r="B217" s="5"/>
      <c r="C217" s="5"/>
      <c r="D217" s="5"/>
      <c r="E217" s="5"/>
      <c r="F217" s="5"/>
      <c r="G217" s="5"/>
      <c r="H217" s="5"/>
      <c r="I217" s="5"/>
      <c r="J217" s="5"/>
      <c r="K217" s="5"/>
      <c r="L217" s="5"/>
      <c r="M217" s="5"/>
      <c r="N217" s="5"/>
      <c r="O217" s="5"/>
      <c r="P217" s="5"/>
      <c r="Q217" s="5"/>
      <c r="R217" s="5"/>
      <c r="S217" s="5"/>
    </row>
    <row r="218" spans="1:19">
      <c r="A218" s="5"/>
      <c r="B218" s="5"/>
      <c r="C218" s="5"/>
      <c r="D218" s="5"/>
      <c r="E218" s="5"/>
      <c r="F218" s="5"/>
      <c r="G218" s="5"/>
      <c r="H218" s="5"/>
      <c r="I218" s="5"/>
      <c r="J218" s="5"/>
      <c r="K218" s="5"/>
      <c r="L218" s="5"/>
      <c r="M218" s="5"/>
      <c r="N218" s="5"/>
      <c r="O218" s="5"/>
      <c r="P218" s="5"/>
      <c r="Q218" s="5"/>
      <c r="R218" s="5"/>
      <c r="S218" s="5"/>
    </row>
    <row r="219" spans="1:19">
      <c r="A219" s="5"/>
      <c r="B219" s="5"/>
      <c r="C219" s="5"/>
      <c r="D219" s="5"/>
      <c r="E219" s="5"/>
      <c r="F219" s="5"/>
      <c r="G219" s="5"/>
      <c r="H219" s="5"/>
      <c r="I219" s="5"/>
      <c r="J219" s="5"/>
      <c r="K219" s="5"/>
      <c r="L219" s="5"/>
      <c r="M219" s="5"/>
      <c r="N219" s="5"/>
      <c r="O219" s="5"/>
      <c r="P219" s="5"/>
      <c r="Q219" s="5"/>
      <c r="R219" s="5"/>
      <c r="S219" s="5"/>
    </row>
    <row r="220" spans="1:19">
      <c r="A220" s="5"/>
      <c r="B220" s="5"/>
      <c r="C220" s="5"/>
      <c r="D220" s="5"/>
      <c r="E220" s="5"/>
      <c r="F220" s="5"/>
      <c r="G220" s="5"/>
      <c r="H220" s="5"/>
      <c r="I220" s="5"/>
      <c r="J220" s="5"/>
      <c r="K220" s="5"/>
      <c r="L220" s="5"/>
      <c r="M220" s="5"/>
      <c r="N220" s="5"/>
      <c r="O220" s="5"/>
      <c r="P220" s="5"/>
      <c r="Q220" s="5"/>
      <c r="R220" s="5"/>
      <c r="S220" s="5"/>
    </row>
    <row r="221" spans="1:19">
      <c r="A221" s="5"/>
      <c r="B221" s="5"/>
      <c r="C221" s="5"/>
      <c r="D221" s="5"/>
      <c r="E221" s="5"/>
      <c r="F221" s="5"/>
      <c r="G221" s="5"/>
      <c r="H221" s="5"/>
      <c r="I221" s="5"/>
      <c r="J221" s="5"/>
      <c r="K221" s="5"/>
      <c r="L221" s="5"/>
      <c r="M221" s="5"/>
      <c r="N221" s="5"/>
      <c r="O221" s="5"/>
      <c r="P221" s="5"/>
      <c r="Q221" s="5"/>
      <c r="R221" s="5"/>
      <c r="S221" s="5"/>
    </row>
    <row r="222" spans="1:19">
      <c r="A222" s="5"/>
      <c r="B222" s="5"/>
      <c r="C222" s="5"/>
      <c r="D222" s="5"/>
      <c r="E222" s="5"/>
      <c r="F222" s="5"/>
      <c r="G222" s="5"/>
      <c r="H222" s="5"/>
      <c r="I222" s="5"/>
      <c r="J222" s="5"/>
      <c r="K222" s="5"/>
      <c r="L222" s="5"/>
      <c r="M222" s="5"/>
      <c r="N222" s="5"/>
      <c r="O222" s="5"/>
      <c r="P222" s="5"/>
      <c r="Q222" s="5"/>
      <c r="R222" s="5"/>
      <c r="S222" s="5"/>
    </row>
    <row r="223" spans="1:19">
      <c r="A223" s="5"/>
      <c r="B223" s="5"/>
      <c r="C223" s="5"/>
      <c r="D223" s="5"/>
      <c r="E223" s="5"/>
      <c r="F223" s="5"/>
      <c r="G223" s="5"/>
      <c r="H223" s="5"/>
      <c r="I223" s="5"/>
      <c r="J223" s="5"/>
      <c r="K223" s="5"/>
      <c r="L223" s="5"/>
      <c r="M223" s="5"/>
      <c r="N223" s="5"/>
      <c r="O223" s="5"/>
      <c r="P223" s="5"/>
      <c r="Q223" s="5"/>
      <c r="R223" s="5"/>
      <c r="S223" s="5"/>
    </row>
    <row r="224" spans="1:19">
      <c r="A224" s="5"/>
      <c r="B224" s="5"/>
      <c r="C224" s="5"/>
      <c r="D224" s="5"/>
      <c r="E224" s="5"/>
      <c r="F224" s="5"/>
      <c r="G224" s="5"/>
      <c r="H224" s="5"/>
      <c r="I224" s="5"/>
      <c r="J224" s="5"/>
      <c r="K224" s="5"/>
      <c r="L224" s="5"/>
      <c r="M224" s="5"/>
      <c r="N224" s="5"/>
      <c r="O224" s="5"/>
      <c r="P224" s="5"/>
      <c r="Q224" s="5"/>
      <c r="R224" s="5"/>
      <c r="S224" s="5"/>
    </row>
    <row r="225" spans="1:19">
      <c r="A225" s="5"/>
      <c r="B225" s="5"/>
      <c r="C225" s="5"/>
      <c r="D225" s="5"/>
      <c r="E225" s="5"/>
      <c r="F225" s="5"/>
      <c r="G225" s="5"/>
      <c r="H225" s="5"/>
      <c r="I225" s="5"/>
      <c r="J225" s="5"/>
      <c r="K225" s="5"/>
      <c r="L225" s="5"/>
      <c r="M225" s="5"/>
      <c r="N225" s="5"/>
      <c r="O225" s="5"/>
      <c r="P225" s="5"/>
      <c r="Q225" s="5"/>
      <c r="R225" s="5"/>
      <c r="S225" s="5"/>
    </row>
    <row r="226" spans="1:19">
      <c r="A226" s="5"/>
      <c r="B226" s="5"/>
      <c r="C226" s="5"/>
      <c r="D226" s="5"/>
      <c r="E226" s="5"/>
      <c r="F226" s="5"/>
      <c r="G226" s="5"/>
      <c r="H226" s="5"/>
      <c r="I226" s="5"/>
      <c r="J226" s="5"/>
      <c r="K226" s="5"/>
      <c r="L226" s="5"/>
      <c r="M226" s="5"/>
      <c r="N226" s="5"/>
      <c r="O226" s="5"/>
      <c r="P226" s="5"/>
      <c r="Q226" s="5"/>
      <c r="R226" s="5"/>
      <c r="S226" s="5"/>
    </row>
    <row r="227" spans="1:19">
      <c r="A227" s="5"/>
      <c r="B227" s="5"/>
      <c r="C227" s="5"/>
      <c r="D227" s="5"/>
      <c r="E227" s="5"/>
      <c r="F227" s="5"/>
      <c r="G227" s="5"/>
      <c r="H227" s="5"/>
      <c r="I227" s="5"/>
      <c r="J227" s="5"/>
      <c r="K227" s="5"/>
      <c r="L227" s="5"/>
      <c r="M227" s="5"/>
      <c r="N227" s="5"/>
      <c r="O227" s="5"/>
      <c r="P227" s="5"/>
      <c r="Q227" s="5"/>
      <c r="R227" s="5"/>
      <c r="S227" s="5"/>
    </row>
    <row r="228" spans="1:19">
      <c r="A228" s="5"/>
      <c r="B228" s="5"/>
      <c r="C228" s="5"/>
      <c r="D228" s="5"/>
      <c r="E228" s="5"/>
      <c r="F228" s="5"/>
      <c r="G228" s="5"/>
      <c r="H228" s="5"/>
      <c r="I228" s="5"/>
      <c r="J228" s="5"/>
      <c r="K228" s="5"/>
      <c r="L228" s="5"/>
      <c r="M228" s="5"/>
      <c r="N228" s="5"/>
      <c r="O228" s="5"/>
      <c r="P228" s="5"/>
      <c r="Q228" s="5"/>
      <c r="R228" s="5"/>
      <c r="S228" s="5"/>
    </row>
    <row r="229" spans="1:19">
      <c r="A229" s="5"/>
      <c r="B229" s="5"/>
      <c r="C229" s="5"/>
      <c r="D229" s="5"/>
      <c r="E229" s="5"/>
      <c r="F229" s="5"/>
      <c r="G229" s="5"/>
      <c r="H229" s="5"/>
      <c r="I229" s="5"/>
      <c r="J229" s="5"/>
      <c r="K229" s="5"/>
      <c r="L229" s="5"/>
      <c r="M229" s="5"/>
      <c r="N229" s="5"/>
      <c r="O229" s="5"/>
      <c r="P229" s="5"/>
      <c r="Q229" s="5"/>
      <c r="R229" s="5"/>
      <c r="S229" s="5"/>
    </row>
    <row r="230" spans="1:19">
      <c r="A230" s="5"/>
      <c r="B230" s="5"/>
      <c r="C230" s="5"/>
      <c r="D230" s="5"/>
      <c r="E230" s="5"/>
      <c r="F230" s="5"/>
      <c r="G230" s="5"/>
      <c r="H230" s="5"/>
      <c r="I230" s="5"/>
      <c r="J230" s="5"/>
      <c r="K230" s="5"/>
      <c r="L230" s="5"/>
      <c r="M230" s="5"/>
      <c r="N230" s="5"/>
      <c r="O230" s="5"/>
      <c r="P230" s="5"/>
      <c r="Q230" s="5"/>
      <c r="R230" s="5"/>
      <c r="S230" s="5"/>
    </row>
    <row r="231" spans="1:19">
      <c r="A231" s="5"/>
      <c r="B231" s="5"/>
      <c r="C231" s="5"/>
      <c r="D231" s="5"/>
      <c r="E231" s="5"/>
      <c r="F231" s="5"/>
      <c r="G231" s="5"/>
      <c r="H231" s="5"/>
      <c r="I231" s="5"/>
      <c r="J231" s="5"/>
      <c r="K231" s="5"/>
      <c r="L231" s="5"/>
      <c r="M231" s="5"/>
      <c r="N231" s="5"/>
      <c r="O231" s="5"/>
      <c r="P231" s="5"/>
      <c r="Q231" s="5"/>
      <c r="R231" s="5"/>
      <c r="S231" s="5"/>
    </row>
    <row r="232" spans="1:19">
      <c r="A232" s="5"/>
      <c r="B232" s="5"/>
      <c r="C232" s="5"/>
      <c r="D232" s="5"/>
      <c r="E232" s="5"/>
      <c r="F232" s="5"/>
      <c r="G232" s="5"/>
      <c r="H232" s="5"/>
      <c r="I232" s="5"/>
      <c r="J232" s="5"/>
      <c r="K232" s="5"/>
      <c r="L232" s="5"/>
      <c r="M232" s="5"/>
      <c r="N232" s="5"/>
      <c r="O232" s="5"/>
      <c r="P232" s="5"/>
      <c r="Q232" s="5"/>
      <c r="R232" s="5"/>
      <c r="S232" s="5"/>
    </row>
    <row r="233" spans="1:19">
      <c r="A233" s="5"/>
      <c r="B233" s="5"/>
      <c r="C233" s="5"/>
      <c r="D233" s="5"/>
      <c r="E233" s="5"/>
      <c r="F233" s="5"/>
      <c r="G233" s="5"/>
      <c r="H233" s="5"/>
      <c r="I233" s="5"/>
      <c r="J233" s="5"/>
      <c r="K233" s="5"/>
      <c r="L233" s="5"/>
      <c r="M233" s="5"/>
      <c r="N233" s="5"/>
      <c r="O233" s="5"/>
      <c r="P233" s="5"/>
      <c r="Q233" s="5"/>
      <c r="R233" s="5"/>
      <c r="S233" s="5"/>
    </row>
    <row r="234" spans="1:19">
      <c r="A234" s="5"/>
      <c r="B234" s="5"/>
      <c r="C234" s="5"/>
      <c r="D234" s="5"/>
      <c r="E234" s="5"/>
      <c r="F234" s="5"/>
      <c r="G234" s="5"/>
      <c r="H234" s="5"/>
      <c r="I234" s="5"/>
      <c r="J234" s="5"/>
      <c r="K234" s="5"/>
      <c r="L234" s="5"/>
      <c r="M234" s="5"/>
      <c r="N234" s="5"/>
      <c r="O234" s="5"/>
      <c r="P234" s="5"/>
      <c r="Q234" s="5"/>
      <c r="R234" s="5"/>
      <c r="S234" s="5"/>
    </row>
    <row r="235" spans="1:19">
      <c r="A235" s="5"/>
      <c r="B235" s="5"/>
      <c r="C235" s="5"/>
      <c r="D235" s="5"/>
      <c r="E235" s="5"/>
      <c r="F235" s="5"/>
      <c r="G235" s="5"/>
      <c r="H235" s="5"/>
      <c r="I235" s="5"/>
      <c r="J235" s="5"/>
      <c r="K235" s="5"/>
      <c r="L235" s="5"/>
      <c r="M235" s="5"/>
      <c r="N235" s="5"/>
      <c r="O235" s="5"/>
      <c r="P235" s="5"/>
      <c r="Q235" s="5"/>
      <c r="R235" s="5"/>
      <c r="S235" s="5"/>
    </row>
    <row r="236" spans="1:19">
      <c r="A236" s="5"/>
      <c r="B236" s="5"/>
      <c r="C236" s="5"/>
      <c r="D236" s="5"/>
      <c r="E236" s="5"/>
      <c r="F236" s="5"/>
      <c r="G236" s="5"/>
      <c r="H236" s="5"/>
      <c r="I236" s="5"/>
      <c r="J236" s="5"/>
      <c r="K236" s="5"/>
      <c r="L236" s="5"/>
      <c r="M236" s="5"/>
      <c r="N236" s="5"/>
      <c r="O236" s="5"/>
      <c r="P236" s="5"/>
      <c r="Q236" s="5"/>
      <c r="R236" s="5"/>
      <c r="S236" s="5"/>
    </row>
    <row r="237" spans="1:19">
      <c r="A237" s="5"/>
      <c r="B237" s="5"/>
      <c r="C237" s="5"/>
      <c r="D237" s="5"/>
      <c r="E237" s="5"/>
      <c r="F237" s="5"/>
      <c r="G237" s="5"/>
      <c r="H237" s="5"/>
      <c r="I237" s="5"/>
      <c r="J237" s="5"/>
      <c r="K237" s="5"/>
      <c r="L237" s="5"/>
      <c r="M237" s="5"/>
      <c r="N237" s="5"/>
      <c r="O237" s="5"/>
      <c r="P237" s="5"/>
      <c r="Q237" s="5"/>
      <c r="R237" s="5"/>
      <c r="S237" s="5"/>
    </row>
    <row r="238" spans="1:19">
      <c r="A238" s="5"/>
      <c r="B238" s="5"/>
      <c r="C238" s="5"/>
      <c r="D238" s="5"/>
      <c r="E238" s="5"/>
      <c r="F238" s="5"/>
      <c r="G238" s="5"/>
      <c r="H238" s="5"/>
      <c r="I238" s="5"/>
      <c r="J238" s="5"/>
      <c r="K238" s="5"/>
      <c r="L238" s="5"/>
      <c r="M238" s="5"/>
      <c r="N238" s="5"/>
      <c r="O238" s="5"/>
      <c r="P238" s="5"/>
      <c r="Q238" s="5"/>
      <c r="R238" s="5"/>
      <c r="S238" s="5"/>
    </row>
    <row r="239" spans="1:19">
      <c r="A239" s="5"/>
      <c r="B239" s="5"/>
      <c r="C239" s="5"/>
      <c r="D239" s="5"/>
      <c r="E239" s="5"/>
      <c r="F239" s="5"/>
      <c r="G239" s="5"/>
      <c r="H239" s="5"/>
      <c r="I239" s="5"/>
      <c r="J239" s="5"/>
      <c r="K239" s="5"/>
      <c r="L239" s="5"/>
      <c r="M239" s="5"/>
      <c r="N239" s="5"/>
      <c r="O239" s="5"/>
      <c r="P239" s="5"/>
      <c r="Q239" s="5"/>
      <c r="R239" s="5"/>
      <c r="S239" s="5"/>
    </row>
    <row r="240" spans="1:19">
      <c r="A240" s="5"/>
      <c r="B240" s="5"/>
      <c r="C240" s="5"/>
      <c r="D240" s="5"/>
      <c r="E240" s="5"/>
      <c r="F240" s="5"/>
      <c r="G240" s="5"/>
      <c r="H240" s="5"/>
      <c r="I240" s="5"/>
      <c r="J240" s="5"/>
      <c r="K240" s="5"/>
      <c r="L240" s="5"/>
      <c r="M240" s="5"/>
      <c r="N240" s="5"/>
      <c r="O240" s="5"/>
      <c r="P240" s="5"/>
      <c r="Q240" s="5"/>
      <c r="R240" s="5"/>
      <c r="S240" s="5"/>
    </row>
    <row r="241" spans="1:19">
      <c r="A241" s="5"/>
      <c r="B241" s="5"/>
      <c r="C241" s="5"/>
      <c r="D241" s="5"/>
      <c r="E241" s="5"/>
      <c r="F241" s="5"/>
      <c r="G241" s="5"/>
      <c r="H241" s="5"/>
      <c r="I241" s="5"/>
      <c r="J241" s="5"/>
      <c r="K241" s="5"/>
      <c r="L241" s="5"/>
      <c r="M241" s="5"/>
      <c r="N241" s="5"/>
      <c r="O241" s="5"/>
      <c r="P241" s="5"/>
      <c r="Q241" s="5"/>
      <c r="R241" s="5"/>
      <c r="S241" s="5"/>
    </row>
    <row r="242" spans="1:19">
      <c r="A242" s="5"/>
      <c r="B242" s="5"/>
      <c r="C242" s="5"/>
      <c r="D242" s="5"/>
      <c r="E242" s="5"/>
      <c r="F242" s="5"/>
      <c r="G242" s="5"/>
      <c r="H242" s="5"/>
      <c r="I242" s="5"/>
      <c r="J242" s="5"/>
      <c r="K242" s="5"/>
      <c r="L242" s="5"/>
      <c r="M242" s="5"/>
      <c r="N242" s="5"/>
      <c r="O242" s="5"/>
      <c r="P242" s="5"/>
      <c r="Q242" s="5"/>
      <c r="R242" s="5"/>
      <c r="S242" s="5"/>
    </row>
    <row r="243" spans="1:19">
      <c r="A243" s="5"/>
      <c r="B243" s="5"/>
      <c r="C243" s="5"/>
      <c r="D243" s="5"/>
      <c r="E243" s="5"/>
      <c r="F243" s="5"/>
      <c r="G243" s="5"/>
      <c r="H243" s="5"/>
      <c r="I243" s="5"/>
      <c r="J243" s="5"/>
      <c r="K243" s="5"/>
      <c r="L243" s="5"/>
      <c r="M243" s="5"/>
      <c r="N243" s="5"/>
      <c r="O243" s="5"/>
      <c r="P243" s="5"/>
      <c r="Q243" s="5"/>
      <c r="R243" s="5"/>
      <c r="S243" s="5"/>
    </row>
    <row r="244" spans="1:19">
      <c r="A244" s="5"/>
      <c r="B244" s="5"/>
      <c r="C244" s="5"/>
      <c r="D244" s="5"/>
      <c r="E244" s="5"/>
      <c r="F244" s="5"/>
      <c r="G244" s="5"/>
      <c r="H244" s="5"/>
      <c r="I244" s="5"/>
      <c r="J244" s="5"/>
      <c r="K244" s="5"/>
      <c r="L244" s="5"/>
      <c r="M244" s="5"/>
      <c r="N244" s="5"/>
      <c r="O244" s="5"/>
      <c r="P244" s="5"/>
      <c r="Q244" s="5"/>
      <c r="R244" s="5"/>
      <c r="S244" s="5"/>
    </row>
    <row r="245" spans="1:19">
      <c r="A245" s="5"/>
      <c r="B245" s="5"/>
      <c r="C245" s="5"/>
      <c r="D245" s="5"/>
      <c r="E245" s="5"/>
      <c r="F245" s="5"/>
      <c r="G245" s="5"/>
      <c r="H245" s="5"/>
      <c r="I245" s="5"/>
      <c r="J245" s="5"/>
      <c r="K245" s="5"/>
      <c r="L245" s="5"/>
      <c r="M245" s="5"/>
      <c r="N245" s="5"/>
      <c r="O245" s="5"/>
      <c r="P245" s="5"/>
      <c r="Q245" s="5"/>
      <c r="R245" s="5"/>
      <c r="S245" s="5"/>
    </row>
    <row r="246" spans="1:19">
      <c r="A246" s="5"/>
      <c r="B246" s="5"/>
      <c r="C246" s="5"/>
      <c r="D246" s="5"/>
      <c r="E246" s="5"/>
      <c r="F246" s="5"/>
      <c r="G246" s="5"/>
      <c r="H246" s="5"/>
      <c r="I246" s="5"/>
      <c r="J246" s="5"/>
      <c r="K246" s="5"/>
      <c r="L246" s="5"/>
      <c r="M246" s="5"/>
      <c r="N246" s="5"/>
      <c r="O246" s="5"/>
      <c r="P246" s="5"/>
      <c r="Q246" s="5"/>
      <c r="R246" s="5"/>
      <c r="S246" s="5"/>
    </row>
    <row r="247" spans="1:19">
      <c r="A247" s="5"/>
      <c r="B247" s="5"/>
      <c r="C247" s="5"/>
      <c r="D247" s="5"/>
      <c r="E247" s="5"/>
      <c r="F247" s="5"/>
      <c r="G247" s="5"/>
      <c r="H247" s="5"/>
      <c r="I247" s="5"/>
      <c r="J247" s="5"/>
      <c r="K247" s="5"/>
      <c r="L247" s="5"/>
      <c r="M247" s="5"/>
      <c r="N247" s="5"/>
      <c r="O247" s="5"/>
      <c r="P247" s="5"/>
      <c r="Q247" s="5"/>
      <c r="R247" s="5"/>
      <c r="S247" s="5"/>
    </row>
    <row r="248" spans="1:19">
      <c r="A248" s="5"/>
      <c r="B248" s="5"/>
      <c r="C248" s="5"/>
      <c r="D248" s="5"/>
      <c r="E248" s="5"/>
      <c r="F248" s="5"/>
      <c r="G248" s="5"/>
      <c r="H248" s="5"/>
      <c r="I248" s="5"/>
      <c r="J248" s="5"/>
      <c r="K248" s="5"/>
      <c r="L248" s="5"/>
      <c r="M248" s="5"/>
      <c r="N248" s="5"/>
      <c r="O248" s="5"/>
      <c r="P248" s="5"/>
      <c r="Q248" s="5"/>
      <c r="R248" s="5"/>
      <c r="S248" s="5"/>
    </row>
    <row r="249" spans="1:19">
      <c r="A249" s="5"/>
      <c r="B249" s="5"/>
      <c r="C249" s="5"/>
      <c r="D249" s="5"/>
      <c r="E249" s="5"/>
      <c r="F249" s="5"/>
      <c r="G249" s="5"/>
      <c r="H249" s="5"/>
      <c r="I249" s="5"/>
      <c r="J249" s="5"/>
      <c r="K249" s="5"/>
      <c r="L249" s="5"/>
      <c r="M249" s="5"/>
      <c r="N249" s="5"/>
      <c r="O249" s="5"/>
      <c r="P249" s="5"/>
      <c r="Q249" s="5"/>
      <c r="R249" s="5"/>
      <c r="S249" s="5"/>
    </row>
    <row r="250" spans="1:19">
      <c r="A250" s="5"/>
      <c r="B250" s="5"/>
      <c r="C250" s="5"/>
      <c r="D250" s="5"/>
      <c r="E250" s="5"/>
      <c r="F250" s="5"/>
      <c r="G250" s="5"/>
      <c r="H250" s="5"/>
      <c r="I250" s="5"/>
      <c r="J250" s="5"/>
      <c r="K250" s="5"/>
      <c r="L250" s="5"/>
      <c r="M250" s="5"/>
      <c r="N250" s="5"/>
      <c r="O250" s="5"/>
      <c r="P250" s="5"/>
      <c r="Q250" s="5"/>
      <c r="R250" s="5"/>
      <c r="S250" s="5"/>
    </row>
    <row r="251" spans="1:19">
      <c r="A251" s="5"/>
      <c r="B251" s="5"/>
      <c r="C251" s="5"/>
      <c r="D251" s="5"/>
      <c r="E251" s="5"/>
      <c r="F251" s="5"/>
      <c r="G251" s="5"/>
      <c r="H251" s="5"/>
      <c r="I251" s="5"/>
      <c r="J251" s="5"/>
      <c r="K251" s="5"/>
      <c r="L251" s="5"/>
      <c r="M251" s="5"/>
      <c r="N251" s="5"/>
      <c r="O251" s="5"/>
      <c r="P251" s="5"/>
      <c r="Q251" s="5"/>
      <c r="R251" s="5"/>
      <c r="S251" s="5"/>
    </row>
    <row r="252" spans="1:19">
      <c r="A252" s="5"/>
      <c r="B252" s="5"/>
      <c r="C252" s="5"/>
      <c r="D252" s="5"/>
      <c r="E252" s="5"/>
      <c r="F252" s="5"/>
      <c r="G252" s="5"/>
      <c r="H252" s="5"/>
      <c r="I252" s="5"/>
      <c r="J252" s="5"/>
      <c r="K252" s="5"/>
      <c r="L252" s="5"/>
      <c r="M252" s="5"/>
      <c r="N252" s="5"/>
      <c r="O252" s="5"/>
      <c r="P252" s="5"/>
      <c r="Q252" s="5"/>
      <c r="R252" s="5"/>
      <c r="S252" s="5"/>
    </row>
    <row r="253" spans="1:19">
      <c r="A253" s="5"/>
      <c r="B253" s="5"/>
      <c r="C253" s="5"/>
      <c r="D253" s="5"/>
      <c r="E253" s="5"/>
      <c r="F253" s="5"/>
      <c r="G253" s="5"/>
      <c r="H253" s="5"/>
      <c r="I253" s="5"/>
      <c r="J253" s="5"/>
      <c r="K253" s="5"/>
      <c r="L253" s="5"/>
      <c r="M253" s="5"/>
      <c r="N253" s="5"/>
      <c r="O253" s="5"/>
      <c r="P253" s="5"/>
      <c r="Q253" s="5"/>
      <c r="R253" s="5"/>
      <c r="S253" s="5"/>
    </row>
    <row r="254" spans="1:19">
      <c r="A254" s="5"/>
      <c r="B254" s="5"/>
      <c r="C254" s="5"/>
      <c r="D254" s="5"/>
      <c r="E254" s="5"/>
      <c r="F254" s="5"/>
      <c r="G254" s="5"/>
      <c r="H254" s="5"/>
      <c r="I254" s="5"/>
      <c r="J254" s="5"/>
      <c r="K254" s="5"/>
      <c r="L254" s="5"/>
      <c r="M254" s="5"/>
      <c r="N254" s="5"/>
      <c r="O254" s="5"/>
      <c r="P254" s="5"/>
      <c r="Q254" s="5"/>
      <c r="R254" s="5"/>
      <c r="S254" s="5"/>
    </row>
    <row r="255" spans="1:19">
      <c r="A255" s="5"/>
      <c r="B255" s="5"/>
      <c r="C255" s="5"/>
      <c r="D255" s="5"/>
      <c r="E255" s="5"/>
      <c r="F255" s="5"/>
      <c r="G255" s="5"/>
      <c r="H255" s="5"/>
      <c r="I255" s="5"/>
      <c r="J255" s="5"/>
      <c r="K255" s="5"/>
      <c r="L255" s="5"/>
      <c r="M255" s="5"/>
      <c r="N255" s="5"/>
      <c r="O255" s="5"/>
      <c r="P255" s="5"/>
      <c r="Q255" s="5"/>
      <c r="R255" s="5"/>
      <c r="S255" s="5"/>
    </row>
    <row r="256" spans="1:19">
      <c r="A256" s="5"/>
      <c r="B256" s="5"/>
      <c r="C256" s="5"/>
      <c r="D256" s="5"/>
      <c r="E256" s="5"/>
      <c r="F256" s="5"/>
      <c r="G256" s="5"/>
      <c r="H256" s="5"/>
      <c r="I256" s="5"/>
      <c r="J256" s="5"/>
      <c r="K256" s="5"/>
      <c r="L256" s="5"/>
      <c r="M256" s="5"/>
      <c r="N256" s="5"/>
      <c r="O256" s="5"/>
      <c r="P256" s="5"/>
      <c r="Q256" s="5"/>
      <c r="R256" s="5"/>
      <c r="S256" s="5"/>
    </row>
    <row r="257" spans="1:19">
      <c r="A257" s="5"/>
      <c r="B257" s="5"/>
      <c r="C257" s="5"/>
      <c r="D257" s="5"/>
      <c r="E257" s="5"/>
      <c r="F257" s="5"/>
      <c r="G257" s="5"/>
      <c r="H257" s="5"/>
      <c r="I257" s="5"/>
      <c r="J257" s="5"/>
      <c r="K257" s="5"/>
      <c r="L257" s="5"/>
      <c r="M257" s="5"/>
      <c r="N257" s="5"/>
      <c r="O257" s="5"/>
      <c r="P257" s="5"/>
      <c r="Q257" s="5"/>
      <c r="R257" s="5"/>
      <c r="S257" s="5"/>
    </row>
    <row r="258" spans="1:19">
      <c r="A258" s="5"/>
      <c r="B258" s="5"/>
      <c r="C258" s="5"/>
      <c r="D258" s="5"/>
      <c r="E258" s="5"/>
      <c r="F258" s="5"/>
      <c r="G258" s="5"/>
      <c r="H258" s="5"/>
      <c r="I258" s="5"/>
      <c r="J258" s="5"/>
      <c r="K258" s="5"/>
      <c r="L258" s="5"/>
      <c r="M258" s="5"/>
      <c r="N258" s="5"/>
      <c r="O258" s="5"/>
      <c r="P258" s="5"/>
      <c r="Q258" s="5"/>
      <c r="R258" s="5"/>
      <c r="S258" s="5"/>
    </row>
    <row r="259" spans="1:19">
      <c r="A259" s="5"/>
      <c r="B259" s="5"/>
      <c r="C259" s="5"/>
      <c r="D259" s="5"/>
      <c r="E259" s="5"/>
      <c r="F259" s="5"/>
      <c r="G259" s="5"/>
      <c r="H259" s="5"/>
      <c r="I259" s="5"/>
      <c r="J259" s="5"/>
      <c r="K259" s="5"/>
      <c r="L259" s="5"/>
      <c r="M259" s="5"/>
      <c r="N259" s="5"/>
      <c r="O259" s="5"/>
      <c r="P259" s="5"/>
      <c r="Q259" s="5"/>
      <c r="R259" s="5"/>
      <c r="S259" s="5"/>
    </row>
    <row r="260" spans="1:19">
      <c r="A260" s="5"/>
      <c r="B260" s="5"/>
      <c r="C260" s="5"/>
      <c r="D260" s="5"/>
      <c r="E260" s="5"/>
      <c r="F260" s="5"/>
      <c r="G260" s="5"/>
      <c r="H260" s="5"/>
      <c r="I260" s="5"/>
      <c r="J260" s="5"/>
      <c r="K260" s="5"/>
      <c r="L260" s="5"/>
      <c r="M260" s="5"/>
      <c r="N260" s="5"/>
      <c r="O260" s="5"/>
      <c r="P260" s="5"/>
      <c r="Q260" s="5"/>
      <c r="R260" s="5"/>
      <c r="S260" s="5"/>
    </row>
    <row r="261" spans="1:19">
      <c r="A261" s="5"/>
      <c r="B261" s="5"/>
      <c r="C261" s="5"/>
      <c r="D261" s="5"/>
      <c r="E261" s="5"/>
      <c r="F261" s="5"/>
      <c r="G261" s="5"/>
      <c r="H261" s="5"/>
      <c r="I261" s="5"/>
      <c r="J261" s="5"/>
      <c r="K261" s="5"/>
      <c r="L261" s="5"/>
      <c r="M261" s="5"/>
      <c r="N261" s="5"/>
      <c r="O261" s="5"/>
      <c r="P261" s="5"/>
      <c r="Q261" s="5"/>
      <c r="R261" s="5"/>
      <c r="S261" s="5"/>
    </row>
    <row r="262" spans="1:19">
      <c r="A262" s="5"/>
      <c r="B262" s="5"/>
      <c r="C262" s="5"/>
      <c r="D262" s="5"/>
      <c r="E262" s="5"/>
      <c r="F262" s="5"/>
      <c r="G262" s="5"/>
      <c r="H262" s="5"/>
      <c r="I262" s="5"/>
      <c r="J262" s="5"/>
      <c r="K262" s="5"/>
      <c r="L262" s="5"/>
      <c r="M262" s="5"/>
      <c r="N262" s="5"/>
      <c r="O262" s="5"/>
      <c r="P262" s="5"/>
      <c r="Q262" s="5"/>
      <c r="R262" s="5"/>
      <c r="S262" s="5"/>
    </row>
    <row r="263" spans="1:19">
      <c r="A263" s="5"/>
      <c r="B263" s="5"/>
      <c r="C263" s="5"/>
      <c r="D263" s="5"/>
      <c r="E263" s="5"/>
      <c r="F263" s="5"/>
      <c r="G263" s="5"/>
      <c r="H263" s="5"/>
      <c r="I263" s="5"/>
      <c r="J263" s="5"/>
      <c r="K263" s="5"/>
      <c r="L263" s="5"/>
      <c r="M263" s="5"/>
      <c r="N263" s="5"/>
      <c r="O263" s="5"/>
      <c r="P263" s="5"/>
      <c r="Q263" s="5"/>
      <c r="R263" s="5"/>
      <c r="S263" s="5"/>
    </row>
    <row r="264" spans="1:19">
      <c r="A264" s="5"/>
      <c r="B264" s="5"/>
      <c r="C264" s="5"/>
      <c r="D264" s="5"/>
      <c r="E264" s="5"/>
      <c r="F264" s="5"/>
      <c r="G264" s="5"/>
      <c r="H264" s="5"/>
      <c r="I264" s="5"/>
      <c r="J264" s="5"/>
      <c r="K264" s="5"/>
      <c r="L264" s="5"/>
      <c r="M264" s="5"/>
      <c r="N264" s="5"/>
      <c r="O264" s="5"/>
      <c r="P264" s="5"/>
      <c r="Q264" s="5"/>
      <c r="R264" s="5"/>
      <c r="S264" s="5"/>
    </row>
    <row r="265" spans="1:19">
      <c r="A265" s="5"/>
      <c r="B265" s="5"/>
      <c r="C265" s="5"/>
      <c r="D265" s="5"/>
      <c r="E265" s="5"/>
      <c r="F265" s="5"/>
      <c r="G265" s="5"/>
      <c r="H265" s="5"/>
      <c r="I265" s="5"/>
      <c r="J265" s="5"/>
      <c r="K265" s="5"/>
      <c r="L265" s="5"/>
      <c r="M265" s="5"/>
      <c r="N265" s="5"/>
      <c r="O265" s="5"/>
      <c r="P265" s="5"/>
      <c r="Q265" s="5"/>
      <c r="R265" s="5"/>
      <c r="S265" s="5"/>
    </row>
    <row r="266" spans="1:19">
      <c r="A266" s="5"/>
      <c r="B266" s="5"/>
      <c r="C266" s="5"/>
      <c r="D266" s="5"/>
      <c r="E266" s="5"/>
      <c r="F266" s="5"/>
      <c r="G266" s="5"/>
      <c r="H266" s="5"/>
      <c r="I266" s="5"/>
      <c r="J266" s="5"/>
      <c r="K266" s="5"/>
      <c r="L266" s="5"/>
      <c r="M266" s="5"/>
      <c r="N266" s="5"/>
      <c r="O266" s="5"/>
      <c r="P266" s="5"/>
      <c r="Q266" s="5"/>
      <c r="R266" s="5"/>
      <c r="S266" s="5"/>
    </row>
    <row r="267" spans="1:19">
      <c r="A267" s="5"/>
      <c r="B267" s="5"/>
      <c r="C267" s="5"/>
      <c r="D267" s="5"/>
      <c r="E267" s="5"/>
      <c r="F267" s="5"/>
      <c r="G267" s="5"/>
      <c r="H267" s="5"/>
      <c r="I267" s="5"/>
      <c r="J267" s="5"/>
      <c r="K267" s="5"/>
      <c r="L267" s="5"/>
      <c r="M267" s="5"/>
      <c r="N267" s="5"/>
      <c r="O267" s="5"/>
      <c r="P267" s="5"/>
      <c r="Q267" s="5"/>
      <c r="R267" s="5"/>
      <c r="S267" s="5"/>
    </row>
    <row r="268" spans="1:19">
      <c r="A268" s="5"/>
      <c r="B268" s="5"/>
      <c r="C268" s="5"/>
      <c r="D268" s="5"/>
      <c r="E268" s="5"/>
      <c r="F268" s="5"/>
      <c r="G268" s="5"/>
      <c r="H268" s="5"/>
      <c r="I268" s="5"/>
      <c r="J268" s="5"/>
      <c r="K268" s="5"/>
      <c r="L268" s="5"/>
      <c r="M268" s="5"/>
      <c r="N268" s="5"/>
      <c r="O268" s="5"/>
      <c r="P268" s="5"/>
      <c r="Q268" s="5"/>
      <c r="R268" s="5"/>
      <c r="S268" s="5"/>
    </row>
    <row r="269" spans="1:19">
      <c r="A269" s="5"/>
      <c r="B269" s="5"/>
      <c r="C269" s="5"/>
      <c r="D269" s="5"/>
      <c r="E269" s="5"/>
      <c r="F269" s="5"/>
      <c r="G269" s="5"/>
      <c r="H269" s="5"/>
      <c r="I269" s="5"/>
      <c r="J269" s="5"/>
      <c r="K269" s="5"/>
      <c r="L269" s="5"/>
      <c r="M269" s="5"/>
      <c r="N269" s="5"/>
      <c r="O269" s="5"/>
      <c r="P269" s="5"/>
      <c r="Q269" s="5"/>
      <c r="R269" s="5"/>
      <c r="S269" s="5"/>
    </row>
    <row r="270" spans="1:19">
      <c r="A270" s="5"/>
      <c r="B270" s="5"/>
      <c r="C270" s="5"/>
      <c r="D270" s="5"/>
      <c r="E270" s="5"/>
      <c r="F270" s="5"/>
      <c r="G270" s="5"/>
      <c r="H270" s="5"/>
      <c r="I270" s="5"/>
      <c r="J270" s="5"/>
      <c r="K270" s="5"/>
      <c r="L270" s="5"/>
      <c r="M270" s="5"/>
      <c r="N270" s="5"/>
      <c r="O270" s="5"/>
      <c r="P270" s="5"/>
      <c r="Q270" s="5"/>
      <c r="R270" s="5"/>
      <c r="S270" s="5"/>
    </row>
    <row r="271" spans="1:19">
      <c r="A271" s="5"/>
      <c r="B271" s="5"/>
      <c r="C271" s="5"/>
      <c r="D271" s="5"/>
      <c r="E271" s="5"/>
      <c r="F271" s="5"/>
      <c r="G271" s="5"/>
      <c r="H271" s="5"/>
      <c r="I271" s="5"/>
      <c r="J271" s="5"/>
      <c r="K271" s="5"/>
      <c r="L271" s="5"/>
      <c r="M271" s="5"/>
      <c r="N271" s="5"/>
      <c r="O271" s="5"/>
      <c r="P271" s="5"/>
      <c r="Q271" s="5"/>
      <c r="R271" s="5"/>
      <c r="S271" s="5"/>
    </row>
    <row r="272" spans="1:19">
      <c r="A272" s="5"/>
      <c r="B272" s="5"/>
      <c r="C272" s="5"/>
      <c r="D272" s="5"/>
      <c r="E272" s="5"/>
      <c r="F272" s="5"/>
      <c r="G272" s="5"/>
      <c r="H272" s="5"/>
      <c r="I272" s="5"/>
      <c r="J272" s="5"/>
      <c r="K272" s="5"/>
      <c r="L272" s="5"/>
      <c r="M272" s="5"/>
      <c r="N272" s="5"/>
      <c r="O272" s="5"/>
      <c r="P272" s="5"/>
      <c r="Q272" s="5"/>
      <c r="R272" s="5"/>
      <c r="S272" s="5"/>
    </row>
    <row r="273" spans="1:19">
      <c r="A273" s="5"/>
      <c r="B273" s="5"/>
      <c r="C273" s="5"/>
      <c r="D273" s="5"/>
      <c r="E273" s="5"/>
      <c r="F273" s="5"/>
      <c r="G273" s="5"/>
      <c r="H273" s="5"/>
      <c r="I273" s="5"/>
      <c r="J273" s="5"/>
      <c r="K273" s="5"/>
      <c r="L273" s="5"/>
      <c r="M273" s="5"/>
      <c r="N273" s="5"/>
      <c r="O273" s="5"/>
      <c r="P273" s="5"/>
      <c r="Q273" s="5"/>
      <c r="R273" s="5"/>
      <c r="S273" s="5"/>
    </row>
    <row r="274" spans="1:19">
      <c r="A274" s="5"/>
      <c r="B274" s="5"/>
      <c r="C274" s="5"/>
      <c r="D274" s="5"/>
      <c r="E274" s="5"/>
      <c r="F274" s="5"/>
      <c r="G274" s="5"/>
      <c r="H274" s="5"/>
      <c r="I274" s="5"/>
      <c r="J274" s="5"/>
      <c r="K274" s="5"/>
      <c r="L274" s="5"/>
      <c r="M274" s="5"/>
      <c r="N274" s="5"/>
      <c r="O274" s="5"/>
      <c r="P274" s="5"/>
      <c r="Q274" s="5"/>
      <c r="R274" s="5"/>
      <c r="S274" s="5"/>
    </row>
    <row r="275" spans="1:19">
      <c r="A275" s="5"/>
      <c r="B275" s="5"/>
      <c r="C275" s="5"/>
      <c r="D275" s="5"/>
      <c r="E275" s="5"/>
      <c r="F275" s="5"/>
      <c r="G275" s="5"/>
      <c r="H275" s="5"/>
      <c r="I275" s="5"/>
      <c r="J275" s="5"/>
      <c r="K275" s="5"/>
      <c r="L275" s="5"/>
      <c r="M275" s="5"/>
      <c r="N275" s="5"/>
      <c r="O275" s="5"/>
      <c r="P275" s="5"/>
      <c r="Q275" s="5"/>
      <c r="R275" s="5"/>
      <c r="S275" s="5"/>
    </row>
    <row r="276" spans="1:19">
      <c r="A276" s="5"/>
      <c r="B276" s="5"/>
      <c r="C276" s="5"/>
      <c r="D276" s="5"/>
      <c r="E276" s="5"/>
      <c r="F276" s="5"/>
      <c r="G276" s="5"/>
      <c r="H276" s="5"/>
      <c r="I276" s="5"/>
      <c r="J276" s="5"/>
      <c r="K276" s="5"/>
      <c r="L276" s="5"/>
      <c r="M276" s="5"/>
      <c r="N276" s="5"/>
      <c r="O276" s="5"/>
      <c r="P276" s="5"/>
      <c r="Q276" s="5"/>
      <c r="R276" s="5"/>
      <c r="S276" s="5"/>
    </row>
    <row r="277" spans="1:19">
      <c r="A277" s="5"/>
      <c r="B277" s="5"/>
      <c r="C277" s="5"/>
      <c r="D277" s="5"/>
      <c r="E277" s="5"/>
      <c r="F277" s="5"/>
      <c r="G277" s="5"/>
      <c r="H277" s="5"/>
      <c r="I277" s="5"/>
      <c r="J277" s="5"/>
      <c r="K277" s="5"/>
      <c r="L277" s="5"/>
      <c r="M277" s="5"/>
      <c r="N277" s="5"/>
      <c r="O277" s="5"/>
      <c r="P277" s="5"/>
      <c r="Q277" s="5"/>
      <c r="R277" s="5"/>
      <c r="S277" s="5"/>
    </row>
    <row r="278" spans="1:19">
      <c r="A278" s="5"/>
      <c r="B278" s="5"/>
      <c r="C278" s="5"/>
      <c r="D278" s="5"/>
      <c r="E278" s="5"/>
      <c r="F278" s="5"/>
      <c r="G278" s="5"/>
      <c r="H278" s="5"/>
      <c r="I278" s="5"/>
      <c r="J278" s="5"/>
      <c r="K278" s="5"/>
      <c r="L278" s="5"/>
      <c r="M278" s="5"/>
      <c r="N278" s="5"/>
      <c r="O278" s="5"/>
      <c r="P278" s="5"/>
      <c r="Q278" s="5"/>
      <c r="R278" s="5"/>
      <c r="S278" s="5"/>
    </row>
    <row r="279" spans="1:19">
      <c r="A279" s="5"/>
      <c r="B279" s="5"/>
      <c r="C279" s="5"/>
      <c r="D279" s="5"/>
      <c r="E279" s="5"/>
      <c r="F279" s="5"/>
      <c r="G279" s="5"/>
      <c r="H279" s="5"/>
      <c r="I279" s="5"/>
      <c r="J279" s="5"/>
      <c r="K279" s="5"/>
      <c r="L279" s="5"/>
      <c r="M279" s="5"/>
      <c r="N279" s="5"/>
      <c r="O279" s="5"/>
      <c r="P279" s="5"/>
      <c r="Q279" s="5"/>
      <c r="R279" s="5"/>
      <c r="S279" s="5"/>
    </row>
    <row r="280" spans="1:19">
      <c r="A280" s="5"/>
      <c r="B280" s="5"/>
      <c r="C280" s="5"/>
      <c r="D280" s="5"/>
      <c r="E280" s="5"/>
      <c r="F280" s="5"/>
      <c r="G280" s="5"/>
      <c r="H280" s="5"/>
      <c r="I280" s="5"/>
      <c r="J280" s="5"/>
      <c r="K280" s="5"/>
      <c r="L280" s="5"/>
      <c r="M280" s="5"/>
      <c r="N280" s="5"/>
      <c r="O280" s="5"/>
      <c r="P280" s="5"/>
      <c r="Q280" s="5"/>
      <c r="R280" s="5"/>
      <c r="S280" s="5"/>
    </row>
    <row r="281" spans="1:19">
      <c r="A281" s="5"/>
      <c r="B281" s="5"/>
      <c r="C281" s="5"/>
      <c r="D281" s="5"/>
      <c r="E281" s="5"/>
      <c r="F281" s="5"/>
      <c r="G281" s="5"/>
      <c r="H281" s="5"/>
      <c r="I281" s="5"/>
      <c r="J281" s="5"/>
      <c r="K281" s="5"/>
      <c r="L281" s="5"/>
      <c r="M281" s="5"/>
      <c r="N281" s="5"/>
      <c r="O281" s="5"/>
      <c r="P281" s="5"/>
      <c r="Q281" s="5"/>
      <c r="R281" s="5"/>
      <c r="S281" s="5"/>
    </row>
    <row r="282" spans="1:19">
      <c r="A282" s="5"/>
      <c r="B282" s="5"/>
      <c r="C282" s="5"/>
      <c r="D282" s="5"/>
      <c r="E282" s="5"/>
      <c r="F282" s="5"/>
      <c r="G282" s="5"/>
      <c r="H282" s="5"/>
      <c r="I282" s="5"/>
      <c r="J282" s="5"/>
      <c r="K282" s="5"/>
      <c r="L282" s="5"/>
      <c r="M282" s="5"/>
      <c r="N282" s="5"/>
      <c r="O282" s="5"/>
      <c r="P282" s="5"/>
      <c r="Q282" s="5"/>
      <c r="R282" s="5"/>
      <c r="S282" s="5"/>
    </row>
    <row r="283" spans="1:19">
      <c r="A283" s="5"/>
      <c r="B283" s="5"/>
      <c r="C283" s="5"/>
      <c r="D283" s="5"/>
      <c r="E283" s="5"/>
      <c r="F283" s="5"/>
      <c r="G283" s="5"/>
      <c r="H283" s="5"/>
      <c r="I283" s="5"/>
      <c r="J283" s="5"/>
      <c r="K283" s="5"/>
      <c r="L283" s="5"/>
      <c r="M283" s="5"/>
      <c r="N283" s="5"/>
      <c r="O283" s="5"/>
      <c r="P283" s="5"/>
      <c r="Q283" s="5"/>
      <c r="R283" s="5"/>
      <c r="S283" s="5"/>
    </row>
    <row r="284" spans="1:19">
      <c r="A284" s="5"/>
      <c r="B284" s="5"/>
      <c r="C284" s="5"/>
      <c r="D284" s="5"/>
      <c r="E284" s="5"/>
      <c r="F284" s="5"/>
      <c r="G284" s="5"/>
      <c r="H284" s="5"/>
      <c r="I284" s="5"/>
      <c r="J284" s="5"/>
      <c r="K284" s="5"/>
      <c r="L284" s="5"/>
      <c r="M284" s="5"/>
      <c r="N284" s="5"/>
      <c r="O284" s="5"/>
      <c r="P284" s="5"/>
      <c r="Q284" s="5"/>
      <c r="R284" s="5"/>
      <c r="S284" s="5"/>
    </row>
    <row r="285" spans="1:19">
      <c r="A285" s="5"/>
      <c r="B285" s="5"/>
      <c r="C285" s="5"/>
      <c r="D285" s="5"/>
      <c r="E285" s="5"/>
      <c r="F285" s="5"/>
      <c r="G285" s="5"/>
      <c r="H285" s="5"/>
      <c r="I285" s="5"/>
      <c r="J285" s="5"/>
      <c r="K285" s="5"/>
      <c r="L285" s="5"/>
      <c r="M285" s="5"/>
      <c r="N285" s="5"/>
      <c r="O285" s="5"/>
      <c r="P285" s="5"/>
      <c r="Q285" s="5"/>
      <c r="R285" s="5"/>
      <c r="S285" s="5"/>
    </row>
    <row r="286" spans="1:19">
      <c r="A286" s="5"/>
      <c r="B286" s="5"/>
      <c r="C286" s="5"/>
      <c r="D286" s="5"/>
      <c r="E286" s="5"/>
      <c r="F286" s="5"/>
      <c r="G286" s="5"/>
      <c r="H286" s="5"/>
      <c r="I286" s="5"/>
      <c r="J286" s="5"/>
      <c r="K286" s="5"/>
      <c r="L286" s="5"/>
      <c r="M286" s="5"/>
      <c r="N286" s="5"/>
      <c r="O286" s="5"/>
      <c r="P286" s="5"/>
      <c r="Q286" s="5"/>
      <c r="R286" s="5"/>
      <c r="S286" s="5"/>
    </row>
    <row r="287" spans="1:19">
      <c r="A287" s="5"/>
      <c r="B287" s="5"/>
      <c r="C287" s="5"/>
      <c r="D287" s="5"/>
      <c r="E287" s="5"/>
      <c r="F287" s="5"/>
      <c r="G287" s="5"/>
      <c r="H287" s="5"/>
      <c r="I287" s="5"/>
      <c r="J287" s="5"/>
      <c r="K287" s="5"/>
      <c r="L287" s="5"/>
      <c r="M287" s="5"/>
      <c r="N287" s="5"/>
      <c r="O287" s="5"/>
      <c r="P287" s="5"/>
      <c r="Q287" s="5"/>
      <c r="R287" s="5"/>
      <c r="S287" s="5"/>
    </row>
    <row r="288" spans="1:19">
      <c r="A288" s="5"/>
      <c r="B288" s="5"/>
      <c r="C288" s="5"/>
      <c r="D288" s="5"/>
      <c r="E288" s="5"/>
      <c r="F288" s="5"/>
      <c r="G288" s="5"/>
      <c r="H288" s="5"/>
      <c r="I288" s="5"/>
      <c r="J288" s="5"/>
      <c r="K288" s="5"/>
      <c r="L288" s="5"/>
      <c r="M288" s="5"/>
      <c r="N288" s="5"/>
      <c r="O288" s="5"/>
      <c r="P288" s="5"/>
      <c r="Q288" s="5"/>
      <c r="R288" s="5"/>
      <c r="S288" s="5"/>
    </row>
    <row r="289" spans="1:19">
      <c r="A289" s="5"/>
      <c r="B289" s="5"/>
      <c r="C289" s="5"/>
      <c r="D289" s="5"/>
      <c r="E289" s="5"/>
      <c r="F289" s="5"/>
      <c r="G289" s="5"/>
      <c r="H289" s="5"/>
      <c r="I289" s="5"/>
      <c r="J289" s="5"/>
      <c r="K289" s="5"/>
      <c r="L289" s="5"/>
      <c r="M289" s="5"/>
      <c r="N289" s="5"/>
      <c r="O289" s="5"/>
      <c r="P289" s="5"/>
      <c r="Q289" s="5"/>
      <c r="R289" s="5"/>
      <c r="S289" s="5"/>
    </row>
    <row r="290" spans="1:19">
      <c r="A290" s="5"/>
      <c r="B290" s="5"/>
      <c r="C290" s="5"/>
      <c r="D290" s="5"/>
      <c r="E290" s="5"/>
      <c r="F290" s="5"/>
      <c r="G290" s="5"/>
      <c r="H290" s="5"/>
      <c r="I290" s="5"/>
      <c r="J290" s="5"/>
      <c r="K290" s="5"/>
      <c r="L290" s="5"/>
      <c r="M290" s="5"/>
      <c r="N290" s="5"/>
      <c r="O290" s="5"/>
      <c r="P290" s="5"/>
      <c r="Q290" s="5"/>
      <c r="R290" s="5"/>
      <c r="S290" s="5"/>
    </row>
    <row r="291" spans="1:19">
      <c r="A291" s="5"/>
      <c r="B291" s="5"/>
      <c r="C291" s="5"/>
      <c r="D291" s="5"/>
      <c r="E291" s="5"/>
      <c r="F291" s="5"/>
      <c r="G291" s="5"/>
      <c r="H291" s="5"/>
      <c r="I291" s="5"/>
      <c r="J291" s="5"/>
      <c r="K291" s="5"/>
      <c r="L291" s="5"/>
      <c r="M291" s="5"/>
      <c r="N291" s="5"/>
      <c r="O291" s="5"/>
      <c r="P291" s="5"/>
      <c r="Q291" s="5"/>
      <c r="R291" s="5"/>
      <c r="S291" s="5"/>
    </row>
    <row r="292" spans="1:19">
      <c r="A292" s="5"/>
      <c r="B292" s="5"/>
      <c r="C292" s="5"/>
      <c r="D292" s="5"/>
      <c r="E292" s="5"/>
      <c r="F292" s="5"/>
      <c r="G292" s="5"/>
      <c r="H292" s="5"/>
      <c r="I292" s="5"/>
      <c r="J292" s="5"/>
      <c r="K292" s="5"/>
      <c r="L292" s="5"/>
      <c r="M292" s="5"/>
      <c r="N292" s="5"/>
      <c r="O292" s="5"/>
      <c r="P292" s="5"/>
      <c r="Q292" s="5"/>
      <c r="R292" s="5"/>
      <c r="S292" s="5"/>
    </row>
    <row r="293" spans="1:19">
      <c r="A293" s="5"/>
      <c r="B293" s="5"/>
      <c r="C293" s="5"/>
      <c r="D293" s="5"/>
      <c r="E293" s="5"/>
      <c r="F293" s="5"/>
      <c r="G293" s="5"/>
      <c r="H293" s="5"/>
      <c r="I293" s="5"/>
      <c r="J293" s="5"/>
      <c r="K293" s="5"/>
      <c r="L293" s="5"/>
      <c r="M293" s="5"/>
      <c r="N293" s="5"/>
      <c r="O293" s="5"/>
      <c r="P293" s="5"/>
      <c r="Q293" s="5"/>
      <c r="R293" s="5"/>
      <c r="S293" s="5"/>
    </row>
    <row r="294" spans="1:19">
      <c r="A294" s="5"/>
      <c r="B294" s="5"/>
      <c r="C294" s="5"/>
      <c r="D294" s="5"/>
      <c r="E294" s="5"/>
      <c r="F294" s="5"/>
      <c r="G294" s="5"/>
      <c r="H294" s="5"/>
      <c r="I294" s="5"/>
      <c r="J294" s="5"/>
      <c r="K294" s="5"/>
      <c r="L294" s="5"/>
      <c r="M294" s="5"/>
      <c r="N294" s="5"/>
      <c r="O294" s="5"/>
      <c r="P294" s="5"/>
      <c r="Q294" s="5"/>
      <c r="R294" s="5"/>
      <c r="S294" s="5"/>
    </row>
    <row r="295" spans="1:19">
      <c r="A295" s="5"/>
      <c r="B295" s="5"/>
      <c r="C295" s="5"/>
      <c r="D295" s="5"/>
      <c r="E295" s="5"/>
      <c r="F295" s="5"/>
      <c r="G295" s="5"/>
      <c r="H295" s="5"/>
      <c r="I295" s="5"/>
      <c r="J295" s="5"/>
      <c r="K295" s="5"/>
      <c r="L295" s="5"/>
      <c r="M295" s="5"/>
      <c r="N295" s="5"/>
      <c r="O295" s="5"/>
      <c r="P295" s="5"/>
      <c r="Q295" s="5"/>
      <c r="R295" s="5"/>
      <c r="S295" s="5"/>
    </row>
    <row r="296" spans="1:19">
      <c r="A296" s="5"/>
      <c r="B296" s="5"/>
      <c r="C296" s="5"/>
      <c r="D296" s="5"/>
      <c r="E296" s="5"/>
      <c r="F296" s="5"/>
      <c r="G296" s="5"/>
      <c r="H296" s="5"/>
      <c r="I296" s="5"/>
      <c r="J296" s="5"/>
      <c r="K296" s="5"/>
      <c r="L296" s="5"/>
      <c r="M296" s="5"/>
      <c r="N296" s="5"/>
      <c r="O296" s="5"/>
      <c r="P296" s="5"/>
      <c r="Q296" s="5"/>
      <c r="R296" s="5"/>
      <c r="S296" s="5"/>
    </row>
    <row r="297" spans="1:19">
      <c r="A297" s="5"/>
      <c r="B297" s="5"/>
      <c r="C297" s="5"/>
      <c r="D297" s="5"/>
      <c r="E297" s="5"/>
      <c r="F297" s="5"/>
      <c r="G297" s="5"/>
      <c r="H297" s="5"/>
      <c r="I297" s="5"/>
      <c r="J297" s="5"/>
      <c r="K297" s="5"/>
      <c r="L297" s="5"/>
      <c r="M297" s="5"/>
      <c r="N297" s="5"/>
      <c r="O297" s="5"/>
      <c r="P297" s="5"/>
      <c r="Q297" s="5"/>
      <c r="R297" s="5"/>
      <c r="S297" s="5"/>
    </row>
    <row r="298" spans="1:19">
      <c r="A298" s="5"/>
      <c r="B298" s="5"/>
      <c r="C298" s="5"/>
      <c r="D298" s="5"/>
      <c r="E298" s="5"/>
      <c r="F298" s="5"/>
      <c r="G298" s="5"/>
      <c r="H298" s="5"/>
      <c r="I298" s="5"/>
      <c r="J298" s="5"/>
      <c r="K298" s="5"/>
      <c r="L298" s="5"/>
      <c r="M298" s="5"/>
      <c r="N298" s="5"/>
      <c r="O298" s="5"/>
      <c r="P298" s="5"/>
      <c r="Q298" s="5"/>
      <c r="R298" s="5"/>
      <c r="S298" s="5"/>
    </row>
    <row r="299" spans="1:19">
      <c r="A299" s="5"/>
      <c r="B299" s="5"/>
      <c r="C299" s="5"/>
      <c r="D299" s="5"/>
      <c r="E299" s="5"/>
      <c r="F299" s="5"/>
      <c r="G299" s="5"/>
      <c r="H299" s="5"/>
      <c r="I299" s="5"/>
      <c r="J299" s="5"/>
      <c r="K299" s="5"/>
      <c r="L299" s="5"/>
      <c r="M299" s="5"/>
      <c r="N299" s="5"/>
      <c r="O299" s="5"/>
      <c r="P299" s="5"/>
      <c r="Q299" s="5"/>
      <c r="R299" s="5"/>
      <c r="S299" s="5"/>
    </row>
    <row r="300" spans="1:19">
      <c r="A300" s="5"/>
      <c r="B300" s="5"/>
      <c r="C300" s="5"/>
      <c r="D300" s="5"/>
      <c r="E300" s="5"/>
      <c r="F300" s="5"/>
      <c r="G300" s="5"/>
      <c r="H300" s="5"/>
      <c r="I300" s="5"/>
      <c r="J300" s="5"/>
      <c r="K300" s="5"/>
      <c r="L300" s="5"/>
      <c r="M300" s="5"/>
      <c r="N300" s="5"/>
      <c r="O300" s="5"/>
      <c r="P300" s="5"/>
      <c r="Q300" s="5"/>
      <c r="R300" s="5"/>
      <c r="S300" s="5"/>
    </row>
    <row r="301" spans="1:19">
      <c r="A301" s="5"/>
      <c r="B301" s="5"/>
      <c r="C301" s="5"/>
      <c r="D301" s="5"/>
      <c r="E301" s="5"/>
      <c r="F301" s="5"/>
      <c r="G301" s="5"/>
      <c r="H301" s="5"/>
      <c r="I301" s="5"/>
      <c r="J301" s="5"/>
      <c r="K301" s="5"/>
      <c r="L301" s="5"/>
      <c r="M301" s="5"/>
      <c r="N301" s="5"/>
      <c r="O301" s="5"/>
      <c r="P301" s="5"/>
      <c r="Q301" s="5"/>
      <c r="R301" s="5"/>
      <c r="S301" s="5"/>
    </row>
    <row r="302" spans="1:19">
      <c r="A302" s="5"/>
      <c r="B302" s="5"/>
      <c r="C302" s="5"/>
      <c r="D302" s="5"/>
      <c r="E302" s="5"/>
      <c r="F302" s="5"/>
      <c r="G302" s="5"/>
      <c r="H302" s="5"/>
      <c r="I302" s="5"/>
      <c r="J302" s="5"/>
      <c r="K302" s="5"/>
      <c r="L302" s="5"/>
      <c r="M302" s="5"/>
      <c r="N302" s="5"/>
      <c r="O302" s="5"/>
      <c r="P302" s="5"/>
      <c r="Q302" s="5"/>
      <c r="R302" s="5"/>
      <c r="S302" s="5"/>
    </row>
    <row r="303" spans="1:19">
      <c r="A303" s="5"/>
      <c r="B303" s="5"/>
      <c r="C303" s="5"/>
      <c r="D303" s="5"/>
      <c r="E303" s="5"/>
      <c r="F303" s="5"/>
      <c r="G303" s="5"/>
      <c r="H303" s="5"/>
      <c r="I303" s="5"/>
      <c r="J303" s="5"/>
      <c r="K303" s="5"/>
      <c r="L303" s="5"/>
      <c r="M303" s="5"/>
      <c r="N303" s="5"/>
      <c r="O303" s="5"/>
      <c r="P303" s="5"/>
      <c r="Q303" s="5"/>
      <c r="R303" s="5"/>
      <c r="S303" s="5"/>
    </row>
    <row r="304" spans="1:19">
      <c r="A304" s="5"/>
      <c r="B304" s="5"/>
      <c r="C304" s="5"/>
      <c r="D304" s="5"/>
      <c r="E304" s="5"/>
      <c r="F304" s="5"/>
      <c r="G304" s="5"/>
      <c r="H304" s="5"/>
      <c r="I304" s="5"/>
      <c r="J304" s="5"/>
      <c r="K304" s="5"/>
      <c r="L304" s="5"/>
      <c r="M304" s="5"/>
      <c r="N304" s="5"/>
      <c r="O304" s="5"/>
      <c r="P304" s="5"/>
      <c r="Q304" s="5"/>
      <c r="R304" s="5"/>
      <c r="S304" s="5"/>
    </row>
    <row r="305" spans="1:19">
      <c r="A305" s="5"/>
      <c r="B305" s="5"/>
      <c r="C305" s="5"/>
      <c r="D305" s="5"/>
      <c r="E305" s="5"/>
      <c r="F305" s="5"/>
      <c r="G305" s="5"/>
      <c r="H305" s="5"/>
      <c r="I305" s="5"/>
      <c r="J305" s="5"/>
      <c r="K305" s="5"/>
      <c r="L305" s="5"/>
      <c r="M305" s="5"/>
      <c r="N305" s="5"/>
      <c r="O305" s="5"/>
      <c r="P305" s="5"/>
      <c r="Q305" s="5"/>
      <c r="R305" s="5"/>
      <c r="S305" s="5"/>
    </row>
    <row r="306" spans="1:19">
      <c r="A306" s="5"/>
      <c r="B306" s="5"/>
      <c r="C306" s="5"/>
      <c r="D306" s="5"/>
      <c r="E306" s="5"/>
      <c r="F306" s="5"/>
      <c r="G306" s="5"/>
      <c r="H306" s="5"/>
      <c r="I306" s="5"/>
      <c r="J306" s="5"/>
      <c r="K306" s="5"/>
      <c r="L306" s="5"/>
      <c r="M306" s="5"/>
      <c r="N306" s="5"/>
      <c r="O306" s="5"/>
      <c r="P306" s="5"/>
      <c r="Q306" s="5"/>
      <c r="R306" s="5"/>
      <c r="S306" s="5"/>
    </row>
    <row r="307" spans="1:19">
      <c r="A307" s="5"/>
      <c r="B307" s="5"/>
      <c r="C307" s="5"/>
      <c r="D307" s="5"/>
      <c r="E307" s="5"/>
      <c r="F307" s="5"/>
      <c r="G307" s="5"/>
      <c r="H307" s="5"/>
      <c r="I307" s="5"/>
      <c r="J307" s="5"/>
      <c r="K307" s="5"/>
      <c r="L307" s="5"/>
      <c r="M307" s="5"/>
      <c r="N307" s="5"/>
      <c r="O307" s="5"/>
      <c r="P307" s="5"/>
      <c r="Q307" s="5"/>
      <c r="R307" s="5"/>
      <c r="S307" s="5"/>
    </row>
    <row r="308" spans="1:19">
      <c r="A308" s="5"/>
      <c r="B308" s="5"/>
      <c r="C308" s="5"/>
      <c r="D308" s="5"/>
      <c r="E308" s="5"/>
      <c r="F308" s="5"/>
      <c r="G308" s="5"/>
      <c r="H308" s="5"/>
      <c r="I308" s="5"/>
      <c r="J308" s="5"/>
      <c r="K308" s="5"/>
      <c r="L308" s="5"/>
      <c r="M308" s="5"/>
      <c r="N308" s="5"/>
      <c r="O308" s="5"/>
      <c r="P308" s="5"/>
      <c r="Q308" s="5"/>
      <c r="R308" s="5"/>
      <c r="S308" s="5"/>
    </row>
    <row r="309" spans="1:19">
      <c r="A309" s="5"/>
      <c r="B309" s="5"/>
      <c r="C309" s="5"/>
      <c r="D309" s="5"/>
      <c r="E309" s="5"/>
      <c r="F309" s="5"/>
      <c r="G309" s="5"/>
      <c r="H309" s="5"/>
      <c r="I309" s="5"/>
      <c r="J309" s="5"/>
      <c r="K309" s="5"/>
      <c r="L309" s="5"/>
      <c r="M309" s="5"/>
      <c r="N309" s="5"/>
      <c r="O309" s="5"/>
      <c r="P309" s="5"/>
      <c r="Q309" s="5"/>
      <c r="R309" s="5"/>
      <c r="S309" s="5"/>
    </row>
    <row r="310" spans="1:19">
      <c r="A310" s="5"/>
      <c r="B310" s="5"/>
      <c r="C310" s="5"/>
      <c r="D310" s="5"/>
      <c r="E310" s="5"/>
      <c r="F310" s="5"/>
      <c r="G310" s="5"/>
      <c r="H310" s="5"/>
      <c r="I310" s="5"/>
      <c r="J310" s="5"/>
      <c r="K310" s="5"/>
      <c r="L310" s="5"/>
      <c r="M310" s="5"/>
      <c r="N310" s="5"/>
      <c r="O310" s="5"/>
      <c r="P310" s="5"/>
      <c r="Q310" s="5"/>
      <c r="R310" s="5"/>
      <c r="S310" s="5"/>
    </row>
    <row r="311" spans="1:19">
      <c r="A311" s="5"/>
      <c r="B311" s="5"/>
      <c r="C311" s="5"/>
      <c r="D311" s="5"/>
      <c r="E311" s="5"/>
      <c r="F311" s="5"/>
      <c r="G311" s="5"/>
      <c r="H311" s="5"/>
      <c r="I311" s="5"/>
      <c r="J311" s="5"/>
      <c r="K311" s="5"/>
      <c r="L311" s="5"/>
      <c r="M311" s="5"/>
      <c r="N311" s="5"/>
      <c r="O311" s="5"/>
      <c r="P311" s="5"/>
      <c r="Q311" s="5"/>
      <c r="R311" s="5"/>
      <c r="S311" s="5"/>
    </row>
    <row r="312" spans="1:19">
      <c r="A312" s="5"/>
      <c r="B312" s="5"/>
      <c r="C312" s="5"/>
      <c r="D312" s="5"/>
      <c r="E312" s="5"/>
      <c r="F312" s="5"/>
      <c r="G312" s="5"/>
      <c r="H312" s="5"/>
      <c r="I312" s="5"/>
      <c r="J312" s="5"/>
      <c r="K312" s="5"/>
      <c r="L312" s="5"/>
      <c r="M312" s="5"/>
      <c r="N312" s="5"/>
      <c r="O312" s="5"/>
      <c r="P312" s="5"/>
      <c r="Q312" s="5"/>
      <c r="R312" s="5"/>
      <c r="S312" s="5"/>
    </row>
    <row r="313" spans="1:19">
      <c r="A313" s="5"/>
      <c r="B313" s="5"/>
      <c r="C313" s="5"/>
      <c r="D313" s="5"/>
      <c r="E313" s="5"/>
      <c r="F313" s="5"/>
      <c r="G313" s="5"/>
      <c r="H313" s="5"/>
      <c r="I313" s="5"/>
      <c r="J313" s="5"/>
      <c r="K313" s="5"/>
      <c r="L313" s="5"/>
      <c r="M313" s="5"/>
      <c r="N313" s="5"/>
      <c r="O313" s="5"/>
      <c r="P313" s="5"/>
      <c r="Q313" s="5"/>
      <c r="R313" s="5"/>
      <c r="S313" s="5"/>
    </row>
    <row r="314" spans="1:19">
      <c r="A314" s="5"/>
      <c r="B314" s="5"/>
      <c r="C314" s="5"/>
      <c r="D314" s="5"/>
      <c r="E314" s="5"/>
      <c r="F314" s="5"/>
      <c r="G314" s="5"/>
      <c r="H314" s="5"/>
      <c r="I314" s="5"/>
      <c r="J314" s="5"/>
      <c r="K314" s="5"/>
      <c r="L314" s="5"/>
      <c r="M314" s="5"/>
      <c r="N314" s="5"/>
      <c r="O314" s="5"/>
      <c r="P314" s="5"/>
      <c r="Q314" s="5"/>
      <c r="R314" s="5"/>
      <c r="S314" s="5"/>
    </row>
    <row r="315" spans="1:19">
      <c r="A315" s="5"/>
      <c r="B315" s="5"/>
      <c r="C315" s="5"/>
      <c r="D315" s="5"/>
      <c r="E315" s="5"/>
      <c r="F315" s="5"/>
      <c r="G315" s="5"/>
      <c r="H315" s="5"/>
      <c r="I315" s="5"/>
      <c r="J315" s="5"/>
      <c r="K315" s="5"/>
      <c r="L315" s="5"/>
      <c r="M315" s="5"/>
      <c r="N315" s="5"/>
      <c r="O315" s="5"/>
      <c r="P315" s="5"/>
      <c r="Q315" s="5"/>
      <c r="R315" s="5"/>
      <c r="S315" s="5"/>
    </row>
    <row r="316" spans="1:19">
      <c r="A316" s="5"/>
      <c r="B316" s="5"/>
      <c r="C316" s="5"/>
      <c r="D316" s="5"/>
      <c r="E316" s="5"/>
      <c r="F316" s="5"/>
      <c r="G316" s="5"/>
      <c r="H316" s="5"/>
      <c r="I316" s="5"/>
      <c r="J316" s="5"/>
      <c r="K316" s="5"/>
      <c r="L316" s="5"/>
      <c r="M316" s="5"/>
      <c r="N316" s="5"/>
      <c r="O316" s="5"/>
      <c r="P316" s="5"/>
      <c r="Q316" s="5"/>
      <c r="R316" s="5"/>
      <c r="S316" s="5"/>
    </row>
    <row r="317" spans="1:19">
      <c r="A317" s="5"/>
      <c r="B317" s="5"/>
      <c r="C317" s="5"/>
      <c r="D317" s="5"/>
      <c r="E317" s="5"/>
      <c r="F317" s="5"/>
      <c r="G317" s="5"/>
      <c r="H317" s="5"/>
      <c r="I317" s="5"/>
      <c r="J317" s="5"/>
      <c r="K317" s="5"/>
      <c r="L317" s="5"/>
      <c r="M317" s="5"/>
      <c r="N317" s="5"/>
      <c r="O317" s="5"/>
      <c r="P317" s="5"/>
      <c r="Q317" s="5"/>
      <c r="R317" s="5"/>
      <c r="S317" s="5"/>
    </row>
    <row r="318" spans="1:19">
      <c r="A318" s="5"/>
      <c r="B318" s="5"/>
      <c r="C318" s="5"/>
      <c r="D318" s="5"/>
      <c r="E318" s="5"/>
      <c r="F318" s="5"/>
      <c r="G318" s="5"/>
      <c r="H318" s="5"/>
      <c r="I318" s="5"/>
      <c r="J318" s="5"/>
      <c r="K318" s="5"/>
      <c r="L318" s="5"/>
      <c r="M318" s="5"/>
      <c r="N318" s="5"/>
      <c r="O318" s="5"/>
      <c r="P318" s="5"/>
      <c r="Q318" s="5"/>
      <c r="R318" s="5"/>
      <c r="S318" s="5"/>
    </row>
    <row r="319" spans="1:19">
      <c r="A319" s="5"/>
      <c r="B319" s="5"/>
      <c r="C319" s="5"/>
      <c r="D319" s="5"/>
      <c r="E319" s="5"/>
      <c r="F319" s="5"/>
      <c r="G319" s="5"/>
      <c r="H319" s="5"/>
      <c r="I319" s="5"/>
      <c r="J319" s="5"/>
      <c r="K319" s="5"/>
      <c r="L319" s="5"/>
      <c r="M319" s="5"/>
      <c r="N319" s="5"/>
      <c r="O319" s="5"/>
      <c r="P319" s="5"/>
      <c r="Q319" s="5"/>
      <c r="R319" s="5"/>
      <c r="S319" s="5"/>
    </row>
    <row r="320" spans="1:19">
      <c r="A320" s="5"/>
      <c r="B320" s="5"/>
      <c r="C320" s="5"/>
      <c r="D320" s="5"/>
      <c r="E320" s="5"/>
      <c r="F320" s="5"/>
      <c r="G320" s="5"/>
      <c r="H320" s="5"/>
      <c r="I320" s="5"/>
      <c r="J320" s="5"/>
      <c r="K320" s="5"/>
      <c r="L320" s="5"/>
      <c r="M320" s="5"/>
      <c r="N320" s="5"/>
      <c r="O320" s="5"/>
      <c r="P320" s="5"/>
      <c r="Q320" s="5"/>
      <c r="R320" s="5"/>
      <c r="S320" s="5"/>
    </row>
    <row r="321" spans="1:19">
      <c r="A321" s="5"/>
      <c r="B321" s="5"/>
      <c r="C321" s="5"/>
      <c r="D321" s="5"/>
      <c r="E321" s="5"/>
      <c r="F321" s="5"/>
      <c r="G321" s="5"/>
      <c r="H321" s="5"/>
      <c r="I321" s="5"/>
      <c r="J321" s="5"/>
      <c r="K321" s="5"/>
      <c r="L321" s="5"/>
      <c r="M321" s="5"/>
      <c r="N321" s="5"/>
      <c r="O321" s="5"/>
      <c r="P321" s="5"/>
      <c r="Q321" s="5"/>
      <c r="R321" s="5"/>
      <c r="S321" s="5"/>
    </row>
    <row r="322" spans="1:19">
      <c r="A322" s="5"/>
      <c r="B322" s="5"/>
      <c r="C322" s="5"/>
      <c r="D322" s="5"/>
      <c r="E322" s="5"/>
      <c r="F322" s="5"/>
      <c r="G322" s="5"/>
      <c r="H322" s="5"/>
      <c r="I322" s="5"/>
      <c r="J322" s="5"/>
      <c r="K322" s="5"/>
      <c r="L322" s="5"/>
      <c r="M322" s="5"/>
      <c r="N322" s="5"/>
      <c r="O322" s="5"/>
      <c r="P322" s="5"/>
      <c r="Q322" s="5"/>
      <c r="R322" s="5"/>
      <c r="S322" s="5"/>
    </row>
    <row r="323" spans="1:19">
      <c r="A323" s="5"/>
      <c r="B323" s="5"/>
      <c r="C323" s="5"/>
      <c r="D323" s="5"/>
      <c r="E323" s="5"/>
      <c r="F323" s="5"/>
      <c r="G323" s="5"/>
      <c r="H323" s="5"/>
      <c r="I323" s="5"/>
      <c r="J323" s="5"/>
      <c r="K323" s="5"/>
      <c r="L323" s="5"/>
      <c r="M323" s="5"/>
      <c r="N323" s="5"/>
      <c r="O323" s="5"/>
      <c r="P323" s="5"/>
      <c r="Q323" s="5"/>
      <c r="R323" s="5"/>
      <c r="S323" s="5"/>
    </row>
    <row r="324" spans="1:19">
      <c r="A324" s="5"/>
      <c r="B324" s="5"/>
      <c r="C324" s="5"/>
      <c r="D324" s="5"/>
      <c r="E324" s="5"/>
      <c r="F324" s="5"/>
      <c r="G324" s="5"/>
      <c r="H324" s="5"/>
      <c r="I324" s="5"/>
      <c r="J324" s="5"/>
      <c r="K324" s="5"/>
      <c r="L324" s="5"/>
      <c r="M324" s="5"/>
      <c r="N324" s="5"/>
      <c r="O324" s="5"/>
      <c r="P324" s="5"/>
      <c r="Q324" s="5"/>
      <c r="R324" s="5"/>
      <c r="S324" s="5"/>
    </row>
    <row r="325" spans="1:19">
      <c r="A325" s="5"/>
      <c r="B325" s="5"/>
      <c r="C325" s="5"/>
      <c r="D325" s="5"/>
      <c r="E325" s="5"/>
      <c r="F325" s="5"/>
      <c r="G325" s="5"/>
      <c r="H325" s="5"/>
      <c r="I325" s="5"/>
      <c r="J325" s="5"/>
      <c r="K325" s="5"/>
      <c r="L325" s="5"/>
      <c r="M325" s="5"/>
      <c r="N325" s="5"/>
      <c r="O325" s="5"/>
      <c r="P325" s="5"/>
      <c r="Q325" s="5"/>
      <c r="R325" s="5"/>
      <c r="S325" s="5"/>
    </row>
    <row r="326" spans="1:19">
      <c r="A326" s="5"/>
      <c r="B326" s="5"/>
      <c r="C326" s="5"/>
      <c r="D326" s="5"/>
      <c r="E326" s="5"/>
      <c r="F326" s="5"/>
      <c r="G326" s="5"/>
      <c r="H326" s="5"/>
      <c r="I326" s="5"/>
      <c r="J326" s="5"/>
      <c r="K326" s="5"/>
      <c r="L326" s="5"/>
      <c r="M326" s="5"/>
      <c r="N326" s="5"/>
      <c r="O326" s="5"/>
      <c r="P326" s="5"/>
      <c r="Q326" s="5"/>
      <c r="R326" s="5"/>
      <c r="S326" s="5"/>
    </row>
    <row r="327" spans="1:19">
      <c r="A327" s="5"/>
      <c r="B327" s="5"/>
      <c r="C327" s="5"/>
      <c r="D327" s="5"/>
      <c r="E327" s="5"/>
      <c r="F327" s="5"/>
      <c r="G327" s="5"/>
      <c r="H327" s="5"/>
      <c r="I327" s="5"/>
      <c r="J327" s="5"/>
      <c r="K327" s="5"/>
      <c r="L327" s="5"/>
      <c r="M327" s="5"/>
      <c r="N327" s="5"/>
      <c r="O327" s="5"/>
      <c r="P327" s="5"/>
      <c r="Q327" s="5"/>
      <c r="R327" s="5"/>
      <c r="S327" s="5"/>
    </row>
    <row r="328" spans="1:19">
      <c r="A328" s="5"/>
      <c r="B328" s="5"/>
      <c r="C328" s="5"/>
      <c r="D328" s="5"/>
      <c r="E328" s="5"/>
      <c r="F328" s="5"/>
      <c r="G328" s="5"/>
      <c r="H328" s="5"/>
      <c r="I328" s="5"/>
      <c r="J328" s="5"/>
      <c r="K328" s="5"/>
      <c r="L328" s="5"/>
      <c r="M328" s="5"/>
      <c r="N328" s="5"/>
      <c r="O328" s="5"/>
      <c r="P328" s="5"/>
      <c r="Q328" s="5"/>
      <c r="R328" s="5"/>
      <c r="S328" s="5"/>
    </row>
    <row r="329" spans="1:19">
      <c r="A329" s="5"/>
      <c r="B329" s="5"/>
      <c r="C329" s="5"/>
      <c r="D329" s="5"/>
      <c r="E329" s="5"/>
      <c r="F329" s="5"/>
      <c r="G329" s="5"/>
      <c r="H329" s="5"/>
      <c r="I329" s="5"/>
      <c r="J329" s="5"/>
      <c r="K329" s="5"/>
      <c r="L329" s="5"/>
      <c r="M329" s="5"/>
      <c r="N329" s="5"/>
      <c r="O329" s="5"/>
      <c r="P329" s="5"/>
      <c r="Q329" s="5"/>
      <c r="R329" s="5"/>
      <c r="S329" s="5"/>
    </row>
    <row r="330" spans="1:19">
      <c r="A330" s="5"/>
      <c r="B330" s="5"/>
      <c r="C330" s="5"/>
      <c r="D330" s="5"/>
      <c r="E330" s="5"/>
      <c r="F330" s="5"/>
      <c r="G330" s="5"/>
      <c r="H330" s="5"/>
      <c r="I330" s="5"/>
      <c r="J330" s="5"/>
      <c r="K330" s="5"/>
      <c r="L330" s="5"/>
      <c r="M330" s="5"/>
      <c r="N330" s="5"/>
      <c r="O330" s="5"/>
      <c r="P330" s="5"/>
      <c r="Q330" s="5"/>
      <c r="R330" s="5"/>
      <c r="S330" s="5"/>
    </row>
    <row r="331" spans="1:19">
      <c r="A331" s="5"/>
      <c r="B331" s="5"/>
      <c r="C331" s="5"/>
      <c r="D331" s="5"/>
      <c r="E331" s="5"/>
      <c r="F331" s="5"/>
      <c r="G331" s="5"/>
      <c r="H331" s="5"/>
      <c r="I331" s="5"/>
      <c r="J331" s="5"/>
      <c r="K331" s="5"/>
      <c r="L331" s="5"/>
      <c r="M331" s="5"/>
      <c r="N331" s="5"/>
      <c r="O331" s="5"/>
      <c r="P331" s="5"/>
      <c r="Q331" s="5"/>
      <c r="R331" s="5"/>
      <c r="S331" s="5"/>
    </row>
    <row r="332" spans="1:19">
      <c r="A332" s="5"/>
      <c r="B332" s="5"/>
      <c r="C332" s="5"/>
      <c r="D332" s="5"/>
      <c r="E332" s="5"/>
      <c r="F332" s="5"/>
      <c r="G332" s="5"/>
      <c r="H332" s="5"/>
      <c r="I332" s="5"/>
      <c r="J332" s="5"/>
      <c r="K332" s="5"/>
      <c r="L332" s="5"/>
      <c r="M332" s="5"/>
      <c r="N332" s="5"/>
      <c r="O332" s="5"/>
      <c r="P332" s="5"/>
      <c r="Q332" s="5"/>
      <c r="R332" s="5"/>
      <c r="S332" s="5"/>
    </row>
    <row r="333" spans="1:19">
      <c r="A333" s="5"/>
      <c r="B333" s="5"/>
      <c r="C333" s="5"/>
      <c r="D333" s="5"/>
      <c r="E333" s="5"/>
      <c r="F333" s="5"/>
      <c r="G333" s="5"/>
      <c r="H333" s="5"/>
      <c r="I333" s="5"/>
      <c r="J333" s="5"/>
      <c r="K333" s="5"/>
      <c r="L333" s="5"/>
      <c r="M333" s="5"/>
      <c r="N333" s="5"/>
      <c r="O333" s="5"/>
      <c r="P333" s="5"/>
      <c r="Q333" s="5"/>
      <c r="R333" s="5"/>
      <c r="S333" s="5"/>
    </row>
    <row r="334" spans="1:19">
      <c r="A334" s="5"/>
      <c r="B334" s="5"/>
      <c r="C334" s="5"/>
      <c r="D334" s="5"/>
      <c r="E334" s="5"/>
      <c r="F334" s="5"/>
      <c r="G334" s="5"/>
      <c r="H334" s="5"/>
      <c r="I334" s="5"/>
      <c r="J334" s="5"/>
      <c r="K334" s="5"/>
      <c r="L334" s="5"/>
      <c r="M334" s="5"/>
      <c r="N334" s="5"/>
      <c r="O334" s="5"/>
      <c r="P334" s="5"/>
      <c r="Q334" s="5"/>
      <c r="R334" s="5"/>
      <c r="S334" s="5"/>
    </row>
    <row r="335" spans="1:19">
      <c r="A335" s="5"/>
      <c r="B335" s="5"/>
      <c r="C335" s="5"/>
      <c r="D335" s="5"/>
      <c r="E335" s="5"/>
      <c r="F335" s="5"/>
      <c r="G335" s="5"/>
      <c r="H335" s="5"/>
      <c r="I335" s="5"/>
      <c r="J335" s="5"/>
      <c r="K335" s="5"/>
      <c r="L335" s="5"/>
      <c r="M335" s="5"/>
      <c r="N335" s="5"/>
      <c r="O335" s="5"/>
      <c r="P335" s="5"/>
      <c r="Q335" s="5"/>
      <c r="R335" s="5"/>
      <c r="S335" s="5"/>
    </row>
    <row r="336" spans="1:19">
      <c r="A336" s="5"/>
      <c r="B336" s="5"/>
      <c r="C336" s="5"/>
      <c r="D336" s="5"/>
      <c r="E336" s="5"/>
      <c r="F336" s="5"/>
      <c r="G336" s="5"/>
      <c r="H336" s="5"/>
      <c r="I336" s="5"/>
      <c r="J336" s="5"/>
      <c r="K336" s="5"/>
      <c r="L336" s="5"/>
      <c r="M336" s="5"/>
      <c r="N336" s="5"/>
      <c r="O336" s="5"/>
      <c r="P336" s="5"/>
      <c r="Q336" s="5"/>
      <c r="R336" s="5"/>
      <c r="S336" s="5"/>
    </row>
    <row r="337" spans="1:19">
      <c r="A337" s="5"/>
      <c r="B337" s="5"/>
      <c r="C337" s="5"/>
      <c r="D337" s="5"/>
      <c r="E337" s="5"/>
      <c r="F337" s="5"/>
      <c r="G337" s="5"/>
      <c r="H337" s="5"/>
      <c r="I337" s="5"/>
      <c r="J337" s="5"/>
      <c r="K337" s="5"/>
      <c r="L337" s="5"/>
      <c r="M337" s="5"/>
      <c r="N337" s="5"/>
      <c r="O337" s="5"/>
      <c r="P337" s="5"/>
      <c r="Q337" s="5"/>
      <c r="R337" s="5"/>
      <c r="S337" s="5"/>
    </row>
    <row r="338" spans="1:19">
      <c r="A338" s="5"/>
      <c r="B338" s="5"/>
      <c r="C338" s="5"/>
      <c r="D338" s="5"/>
      <c r="E338" s="5"/>
      <c r="F338" s="5"/>
      <c r="G338" s="5"/>
      <c r="H338" s="5"/>
      <c r="I338" s="5"/>
      <c r="J338" s="5"/>
      <c r="K338" s="5"/>
      <c r="L338" s="5"/>
      <c r="M338" s="5"/>
      <c r="N338" s="5"/>
      <c r="O338" s="5"/>
      <c r="P338" s="5"/>
      <c r="Q338" s="5"/>
      <c r="R338" s="5"/>
      <c r="S338" s="5"/>
    </row>
    <row r="339" spans="1:19">
      <c r="A339" s="5"/>
      <c r="B339" s="5"/>
      <c r="C339" s="5"/>
      <c r="D339" s="5"/>
      <c r="E339" s="5"/>
      <c r="F339" s="5"/>
      <c r="G339" s="5"/>
      <c r="H339" s="5"/>
      <c r="I339" s="5"/>
      <c r="J339" s="5"/>
      <c r="K339" s="5"/>
      <c r="L339" s="5"/>
      <c r="M339" s="5"/>
      <c r="N339" s="5"/>
      <c r="O339" s="5"/>
      <c r="P339" s="5"/>
      <c r="Q339" s="5"/>
      <c r="R339" s="5"/>
      <c r="S339" s="5"/>
    </row>
    <row r="340" spans="1:19">
      <c r="A340" s="5"/>
      <c r="B340" s="5"/>
      <c r="C340" s="5"/>
      <c r="D340" s="5"/>
      <c r="E340" s="5"/>
      <c r="F340" s="5"/>
      <c r="G340" s="5"/>
      <c r="H340" s="5"/>
      <c r="I340" s="5"/>
      <c r="J340" s="5"/>
      <c r="K340" s="5"/>
      <c r="L340" s="5"/>
      <c r="M340" s="5"/>
      <c r="N340" s="5"/>
      <c r="O340" s="5"/>
      <c r="P340" s="5"/>
      <c r="Q340" s="5"/>
      <c r="R340" s="5"/>
      <c r="S340" s="5"/>
    </row>
    <row r="341" spans="1:19">
      <c r="A341" s="5"/>
      <c r="B341" s="5"/>
      <c r="C341" s="5"/>
      <c r="D341" s="5"/>
      <c r="E341" s="5"/>
      <c r="F341" s="5"/>
      <c r="G341" s="5"/>
      <c r="H341" s="5"/>
      <c r="I341" s="5"/>
      <c r="J341" s="5"/>
      <c r="K341" s="5"/>
      <c r="L341" s="5"/>
      <c r="M341" s="5"/>
      <c r="N341" s="5"/>
      <c r="O341" s="5"/>
      <c r="P341" s="5"/>
      <c r="Q341" s="5"/>
      <c r="R341" s="5"/>
      <c r="S341" s="5"/>
    </row>
    <row r="342" spans="1:19">
      <c r="A342" s="5"/>
      <c r="B342" s="5"/>
      <c r="C342" s="5"/>
      <c r="D342" s="5"/>
      <c r="E342" s="5"/>
      <c r="F342" s="5"/>
      <c r="G342" s="5"/>
      <c r="H342" s="5"/>
      <c r="I342" s="5"/>
      <c r="J342" s="5"/>
      <c r="K342" s="5"/>
      <c r="L342" s="5"/>
      <c r="M342" s="5"/>
      <c r="N342" s="5"/>
      <c r="O342" s="5"/>
      <c r="P342" s="5"/>
      <c r="Q342" s="5"/>
      <c r="R342" s="5"/>
      <c r="S342" s="5"/>
    </row>
    <row r="343" spans="1:19">
      <c r="A343" s="5"/>
      <c r="B343" s="5"/>
      <c r="C343" s="5"/>
      <c r="D343" s="5"/>
      <c r="E343" s="5"/>
      <c r="F343" s="5"/>
      <c r="G343" s="5"/>
      <c r="H343" s="5"/>
      <c r="I343" s="5"/>
      <c r="J343" s="5"/>
      <c r="K343" s="5"/>
      <c r="L343" s="5"/>
      <c r="M343" s="5"/>
      <c r="N343" s="5"/>
      <c r="O343" s="5"/>
      <c r="P343" s="5"/>
      <c r="Q343" s="5"/>
      <c r="R343" s="5"/>
      <c r="S343" s="5"/>
    </row>
    <row r="344" spans="1:19">
      <c r="A344" s="5"/>
      <c r="B344" s="5"/>
      <c r="C344" s="5"/>
      <c r="D344" s="5"/>
      <c r="E344" s="5"/>
      <c r="F344" s="5"/>
      <c r="G344" s="5"/>
      <c r="H344" s="5"/>
      <c r="I344" s="5"/>
      <c r="J344" s="5"/>
      <c r="K344" s="5"/>
      <c r="L344" s="5"/>
      <c r="M344" s="5"/>
      <c r="N344" s="5"/>
      <c r="O344" s="5"/>
      <c r="P344" s="5"/>
      <c r="Q344" s="5"/>
      <c r="R344" s="5"/>
      <c r="S344" s="5"/>
    </row>
    <row r="345" spans="1:19">
      <c r="A345" s="5"/>
      <c r="B345" s="5"/>
      <c r="C345" s="5"/>
      <c r="D345" s="5"/>
      <c r="E345" s="5"/>
      <c r="F345" s="5"/>
      <c r="G345" s="5"/>
      <c r="H345" s="5"/>
      <c r="I345" s="5"/>
      <c r="J345" s="5"/>
      <c r="K345" s="5"/>
      <c r="L345" s="5"/>
      <c r="M345" s="5"/>
      <c r="N345" s="5"/>
      <c r="O345" s="5"/>
      <c r="P345" s="5"/>
      <c r="Q345" s="5"/>
      <c r="R345" s="5"/>
      <c r="S345" s="5"/>
    </row>
    <row r="346" spans="1:19">
      <c r="A346" s="5"/>
      <c r="B346" s="5"/>
      <c r="C346" s="5"/>
      <c r="D346" s="5"/>
      <c r="E346" s="5"/>
      <c r="F346" s="5"/>
      <c r="G346" s="5"/>
      <c r="H346" s="5"/>
      <c r="I346" s="5"/>
      <c r="J346" s="5"/>
      <c r="K346" s="5"/>
      <c r="L346" s="5"/>
      <c r="M346" s="5"/>
      <c r="N346" s="5"/>
      <c r="O346" s="5"/>
      <c r="P346" s="5"/>
      <c r="Q346" s="5"/>
      <c r="R346" s="5"/>
      <c r="S346" s="5"/>
    </row>
    <row r="347" spans="1:19">
      <c r="A347" s="5"/>
      <c r="B347" s="5"/>
      <c r="C347" s="5"/>
      <c r="D347" s="5"/>
      <c r="E347" s="5"/>
      <c r="F347" s="5"/>
      <c r="G347" s="5"/>
      <c r="H347" s="5"/>
      <c r="I347" s="5"/>
      <c r="J347" s="5"/>
      <c r="K347" s="5"/>
      <c r="L347" s="5"/>
      <c r="M347" s="5"/>
      <c r="N347" s="5"/>
      <c r="O347" s="5"/>
      <c r="P347" s="5"/>
      <c r="Q347" s="5"/>
      <c r="R347" s="5"/>
      <c r="S347" s="5"/>
    </row>
    <row r="348" spans="1:19">
      <c r="A348" s="5"/>
      <c r="B348" s="5"/>
      <c r="C348" s="5"/>
      <c r="D348" s="5"/>
      <c r="E348" s="5"/>
      <c r="F348" s="5"/>
      <c r="G348" s="5"/>
      <c r="H348" s="5"/>
      <c r="I348" s="5"/>
      <c r="J348" s="5"/>
      <c r="K348" s="5"/>
      <c r="L348" s="5"/>
      <c r="M348" s="5"/>
      <c r="N348" s="5"/>
      <c r="O348" s="5"/>
      <c r="P348" s="5"/>
      <c r="Q348" s="5"/>
      <c r="R348" s="5"/>
      <c r="S348" s="5"/>
    </row>
    <row r="349" spans="1:19">
      <c r="A349" s="5"/>
      <c r="B349" s="5"/>
      <c r="C349" s="5"/>
      <c r="D349" s="5"/>
      <c r="E349" s="5"/>
      <c r="F349" s="5"/>
      <c r="G349" s="5"/>
      <c r="H349" s="5"/>
      <c r="I349" s="5"/>
      <c r="J349" s="5"/>
      <c r="K349" s="5"/>
      <c r="L349" s="5"/>
      <c r="M349" s="5"/>
      <c r="N349" s="5"/>
      <c r="O349" s="5"/>
      <c r="P349" s="5"/>
      <c r="Q349" s="5"/>
      <c r="R349" s="5"/>
      <c r="S349" s="5"/>
    </row>
    <row r="350" spans="1:19">
      <c r="A350" s="5"/>
      <c r="B350" s="5"/>
      <c r="C350" s="5"/>
      <c r="D350" s="5"/>
      <c r="E350" s="5"/>
      <c r="F350" s="5"/>
      <c r="G350" s="5"/>
      <c r="H350" s="5"/>
      <c r="I350" s="5"/>
      <c r="J350" s="5"/>
      <c r="K350" s="5"/>
      <c r="L350" s="5"/>
      <c r="M350" s="5"/>
      <c r="N350" s="5"/>
      <c r="O350" s="5"/>
      <c r="P350" s="5"/>
      <c r="Q350" s="5"/>
      <c r="R350" s="5"/>
      <c r="S350" s="5"/>
    </row>
    <row r="351" spans="1:19">
      <c r="A351" s="5"/>
      <c r="B351" s="5"/>
      <c r="C351" s="5"/>
      <c r="D351" s="5"/>
      <c r="E351" s="5"/>
      <c r="F351" s="5"/>
      <c r="G351" s="5"/>
      <c r="H351" s="5"/>
      <c r="I351" s="5"/>
      <c r="J351" s="5"/>
      <c r="K351" s="5"/>
      <c r="L351" s="5"/>
      <c r="M351" s="5"/>
      <c r="N351" s="5"/>
      <c r="O351" s="5"/>
      <c r="P351" s="5"/>
      <c r="Q351" s="5"/>
      <c r="R351" s="5"/>
      <c r="S351" s="5"/>
    </row>
    <row r="352" spans="1:19">
      <c r="A352" s="5"/>
      <c r="B352" s="5"/>
      <c r="C352" s="5"/>
      <c r="D352" s="5"/>
      <c r="E352" s="5"/>
      <c r="F352" s="5"/>
      <c r="G352" s="5"/>
      <c r="H352" s="5"/>
      <c r="I352" s="5"/>
      <c r="J352" s="5"/>
      <c r="K352" s="5"/>
      <c r="L352" s="5"/>
      <c r="M352" s="5"/>
      <c r="N352" s="5"/>
      <c r="O352" s="5"/>
      <c r="P352" s="5"/>
      <c r="Q352" s="5"/>
      <c r="R352" s="5"/>
      <c r="S352" s="5"/>
    </row>
    <row r="353" spans="1:19">
      <c r="A353" s="5"/>
      <c r="B353" s="5"/>
      <c r="C353" s="5"/>
      <c r="D353" s="5"/>
      <c r="E353" s="5"/>
      <c r="F353" s="5"/>
      <c r="G353" s="5"/>
      <c r="H353" s="5"/>
      <c r="I353" s="5"/>
      <c r="J353" s="5"/>
      <c r="K353" s="5"/>
      <c r="L353" s="5"/>
      <c r="M353" s="5"/>
      <c r="N353" s="5"/>
      <c r="O353" s="5"/>
      <c r="P353" s="5"/>
      <c r="Q353" s="5"/>
      <c r="R353" s="5"/>
      <c r="S353" s="5"/>
    </row>
    <row r="354" spans="1:19">
      <c r="A354" s="5"/>
      <c r="B354" s="5"/>
      <c r="C354" s="5"/>
      <c r="D354" s="5"/>
      <c r="E354" s="5"/>
      <c r="F354" s="5"/>
      <c r="G354" s="5"/>
      <c r="H354" s="5"/>
      <c r="I354" s="5"/>
      <c r="J354" s="5"/>
      <c r="K354" s="5"/>
      <c r="L354" s="5"/>
      <c r="M354" s="5"/>
      <c r="N354" s="5"/>
      <c r="O354" s="5"/>
      <c r="P354" s="5"/>
      <c r="Q354" s="5"/>
      <c r="R354" s="5"/>
      <c r="S354" s="5"/>
    </row>
    <row r="355" spans="1:19">
      <c r="A355" s="5"/>
      <c r="B355" s="5"/>
      <c r="C355" s="5"/>
      <c r="D355" s="5"/>
      <c r="E355" s="5"/>
      <c r="F355" s="5"/>
      <c r="G355" s="5"/>
      <c r="H355" s="5"/>
      <c r="I355" s="5"/>
      <c r="J355" s="5"/>
      <c r="K355" s="5"/>
      <c r="L355" s="5"/>
      <c r="M355" s="5"/>
      <c r="N355" s="5"/>
      <c r="O355" s="5"/>
      <c r="P355" s="5"/>
      <c r="Q355" s="5"/>
      <c r="R355" s="5"/>
      <c r="S355" s="5"/>
    </row>
    <row r="356" spans="1:19">
      <c r="A356" s="5"/>
      <c r="B356" s="5"/>
      <c r="C356" s="5"/>
      <c r="D356" s="5"/>
      <c r="E356" s="5"/>
      <c r="F356" s="5"/>
      <c r="G356" s="5"/>
      <c r="H356" s="5"/>
      <c r="I356" s="5"/>
      <c r="J356" s="5"/>
      <c r="K356" s="5"/>
      <c r="L356" s="5"/>
      <c r="M356" s="5"/>
      <c r="N356" s="5"/>
      <c r="O356" s="5"/>
      <c r="P356" s="5"/>
      <c r="Q356" s="5"/>
      <c r="R356" s="5"/>
      <c r="S356" s="5"/>
    </row>
    <row r="357" spans="1:19">
      <c r="A357" s="5"/>
      <c r="B357" s="5"/>
      <c r="C357" s="5"/>
      <c r="D357" s="5"/>
      <c r="E357" s="5"/>
      <c r="F357" s="5"/>
      <c r="G357" s="5"/>
      <c r="H357" s="5"/>
      <c r="I357" s="5"/>
      <c r="J357" s="5"/>
      <c r="K357" s="5"/>
      <c r="L357" s="5"/>
      <c r="M357" s="5"/>
      <c r="N357" s="5"/>
      <c r="O357" s="5"/>
      <c r="P357" s="5"/>
      <c r="Q357" s="5"/>
      <c r="R357" s="5"/>
      <c r="S357" s="5"/>
    </row>
    <row r="358" spans="1:19">
      <c r="A358" s="5"/>
      <c r="B358" s="5"/>
      <c r="C358" s="5"/>
      <c r="D358" s="5"/>
      <c r="E358" s="5"/>
      <c r="F358" s="5"/>
      <c r="G358" s="5"/>
      <c r="H358" s="5"/>
      <c r="I358" s="5"/>
      <c r="J358" s="5"/>
      <c r="K358" s="5"/>
      <c r="L358" s="5"/>
      <c r="M358" s="5"/>
      <c r="N358" s="5"/>
      <c r="O358" s="5"/>
      <c r="P358" s="5"/>
      <c r="Q358" s="5"/>
      <c r="R358" s="5"/>
      <c r="S358" s="5"/>
    </row>
    <row r="359" spans="1:19">
      <c r="A359" s="5"/>
      <c r="B359" s="5"/>
      <c r="C359" s="5"/>
      <c r="D359" s="5"/>
      <c r="E359" s="5"/>
      <c r="F359" s="5"/>
      <c r="G359" s="5"/>
      <c r="H359" s="5"/>
      <c r="I359" s="5"/>
      <c r="J359" s="5"/>
      <c r="K359" s="5"/>
      <c r="L359" s="5"/>
      <c r="M359" s="5"/>
      <c r="N359" s="5"/>
      <c r="O359" s="5"/>
      <c r="P359" s="5"/>
      <c r="Q359" s="5"/>
      <c r="R359" s="5"/>
      <c r="S359" s="5"/>
    </row>
    <row r="360" spans="1:19">
      <c r="A360" s="5"/>
      <c r="B360" s="5"/>
      <c r="C360" s="5"/>
      <c r="D360" s="5"/>
      <c r="E360" s="5"/>
      <c r="F360" s="5"/>
      <c r="G360" s="5"/>
      <c r="H360" s="5"/>
      <c r="I360" s="5"/>
      <c r="J360" s="5"/>
      <c r="K360" s="5"/>
      <c r="L360" s="5"/>
      <c r="M360" s="5"/>
      <c r="N360" s="5"/>
      <c r="O360" s="5"/>
      <c r="P360" s="5"/>
      <c r="Q360" s="5"/>
      <c r="R360" s="5"/>
      <c r="S360" s="5"/>
    </row>
    <row r="361" spans="1:19">
      <c r="A361" s="5"/>
      <c r="B361" s="5"/>
      <c r="C361" s="5"/>
      <c r="D361" s="5"/>
      <c r="E361" s="5"/>
      <c r="F361" s="5"/>
      <c r="G361" s="5"/>
      <c r="H361" s="5"/>
      <c r="I361" s="5"/>
      <c r="J361" s="5"/>
      <c r="K361" s="5"/>
      <c r="L361" s="5"/>
      <c r="M361" s="5"/>
      <c r="N361" s="5"/>
      <c r="O361" s="5"/>
      <c r="P361" s="5"/>
      <c r="Q361" s="5"/>
      <c r="R361" s="5"/>
      <c r="S361" s="5"/>
    </row>
    <row r="362" spans="1:19">
      <c r="A362" s="5"/>
      <c r="B362" s="5"/>
      <c r="C362" s="5"/>
      <c r="D362" s="5"/>
      <c r="E362" s="5"/>
      <c r="F362" s="5"/>
      <c r="G362" s="5"/>
      <c r="H362" s="5"/>
      <c r="I362" s="5"/>
      <c r="J362" s="5"/>
      <c r="K362" s="5"/>
      <c r="L362" s="5"/>
      <c r="M362" s="5"/>
      <c r="N362" s="5"/>
      <c r="O362" s="5"/>
      <c r="P362" s="5"/>
      <c r="Q362" s="5"/>
      <c r="R362" s="5"/>
      <c r="S362" s="5"/>
    </row>
    <row r="363" spans="1:19">
      <c r="A363" s="5"/>
      <c r="B363" s="5"/>
      <c r="C363" s="5"/>
      <c r="D363" s="5"/>
      <c r="E363" s="5"/>
      <c r="F363" s="5"/>
      <c r="G363" s="5"/>
      <c r="H363" s="5"/>
      <c r="I363" s="5"/>
      <c r="J363" s="5"/>
      <c r="K363" s="5"/>
      <c r="L363" s="5"/>
      <c r="M363" s="5"/>
      <c r="N363" s="5"/>
      <c r="O363" s="5"/>
      <c r="P363" s="5"/>
      <c r="Q363" s="5"/>
      <c r="R363" s="5"/>
      <c r="S363" s="5"/>
    </row>
    <row r="364" spans="1:19">
      <c r="A364" s="5"/>
      <c r="B364" s="5"/>
      <c r="C364" s="5"/>
      <c r="D364" s="5"/>
      <c r="E364" s="5"/>
      <c r="F364" s="5"/>
      <c r="G364" s="5"/>
      <c r="H364" s="5"/>
      <c r="I364" s="5"/>
      <c r="J364" s="5"/>
      <c r="K364" s="5"/>
      <c r="L364" s="5"/>
      <c r="M364" s="5"/>
      <c r="N364" s="5"/>
      <c r="O364" s="5"/>
      <c r="P364" s="5"/>
      <c r="Q364" s="5"/>
      <c r="R364" s="5"/>
      <c r="S364" s="5"/>
    </row>
    <row r="365" spans="1:19">
      <c r="A365" s="5"/>
      <c r="B365" s="5"/>
      <c r="C365" s="5"/>
      <c r="D365" s="5"/>
      <c r="E365" s="5"/>
      <c r="F365" s="5"/>
      <c r="G365" s="5"/>
      <c r="H365" s="5"/>
      <c r="I365" s="5"/>
      <c r="J365" s="5"/>
      <c r="K365" s="5"/>
      <c r="L365" s="5"/>
      <c r="M365" s="5"/>
      <c r="N365" s="5"/>
      <c r="O365" s="5"/>
      <c r="P365" s="5"/>
      <c r="Q365" s="5"/>
      <c r="R365" s="5"/>
      <c r="S365" s="5"/>
    </row>
    <row r="366" spans="1:19">
      <c r="A366" s="5"/>
      <c r="B366" s="5"/>
      <c r="C366" s="5"/>
      <c r="D366" s="5"/>
      <c r="E366" s="5"/>
      <c r="F366" s="5"/>
      <c r="G366" s="5"/>
      <c r="H366" s="5"/>
      <c r="I366" s="5"/>
      <c r="J366" s="5"/>
      <c r="K366" s="5"/>
      <c r="L366" s="5"/>
      <c r="M366" s="5"/>
      <c r="N366" s="5"/>
      <c r="O366" s="5"/>
      <c r="P366" s="5"/>
      <c r="Q366" s="5"/>
      <c r="R366" s="5"/>
      <c r="S366" s="5"/>
    </row>
    <row r="367" spans="1:19">
      <c r="A367" s="5"/>
      <c r="B367" s="5"/>
      <c r="C367" s="5"/>
      <c r="D367" s="5"/>
      <c r="E367" s="5"/>
      <c r="F367" s="5"/>
      <c r="G367" s="5"/>
      <c r="H367" s="5"/>
      <c r="I367" s="5"/>
      <c r="J367" s="5"/>
      <c r="K367" s="5"/>
      <c r="L367" s="5"/>
      <c r="M367" s="5"/>
      <c r="N367" s="5"/>
      <c r="O367" s="5"/>
      <c r="P367" s="5"/>
      <c r="Q367" s="5"/>
      <c r="R367" s="5"/>
      <c r="S367" s="5"/>
    </row>
    <row r="368" spans="1:19">
      <c r="A368" s="5"/>
      <c r="B368" s="5"/>
      <c r="C368" s="5"/>
      <c r="D368" s="5"/>
      <c r="E368" s="5"/>
      <c r="F368" s="5"/>
      <c r="G368" s="5"/>
      <c r="H368" s="5"/>
      <c r="I368" s="5"/>
      <c r="J368" s="5"/>
      <c r="K368" s="5"/>
      <c r="L368" s="5"/>
      <c r="M368" s="5"/>
      <c r="N368" s="5"/>
      <c r="O368" s="5"/>
      <c r="P368" s="5"/>
      <c r="Q368" s="5"/>
      <c r="R368" s="5"/>
      <c r="S368" s="5"/>
    </row>
    <row r="369" spans="1:19">
      <c r="A369" s="5"/>
      <c r="B369" s="5"/>
      <c r="C369" s="5"/>
      <c r="D369" s="5"/>
      <c r="E369" s="5"/>
      <c r="F369" s="5"/>
      <c r="G369" s="5"/>
      <c r="H369" s="5"/>
      <c r="I369" s="5"/>
      <c r="J369" s="5"/>
      <c r="K369" s="5"/>
      <c r="L369" s="5"/>
      <c r="M369" s="5"/>
      <c r="N369" s="5"/>
      <c r="O369" s="5"/>
      <c r="P369" s="5"/>
      <c r="Q369" s="5"/>
      <c r="R369" s="5"/>
      <c r="S369" s="5"/>
    </row>
    <row r="370" spans="1:19">
      <c r="A370" s="5"/>
      <c r="B370" s="5"/>
      <c r="C370" s="5"/>
      <c r="D370" s="5"/>
      <c r="E370" s="5"/>
      <c r="F370" s="5"/>
      <c r="G370" s="5"/>
      <c r="H370" s="5"/>
      <c r="I370" s="5"/>
      <c r="J370" s="5"/>
      <c r="K370" s="5"/>
      <c r="L370" s="5"/>
      <c r="M370" s="5"/>
      <c r="N370" s="5"/>
      <c r="O370" s="5"/>
      <c r="P370" s="5"/>
      <c r="Q370" s="5"/>
      <c r="R370" s="5"/>
      <c r="S370" s="5"/>
    </row>
    <row r="371" spans="1:19">
      <c r="A371" s="5"/>
      <c r="B371" s="5"/>
      <c r="C371" s="5"/>
      <c r="D371" s="5"/>
      <c r="E371" s="5"/>
      <c r="F371" s="5"/>
      <c r="G371" s="5"/>
      <c r="H371" s="5"/>
      <c r="I371" s="5"/>
      <c r="J371" s="5"/>
      <c r="K371" s="5"/>
      <c r="L371" s="5"/>
      <c r="M371" s="5"/>
      <c r="N371" s="5"/>
      <c r="O371" s="5"/>
      <c r="P371" s="5"/>
      <c r="Q371" s="5"/>
      <c r="R371" s="5"/>
      <c r="S371" s="5"/>
    </row>
    <row r="372" spans="1:19">
      <c r="A372" s="5"/>
      <c r="B372" s="5"/>
      <c r="C372" s="5"/>
      <c r="D372" s="5"/>
      <c r="E372" s="5"/>
      <c r="F372" s="5"/>
      <c r="G372" s="5"/>
      <c r="H372" s="5"/>
      <c r="I372" s="5"/>
      <c r="J372" s="5"/>
      <c r="K372" s="5"/>
      <c r="L372" s="5"/>
      <c r="M372" s="5"/>
      <c r="N372" s="5"/>
      <c r="O372" s="5"/>
      <c r="P372" s="5"/>
      <c r="Q372" s="5"/>
      <c r="R372" s="5"/>
      <c r="S372" s="5"/>
    </row>
    <row r="373" spans="1:19">
      <c r="A373" s="5"/>
      <c r="B373" s="5"/>
      <c r="C373" s="5"/>
      <c r="D373" s="5"/>
      <c r="E373" s="5"/>
      <c r="F373" s="5"/>
      <c r="G373" s="5"/>
      <c r="H373" s="5"/>
      <c r="I373" s="5"/>
      <c r="J373" s="5"/>
      <c r="K373" s="5"/>
      <c r="L373" s="5"/>
      <c r="M373" s="5"/>
      <c r="N373" s="5"/>
      <c r="O373" s="5"/>
      <c r="P373" s="5"/>
      <c r="Q373" s="5"/>
      <c r="R373" s="5"/>
      <c r="S373" s="5"/>
    </row>
    <row r="374" spans="1:19">
      <c r="A374" s="5"/>
      <c r="B374" s="5"/>
      <c r="C374" s="5"/>
      <c r="D374" s="5"/>
      <c r="E374" s="5"/>
      <c r="F374" s="5"/>
      <c r="G374" s="5"/>
      <c r="H374" s="5"/>
      <c r="I374" s="5"/>
      <c r="J374" s="5"/>
      <c r="K374" s="5"/>
      <c r="L374" s="5"/>
      <c r="M374" s="5"/>
      <c r="N374" s="5"/>
      <c r="O374" s="5"/>
      <c r="P374" s="5"/>
      <c r="Q374" s="5"/>
      <c r="R374" s="5"/>
      <c r="S374" s="5"/>
    </row>
    <row r="375" spans="1:19">
      <c r="A375" s="5"/>
      <c r="B375" s="5"/>
      <c r="C375" s="5"/>
      <c r="D375" s="5"/>
      <c r="E375" s="5"/>
      <c r="F375" s="5"/>
      <c r="G375" s="5"/>
      <c r="H375" s="5"/>
      <c r="I375" s="5"/>
      <c r="J375" s="5"/>
      <c r="K375" s="5"/>
      <c r="L375" s="5"/>
      <c r="M375" s="5"/>
      <c r="N375" s="5"/>
      <c r="O375" s="5"/>
      <c r="P375" s="5"/>
      <c r="Q375" s="5"/>
      <c r="R375" s="5"/>
      <c r="S375" s="5"/>
    </row>
    <row r="376" spans="1:19">
      <c r="A376" s="5"/>
      <c r="B376" s="5"/>
      <c r="C376" s="5"/>
      <c r="D376" s="5"/>
      <c r="E376" s="5"/>
      <c r="F376" s="5"/>
      <c r="G376" s="5"/>
      <c r="H376" s="5"/>
      <c r="I376" s="5"/>
      <c r="J376" s="5"/>
      <c r="K376" s="5"/>
      <c r="L376" s="5"/>
      <c r="M376" s="5"/>
      <c r="N376" s="5"/>
      <c r="O376" s="5"/>
      <c r="P376" s="5"/>
      <c r="Q376" s="5"/>
      <c r="R376" s="5"/>
      <c r="S376" s="5"/>
    </row>
    <row r="377" spans="1:19">
      <c r="A377" s="5"/>
      <c r="B377" s="5"/>
      <c r="C377" s="5"/>
      <c r="D377" s="5"/>
      <c r="E377" s="5"/>
      <c r="F377" s="5"/>
      <c r="G377" s="5"/>
      <c r="H377" s="5"/>
      <c r="I377" s="5"/>
      <c r="J377" s="5"/>
      <c r="K377" s="5"/>
      <c r="L377" s="5"/>
      <c r="M377" s="5"/>
      <c r="N377" s="5"/>
      <c r="O377" s="5"/>
      <c r="P377" s="5"/>
      <c r="Q377" s="5"/>
      <c r="R377" s="5"/>
      <c r="S377" s="5"/>
    </row>
    <row r="378" spans="1:19">
      <c r="A378" s="5"/>
      <c r="B378" s="5"/>
      <c r="C378" s="5"/>
      <c r="D378" s="5"/>
      <c r="E378" s="5"/>
      <c r="F378" s="5"/>
      <c r="G378" s="5"/>
      <c r="H378" s="5"/>
      <c r="I378" s="5"/>
      <c r="J378" s="5"/>
      <c r="K378" s="5"/>
      <c r="L378" s="5"/>
      <c r="M378" s="5"/>
      <c r="N378" s="5"/>
      <c r="O378" s="5"/>
      <c r="P378" s="5"/>
      <c r="Q378" s="5"/>
      <c r="R378" s="5"/>
      <c r="S378" s="5"/>
    </row>
    <row r="379" spans="1:19">
      <c r="A379" s="5"/>
      <c r="B379" s="5"/>
      <c r="C379" s="5"/>
      <c r="D379" s="5"/>
      <c r="E379" s="5"/>
      <c r="F379" s="5"/>
      <c r="G379" s="5"/>
      <c r="H379" s="5"/>
      <c r="I379" s="5"/>
      <c r="J379" s="5"/>
      <c r="K379" s="5"/>
      <c r="L379" s="5"/>
      <c r="M379" s="5"/>
      <c r="N379" s="5"/>
      <c r="O379" s="5"/>
      <c r="P379" s="5"/>
      <c r="Q379" s="5"/>
      <c r="R379" s="5"/>
      <c r="S379" s="5"/>
    </row>
    <row r="380" spans="1:19">
      <c r="A380" s="5"/>
      <c r="B380" s="5"/>
      <c r="C380" s="5"/>
      <c r="D380" s="5"/>
      <c r="E380" s="5"/>
      <c r="F380" s="5"/>
      <c r="G380" s="5"/>
      <c r="H380" s="5"/>
      <c r="I380" s="5"/>
      <c r="J380" s="5"/>
      <c r="K380" s="5"/>
      <c r="L380" s="5"/>
      <c r="M380" s="5"/>
      <c r="N380" s="5"/>
      <c r="O380" s="5"/>
      <c r="P380" s="5"/>
      <c r="Q380" s="5"/>
      <c r="R380" s="5"/>
      <c r="S380" s="5"/>
    </row>
    <row r="381" spans="1:19">
      <c r="A381" s="5"/>
      <c r="B381" s="5"/>
      <c r="C381" s="5"/>
      <c r="D381" s="5"/>
      <c r="E381" s="5"/>
      <c r="F381" s="5"/>
      <c r="G381" s="5"/>
      <c r="H381" s="5"/>
      <c r="I381" s="5"/>
      <c r="J381" s="5"/>
      <c r="K381" s="5"/>
      <c r="L381" s="5"/>
      <c r="M381" s="5"/>
      <c r="N381" s="5"/>
      <c r="O381" s="5"/>
      <c r="P381" s="5"/>
      <c r="Q381" s="5"/>
      <c r="R381" s="5"/>
      <c r="S381" s="5"/>
    </row>
    <row r="382" spans="1:19">
      <c r="A382" s="5"/>
      <c r="B382" s="5"/>
      <c r="C382" s="5"/>
      <c r="D382" s="5"/>
      <c r="E382" s="5"/>
      <c r="F382" s="5"/>
      <c r="G382" s="5"/>
      <c r="H382" s="5"/>
      <c r="I382" s="5"/>
      <c r="J382" s="5"/>
      <c r="K382" s="5"/>
      <c r="L382" s="5"/>
      <c r="M382" s="5"/>
      <c r="N382" s="5"/>
      <c r="O382" s="5"/>
      <c r="P382" s="5"/>
      <c r="Q382" s="5"/>
      <c r="R382" s="5"/>
      <c r="S382" s="5"/>
    </row>
    <row r="383" spans="1:19">
      <c r="A383" s="5"/>
      <c r="B383" s="5"/>
      <c r="C383" s="5"/>
      <c r="D383" s="5"/>
      <c r="E383" s="5"/>
      <c r="F383" s="5"/>
      <c r="G383" s="5"/>
      <c r="H383" s="5"/>
      <c r="I383" s="5"/>
      <c r="J383" s="5"/>
      <c r="K383" s="5"/>
      <c r="L383" s="5"/>
      <c r="M383" s="5"/>
      <c r="N383" s="5"/>
      <c r="O383" s="5"/>
      <c r="P383" s="5"/>
      <c r="Q383" s="5"/>
      <c r="R383" s="5"/>
      <c r="S383" s="5"/>
    </row>
    <row r="384" spans="1:19">
      <c r="A384" s="5"/>
      <c r="B384" s="5"/>
      <c r="C384" s="5"/>
      <c r="D384" s="5"/>
      <c r="E384" s="5"/>
      <c r="F384" s="5"/>
      <c r="G384" s="5"/>
      <c r="H384" s="5"/>
      <c r="I384" s="5"/>
      <c r="J384" s="5"/>
      <c r="K384" s="5"/>
      <c r="L384" s="5"/>
      <c r="M384" s="5"/>
      <c r="N384" s="5"/>
      <c r="O384" s="5"/>
      <c r="P384" s="5"/>
      <c r="Q384" s="5"/>
      <c r="R384" s="5"/>
      <c r="S384" s="5"/>
    </row>
    <row r="385" spans="1:19">
      <c r="A385" s="5"/>
      <c r="B385" s="5"/>
      <c r="C385" s="5"/>
      <c r="D385" s="5"/>
      <c r="E385" s="5"/>
      <c r="F385" s="5"/>
      <c r="G385" s="5"/>
      <c r="H385" s="5"/>
      <c r="I385" s="5"/>
      <c r="J385" s="5"/>
      <c r="K385" s="5"/>
      <c r="L385" s="5"/>
      <c r="M385" s="5"/>
      <c r="N385" s="5"/>
      <c r="O385" s="5"/>
      <c r="P385" s="5"/>
      <c r="Q385" s="5"/>
      <c r="R385" s="5"/>
      <c r="S385" s="5"/>
    </row>
    <row r="386" spans="1:19">
      <c r="A386" s="5"/>
      <c r="B386" s="5"/>
      <c r="C386" s="5"/>
      <c r="D386" s="5"/>
      <c r="E386" s="5"/>
      <c r="F386" s="5"/>
      <c r="G386" s="5"/>
      <c r="H386" s="5"/>
      <c r="I386" s="5"/>
      <c r="J386" s="5"/>
      <c r="K386" s="5"/>
      <c r="L386" s="5"/>
      <c r="M386" s="5"/>
      <c r="N386" s="5"/>
      <c r="O386" s="5"/>
      <c r="P386" s="5"/>
      <c r="Q386" s="5"/>
      <c r="R386" s="5"/>
      <c r="S386" s="5"/>
    </row>
    <row r="387" spans="1:19">
      <c r="A387" s="5"/>
      <c r="B387" s="5"/>
      <c r="C387" s="5"/>
      <c r="D387" s="5"/>
      <c r="E387" s="5"/>
      <c r="F387" s="5"/>
      <c r="G387" s="5"/>
      <c r="H387" s="5"/>
      <c r="I387" s="5"/>
      <c r="J387" s="5"/>
      <c r="K387" s="5"/>
      <c r="L387" s="5"/>
      <c r="M387" s="5"/>
      <c r="N387" s="5"/>
      <c r="O387" s="5"/>
      <c r="P387" s="5"/>
      <c r="Q387" s="5"/>
      <c r="R387" s="5"/>
      <c r="S387" s="5"/>
    </row>
    <row r="388" spans="1:19">
      <c r="A388" s="5"/>
      <c r="B388" s="5"/>
      <c r="C388" s="5"/>
      <c r="D388" s="5"/>
      <c r="E388" s="5"/>
      <c r="F388" s="5"/>
      <c r="G388" s="5"/>
      <c r="H388" s="5"/>
      <c r="I388" s="5"/>
      <c r="J388" s="5"/>
      <c r="K388" s="5"/>
      <c r="L388" s="5"/>
      <c r="M388" s="5"/>
      <c r="N388" s="5"/>
      <c r="O388" s="5"/>
      <c r="P388" s="5"/>
      <c r="Q388" s="5"/>
      <c r="R388" s="5"/>
      <c r="S388" s="5"/>
    </row>
    <row r="389" spans="1:19">
      <c r="A389" s="5"/>
      <c r="B389" s="5"/>
      <c r="C389" s="5"/>
      <c r="D389" s="5"/>
      <c r="E389" s="5"/>
      <c r="F389" s="5"/>
      <c r="G389" s="5"/>
      <c r="H389" s="5"/>
      <c r="I389" s="5"/>
      <c r="J389" s="5"/>
      <c r="K389" s="5"/>
      <c r="L389" s="5"/>
      <c r="M389" s="5"/>
      <c r="N389" s="5"/>
      <c r="O389" s="5"/>
      <c r="P389" s="5"/>
      <c r="Q389" s="5"/>
      <c r="R389" s="5"/>
      <c r="S389" s="5"/>
    </row>
    <row r="390" spans="1:19">
      <c r="A390" s="5"/>
      <c r="B390" s="5"/>
      <c r="C390" s="5"/>
      <c r="D390" s="5"/>
      <c r="E390" s="5"/>
      <c r="F390" s="5"/>
      <c r="G390" s="5"/>
      <c r="H390" s="5"/>
      <c r="I390" s="5"/>
      <c r="J390" s="5"/>
      <c r="K390" s="5"/>
      <c r="L390" s="5"/>
      <c r="M390" s="5"/>
      <c r="N390" s="5"/>
      <c r="O390" s="5"/>
      <c r="P390" s="5"/>
      <c r="Q390" s="5"/>
      <c r="R390" s="5"/>
      <c r="S390" s="5"/>
    </row>
    <row r="391" spans="1:19">
      <c r="A391" s="5"/>
      <c r="B391" s="5"/>
      <c r="C391" s="5"/>
      <c r="D391" s="5"/>
      <c r="E391" s="5"/>
      <c r="F391" s="5"/>
      <c r="G391" s="5"/>
      <c r="H391" s="5"/>
      <c r="I391" s="5"/>
      <c r="J391" s="5"/>
      <c r="K391" s="5"/>
      <c r="L391" s="5"/>
      <c r="M391" s="5"/>
      <c r="N391" s="5"/>
      <c r="O391" s="5"/>
      <c r="P391" s="5"/>
      <c r="Q391" s="5"/>
      <c r="R391" s="5"/>
      <c r="S391" s="5"/>
    </row>
    <row r="392" spans="1:19">
      <c r="A392" s="5"/>
      <c r="B392" s="5"/>
      <c r="C392" s="5"/>
      <c r="D392" s="5"/>
      <c r="E392" s="5"/>
      <c r="F392" s="5"/>
      <c r="G392" s="5"/>
      <c r="H392" s="5"/>
      <c r="I392" s="5"/>
      <c r="J392" s="5"/>
      <c r="K392" s="5"/>
      <c r="L392" s="5"/>
      <c r="M392" s="5"/>
      <c r="N392" s="5"/>
      <c r="O392" s="5"/>
      <c r="P392" s="5"/>
      <c r="Q392" s="5"/>
      <c r="R392" s="5"/>
      <c r="S392" s="5"/>
    </row>
    <row r="393" spans="1:19">
      <c r="A393" s="5"/>
      <c r="B393" s="5"/>
      <c r="C393" s="5"/>
      <c r="D393" s="5"/>
      <c r="E393" s="5"/>
      <c r="F393" s="5"/>
      <c r="G393" s="5"/>
      <c r="H393" s="5"/>
      <c r="I393" s="5"/>
      <c r="J393" s="5"/>
      <c r="K393" s="5"/>
      <c r="L393" s="5"/>
      <c r="M393" s="5"/>
      <c r="N393" s="5"/>
      <c r="O393" s="5"/>
      <c r="P393" s="5"/>
      <c r="Q393" s="5"/>
      <c r="R393" s="5"/>
      <c r="S393" s="5"/>
    </row>
    <row r="394" spans="1:19">
      <c r="A394" s="5"/>
      <c r="B394" s="5"/>
      <c r="C394" s="5"/>
      <c r="D394" s="5"/>
      <c r="E394" s="5"/>
      <c r="F394" s="5"/>
      <c r="G394" s="5"/>
      <c r="H394" s="5"/>
      <c r="I394" s="5"/>
      <c r="J394" s="5"/>
      <c r="K394" s="5"/>
      <c r="L394" s="5"/>
      <c r="M394" s="5"/>
      <c r="N394" s="5"/>
      <c r="O394" s="5"/>
      <c r="P394" s="5"/>
      <c r="Q394" s="5"/>
      <c r="R394" s="5"/>
      <c r="S394" s="5"/>
    </row>
    <row r="395" spans="1:19">
      <c r="A395" s="5"/>
      <c r="B395" s="5"/>
      <c r="C395" s="5"/>
      <c r="D395" s="5"/>
      <c r="E395" s="5"/>
      <c r="F395" s="5"/>
      <c r="G395" s="5"/>
      <c r="H395" s="5"/>
      <c r="I395" s="5"/>
      <c r="J395" s="5"/>
      <c r="K395" s="5"/>
      <c r="L395" s="5"/>
      <c r="M395" s="5"/>
      <c r="N395" s="5"/>
      <c r="O395" s="5"/>
      <c r="P395" s="5"/>
      <c r="Q395" s="5"/>
      <c r="R395" s="5"/>
      <c r="S395" s="5"/>
    </row>
    <row r="396" spans="1:19">
      <c r="A396" s="5"/>
      <c r="B396" s="5"/>
      <c r="C396" s="5"/>
      <c r="D396" s="5"/>
      <c r="E396" s="5"/>
      <c r="F396" s="5"/>
      <c r="G396" s="5"/>
      <c r="H396" s="5"/>
      <c r="I396" s="5"/>
      <c r="J396" s="5"/>
      <c r="K396" s="5"/>
      <c r="L396" s="5"/>
      <c r="M396" s="5"/>
      <c r="N396" s="5"/>
      <c r="O396" s="5"/>
      <c r="P396" s="5"/>
      <c r="Q396" s="5"/>
      <c r="R396" s="5"/>
      <c r="S396" s="5"/>
    </row>
    <row r="397" spans="1:19">
      <c r="A397" s="5"/>
      <c r="B397" s="5"/>
      <c r="C397" s="5"/>
      <c r="D397" s="5"/>
      <c r="E397" s="5"/>
      <c r="F397" s="5"/>
      <c r="G397" s="5"/>
      <c r="H397" s="5"/>
      <c r="I397" s="5"/>
      <c r="J397" s="5"/>
      <c r="K397" s="5"/>
      <c r="L397" s="5"/>
      <c r="M397" s="5"/>
      <c r="N397" s="5"/>
      <c r="O397" s="5"/>
      <c r="P397" s="5"/>
      <c r="Q397" s="5"/>
      <c r="R397" s="5"/>
      <c r="S397" s="5"/>
    </row>
    <row r="398" spans="1:19">
      <c r="A398" s="5"/>
      <c r="B398" s="5"/>
      <c r="C398" s="5"/>
      <c r="D398" s="5"/>
      <c r="E398" s="5"/>
      <c r="F398" s="5"/>
      <c r="G398" s="5"/>
      <c r="H398" s="5"/>
      <c r="I398" s="5"/>
      <c r="J398" s="5"/>
      <c r="K398" s="5"/>
      <c r="L398" s="5"/>
      <c r="M398" s="5"/>
      <c r="N398" s="5"/>
      <c r="O398" s="5"/>
      <c r="P398" s="5"/>
      <c r="Q398" s="5"/>
      <c r="R398" s="5"/>
      <c r="S398" s="5"/>
    </row>
    <row r="399" spans="1:19">
      <c r="A399" s="5"/>
      <c r="B399" s="5"/>
      <c r="C399" s="5"/>
      <c r="D399" s="5"/>
      <c r="E399" s="5"/>
      <c r="F399" s="5"/>
      <c r="G399" s="5"/>
      <c r="H399" s="5"/>
      <c r="I399" s="5"/>
      <c r="J399" s="5"/>
      <c r="K399" s="5"/>
      <c r="L399" s="5"/>
      <c r="M399" s="5"/>
      <c r="N399" s="5"/>
      <c r="O399" s="5"/>
      <c r="P399" s="5"/>
      <c r="Q399" s="5"/>
      <c r="R399" s="5"/>
      <c r="S399" s="5"/>
    </row>
    <row r="400" spans="1:19">
      <c r="A400" s="5"/>
      <c r="B400" s="5"/>
      <c r="C400" s="5"/>
      <c r="D400" s="5"/>
      <c r="E400" s="5"/>
      <c r="F400" s="5"/>
      <c r="G400" s="5"/>
      <c r="H400" s="5"/>
      <c r="I400" s="5"/>
      <c r="J400" s="5"/>
      <c r="K400" s="5"/>
      <c r="L400" s="5"/>
      <c r="M400" s="5"/>
      <c r="N400" s="5"/>
      <c r="O400" s="5"/>
      <c r="P400" s="5"/>
      <c r="Q400" s="5"/>
      <c r="R400" s="5"/>
      <c r="S400" s="5"/>
    </row>
    <row r="401" spans="1:19">
      <c r="A401" s="5"/>
      <c r="B401" s="5"/>
      <c r="C401" s="5"/>
      <c r="D401" s="5"/>
      <c r="E401" s="5"/>
      <c r="F401" s="5"/>
      <c r="G401" s="5"/>
      <c r="H401" s="5"/>
      <c r="I401" s="5"/>
      <c r="J401" s="5"/>
      <c r="K401" s="5"/>
      <c r="L401" s="5"/>
      <c r="M401" s="5"/>
      <c r="N401" s="5"/>
      <c r="O401" s="5"/>
      <c r="P401" s="5"/>
      <c r="Q401" s="5"/>
      <c r="R401" s="5"/>
      <c r="S401" s="5"/>
    </row>
    <row r="402" spans="1:19">
      <c r="A402" s="5"/>
      <c r="B402" s="5"/>
      <c r="C402" s="5"/>
      <c r="D402" s="5"/>
      <c r="E402" s="5"/>
      <c r="F402" s="5"/>
      <c r="G402" s="5"/>
      <c r="H402" s="5"/>
      <c r="I402" s="5"/>
      <c r="J402" s="5"/>
      <c r="K402" s="5"/>
      <c r="L402" s="5"/>
      <c r="M402" s="5"/>
      <c r="N402" s="5"/>
      <c r="O402" s="5"/>
      <c r="P402" s="5"/>
      <c r="Q402" s="5"/>
      <c r="R402" s="5"/>
      <c r="S402" s="5"/>
    </row>
    <row r="403" spans="1:19">
      <c r="A403" s="5"/>
      <c r="B403" s="5"/>
      <c r="C403" s="5"/>
      <c r="D403" s="5"/>
      <c r="E403" s="5"/>
      <c r="F403" s="5"/>
      <c r="G403" s="5"/>
      <c r="H403" s="5"/>
      <c r="I403" s="5"/>
      <c r="J403" s="5"/>
      <c r="K403" s="5"/>
      <c r="L403" s="5"/>
      <c r="M403" s="5"/>
      <c r="N403" s="5"/>
      <c r="O403" s="5"/>
      <c r="P403" s="5"/>
      <c r="Q403" s="5"/>
      <c r="R403" s="5"/>
      <c r="S403" s="5"/>
    </row>
    <row r="404" spans="1:19">
      <c r="A404" s="5"/>
      <c r="B404" s="5"/>
      <c r="C404" s="5"/>
      <c r="D404" s="5"/>
      <c r="E404" s="5"/>
      <c r="F404" s="5"/>
      <c r="G404" s="5"/>
      <c r="H404" s="5"/>
      <c r="I404" s="5"/>
      <c r="J404" s="5"/>
      <c r="K404" s="5"/>
      <c r="L404" s="5"/>
      <c r="M404" s="5"/>
      <c r="N404" s="5"/>
      <c r="O404" s="5"/>
      <c r="P404" s="5"/>
      <c r="Q404" s="5"/>
      <c r="R404" s="5"/>
      <c r="S404" s="5"/>
    </row>
    <row r="405" spans="1:19">
      <c r="A405" s="5"/>
      <c r="B405" s="5"/>
      <c r="C405" s="5"/>
      <c r="D405" s="5"/>
      <c r="E405" s="5"/>
      <c r="F405" s="5"/>
      <c r="G405" s="5"/>
      <c r="H405" s="5"/>
      <c r="I405" s="5"/>
      <c r="J405" s="5"/>
      <c r="K405" s="5"/>
      <c r="L405" s="5"/>
      <c r="M405" s="5"/>
      <c r="N405" s="5"/>
      <c r="O405" s="5"/>
      <c r="P405" s="5"/>
      <c r="Q405" s="5"/>
      <c r="R405" s="5"/>
      <c r="S405" s="5"/>
    </row>
    <row r="406" spans="1:19">
      <c r="A406" s="5"/>
      <c r="B406" s="5"/>
      <c r="C406" s="5"/>
      <c r="D406" s="5"/>
      <c r="E406" s="5"/>
      <c r="F406" s="5"/>
      <c r="G406" s="5"/>
      <c r="H406" s="5"/>
      <c r="I406" s="5"/>
      <c r="J406" s="5"/>
      <c r="K406" s="5"/>
      <c r="L406" s="5"/>
      <c r="M406" s="5"/>
      <c r="N406" s="5"/>
      <c r="O406" s="5"/>
      <c r="P406" s="5"/>
      <c r="Q406" s="5"/>
      <c r="R406" s="5"/>
      <c r="S406" s="5"/>
    </row>
    <row r="407" spans="1:19">
      <c r="A407" s="5"/>
      <c r="B407" s="5"/>
      <c r="C407" s="5"/>
      <c r="D407" s="5"/>
      <c r="E407" s="5"/>
      <c r="F407" s="5"/>
      <c r="G407" s="5"/>
      <c r="H407" s="5"/>
      <c r="I407" s="5"/>
      <c r="J407" s="5"/>
      <c r="K407" s="5"/>
      <c r="L407" s="5"/>
      <c r="M407" s="5"/>
      <c r="N407" s="5"/>
      <c r="O407" s="5"/>
      <c r="P407" s="5"/>
      <c r="Q407" s="5"/>
      <c r="R407" s="5"/>
      <c r="S407" s="5"/>
    </row>
    <row r="408" spans="1:19">
      <c r="A408" s="5"/>
      <c r="B408" s="5"/>
      <c r="C408" s="5"/>
      <c r="D408" s="5"/>
      <c r="E408" s="5"/>
      <c r="F408" s="5"/>
      <c r="G408" s="5"/>
      <c r="H408" s="5"/>
      <c r="I408" s="5"/>
      <c r="J408" s="5"/>
      <c r="K408" s="5"/>
      <c r="L408" s="5"/>
      <c r="M408" s="5"/>
      <c r="N408" s="5"/>
      <c r="O408" s="5"/>
      <c r="P408" s="5"/>
      <c r="Q408" s="5"/>
      <c r="R408" s="5"/>
      <c r="S408" s="5"/>
    </row>
    <row r="409" spans="1:19">
      <c r="A409" s="5"/>
      <c r="B409" s="5"/>
      <c r="C409" s="5"/>
      <c r="D409" s="5"/>
      <c r="E409" s="5"/>
      <c r="F409" s="5"/>
      <c r="G409" s="5"/>
      <c r="H409" s="5"/>
      <c r="I409" s="5"/>
      <c r="J409" s="5"/>
      <c r="K409" s="5"/>
      <c r="L409" s="5"/>
      <c r="M409" s="5"/>
      <c r="N409" s="5"/>
      <c r="O409" s="5"/>
      <c r="P409" s="5"/>
      <c r="Q409" s="5"/>
      <c r="R409" s="5"/>
      <c r="S409" s="5"/>
    </row>
    <row r="410" spans="1:19">
      <c r="A410" s="5"/>
      <c r="B410" s="5"/>
      <c r="C410" s="5"/>
      <c r="D410" s="5"/>
      <c r="E410" s="5"/>
      <c r="F410" s="5"/>
      <c r="G410" s="5"/>
      <c r="H410" s="5"/>
      <c r="I410" s="5"/>
      <c r="J410" s="5"/>
      <c r="K410" s="5"/>
      <c r="L410" s="5"/>
      <c r="M410" s="5"/>
      <c r="N410" s="5"/>
      <c r="O410" s="5"/>
      <c r="P410" s="5"/>
      <c r="Q410" s="5"/>
      <c r="R410" s="5"/>
      <c r="S410" s="5"/>
    </row>
    <row r="411" spans="1:19">
      <c r="A411" s="5"/>
      <c r="B411" s="5"/>
      <c r="C411" s="5"/>
      <c r="D411" s="5"/>
      <c r="E411" s="5"/>
      <c r="F411" s="5"/>
      <c r="G411" s="5"/>
      <c r="H411" s="5"/>
      <c r="I411" s="5"/>
      <c r="J411" s="5"/>
      <c r="K411" s="5"/>
      <c r="L411" s="5"/>
      <c r="M411" s="5"/>
      <c r="N411" s="5"/>
      <c r="O411" s="5"/>
      <c r="P411" s="5"/>
      <c r="Q411" s="5"/>
      <c r="R411" s="5"/>
      <c r="S411" s="5"/>
    </row>
    <row r="412" spans="1:19">
      <c r="A412" s="5"/>
      <c r="B412" s="5"/>
      <c r="C412" s="5"/>
      <c r="D412" s="5"/>
      <c r="E412" s="5"/>
      <c r="F412" s="5"/>
      <c r="G412" s="5"/>
      <c r="H412" s="5"/>
      <c r="I412" s="5"/>
      <c r="J412" s="5"/>
      <c r="K412" s="5"/>
      <c r="L412" s="5"/>
      <c r="M412" s="5"/>
      <c r="N412" s="5"/>
      <c r="O412" s="5"/>
      <c r="P412" s="5"/>
      <c r="Q412" s="5"/>
      <c r="R412" s="5"/>
      <c r="S412" s="5"/>
    </row>
    <row r="413" spans="1:19">
      <c r="A413" s="5"/>
      <c r="B413" s="5"/>
      <c r="C413" s="5"/>
      <c r="D413" s="5"/>
      <c r="E413" s="5"/>
      <c r="F413" s="5"/>
      <c r="G413" s="5"/>
      <c r="H413" s="5"/>
      <c r="I413" s="5"/>
      <c r="J413" s="5"/>
      <c r="K413" s="5"/>
      <c r="L413" s="5"/>
      <c r="M413" s="5"/>
      <c r="N413" s="5"/>
      <c r="O413" s="5"/>
      <c r="P413" s="5"/>
      <c r="Q413" s="5"/>
      <c r="R413" s="5"/>
      <c r="S413" s="5"/>
    </row>
    <row r="414" spans="1:19">
      <c r="A414" s="5"/>
      <c r="B414" s="5"/>
      <c r="C414" s="5"/>
      <c r="D414" s="5"/>
      <c r="E414" s="5"/>
      <c r="F414" s="5"/>
      <c r="G414" s="5"/>
      <c r="H414" s="5"/>
      <c r="I414" s="5"/>
      <c r="J414" s="5"/>
      <c r="K414" s="5"/>
      <c r="L414" s="5"/>
      <c r="M414" s="5"/>
      <c r="N414" s="5"/>
      <c r="O414" s="5"/>
      <c r="P414" s="5"/>
      <c r="Q414" s="5"/>
      <c r="R414" s="5"/>
      <c r="S414" s="5"/>
    </row>
    <row r="415" spans="1:19">
      <c r="A415" s="5"/>
      <c r="B415" s="5"/>
      <c r="C415" s="5"/>
      <c r="D415" s="5"/>
      <c r="E415" s="5"/>
      <c r="F415" s="5"/>
      <c r="G415" s="5"/>
      <c r="H415" s="5"/>
      <c r="I415" s="5"/>
      <c r="J415" s="5"/>
      <c r="K415" s="5"/>
      <c r="L415" s="5"/>
      <c r="M415" s="5"/>
      <c r="N415" s="5"/>
      <c r="O415" s="5"/>
      <c r="P415" s="5"/>
      <c r="Q415" s="5"/>
      <c r="R415" s="5"/>
      <c r="S415" s="5"/>
    </row>
    <row r="416" spans="1:19">
      <c r="A416" s="5"/>
      <c r="B416" s="5"/>
      <c r="C416" s="5"/>
      <c r="D416" s="5"/>
      <c r="E416" s="5"/>
      <c r="F416" s="5"/>
      <c r="G416" s="5"/>
      <c r="H416" s="5"/>
      <c r="I416" s="5"/>
      <c r="J416" s="5"/>
      <c r="K416" s="5"/>
      <c r="L416" s="5"/>
      <c r="M416" s="5"/>
      <c r="N416" s="5"/>
      <c r="O416" s="5"/>
      <c r="P416" s="5"/>
      <c r="Q416" s="5"/>
      <c r="R416" s="5"/>
      <c r="S416" s="5"/>
    </row>
    <row r="417" spans="1:19">
      <c r="A417" s="5"/>
      <c r="B417" s="5"/>
      <c r="C417" s="5"/>
      <c r="D417" s="5"/>
      <c r="E417" s="5"/>
      <c r="F417" s="5"/>
      <c r="G417" s="5"/>
      <c r="H417" s="5"/>
      <c r="I417" s="5"/>
      <c r="J417" s="5"/>
      <c r="K417" s="5"/>
      <c r="L417" s="5"/>
      <c r="M417" s="5"/>
      <c r="N417" s="5"/>
      <c r="O417" s="5"/>
      <c r="P417" s="5"/>
      <c r="Q417" s="5"/>
      <c r="R417" s="5"/>
      <c r="S417" s="5"/>
    </row>
    <row r="418" spans="1:19">
      <c r="A418" s="5"/>
      <c r="B418" s="5"/>
      <c r="C418" s="5"/>
      <c r="D418" s="5"/>
      <c r="E418" s="5"/>
      <c r="F418" s="5"/>
      <c r="G418" s="5"/>
      <c r="H418" s="5"/>
      <c r="I418" s="5"/>
      <c r="J418" s="5"/>
      <c r="K418" s="5"/>
      <c r="L418" s="5"/>
      <c r="M418" s="5"/>
      <c r="N418" s="5"/>
      <c r="O418" s="5"/>
      <c r="P418" s="5"/>
      <c r="Q418" s="5"/>
      <c r="R418" s="5"/>
      <c r="S418" s="5"/>
    </row>
    <row r="419" spans="1:19">
      <c r="A419" s="5"/>
      <c r="B419" s="5"/>
      <c r="C419" s="5"/>
      <c r="D419" s="5"/>
      <c r="E419" s="5"/>
      <c r="F419" s="5"/>
      <c r="G419" s="5"/>
      <c r="H419" s="5"/>
      <c r="I419" s="5"/>
      <c r="J419" s="5"/>
      <c r="K419" s="5"/>
      <c r="L419" s="5"/>
      <c r="M419" s="5"/>
      <c r="N419" s="5"/>
      <c r="O419" s="5"/>
      <c r="P419" s="5"/>
      <c r="Q419" s="5"/>
      <c r="R419" s="5"/>
      <c r="S419" s="5"/>
    </row>
    <row r="420" spans="1:19">
      <c r="A420" s="5"/>
      <c r="B420" s="5"/>
      <c r="C420" s="5"/>
      <c r="D420" s="5"/>
      <c r="E420" s="5"/>
      <c r="F420" s="5"/>
      <c r="G420" s="5"/>
      <c r="H420" s="5"/>
      <c r="I420" s="5"/>
      <c r="J420" s="5"/>
      <c r="K420" s="5"/>
      <c r="L420" s="5"/>
      <c r="M420" s="5"/>
      <c r="N420" s="5"/>
      <c r="O420" s="5"/>
      <c r="P420" s="5"/>
      <c r="Q420" s="5"/>
      <c r="R420" s="5"/>
      <c r="S420" s="5"/>
    </row>
    <row r="421" spans="1:19">
      <c r="A421" s="5"/>
      <c r="B421" s="5"/>
      <c r="C421" s="5"/>
      <c r="D421" s="5"/>
      <c r="E421" s="5"/>
      <c r="F421" s="5"/>
      <c r="G421" s="5"/>
      <c r="H421" s="5"/>
      <c r="I421" s="5"/>
      <c r="J421" s="5"/>
      <c r="K421" s="5"/>
      <c r="L421" s="5"/>
      <c r="M421" s="5"/>
      <c r="N421" s="5"/>
      <c r="O421" s="5"/>
      <c r="P421" s="5"/>
      <c r="Q421" s="5"/>
      <c r="R421" s="5"/>
      <c r="S421" s="5"/>
    </row>
    <row r="422" spans="1:19">
      <c r="A422" s="5"/>
      <c r="B422" s="5"/>
      <c r="C422" s="5"/>
      <c r="D422" s="5"/>
      <c r="E422" s="5"/>
      <c r="F422" s="5"/>
      <c r="G422" s="5"/>
      <c r="H422" s="5"/>
      <c r="I422" s="5"/>
      <c r="J422" s="5"/>
      <c r="K422" s="5"/>
      <c r="L422" s="5"/>
      <c r="M422" s="5"/>
      <c r="N422" s="5"/>
      <c r="O422" s="5"/>
      <c r="P422" s="5"/>
      <c r="Q422" s="5"/>
      <c r="R422" s="5"/>
      <c r="S422" s="5"/>
    </row>
    <row r="423" spans="1:19">
      <c r="A423" s="5"/>
      <c r="B423" s="5"/>
      <c r="C423" s="5"/>
      <c r="D423" s="5"/>
      <c r="E423" s="5"/>
      <c r="F423" s="5"/>
      <c r="G423" s="5"/>
      <c r="H423" s="5"/>
      <c r="I423" s="5"/>
      <c r="J423" s="5"/>
      <c r="K423" s="5"/>
      <c r="L423" s="5"/>
      <c r="M423" s="5"/>
      <c r="N423" s="5"/>
      <c r="O423" s="5"/>
      <c r="P423" s="5"/>
      <c r="Q423" s="5"/>
      <c r="R423" s="5"/>
      <c r="S423" s="5"/>
    </row>
    <row r="424" spans="1:19">
      <c r="A424" s="5"/>
      <c r="B424" s="5"/>
      <c r="C424" s="5"/>
      <c r="D424" s="5"/>
      <c r="E424" s="5"/>
      <c r="F424" s="5"/>
      <c r="G424" s="5"/>
      <c r="H424" s="5"/>
      <c r="I424" s="5"/>
      <c r="J424" s="5"/>
      <c r="K424" s="5"/>
      <c r="L424" s="5"/>
      <c r="M424" s="5"/>
      <c r="N424" s="5"/>
      <c r="O424" s="5"/>
      <c r="P424" s="5"/>
      <c r="Q424" s="5"/>
      <c r="R424" s="5"/>
      <c r="S424" s="5"/>
    </row>
    <row r="425" spans="1:19">
      <c r="A425" s="5"/>
      <c r="B425" s="5"/>
      <c r="C425" s="5"/>
      <c r="D425" s="5"/>
      <c r="E425" s="5"/>
      <c r="F425" s="5"/>
      <c r="G425" s="5"/>
      <c r="H425" s="5"/>
      <c r="I425" s="5"/>
      <c r="J425" s="5"/>
      <c r="K425" s="5"/>
      <c r="L425" s="5"/>
      <c r="M425" s="5"/>
      <c r="N425" s="5"/>
      <c r="O425" s="5"/>
      <c r="P425" s="5"/>
      <c r="Q425" s="5"/>
      <c r="R425" s="5"/>
      <c r="S425" s="5"/>
    </row>
    <row r="426" spans="1:19">
      <c r="A426" s="5"/>
      <c r="B426" s="5"/>
      <c r="C426" s="5"/>
      <c r="D426" s="5"/>
      <c r="E426" s="5"/>
      <c r="F426" s="5"/>
      <c r="G426" s="5"/>
      <c r="H426" s="5"/>
      <c r="I426" s="5"/>
      <c r="J426" s="5"/>
      <c r="K426" s="5"/>
      <c r="L426" s="5"/>
      <c r="M426" s="5"/>
      <c r="N426" s="5"/>
      <c r="O426" s="5"/>
      <c r="P426" s="5"/>
      <c r="Q426" s="5"/>
      <c r="R426" s="5"/>
      <c r="S426" s="5"/>
    </row>
    <row r="427" spans="1:19">
      <c r="A427" s="5"/>
      <c r="B427" s="5"/>
      <c r="C427" s="5"/>
      <c r="D427" s="5"/>
      <c r="E427" s="5"/>
      <c r="F427" s="5"/>
      <c r="G427" s="5"/>
      <c r="H427" s="5"/>
      <c r="I427" s="5"/>
      <c r="J427" s="5"/>
      <c r="K427" s="5"/>
      <c r="L427" s="5"/>
      <c r="M427" s="5"/>
      <c r="N427" s="5"/>
      <c r="O427" s="5"/>
      <c r="P427" s="5"/>
      <c r="Q427" s="5"/>
      <c r="R427" s="5"/>
      <c r="S427" s="5"/>
    </row>
    <row r="428" spans="1:19">
      <c r="A428" s="5"/>
      <c r="B428" s="5"/>
      <c r="C428" s="5"/>
      <c r="D428" s="5"/>
      <c r="E428" s="5"/>
      <c r="F428" s="5"/>
      <c r="G428" s="5"/>
      <c r="H428" s="5"/>
      <c r="I428" s="5"/>
      <c r="J428" s="5"/>
      <c r="K428" s="5"/>
      <c r="L428" s="5"/>
      <c r="M428" s="5"/>
      <c r="N428" s="5"/>
      <c r="O428" s="5"/>
      <c r="P428" s="5"/>
      <c r="Q428" s="5"/>
      <c r="R428" s="5"/>
      <c r="S428" s="5"/>
    </row>
    <row r="429" spans="1:19">
      <c r="A429" s="5"/>
      <c r="B429" s="5"/>
      <c r="C429" s="5"/>
      <c r="D429" s="5"/>
      <c r="E429" s="5"/>
      <c r="F429" s="5"/>
      <c r="G429" s="5"/>
      <c r="H429" s="5"/>
      <c r="I429" s="5"/>
      <c r="J429" s="5"/>
      <c r="K429" s="5"/>
      <c r="L429" s="5"/>
      <c r="M429" s="5"/>
      <c r="N429" s="5"/>
      <c r="O429" s="5"/>
      <c r="P429" s="5"/>
      <c r="Q429" s="5"/>
      <c r="R429" s="5"/>
      <c r="S429" s="5"/>
    </row>
    <row r="430" spans="1:19">
      <c r="A430" s="5"/>
      <c r="B430" s="5"/>
      <c r="C430" s="5"/>
      <c r="D430" s="5"/>
      <c r="E430" s="5"/>
      <c r="F430" s="5"/>
      <c r="G430" s="5"/>
      <c r="H430" s="5"/>
      <c r="I430" s="5"/>
      <c r="J430" s="5"/>
      <c r="K430" s="5"/>
      <c r="L430" s="5"/>
      <c r="M430" s="5"/>
      <c r="N430" s="5"/>
      <c r="O430" s="5"/>
      <c r="P430" s="5"/>
      <c r="Q430" s="5"/>
      <c r="R430" s="5"/>
      <c r="S430" s="5"/>
    </row>
    <row r="431" spans="1:19">
      <c r="A431" s="5"/>
      <c r="B431" s="5"/>
      <c r="C431" s="5"/>
      <c r="D431" s="5"/>
      <c r="E431" s="5"/>
      <c r="F431" s="5"/>
      <c r="G431" s="5"/>
      <c r="H431" s="5"/>
      <c r="I431" s="5"/>
      <c r="J431" s="5"/>
      <c r="K431" s="5"/>
      <c r="L431" s="5"/>
      <c r="M431" s="5"/>
      <c r="N431" s="5"/>
      <c r="O431" s="5"/>
      <c r="P431" s="5"/>
      <c r="Q431" s="5"/>
      <c r="R431" s="5"/>
      <c r="S431" s="5"/>
    </row>
    <row r="432" spans="1:19">
      <c r="A432" s="5"/>
      <c r="B432" s="5"/>
      <c r="C432" s="5"/>
      <c r="D432" s="5"/>
      <c r="E432" s="5"/>
      <c r="F432" s="5"/>
      <c r="G432" s="5"/>
      <c r="H432" s="5"/>
      <c r="I432" s="5"/>
      <c r="J432" s="5"/>
      <c r="K432" s="5"/>
      <c r="L432" s="5"/>
      <c r="M432" s="5"/>
      <c r="N432" s="5"/>
      <c r="O432" s="5"/>
      <c r="P432" s="5"/>
      <c r="Q432" s="5"/>
      <c r="R432" s="5"/>
      <c r="S432" s="5"/>
    </row>
    <row r="433" spans="1:19">
      <c r="A433" s="5"/>
      <c r="B433" s="5"/>
      <c r="C433" s="5"/>
      <c r="D433" s="5"/>
      <c r="E433" s="5"/>
      <c r="F433" s="5"/>
      <c r="G433" s="5"/>
      <c r="H433" s="5"/>
      <c r="I433" s="5"/>
      <c r="J433" s="5"/>
      <c r="K433" s="5"/>
      <c r="L433" s="5"/>
      <c r="M433" s="5"/>
      <c r="N433" s="5"/>
      <c r="O433" s="5"/>
      <c r="P433" s="5"/>
      <c r="Q433" s="5"/>
      <c r="R433" s="5"/>
      <c r="S433" s="5"/>
    </row>
    <row r="434" spans="1:19">
      <c r="A434" s="5"/>
      <c r="B434" s="5"/>
      <c r="C434" s="5"/>
      <c r="D434" s="5"/>
      <c r="E434" s="5"/>
      <c r="F434" s="5"/>
      <c r="G434" s="5"/>
      <c r="H434" s="5"/>
      <c r="I434" s="5"/>
      <c r="J434" s="5"/>
      <c r="K434" s="5"/>
      <c r="L434" s="5"/>
      <c r="M434" s="5"/>
      <c r="N434" s="5"/>
      <c r="O434" s="5"/>
      <c r="P434" s="5"/>
      <c r="Q434" s="5"/>
      <c r="R434" s="5"/>
      <c r="S434" s="5"/>
    </row>
    <row r="435" spans="1:19">
      <c r="A435" s="5"/>
      <c r="B435" s="5"/>
      <c r="C435" s="5"/>
      <c r="D435" s="5"/>
      <c r="E435" s="5"/>
      <c r="F435" s="5"/>
      <c r="G435" s="5"/>
      <c r="H435" s="5"/>
      <c r="I435" s="5"/>
      <c r="J435" s="5"/>
      <c r="K435" s="5"/>
      <c r="L435" s="5"/>
      <c r="M435" s="5"/>
      <c r="N435" s="5"/>
      <c r="O435" s="5"/>
      <c r="P435" s="5"/>
      <c r="Q435" s="5"/>
      <c r="R435" s="5"/>
      <c r="S435" s="5"/>
    </row>
    <row r="436" spans="1:19">
      <c r="A436" s="5"/>
      <c r="B436" s="5"/>
      <c r="C436" s="5"/>
      <c r="D436" s="5"/>
      <c r="E436" s="5"/>
      <c r="F436" s="5"/>
      <c r="G436" s="5"/>
      <c r="H436" s="5"/>
      <c r="I436" s="5"/>
      <c r="J436" s="5"/>
      <c r="K436" s="5"/>
      <c r="L436" s="5"/>
      <c r="M436" s="5"/>
      <c r="N436" s="5"/>
      <c r="O436" s="5"/>
      <c r="P436" s="5"/>
      <c r="Q436" s="5"/>
      <c r="R436" s="5"/>
      <c r="S436" s="5"/>
    </row>
    <row r="437" spans="1:19">
      <c r="A437" s="5"/>
      <c r="B437" s="5"/>
      <c r="C437" s="5"/>
      <c r="D437" s="5"/>
      <c r="E437" s="5"/>
      <c r="F437" s="5"/>
      <c r="G437" s="5"/>
      <c r="H437" s="5"/>
      <c r="I437" s="5"/>
      <c r="J437" s="5"/>
      <c r="K437" s="5"/>
      <c r="L437" s="5"/>
      <c r="M437" s="5"/>
      <c r="N437" s="5"/>
      <c r="O437" s="5"/>
      <c r="P437" s="5"/>
      <c r="Q437" s="5"/>
      <c r="R437" s="5"/>
      <c r="S437" s="5"/>
    </row>
    <row r="438" spans="1:19">
      <c r="A438" s="5"/>
      <c r="B438" s="5"/>
      <c r="C438" s="5"/>
      <c r="D438" s="5"/>
      <c r="E438" s="5"/>
      <c r="F438" s="5"/>
      <c r="G438" s="5"/>
      <c r="H438" s="5"/>
      <c r="I438" s="5"/>
      <c r="J438" s="5"/>
      <c r="K438" s="5"/>
      <c r="L438" s="5"/>
      <c r="M438" s="5"/>
      <c r="N438" s="5"/>
      <c r="O438" s="5"/>
      <c r="P438" s="5"/>
      <c r="Q438" s="5"/>
      <c r="R438" s="5"/>
      <c r="S438" s="5"/>
    </row>
    <row r="439" spans="1:19">
      <c r="A439" s="5"/>
      <c r="B439" s="5"/>
      <c r="C439" s="5"/>
      <c r="D439" s="5"/>
      <c r="E439" s="5"/>
      <c r="F439" s="5"/>
      <c r="G439" s="5"/>
      <c r="H439" s="5"/>
      <c r="I439" s="5"/>
      <c r="J439" s="5"/>
      <c r="K439" s="5"/>
      <c r="L439" s="5"/>
      <c r="M439" s="5"/>
      <c r="N439" s="5"/>
      <c r="O439" s="5"/>
      <c r="P439" s="5"/>
      <c r="Q439" s="5"/>
      <c r="R439" s="5"/>
      <c r="S439" s="5"/>
    </row>
    <row r="440" spans="1:19">
      <c r="A440" s="5"/>
      <c r="B440" s="5"/>
      <c r="C440" s="5"/>
      <c r="D440" s="5"/>
      <c r="E440" s="5"/>
      <c r="F440" s="5"/>
      <c r="G440" s="5"/>
      <c r="H440" s="5"/>
      <c r="I440" s="5"/>
      <c r="J440" s="5"/>
      <c r="K440" s="5"/>
      <c r="L440" s="5"/>
      <c r="M440" s="5"/>
      <c r="N440" s="5"/>
      <c r="O440" s="5"/>
      <c r="P440" s="5"/>
      <c r="Q440" s="5"/>
      <c r="R440" s="5"/>
      <c r="S440" s="5"/>
    </row>
    <row r="441" spans="1:19">
      <c r="A441" s="5"/>
      <c r="B441" s="5"/>
      <c r="C441" s="5"/>
      <c r="D441" s="5"/>
      <c r="E441" s="5"/>
      <c r="F441" s="5"/>
      <c r="G441" s="5"/>
      <c r="H441" s="5"/>
      <c r="I441" s="5"/>
      <c r="J441" s="5"/>
      <c r="K441" s="5"/>
      <c r="L441" s="5"/>
      <c r="M441" s="5"/>
      <c r="N441" s="5"/>
      <c r="O441" s="5"/>
      <c r="P441" s="5"/>
      <c r="Q441" s="5"/>
      <c r="R441" s="5"/>
      <c r="S441" s="5"/>
    </row>
    <row r="442" spans="1:19">
      <c r="A442" s="5"/>
      <c r="B442" s="5"/>
      <c r="C442" s="5"/>
      <c r="D442" s="5"/>
      <c r="E442" s="5"/>
      <c r="F442" s="5"/>
      <c r="G442" s="5"/>
      <c r="H442" s="5"/>
      <c r="I442" s="5"/>
      <c r="J442" s="5"/>
      <c r="K442" s="5"/>
      <c r="L442" s="5"/>
      <c r="M442" s="5"/>
      <c r="N442" s="5"/>
      <c r="O442" s="5"/>
      <c r="P442" s="5"/>
      <c r="Q442" s="5"/>
      <c r="R442" s="5"/>
      <c r="S442" s="5"/>
    </row>
    <row r="443" spans="1:19">
      <c r="A443" s="5"/>
      <c r="B443" s="5"/>
      <c r="C443" s="5"/>
      <c r="D443" s="5"/>
      <c r="E443" s="5"/>
      <c r="F443" s="5"/>
      <c r="G443" s="5"/>
      <c r="H443" s="5"/>
      <c r="I443" s="5"/>
      <c r="J443" s="5"/>
      <c r="K443" s="5"/>
      <c r="L443" s="5"/>
      <c r="M443" s="5"/>
      <c r="N443" s="5"/>
      <c r="O443" s="5"/>
      <c r="P443" s="5"/>
      <c r="Q443" s="5"/>
      <c r="R443" s="5"/>
      <c r="S443" s="5"/>
    </row>
    <row r="444" spans="1:19">
      <c r="A444" s="5"/>
      <c r="B444" s="5"/>
      <c r="C444" s="5"/>
      <c r="D444" s="5"/>
      <c r="E444" s="5"/>
      <c r="F444" s="5"/>
      <c r="G444" s="5"/>
      <c r="H444" s="5"/>
      <c r="I444" s="5"/>
      <c r="J444" s="5"/>
      <c r="K444" s="5"/>
      <c r="L444" s="5"/>
      <c r="M444" s="5"/>
      <c r="N444" s="5"/>
      <c r="O444" s="5"/>
      <c r="P444" s="5"/>
      <c r="Q444" s="5"/>
      <c r="R444" s="5"/>
      <c r="S444" s="5"/>
    </row>
    <row r="445" spans="1:19">
      <c r="A445" s="5"/>
      <c r="B445" s="5"/>
      <c r="C445" s="5"/>
      <c r="D445" s="5"/>
      <c r="E445" s="5"/>
      <c r="F445" s="5"/>
      <c r="G445" s="5"/>
      <c r="H445" s="5"/>
      <c r="I445" s="5"/>
      <c r="J445" s="5"/>
      <c r="K445" s="5"/>
      <c r="L445" s="5"/>
      <c r="M445" s="5"/>
      <c r="N445" s="5"/>
      <c r="O445" s="5"/>
      <c r="P445" s="5"/>
      <c r="Q445" s="5"/>
      <c r="R445" s="5"/>
      <c r="S445" s="5"/>
    </row>
    <row r="446" spans="1:19">
      <c r="A446" s="5"/>
      <c r="B446" s="5"/>
      <c r="C446" s="5"/>
      <c r="D446" s="5"/>
      <c r="E446" s="5"/>
      <c r="F446" s="5"/>
      <c r="G446" s="5"/>
      <c r="H446" s="5"/>
      <c r="I446" s="5"/>
      <c r="J446" s="5"/>
      <c r="K446" s="5"/>
      <c r="L446" s="5"/>
      <c r="M446" s="5"/>
      <c r="N446" s="5"/>
      <c r="O446" s="5"/>
      <c r="P446" s="5"/>
      <c r="Q446" s="5"/>
      <c r="R446" s="5"/>
      <c r="S446" s="5"/>
    </row>
    <row r="447" spans="1:19">
      <c r="A447" s="5"/>
      <c r="B447" s="5"/>
      <c r="C447" s="5"/>
      <c r="D447" s="5"/>
      <c r="E447" s="5"/>
      <c r="F447" s="5"/>
      <c r="G447" s="5"/>
      <c r="H447" s="5"/>
      <c r="I447" s="5"/>
      <c r="J447" s="5"/>
      <c r="K447" s="5"/>
      <c r="L447" s="5"/>
      <c r="M447" s="5"/>
      <c r="N447" s="5"/>
      <c r="O447" s="5"/>
      <c r="P447" s="5"/>
      <c r="Q447" s="5"/>
      <c r="R447" s="5"/>
      <c r="S447" s="5"/>
    </row>
    <row r="448" spans="1:19">
      <c r="A448" s="5"/>
      <c r="B448" s="5"/>
      <c r="C448" s="5"/>
      <c r="D448" s="5"/>
      <c r="E448" s="5"/>
      <c r="F448" s="5"/>
      <c r="G448" s="5"/>
      <c r="H448" s="5"/>
      <c r="I448" s="5"/>
      <c r="J448" s="5"/>
      <c r="K448" s="5"/>
      <c r="L448" s="5"/>
      <c r="M448" s="5"/>
      <c r="N448" s="5"/>
      <c r="O448" s="5"/>
      <c r="P448" s="5"/>
      <c r="Q448" s="5"/>
      <c r="R448" s="5"/>
      <c r="S448" s="5"/>
    </row>
    <row r="449" spans="1:19">
      <c r="A449" s="5"/>
      <c r="B449" s="5"/>
      <c r="C449" s="5"/>
      <c r="D449" s="5"/>
      <c r="E449" s="5"/>
      <c r="F449" s="5"/>
      <c r="G449" s="5"/>
      <c r="H449" s="5"/>
      <c r="I449" s="5"/>
      <c r="J449" s="5"/>
      <c r="K449" s="5"/>
      <c r="L449" s="5"/>
      <c r="M449" s="5"/>
      <c r="N449" s="5"/>
      <c r="O449" s="5"/>
      <c r="P449" s="5"/>
      <c r="Q449" s="5"/>
      <c r="R449" s="5"/>
      <c r="S449" s="5"/>
    </row>
    <row r="450" spans="1:19">
      <c r="A450" s="5"/>
      <c r="B450" s="5"/>
      <c r="C450" s="5"/>
      <c r="D450" s="5"/>
      <c r="E450" s="5"/>
      <c r="F450" s="5"/>
      <c r="G450" s="5"/>
      <c r="H450" s="5"/>
      <c r="I450" s="5"/>
      <c r="J450" s="5"/>
      <c r="K450" s="5"/>
      <c r="L450" s="5"/>
      <c r="M450" s="5"/>
      <c r="N450" s="5"/>
      <c r="O450" s="5"/>
      <c r="P450" s="5"/>
      <c r="Q450" s="5"/>
      <c r="R450" s="5"/>
      <c r="S450" s="5"/>
    </row>
    <row r="451" spans="1:19">
      <c r="A451" s="5"/>
      <c r="B451" s="5"/>
      <c r="C451" s="5"/>
      <c r="D451" s="5"/>
      <c r="E451" s="5"/>
      <c r="F451" s="5"/>
      <c r="G451" s="5"/>
      <c r="H451" s="5"/>
      <c r="I451" s="5"/>
      <c r="J451" s="5"/>
      <c r="K451" s="5"/>
      <c r="L451" s="5"/>
      <c r="M451" s="5"/>
      <c r="N451" s="5"/>
      <c r="O451" s="5"/>
      <c r="P451" s="5"/>
      <c r="Q451" s="5"/>
      <c r="R451" s="5"/>
      <c r="S451" s="5"/>
    </row>
    <row r="452" spans="1:19">
      <c r="A452" s="5"/>
      <c r="B452" s="5"/>
      <c r="C452" s="5"/>
      <c r="D452" s="5"/>
      <c r="E452" s="5"/>
      <c r="F452" s="5"/>
      <c r="G452" s="5"/>
      <c r="H452" s="5"/>
      <c r="I452" s="5"/>
      <c r="J452" s="5"/>
      <c r="K452" s="5"/>
      <c r="L452" s="5"/>
      <c r="M452" s="5"/>
      <c r="N452" s="5"/>
      <c r="O452" s="5"/>
      <c r="P452" s="5"/>
      <c r="Q452" s="5"/>
      <c r="R452" s="5"/>
      <c r="S452" s="5"/>
    </row>
    <row r="453" spans="1:19">
      <c r="A453" s="5"/>
      <c r="B453" s="5"/>
      <c r="C453" s="5"/>
      <c r="D453" s="5"/>
      <c r="E453" s="5"/>
      <c r="F453" s="5"/>
      <c r="G453" s="5"/>
      <c r="H453" s="5"/>
      <c r="I453" s="5"/>
      <c r="J453" s="5"/>
      <c r="K453" s="5"/>
      <c r="L453" s="5"/>
      <c r="M453" s="5"/>
      <c r="N453" s="5"/>
      <c r="O453" s="5"/>
      <c r="P453" s="5"/>
      <c r="Q453" s="5"/>
      <c r="R453" s="5"/>
      <c r="S453" s="5"/>
    </row>
    <row r="454" spans="1:19">
      <c r="A454" s="5"/>
      <c r="B454" s="5"/>
      <c r="C454" s="5"/>
      <c r="D454" s="5"/>
      <c r="E454" s="5"/>
      <c r="F454" s="5"/>
      <c r="G454" s="5"/>
      <c r="H454" s="5"/>
      <c r="I454" s="5"/>
      <c r="J454" s="5"/>
      <c r="K454" s="5"/>
      <c r="L454" s="5"/>
      <c r="M454" s="5"/>
      <c r="N454" s="5"/>
      <c r="O454" s="5"/>
      <c r="P454" s="5"/>
      <c r="Q454" s="5"/>
      <c r="R454" s="5"/>
      <c r="S454" s="5"/>
    </row>
    <row r="455" spans="1:19">
      <c r="A455" s="5"/>
      <c r="B455" s="5"/>
      <c r="C455" s="5"/>
      <c r="D455" s="5"/>
      <c r="E455" s="5"/>
      <c r="F455" s="5"/>
      <c r="G455" s="5"/>
      <c r="H455" s="5"/>
      <c r="I455" s="5"/>
      <c r="J455" s="5"/>
      <c r="K455" s="5"/>
      <c r="L455" s="5"/>
      <c r="M455" s="5"/>
      <c r="N455" s="5"/>
      <c r="O455" s="5"/>
      <c r="P455" s="5"/>
      <c r="Q455" s="5"/>
      <c r="R455" s="5"/>
      <c r="S455" s="5"/>
    </row>
    <row r="456" spans="1:19">
      <c r="A456" s="5"/>
      <c r="B456" s="5"/>
      <c r="C456" s="5"/>
      <c r="D456" s="5"/>
      <c r="E456" s="5"/>
      <c r="F456" s="5"/>
      <c r="G456" s="5"/>
      <c r="H456" s="5"/>
      <c r="I456" s="5"/>
      <c r="J456" s="5"/>
      <c r="K456" s="5"/>
      <c r="L456" s="5"/>
      <c r="M456" s="5"/>
      <c r="N456" s="5"/>
      <c r="O456" s="5"/>
      <c r="P456" s="5"/>
      <c r="Q456" s="5"/>
      <c r="R456" s="5"/>
      <c r="S456" s="5"/>
    </row>
    <row r="457" spans="1:19">
      <c r="A457" s="5"/>
      <c r="B457" s="5"/>
      <c r="C457" s="5"/>
      <c r="D457" s="5"/>
      <c r="E457" s="5"/>
      <c r="F457" s="5"/>
      <c r="G457" s="5"/>
      <c r="H457" s="5"/>
      <c r="I457" s="5"/>
      <c r="J457" s="5"/>
      <c r="K457" s="5"/>
      <c r="L457" s="5"/>
      <c r="M457" s="5"/>
      <c r="N457" s="5"/>
      <c r="O457" s="5"/>
      <c r="P457" s="5"/>
      <c r="Q457" s="5"/>
      <c r="R457" s="5"/>
      <c r="S457" s="5"/>
    </row>
    <row r="458" spans="1:19">
      <c r="A458" s="5"/>
      <c r="B458" s="5"/>
      <c r="C458" s="5"/>
      <c r="D458" s="5"/>
      <c r="E458" s="5"/>
      <c r="F458" s="5"/>
      <c r="G458" s="5"/>
      <c r="H458" s="5"/>
      <c r="I458" s="5"/>
      <c r="J458" s="5"/>
      <c r="K458" s="5"/>
      <c r="L458" s="5"/>
      <c r="M458" s="5"/>
      <c r="N458" s="5"/>
      <c r="O458" s="5"/>
      <c r="P458" s="5"/>
      <c r="Q458" s="5"/>
      <c r="R458" s="5"/>
      <c r="S458" s="5"/>
    </row>
    <row r="459" spans="1:19">
      <c r="A459" s="5"/>
      <c r="B459" s="5"/>
      <c r="C459" s="5"/>
      <c r="D459" s="5"/>
      <c r="E459" s="5"/>
      <c r="F459" s="5"/>
      <c r="G459" s="5"/>
      <c r="H459" s="5"/>
      <c r="I459" s="5"/>
      <c r="J459" s="5"/>
      <c r="K459" s="5"/>
      <c r="L459" s="5"/>
      <c r="M459" s="5"/>
      <c r="N459" s="5"/>
      <c r="O459" s="5"/>
      <c r="P459" s="5"/>
      <c r="Q459" s="5"/>
      <c r="R459" s="5"/>
      <c r="S459" s="5"/>
    </row>
    <row r="460" spans="1:19">
      <c r="A460" s="5"/>
      <c r="B460" s="5"/>
      <c r="C460" s="5"/>
      <c r="D460" s="5"/>
      <c r="E460" s="5"/>
      <c r="F460" s="5"/>
      <c r="G460" s="5"/>
      <c r="H460" s="5"/>
      <c r="I460" s="5"/>
      <c r="J460" s="5"/>
      <c r="K460" s="5"/>
      <c r="L460" s="5"/>
      <c r="M460" s="5"/>
      <c r="N460" s="5"/>
      <c r="O460" s="5"/>
      <c r="P460" s="5"/>
      <c r="Q460" s="5"/>
      <c r="R460" s="5"/>
      <c r="S460" s="5"/>
    </row>
    <row r="461" spans="1:19">
      <c r="A461" s="5"/>
      <c r="B461" s="5"/>
      <c r="C461" s="5"/>
      <c r="D461" s="5"/>
      <c r="E461" s="5"/>
      <c r="F461" s="5"/>
      <c r="G461" s="5"/>
      <c r="H461" s="5"/>
      <c r="I461" s="5"/>
      <c r="J461" s="5"/>
      <c r="K461" s="5"/>
      <c r="L461" s="5"/>
      <c r="M461" s="5"/>
      <c r="N461" s="5"/>
      <c r="O461" s="5"/>
      <c r="P461" s="5"/>
      <c r="Q461" s="5"/>
      <c r="R461" s="5"/>
      <c r="S461" s="5"/>
    </row>
    <row r="462" spans="1:19">
      <c r="A462" s="5"/>
      <c r="B462" s="5"/>
      <c r="C462" s="5"/>
      <c r="D462" s="5"/>
      <c r="E462" s="5"/>
      <c r="F462" s="5"/>
      <c r="G462" s="5"/>
      <c r="H462" s="5"/>
      <c r="I462" s="5"/>
      <c r="J462" s="5"/>
      <c r="K462" s="5"/>
      <c r="L462" s="5"/>
      <c r="M462" s="5"/>
      <c r="N462" s="5"/>
      <c r="O462" s="5"/>
      <c r="P462" s="5"/>
      <c r="Q462" s="5"/>
      <c r="R462" s="5"/>
      <c r="S462" s="5"/>
    </row>
    <row r="463" spans="1:19">
      <c r="A463" s="5"/>
      <c r="B463" s="5"/>
      <c r="C463" s="5"/>
      <c r="D463" s="5"/>
      <c r="E463" s="5"/>
      <c r="F463" s="5"/>
      <c r="G463" s="5"/>
      <c r="H463" s="5"/>
      <c r="I463" s="5"/>
      <c r="J463" s="5"/>
      <c r="K463" s="5"/>
      <c r="L463" s="5"/>
      <c r="M463" s="5"/>
      <c r="N463" s="5"/>
      <c r="O463" s="5"/>
      <c r="P463" s="5"/>
      <c r="Q463" s="5"/>
      <c r="R463" s="5"/>
      <c r="S463" s="5"/>
    </row>
    <row r="464" spans="1:19">
      <c r="A464" s="5"/>
      <c r="B464" s="5"/>
      <c r="C464" s="5"/>
      <c r="D464" s="5"/>
      <c r="E464" s="5"/>
      <c r="F464" s="5"/>
      <c r="G464" s="5"/>
      <c r="H464" s="5"/>
      <c r="I464" s="5"/>
      <c r="J464" s="5"/>
      <c r="K464" s="5"/>
      <c r="L464" s="5"/>
      <c r="M464" s="5"/>
      <c r="N464" s="5"/>
      <c r="O464" s="5"/>
      <c r="P464" s="5"/>
      <c r="Q464" s="5"/>
      <c r="R464" s="5"/>
      <c r="S464" s="5"/>
    </row>
    <row r="465" spans="1:19">
      <c r="A465" s="5"/>
      <c r="B465" s="5"/>
      <c r="C465" s="5"/>
      <c r="D465" s="5"/>
      <c r="E465" s="5"/>
      <c r="F465" s="5"/>
      <c r="G465" s="5"/>
      <c r="H465" s="5"/>
      <c r="I465" s="5"/>
      <c r="J465" s="5"/>
      <c r="K465" s="5"/>
      <c r="L465" s="5"/>
      <c r="M465" s="5"/>
      <c r="N465" s="5"/>
      <c r="O465" s="5"/>
      <c r="P465" s="5"/>
      <c r="Q465" s="5"/>
      <c r="R465" s="5"/>
      <c r="S465" s="5"/>
    </row>
    <row r="466" spans="1:19">
      <c r="A466" s="5"/>
      <c r="B466" s="5"/>
      <c r="C466" s="5"/>
      <c r="D466" s="5"/>
      <c r="E466" s="5"/>
      <c r="F466" s="5"/>
      <c r="G466" s="5"/>
      <c r="H466" s="5"/>
      <c r="I466" s="5"/>
      <c r="J466" s="5"/>
      <c r="K466" s="5"/>
      <c r="L466" s="5"/>
      <c r="M466" s="5"/>
      <c r="N466" s="5"/>
      <c r="O466" s="5"/>
      <c r="P466" s="5"/>
      <c r="Q466" s="5"/>
      <c r="R466" s="5"/>
      <c r="S466" s="5"/>
    </row>
    <row r="467" spans="1:19">
      <c r="A467" s="5"/>
      <c r="B467" s="5"/>
      <c r="C467" s="5"/>
      <c r="D467" s="5"/>
      <c r="E467" s="5"/>
      <c r="F467" s="5"/>
      <c r="G467" s="5"/>
      <c r="H467" s="5"/>
      <c r="I467" s="5"/>
      <c r="J467" s="5"/>
      <c r="K467" s="5"/>
      <c r="L467" s="5"/>
      <c r="M467" s="5"/>
      <c r="N467" s="5"/>
      <c r="O467" s="5"/>
      <c r="P467" s="5"/>
      <c r="Q467" s="5"/>
      <c r="R467" s="5"/>
      <c r="S467" s="5"/>
    </row>
    <row r="468" spans="1:19">
      <c r="A468" s="5"/>
      <c r="B468" s="5"/>
      <c r="C468" s="5"/>
      <c r="D468" s="5"/>
      <c r="E468" s="5"/>
      <c r="F468" s="5"/>
      <c r="G468" s="5"/>
      <c r="H468" s="5"/>
      <c r="I468" s="5"/>
      <c r="J468" s="5"/>
      <c r="K468" s="5"/>
      <c r="L468" s="5"/>
      <c r="M468" s="5"/>
      <c r="N468" s="5"/>
      <c r="O468" s="5"/>
      <c r="P468" s="5"/>
      <c r="Q468" s="5"/>
      <c r="R468" s="5"/>
      <c r="S468" s="5"/>
    </row>
    <row r="469" spans="1:19">
      <c r="A469" s="5"/>
      <c r="B469" s="5"/>
      <c r="C469" s="5"/>
      <c r="D469" s="5"/>
      <c r="E469" s="5"/>
      <c r="F469" s="5"/>
      <c r="G469" s="5"/>
      <c r="H469" s="5"/>
      <c r="I469" s="5"/>
      <c r="J469" s="5"/>
      <c r="K469" s="5"/>
      <c r="L469" s="5"/>
      <c r="M469" s="5"/>
      <c r="N469" s="5"/>
      <c r="O469" s="5"/>
      <c r="P469" s="5"/>
      <c r="Q469" s="5"/>
      <c r="R469" s="5"/>
      <c r="S469" s="5"/>
    </row>
    <row r="470" spans="1:19">
      <c r="A470" s="5"/>
      <c r="B470" s="5"/>
      <c r="C470" s="5"/>
      <c r="D470" s="5"/>
      <c r="E470" s="5"/>
      <c r="F470" s="5"/>
      <c r="G470" s="5"/>
      <c r="H470" s="5"/>
      <c r="I470" s="5"/>
      <c r="J470" s="5"/>
      <c r="K470" s="5"/>
      <c r="L470" s="5"/>
      <c r="M470" s="5"/>
      <c r="N470" s="5"/>
      <c r="O470" s="5"/>
      <c r="P470" s="5"/>
      <c r="Q470" s="5"/>
      <c r="R470" s="5"/>
      <c r="S470" s="5"/>
    </row>
    <row r="471" spans="1:19">
      <c r="A471" s="5"/>
      <c r="B471" s="5"/>
      <c r="C471" s="5"/>
      <c r="D471" s="5"/>
      <c r="E471" s="5"/>
      <c r="F471" s="5"/>
      <c r="G471" s="5"/>
      <c r="H471" s="5"/>
      <c r="I471" s="5"/>
      <c r="J471" s="5"/>
      <c r="K471" s="5"/>
      <c r="L471" s="5"/>
      <c r="M471" s="5"/>
      <c r="N471" s="5"/>
      <c r="O471" s="5"/>
      <c r="P471" s="5"/>
      <c r="Q471" s="5"/>
      <c r="R471" s="5"/>
      <c r="S471" s="5"/>
    </row>
    <row r="472" spans="1:19">
      <c r="A472" s="5"/>
      <c r="B472" s="5"/>
      <c r="C472" s="5"/>
      <c r="D472" s="5"/>
      <c r="E472" s="5"/>
      <c r="F472" s="5"/>
      <c r="G472" s="5"/>
      <c r="H472" s="5"/>
      <c r="I472" s="5"/>
      <c r="J472" s="5"/>
      <c r="K472" s="5"/>
      <c r="L472" s="5"/>
      <c r="M472" s="5"/>
      <c r="N472" s="5"/>
      <c r="O472" s="5"/>
      <c r="P472" s="5"/>
      <c r="Q472" s="5"/>
      <c r="R472" s="5"/>
      <c r="S472" s="5"/>
    </row>
    <row r="473" spans="1:19">
      <c r="A473" s="5"/>
      <c r="B473" s="5"/>
      <c r="C473" s="5"/>
      <c r="D473" s="5"/>
      <c r="E473" s="5"/>
      <c r="F473" s="5"/>
      <c r="G473" s="5"/>
      <c r="H473" s="5"/>
      <c r="I473" s="5"/>
      <c r="J473" s="5"/>
      <c r="K473" s="5"/>
      <c r="L473" s="5"/>
      <c r="M473" s="5"/>
      <c r="N473" s="5"/>
      <c r="O473" s="5"/>
      <c r="P473" s="5"/>
      <c r="Q473" s="5"/>
      <c r="R473" s="5"/>
      <c r="S473" s="5"/>
    </row>
    <row r="474" spans="1:19">
      <c r="A474" s="5"/>
      <c r="B474" s="5"/>
      <c r="C474" s="5"/>
      <c r="D474" s="5"/>
      <c r="E474" s="5"/>
      <c r="F474" s="5"/>
      <c r="G474" s="5"/>
      <c r="H474" s="5"/>
      <c r="I474" s="5"/>
      <c r="J474" s="5"/>
      <c r="K474" s="5"/>
      <c r="L474" s="5"/>
      <c r="M474" s="5"/>
      <c r="N474" s="5"/>
      <c r="O474" s="5"/>
      <c r="P474" s="5"/>
      <c r="Q474" s="5"/>
      <c r="R474" s="5"/>
      <c r="S474" s="5"/>
    </row>
    <row r="475" spans="1:19">
      <c r="A475" s="5"/>
      <c r="B475" s="5"/>
      <c r="C475" s="5"/>
      <c r="D475" s="5"/>
      <c r="E475" s="5"/>
      <c r="F475" s="5"/>
      <c r="G475" s="5"/>
      <c r="H475" s="5"/>
      <c r="I475" s="5"/>
      <c r="J475" s="5"/>
      <c r="K475" s="5"/>
      <c r="L475" s="5"/>
      <c r="M475" s="5"/>
      <c r="N475" s="5"/>
      <c r="O475" s="5"/>
      <c r="P475" s="5"/>
      <c r="Q475" s="5"/>
      <c r="R475" s="5"/>
      <c r="S475" s="5"/>
    </row>
    <row r="476" spans="1:19">
      <c r="A476" s="5"/>
      <c r="B476" s="5"/>
      <c r="C476" s="5"/>
      <c r="D476" s="5"/>
      <c r="E476" s="5"/>
      <c r="F476" s="5"/>
      <c r="G476" s="5"/>
      <c r="H476" s="5"/>
      <c r="I476" s="5"/>
      <c r="J476" s="5"/>
      <c r="K476" s="5"/>
      <c r="L476" s="5"/>
      <c r="M476" s="5"/>
      <c r="N476" s="5"/>
      <c r="O476" s="5"/>
      <c r="P476" s="5"/>
      <c r="Q476" s="5"/>
      <c r="R476" s="5"/>
      <c r="S476" s="5"/>
    </row>
    <row r="477" spans="1:19">
      <c r="A477" s="5"/>
      <c r="B477" s="5"/>
      <c r="C477" s="5"/>
      <c r="D477" s="5"/>
      <c r="E477" s="5"/>
      <c r="F477" s="5"/>
      <c r="G477" s="5"/>
      <c r="H477" s="5"/>
      <c r="I477" s="5"/>
      <c r="J477" s="5"/>
      <c r="K477" s="5"/>
      <c r="L477" s="5"/>
      <c r="M477" s="5"/>
      <c r="N477" s="5"/>
      <c r="O477" s="5"/>
      <c r="P477" s="5"/>
      <c r="Q477" s="5"/>
      <c r="R477" s="5"/>
      <c r="S477" s="5"/>
    </row>
    <row r="478" spans="1:19">
      <c r="A478" s="5"/>
      <c r="B478" s="5"/>
      <c r="C478" s="5"/>
      <c r="D478" s="5"/>
      <c r="E478" s="5"/>
      <c r="F478" s="5"/>
      <c r="G478" s="5"/>
      <c r="H478" s="5"/>
      <c r="I478" s="5"/>
      <c r="J478" s="5"/>
      <c r="K478" s="5"/>
      <c r="L478" s="5"/>
      <c r="M478" s="5"/>
      <c r="N478" s="5"/>
      <c r="O478" s="5"/>
      <c r="P478" s="5"/>
      <c r="Q478" s="5"/>
      <c r="R478" s="5"/>
      <c r="S478" s="5"/>
    </row>
    <row r="479" spans="1:19">
      <c r="A479" s="5"/>
      <c r="B479" s="5"/>
      <c r="C479" s="5"/>
      <c r="D479" s="5"/>
      <c r="E479" s="5"/>
      <c r="F479" s="5"/>
      <c r="G479" s="5"/>
      <c r="H479" s="5"/>
      <c r="I479" s="5"/>
      <c r="J479" s="5"/>
      <c r="K479" s="5"/>
      <c r="L479" s="5"/>
      <c r="M479" s="5"/>
      <c r="N479" s="5"/>
      <c r="O479" s="5"/>
      <c r="P479" s="5"/>
      <c r="Q479" s="5"/>
      <c r="R479" s="5"/>
      <c r="S479" s="5"/>
    </row>
    <row r="480" spans="1:19">
      <c r="A480" s="5"/>
      <c r="B480" s="5"/>
      <c r="C480" s="5"/>
      <c r="D480" s="5"/>
      <c r="E480" s="5"/>
      <c r="F480" s="5"/>
      <c r="G480" s="5"/>
      <c r="H480" s="5"/>
      <c r="I480" s="5"/>
      <c r="J480" s="5"/>
      <c r="K480" s="5"/>
      <c r="L480" s="5"/>
      <c r="M480" s="5"/>
      <c r="N480" s="5"/>
      <c r="O480" s="5"/>
      <c r="P480" s="5"/>
      <c r="Q480" s="5"/>
      <c r="R480" s="5"/>
      <c r="S480" s="5"/>
    </row>
    <row r="481" spans="1:19">
      <c r="A481" s="5"/>
      <c r="B481" s="5"/>
      <c r="C481" s="5"/>
      <c r="D481" s="5"/>
      <c r="E481" s="5"/>
      <c r="F481" s="5"/>
      <c r="G481" s="5"/>
      <c r="H481" s="5"/>
      <c r="I481" s="5"/>
      <c r="J481" s="5"/>
      <c r="K481" s="5"/>
      <c r="L481" s="5"/>
      <c r="M481" s="5"/>
      <c r="N481" s="5"/>
      <c r="O481" s="5"/>
      <c r="P481" s="5"/>
      <c r="Q481" s="5"/>
      <c r="R481" s="5"/>
      <c r="S481" s="5"/>
    </row>
    <row r="482" spans="1:19">
      <c r="A482" s="5"/>
      <c r="B482" s="5"/>
      <c r="C482" s="5"/>
      <c r="D482" s="5"/>
      <c r="E482" s="5"/>
      <c r="F482" s="5"/>
      <c r="G482" s="5"/>
      <c r="H482" s="5"/>
      <c r="I482" s="5"/>
      <c r="J482" s="5"/>
      <c r="K482" s="5"/>
      <c r="L482" s="5"/>
      <c r="M482" s="5"/>
      <c r="N482" s="5"/>
      <c r="O482" s="5"/>
      <c r="P482" s="5"/>
      <c r="Q482" s="5"/>
      <c r="R482" s="5"/>
      <c r="S482" s="5"/>
    </row>
    <row r="483" spans="1:19">
      <c r="A483" s="5"/>
      <c r="B483" s="5"/>
      <c r="C483" s="5"/>
      <c r="D483" s="5"/>
      <c r="E483" s="5"/>
      <c r="F483" s="5"/>
      <c r="G483" s="5"/>
      <c r="H483" s="5"/>
      <c r="I483" s="5"/>
      <c r="J483" s="5"/>
      <c r="K483" s="5"/>
      <c r="L483" s="5"/>
      <c r="M483" s="5"/>
      <c r="N483" s="5"/>
      <c r="O483" s="5"/>
      <c r="P483" s="5"/>
      <c r="Q483" s="5"/>
      <c r="R483" s="5"/>
      <c r="S483" s="5"/>
    </row>
    <row r="484" spans="1:19">
      <c r="A484" s="5"/>
      <c r="B484" s="5"/>
      <c r="C484" s="5"/>
      <c r="D484" s="5"/>
      <c r="E484" s="5"/>
      <c r="F484" s="5"/>
      <c r="G484" s="5"/>
      <c r="H484" s="5"/>
      <c r="I484" s="5"/>
      <c r="J484" s="5"/>
      <c r="K484" s="5"/>
      <c r="L484" s="5"/>
      <c r="M484" s="5"/>
      <c r="N484" s="5"/>
      <c r="O484" s="5"/>
      <c r="P484" s="5"/>
      <c r="Q484" s="5"/>
      <c r="R484" s="5"/>
      <c r="S484" s="5"/>
    </row>
    <row r="485" spans="1:19">
      <c r="A485" s="5"/>
      <c r="B485" s="5"/>
      <c r="C485" s="5"/>
      <c r="D485" s="5"/>
      <c r="E485" s="5"/>
      <c r="F485" s="5"/>
      <c r="G485" s="5"/>
      <c r="H485" s="5"/>
      <c r="I485" s="5"/>
      <c r="J485" s="5"/>
      <c r="K485" s="5"/>
      <c r="L485" s="5"/>
      <c r="M485" s="5"/>
      <c r="N485" s="5"/>
      <c r="O485" s="5"/>
      <c r="P485" s="5"/>
      <c r="Q485" s="5"/>
      <c r="R485" s="5"/>
      <c r="S485" s="5"/>
    </row>
    <row r="486" spans="1:19">
      <c r="A486" s="5"/>
      <c r="B486" s="5"/>
      <c r="C486" s="5"/>
      <c r="D486" s="5"/>
      <c r="E486" s="5"/>
      <c r="F486" s="5"/>
      <c r="G486" s="5"/>
      <c r="H486" s="5"/>
      <c r="I486" s="5"/>
      <c r="J486" s="5"/>
      <c r="K486" s="5"/>
      <c r="L486" s="5"/>
      <c r="M486" s="5"/>
      <c r="N486" s="5"/>
      <c r="O486" s="5"/>
      <c r="P486" s="5"/>
      <c r="Q486" s="5"/>
      <c r="R486" s="5"/>
      <c r="S486" s="5"/>
    </row>
    <row r="487" spans="1:19">
      <c r="A487" s="5"/>
      <c r="B487" s="5"/>
      <c r="C487" s="5"/>
      <c r="D487" s="5"/>
      <c r="E487" s="5"/>
      <c r="F487" s="5"/>
      <c r="G487" s="5"/>
      <c r="H487" s="5"/>
      <c r="I487" s="5"/>
      <c r="J487" s="5"/>
      <c r="K487" s="5"/>
      <c r="L487" s="5"/>
      <c r="M487" s="5"/>
      <c r="N487" s="5"/>
      <c r="O487" s="5"/>
      <c r="P487" s="5"/>
      <c r="Q487" s="5"/>
      <c r="R487" s="5"/>
      <c r="S487" s="5"/>
    </row>
    <row r="488" spans="1:19">
      <c r="A488" s="5"/>
      <c r="B488" s="5"/>
      <c r="C488" s="5"/>
      <c r="D488" s="5"/>
      <c r="E488" s="5"/>
      <c r="F488" s="5"/>
      <c r="G488" s="5"/>
      <c r="H488" s="5"/>
      <c r="I488" s="5"/>
      <c r="J488" s="5"/>
      <c r="K488" s="5"/>
      <c r="L488" s="5"/>
      <c r="M488" s="5"/>
      <c r="N488" s="5"/>
      <c r="O488" s="5"/>
      <c r="P488" s="5"/>
      <c r="Q488" s="5"/>
      <c r="R488" s="5"/>
      <c r="S488" s="5"/>
    </row>
    <row r="489" spans="1:19">
      <c r="A489" s="5"/>
      <c r="B489" s="5"/>
      <c r="C489" s="5"/>
      <c r="D489" s="5"/>
      <c r="E489" s="5"/>
      <c r="F489" s="5"/>
      <c r="G489" s="5"/>
      <c r="H489" s="5"/>
      <c r="I489" s="5"/>
      <c r="J489" s="5"/>
      <c r="K489" s="5"/>
      <c r="L489" s="5"/>
      <c r="M489" s="5"/>
      <c r="N489" s="5"/>
      <c r="O489" s="5"/>
      <c r="P489" s="5"/>
      <c r="Q489" s="5"/>
      <c r="R489" s="5"/>
      <c r="S489" s="5"/>
    </row>
    <row r="490" spans="1:19">
      <c r="A490" s="5"/>
      <c r="B490" s="5"/>
      <c r="C490" s="5"/>
      <c r="D490" s="5"/>
      <c r="E490" s="5"/>
      <c r="F490" s="5"/>
      <c r="G490" s="5"/>
      <c r="H490" s="5"/>
      <c r="I490" s="5"/>
      <c r="J490" s="5"/>
      <c r="K490" s="5"/>
      <c r="L490" s="5"/>
      <c r="M490" s="5"/>
      <c r="N490" s="5"/>
      <c r="O490" s="5"/>
      <c r="P490" s="5"/>
      <c r="Q490" s="5"/>
      <c r="R490" s="5"/>
      <c r="S490" s="5"/>
    </row>
    <row r="491" spans="1:19">
      <c r="A491" s="5"/>
      <c r="B491" s="5"/>
      <c r="C491" s="5"/>
      <c r="D491" s="5"/>
      <c r="E491" s="5"/>
      <c r="F491" s="5"/>
      <c r="G491" s="5"/>
      <c r="H491" s="5"/>
      <c r="I491" s="5"/>
      <c r="J491" s="5"/>
      <c r="K491" s="5"/>
      <c r="L491" s="5"/>
      <c r="M491" s="5"/>
      <c r="N491" s="5"/>
      <c r="O491" s="5"/>
      <c r="P491" s="5"/>
      <c r="Q491" s="5"/>
      <c r="R491" s="5"/>
      <c r="S491" s="5"/>
    </row>
    <row r="492" spans="1:19">
      <c r="A492" s="5"/>
      <c r="B492" s="5"/>
      <c r="C492" s="5"/>
      <c r="D492" s="5"/>
      <c r="E492" s="5"/>
      <c r="F492" s="5"/>
      <c r="G492" s="5"/>
      <c r="H492" s="5"/>
      <c r="I492" s="5"/>
      <c r="J492" s="5"/>
      <c r="K492" s="5"/>
      <c r="L492" s="5"/>
      <c r="M492" s="5"/>
      <c r="N492" s="5"/>
      <c r="O492" s="5"/>
      <c r="P492" s="5"/>
      <c r="Q492" s="5"/>
      <c r="R492" s="5"/>
      <c r="S492" s="5"/>
    </row>
    <row r="493" spans="1:19">
      <c r="A493" s="5"/>
      <c r="B493" s="5"/>
      <c r="C493" s="5"/>
      <c r="D493" s="5"/>
      <c r="E493" s="5"/>
      <c r="F493" s="5"/>
      <c r="G493" s="5"/>
      <c r="H493" s="5"/>
      <c r="I493" s="5"/>
      <c r="J493" s="5"/>
      <c r="K493" s="5"/>
      <c r="L493" s="5"/>
      <c r="M493" s="5"/>
      <c r="N493" s="5"/>
      <c r="O493" s="5"/>
      <c r="P493" s="5"/>
      <c r="Q493" s="5"/>
      <c r="R493" s="5"/>
      <c r="S493" s="5"/>
    </row>
    <row r="494" spans="1:19">
      <c r="A494" s="5"/>
      <c r="B494" s="5"/>
      <c r="C494" s="5"/>
      <c r="D494" s="5"/>
      <c r="E494" s="5"/>
      <c r="F494" s="5"/>
      <c r="G494" s="5"/>
      <c r="H494" s="5"/>
      <c r="I494" s="5"/>
      <c r="J494" s="5"/>
      <c r="K494" s="5"/>
      <c r="L494" s="5"/>
      <c r="M494" s="5"/>
      <c r="N494" s="5"/>
      <c r="O494" s="5"/>
      <c r="P494" s="5"/>
      <c r="Q494" s="5"/>
      <c r="R494" s="5"/>
      <c r="S494" s="5"/>
    </row>
    <row r="495" spans="1:19">
      <c r="A495" s="5"/>
      <c r="B495" s="5"/>
      <c r="C495" s="5"/>
      <c r="D495" s="5"/>
      <c r="E495" s="5"/>
      <c r="F495" s="5"/>
      <c r="G495" s="5"/>
      <c r="H495" s="5"/>
      <c r="I495" s="5"/>
      <c r="J495" s="5"/>
      <c r="K495" s="5"/>
      <c r="L495" s="5"/>
      <c r="M495" s="5"/>
      <c r="N495" s="5"/>
      <c r="O495" s="5"/>
      <c r="P495" s="5"/>
      <c r="Q495" s="5"/>
      <c r="R495" s="5"/>
      <c r="S495" s="5"/>
    </row>
    <row r="496" spans="1:19">
      <c r="A496" s="5"/>
      <c r="B496" s="5"/>
      <c r="C496" s="5"/>
      <c r="D496" s="5"/>
      <c r="E496" s="5"/>
      <c r="F496" s="5"/>
      <c r="G496" s="5"/>
      <c r="H496" s="5"/>
      <c r="I496" s="5"/>
      <c r="J496" s="5"/>
      <c r="K496" s="5"/>
      <c r="L496" s="5"/>
      <c r="M496" s="5"/>
      <c r="N496" s="5"/>
      <c r="O496" s="5"/>
      <c r="P496" s="5"/>
      <c r="Q496" s="5"/>
      <c r="R496" s="5"/>
      <c r="S496" s="5"/>
    </row>
    <row r="497" spans="1:19">
      <c r="A497" s="5"/>
      <c r="B497" s="5"/>
      <c r="C497" s="5"/>
      <c r="D497" s="5"/>
      <c r="E497" s="5"/>
      <c r="F497" s="5"/>
      <c r="G497" s="5"/>
      <c r="H497" s="5"/>
      <c r="I497" s="5"/>
      <c r="J497" s="5"/>
      <c r="K497" s="5"/>
      <c r="L497" s="5"/>
      <c r="M497" s="5"/>
      <c r="N497" s="5"/>
      <c r="O497" s="5"/>
      <c r="P497" s="5"/>
      <c r="Q497" s="5"/>
      <c r="R497" s="5"/>
      <c r="S497" s="5"/>
    </row>
    <row r="498" spans="1:19">
      <c r="A498" s="5"/>
      <c r="B498" s="5"/>
      <c r="C498" s="5"/>
      <c r="D498" s="5"/>
      <c r="E498" s="5"/>
      <c r="F498" s="5"/>
      <c r="G498" s="5"/>
      <c r="H498" s="5"/>
      <c r="I498" s="5"/>
      <c r="J498" s="5"/>
      <c r="K498" s="5"/>
      <c r="L498" s="5"/>
      <c r="M498" s="5"/>
      <c r="N498" s="5"/>
      <c r="O498" s="5"/>
      <c r="P498" s="5"/>
      <c r="Q498" s="5"/>
      <c r="R498" s="5"/>
      <c r="S498" s="5"/>
    </row>
    <row r="499" spans="1:19">
      <c r="A499" s="5"/>
      <c r="B499" s="5"/>
      <c r="C499" s="5"/>
      <c r="D499" s="5"/>
      <c r="E499" s="5"/>
      <c r="F499" s="5"/>
      <c r="G499" s="5"/>
      <c r="H499" s="5"/>
      <c r="I499" s="5"/>
      <c r="J499" s="5"/>
      <c r="K499" s="5"/>
      <c r="L499" s="5"/>
      <c r="M499" s="5"/>
      <c r="N499" s="5"/>
      <c r="O499" s="5"/>
      <c r="P499" s="5"/>
      <c r="Q499" s="5"/>
      <c r="R499" s="5"/>
      <c r="S499" s="5"/>
    </row>
    <row r="500" spans="1:19">
      <c r="A500" s="5"/>
      <c r="B500" s="5"/>
      <c r="C500" s="5"/>
      <c r="D500" s="5"/>
      <c r="E500" s="5"/>
      <c r="F500" s="5"/>
      <c r="G500" s="5"/>
      <c r="H500" s="5"/>
      <c r="I500" s="5"/>
      <c r="J500" s="5"/>
      <c r="K500" s="5"/>
      <c r="L500" s="5"/>
      <c r="M500" s="5"/>
      <c r="N500" s="5"/>
      <c r="O500" s="5"/>
      <c r="P500" s="5"/>
      <c r="Q500" s="5"/>
      <c r="R500" s="5"/>
      <c r="S500" s="5"/>
    </row>
    <row r="501" spans="1:19">
      <c r="A501" s="5"/>
      <c r="B501" s="5"/>
      <c r="C501" s="5"/>
      <c r="D501" s="5"/>
      <c r="E501" s="5"/>
      <c r="F501" s="5"/>
      <c r="G501" s="5"/>
      <c r="H501" s="5"/>
      <c r="I501" s="5"/>
      <c r="J501" s="5"/>
      <c r="K501" s="5"/>
      <c r="L501" s="5"/>
      <c r="M501" s="5"/>
      <c r="N501" s="5"/>
      <c r="O501" s="5"/>
      <c r="P501" s="5"/>
      <c r="Q501" s="5"/>
      <c r="R501" s="5"/>
      <c r="S501" s="5"/>
    </row>
    <row r="502" spans="1:19">
      <c r="A502" s="5"/>
      <c r="B502" s="5"/>
      <c r="C502" s="5"/>
      <c r="D502" s="5"/>
      <c r="E502" s="5"/>
      <c r="F502" s="5"/>
      <c r="G502" s="5"/>
      <c r="H502" s="5"/>
      <c r="I502" s="5"/>
      <c r="J502" s="5"/>
      <c r="K502" s="5"/>
      <c r="L502" s="5"/>
      <c r="M502" s="5"/>
      <c r="N502" s="5"/>
      <c r="O502" s="5"/>
      <c r="P502" s="5"/>
      <c r="Q502" s="5"/>
      <c r="R502" s="5"/>
      <c r="S502" s="5"/>
    </row>
    <row r="503" spans="1:19">
      <c r="A503" s="5"/>
      <c r="B503" s="5"/>
      <c r="C503" s="5"/>
      <c r="D503" s="5"/>
      <c r="E503" s="5"/>
      <c r="F503" s="5"/>
      <c r="G503" s="5"/>
      <c r="H503" s="5"/>
      <c r="I503" s="5"/>
      <c r="J503" s="5"/>
      <c r="K503" s="5"/>
      <c r="L503" s="5"/>
      <c r="M503" s="5"/>
      <c r="N503" s="5"/>
      <c r="O503" s="5"/>
      <c r="P503" s="5"/>
      <c r="Q503" s="5"/>
      <c r="R503" s="5"/>
      <c r="S503" s="5"/>
    </row>
    <row r="504" spans="1:19">
      <c r="A504" s="5"/>
      <c r="B504" s="5"/>
      <c r="C504" s="5"/>
      <c r="D504" s="5"/>
      <c r="E504" s="5"/>
      <c r="F504" s="5"/>
      <c r="G504" s="5"/>
      <c r="H504" s="5"/>
      <c r="I504" s="5"/>
      <c r="J504" s="5"/>
      <c r="K504" s="5"/>
      <c r="L504" s="5"/>
      <c r="M504" s="5"/>
      <c r="N504" s="5"/>
      <c r="O504" s="5"/>
      <c r="P504" s="5"/>
      <c r="Q504" s="5"/>
      <c r="R504" s="5"/>
      <c r="S504" s="5"/>
    </row>
    <row r="505" spans="1:19">
      <c r="A505" s="5"/>
      <c r="B505" s="5"/>
      <c r="C505" s="5"/>
      <c r="D505" s="5"/>
      <c r="E505" s="5"/>
      <c r="F505" s="5"/>
      <c r="G505" s="5"/>
      <c r="H505" s="5"/>
      <c r="I505" s="5"/>
      <c r="J505" s="5"/>
      <c r="K505" s="5"/>
      <c r="L505" s="5"/>
      <c r="M505" s="5"/>
      <c r="N505" s="5"/>
      <c r="O505" s="5"/>
      <c r="P505" s="5"/>
      <c r="Q505" s="5"/>
      <c r="R505" s="5"/>
      <c r="S505" s="5"/>
    </row>
    <row r="506" spans="1:19">
      <c r="A506" s="5"/>
      <c r="B506" s="5"/>
      <c r="C506" s="5"/>
      <c r="D506" s="5"/>
      <c r="E506" s="5"/>
      <c r="F506" s="5"/>
      <c r="G506" s="5"/>
      <c r="H506" s="5"/>
      <c r="I506" s="5"/>
      <c r="J506" s="5"/>
      <c r="K506" s="5"/>
      <c r="L506" s="5"/>
      <c r="M506" s="5"/>
      <c r="N506" s="5"/>
      <c r="O506" s="5"/>
      <c r="P506" s="5"/>
      <c r="Q506" s="5"/>
      <c r="R506" s="5"/>
      <c r="S506" s="5"/>
    </row>
    <row r="507" spans="1:19">
      <c r="A507" s="5"/>
      <c r="B507" s="5"/>
      <c r="C507" s="5"/>
      <c r="D507" s="5"/>
      <c r="E507" s="5"/>
      <c r="F507" s="5"/>
      <c r="G507" s="5"/>
      <c r="H507" s="5"/>
      <c r="I507" s="5"/>
      <c r="J507" s="5"/>
      <c r="K507" s="5"/>
      <c r="L507" s="5"/>
      <c r="M507" s="5"/>
      <c r="N507" s="5"/>
      <c r="O507" s="5"/>
      <c r="P507" s="5"/>
      <c r="Q507" s="5"/>
      <c r="R507" s="5"/>
      <c r="S507" s="5"/>
    </row>
    <row r="508" spans="1:19">
      <c r="A508" s="5"/>
      <c r="B508" s="5"/>
      <c r="C508" s="5"/>
      <c r="D508" s="5"/>
      <c r="E508" s="5"/>
      <c r="F508" s="5"/>
      <c r="G508" s="5"/>
      <c r="H508" s="5"/>
      <c r="I508" s="5"/>
      <c r="J508" s="5"/>
      <c r="K508" s="5"/>
      <c r="L508" s="5"/>
      <c r="M508" s="5"/>
      <c r="N508" s="5"/>
      <c r="O508" s="5"/>
      <c r="P508" s="5"/>
      <c r="Q508" s="5"/>
      <c r="R508" s="5"/>
      <c r="S508" s="5"/>
    </row>
    <row r="509" spans="1:19">
      <c r="A509" s="5"/>
      <c r="B509" s="5"/>
      <c r="C509" s="5"/>
      <c r="D509" s="5"/>
      <c r="E509" s="5"/>
      <c r="F509" s="5"/>
      <c r="G509" s="5"/>
      <c r="H509" s="5"/>
      <c r="I509" s="5"/>
      <c r="J509" s="5"/>
      <c r="K509" s="5"/>
      <c r="L509" s="5"/>
      <c r="M509" s="5"/>
      <c r="N509" s="5"/>
      <c r="O509" s="5"/>
      <c r="P509" s="5"/>
      <c r="Q509" s="5"/>
      <c r="R509" s="5"/>
      <c r="S509" s="5"/>
    </row>
    <row r="510" spans="1:19">
      <c r="A510" s="5"/>
      <c r="B510" s="5"/>
      <c r="C510" s="5"/>
      <c r="D510" s="5"/>
      <c r="E510" s="5"/>
      <c r="F510" s="5"/>
      <c r="G510" s="5"/>
      <c r="H510" s="5"/>
      <c r="I510" s="5"/>
      <c r="J510" s="5"/>
      <c r="K510" s="5"/>
      <c r="L510" s="5"/>
      <c r="M510" s="5"/>
      <c r="N510" s="5"/>
      <c r="O510" s="5"/>
      <c r="P510" s="5"/>
      <c r="Q510" s="5"/>
      <c r="R510" s="5"/>
      <c r="S510" s="5"/>
    </row>
    <row r="511" spans="1:19">
      <c r="A511" s="5"/>
      <c r="B511" s="5"/>
      <c r="C511" s="5"/>
      <c r="D511" s="5"/>
      <c r="E511" s="5"/>
      <c r="F511" s="5"/>
      <c r="G511" s="5"/>
      <c r="H511" s="5"/>
      <c r="I511" s="5"/>
      <c r="J511" s="5"/>
      <c r="K511" s="5"/>
      <c r="L511" s="5"/>
      <c r="M511" s="5"/>
      <c r="N511" s="5"/>
      <c r="O511" s="5"/>
      <c r="P511" s="5"/>
      <c r="Q511" s="5"/>
      <c r="R511" s="5"/>
      <c r="S511" s="5"/>
    </row>
    <row r="512" spans="1:19">
      <c r="A512" s="5"/>
      <c r="B512" s="5"/>
      <c r="C512" s="5"/>
      <c r="D512" s="5"/>
      <c r="E512" s="5"/>
      <c r="F512" s="5"/>
      <c r="G512" s="5"/>
      <c r="H512" s="5"/>
      <c r="I512" s="5"/>
      <c r="J512" s="5"/>
      <c r="K512" s="5"/>
      <c r="L512" s="5"/>
      <c r="M512" s="5"/>
      <c r="N512" s="5"/>
      <c r="O512" s="5"/>
      <c r="P512" s="5"/>
      <c r="Q512" s="5"/>
      <c r="R512" s="5"/>
      <c r="S512" s="5"/>
    </row>
    <row r="513" spans="1:19">
      <c r="A513" s="5"/>
      <c r="B513" s="5"/>
      <c r="C513" s="5"/>
      <c r="D513" s="5"/>
      <c r="E513" s="5"/>
      <c r="F513" s="5"/>
      <c r="G513" s="5"/>
      <c r="H513" s="5"/>
      <c r="I513" s="5"/>
      <c r="J513" s="5"/>
      <c r="K513" s="5"/>
      <c r="L513" s="5"/>
      <c r="M513" s="5"/>
      <c r="N513" s="5"/>
      <c r="O513" s="5"/>
      <c r="P513" s="5"/>
      <c r="Q513" s="5"/>
      <c r="R513" s="5"/>
      <c r="S513" s="5"/>
    </row>
    <row r="514" spans="1:19">
      <c r="A514" s="5"/>
      <c r="B514" s="5"/>
      <c r="C514" s="5"/>
      <c r="D514" s="5"/>
      <c r="E514" s="5"/>
      <c r="F514" s="5"/>
      <c r="G514" s="5"/>
      <c r="H514" s="5"/>
      <c r="I514" s="5"/>
      <c r="J514" s="5"/>
      <c r="K514" s="5"/>
      <c r="L514" s="5"/>
      <c r="M514" s="5"/>
      <c r="N514" s="5"/>
      <c r="O514" s="5"/>
      <c r="P514" s="5"/>
      <c r="Q514" s="5"/>
      <c r="R514" s="5"/>
      <c r="S514" s="5"/>
    </row>
    <row r="515" spans="1:19">
      <c r="A515" s="5"/>
      <c r="B515" s="5"/>
      <c r="C515" s="5"/>
      <c r="D515" s="5"/>
      <c r="E515" s="5"/>
      <c r="F515" s="5"/>
      <c r="G515" s="5"/>
      <c r="H515" s="5"/>
      <c r="I515" s="5"/>
      <c r="J515" s="5"/>
      <c r="K515" s="5"/>
      <c r="L515" s="5"/>
      <c r="M515" s="5"/>
      <c r="N515" s="5"/>
      <c r="O515" s="5"/>
      <c r="P515" s="5"/>
      <c r="Q515" s="5"/>
      <c r="R515" s="5"/>
      <c r="S515" s="5"/>
    </row>
    <row r="516" spans="1:19">
      <c r="A516" s="5"/>
      <c r="B516" s="5"/>
      <c r="C516" s="5"/>
      <c r="D516" s="5"/>
      <c r="E516" s="5"/>
      <c r="F516" s="5"/>
      <c r="G516" s="5"/>
      <c r="H516" s="5"/>
      <c r="I516" s="5"/>
      <c r="J516" s="5"/>
      <c r="K516" s="5"/>
      <c r="L516" s="5"/>
      <c r="M516" s="5"/>
      <c r="N516" s="5"/>
      <c r="O516" s="5"/>
      <c r="P516" s="5"/>
      <c r="Q516" s="5"/>
      <c r="R516" s="5"/>
      <c r="S516" s="5"/>
    </row>
    <row r="517" spans="1:19">
      <c r="A517" s="5"/>
      <c r="B517" s="5"/>
      <c r="C517" s="5"/>
      <c r="D517" s="5"/>
      <c r="E517" s="5"/>
      <c r="F517" s="5"/>
      <c r="G517" s="5"/>
      <c r="H517" s="5"/>
      <c r="I517" s="5"/>
      <c r="J517" s="5"/>
      <c r="K517" s="5"/>
      <c r="L517" s="5"/>
      <c r="M517" s="5"/>
      <c r="N517" s="5"/>
      <c r="O517" s="5"/>
      <c r="P517" s="5"/>
      <c r="Q517" s="5"/>
      <c r="R517" s="5"/>
      <c r="S517" s="5"/>
    </row>
    <row r="518" spans="1:19">
      <c r="A518" s="5"/>
      <c r="B518" s="5"/>
      <c r="C518" s="5"/>
      <c r="D518" s="5"/>
      <c r="E518" s="5"/>
      <c r="F518" s="5"/>
      <c r="G518" s="5"/>
      <c r="H518" s="5"/>
      <c r="I518" s="5"/>
      <c r="J518" s="5"/>
      <c r="K518" s="5"/>
      <c r="L518" s="5"/>
      <c r="M518" s="5"/>
      <c r="N518" s="5"/>
      <c r="O518" s="5"/>
      <c r="P518" s="5"/>
      <c r="Q518" s="5"/>
      <c r="R518" s="5"/>
      <c r="S518" s="5"/>
    </row>
    <row r="519" spans="1:19">
      <c r="A519" s="5"/>
      <c r="B519" s="5"/>
      <c r="C519" s="5"/>
      <c r="D519" s="5"/>
      <c r="E519" s="5"/>
      <c r="F519" s="5"/>
      <c r="G519" s="5"/>
      <c r="H519" s="5"/>
      <c r="I519" s="5"/>
      <c r="J519" s="5"/>
      <c r="K519" s="5"/>
      <c r="L519" s="5"/>
      <c r="M519" s="5"/>
      <c r="N519" s="5"/>
      <c r="O519" s="5"/>
      <c r="P519" s="5"/>
      <c r="Q519" s="5"/>
      <c r="R519" s="5"/>
      <c r="S519" s="5"/>
    </row>
    <row r="520" spans="1:19">
      <c r="A520" s="5"/>
      <c r="B520" s="5"/>
      <c r="C520" s="5"/>
      <c r="D520" s="5"/>
      <c r="E520" s="5"/>
      <c r="F520" s="5"/>
      <c r="G520" s="5"/>
      <c r="H520" s="5"/>
      <c r="I520" s="5"/>
      <c r="J520" s="5"/>
      <c r="K520" s="5"/>
      <c r="L520" s="5"/>
      <c r="M520" s="5"/>
      <c r="N520" s="5"/>
      <c r="O520" s="5"/>
      <c r="P520" s="5"/>
      <c r="Q520" s="5"/>
      <c r="R520" s="5"/>
      <c r="S520" s="5"/>
    </row>
    <row r="521" spans="1:19">
      <c r="A521" s="5"/>
      <c r="B521" s="5"/>
      <c r="C521" s="5"/>
      <c r="D521" s="5"/>
      <c r="E521" s="5"/>
      <c r="F521" s="5"/>
      <c r="G521" s="5"/>
      <c r="H521" s="5"/>
      <c r="I521" s="5"/>
      <c r="J521" s="5"/>
      <c r="K521" s="5"/>
      <c r="L521" s="5"/>
      <c r="M521" s="5"/>
      <c r="N521" s="5"/>
      <c r="O521" s="5"/>
      <c r="P521" s="5"/>
      <c r="Q521" s="5"/>
      <c r="R521" s="5"/>
      <c r="S521" s="5"/>
    </row>
    <row r="522" spans="1:19">
      <c r="A522" s="5"/>
      <c r="B522" s="5"/>
      <c r="C522" s="5"/>
      <c r="D522" s="5"/>
      <c r="E522" s="5"/>
      <c r="F522" s="5"/>
      <c r="G522" s="5"/>
      <c r="H522" s="5"/>
      <c r="I522" s="5"/>
      <c r="J522" s="5"/>
      <c r="K522" s="5"/>
      <c r="L522" s="5"/>
      <c r="M522" s="5"/>
      <c r="N522" s="5"/>
      <c r="O522" s="5"/>
      <c r="P522" s="5"/>
      <c r="Q522" s="5"/>
      <c r="R522" s="5"/>
      <c r="S522" s="5"/>
    </row>
    <row r="523" spans="1:19">
      <c r="A523" s="5"/>
      <c r="B523" s="5"/>
      <c r="C523" s="5"/>
      <c r="D523" s="5"/>
      <c r="E523" s="5"/>
      <c r="F523" s="5"/>
      <c r="G523" s="5"/>
      <c r="H523" s="5"/>
      <c r="I523" s="5"/>
      <c r="J523" s="5"/>
      <c r="K523" s="5"/>
      <c r="L523" s="5"/>
      <c r="M523" s="5"/>
      <c r="N523" s="5"/>
      <c r="O523" s="5"/>
      <c r="P523" s="5"/>
      <c r="Q523" s="5"/>
      <c r="R523" s="5"/>
      <c r="S523" s="5"/>
    </row>
    <row r="524" spans="1:19">
      <c r="A524" s="5"/>
      <c r="B524" s="5"/>
      <c r="C524" s="5"/>
      <c r="D524" s="5"/>
      <c r="E524" s="5"/>
      <c r="F524" s="5"/>
      <c r="G524" s="5"/>
      <c r="H524" s="5"/>
      <c r="I524" s="5"/>
      <c r="J524" s="5"/>
      <c r="K524" s="5"/>
      <c r="L524" s="5"/>
      <c r="M524" s="5"/>
      <c r="N524" s="5"/>
      <c r="O524" s="5"/>
      <c r="P524" s="5"/>
      <c r="Q524" s="5"/>
      <c r="R524" s="5"/>
      <c r="S524" s="5"/>
    </row>
    <row r="525" spans="1:19">
      <c r="A525" s="5"/>
      <c r="B525" s="5"/>
      <c r="C525" s="5"/>
      <c r="D525" s="5"/>
      <c r="E525" s="5"/>
      <c r="F525" s="5"/>
      <c r="G525" s="5"/>
      <c r="H525" s="5"/>
      <c r="I525" s="5"/>
      <c r="J525" s="5"/>
      <c r="K525" s="5"/>
      <c r="L525" s="5"/>
      <c r="M525" s="5"/>
      <c r="N525" s="5"/>
      <c r="O525" s="5"/>
      <c r="P525" s="5"/>
      <c r="Q525" s="5"/>
      <c r="R525" s="5"/>
      <c r="S525" s="5"/>
    </row>
    <row r="526" spans="1:19">
      <c r="A526" s="5"/>
      <c r="B526" s="5"/>
      <c r="C526" s="5"/>
      <c r="D526" s="5"/>
      <c r="E526" s="5"/>
      <c r="F526" s="5"/>
      <c r="G526" s="5"/>
      <c r="H526" s="5"/>
      <c r="I526" s="5"/>
      <c r="J526" s="5"/>
      <c r="K526" s="5"/>
      <c r="L526" s="5"/>
      <c r="M526" s="5"/>
      <c r="N526" s="5"/>
      <c r="O526" s="5"/>
      <c r="P526" s="5"/>
      <c r="Q526" s="5"/>
      <c r="R526" s="5"/>
      <c r="S526" s="5"/>
    </row>
    <row r="527" spans="1:19">
      <c r="A527" s="5"/>
      <c r="B527" s="5"/>
      <c r="C527" s="5"/>
      <c r="D527" s="5"/>
      <c r="E527" s="5"/>
      <c r="F527" s="5"/>
      <c r="G527" s="5"/>
      <c r="H527" s="5"/>
      <c r="I527" s="5"/>
      <c r="J527" s="5"/>
      <c r="K527" s="5"/>
      <c r="L527" s="5"/>
      <c r="M527" s="5"/>
      <c r="N527" s="5"/>
      <c r="O527" s="5"/>
      <c r="P527" s="5"/>
      <c r="Q527" s="5"/>
      <c r="R527" s="5"/>
      <c r="S527" s="5"/>
    </row>
    <row r="528" spans="1:19">
      <c r="A528" s="5"/>
      <c r="B528" s="5"/>
      <c r="C528" s="5"/>
      <c r="D528" s="5"/>
      <c r="E528" s="5"/>
      <c r="F528" s="5"/>
      <c r="G528" s="5"/>
      <c r="H528" s="5"/>
      <c r="I528" s="5"/>
      <c r="J528" s="5"/>
      <c r="K528" s="5"/>
      <c r="L528" s="5"/>
      <c r="M528" s="5"/>
      <c r="N528" s="5"/>
      <c r="O528" s="5"/>
      <c r="P528" s="5"/>
      <c r="Q528" s="5"/>
      <c r="R528" s="5"/>
      <c r="S528" s="5"/>
    </row>
    <row r="529" spans="1:19">
      <c r="A529" s="5"/>
      <c r="B529" s="5"/>
      <c r="C529" s="5"/>
      <c r="D529" s="5"/>
      <c r="E529" s="5"/>
      <c r="F529" s="5"/>
      <c r="G529" s="5"/>
      <c r="H529" s="5"/>
      <c r="I529" s="5"/>
      <c r="J529" s="5"/>
      <c r="K529" s="5"/>
      <c r="L529" s="5"/>
      <c r="M529" s="5"/>
      <c r="N529" s="5"/>
      <c r="O529" s="5"/>
      <c r="P529" s="5"/>
      <c r="Q529" s="5"/>
      <c r="R529" s="5"/>
      <c r="S529" s="5"/>
    </row>
    <row r="530" spans="1:19">
      <c r="A530" s="5"/>
      <c r="B530" s="5"/>
      <c r="C530" s="5"/>
      <c r="D530" s="5"/>
      <c r="E530" s="5"/>
      <c r="F530" s="5"/>
      <c r="G530" s="5"/>
      <c r="H530" s="5"/>
      <c r="I530" s="5"/>
      <c r="J530" s="5"/>
      <c r="K530" s="5"/>
      <c r="L530" s="5"/>
      <c r="M530" s="5"/>
      <c r="N530" s="5"/>
      <c r="O530" s="5"/>
      <c r="P530" s="5"/>
      <c r="Q530" s="5"/>
      <c r="R530" s="5"/>
      <c r="S530" s="5"/>
    </row>
    <row r="531" spans="1:19">
      <c r="A531" s="5"/>
      <c r="B531" s="5"/>
      <c r="C531" s="5"/>
      <c r="D531" s="5"/>
      <c r="E531" s="5"/>
      <c r="F531" s="5"/>
      <c r="G531" s="5"/>
      <c r="H531" s="5"/>
      <c r="I531" s="5"/>
      <c r="J531" s="5"/>
      <c r="K531" s="5"/>
      <c r="L531" s="5"/>
      <c r="M531" s="5"/>
      <c r="N531" s="5"/>
      <c r="O531" s="5"/>
      <c r="P531" s="5"/>
      <c r="Q531" s="5"/>
      <c r="R531" s="5"/>
      <c r="S531" s="5"/>
    </row>
    <row r="532" spans="1:19">
      <c r="A532" s="5"/>
      <c r="B532" s="5"/>
      <c r="C532" s="5"/>
      <c r="D532" s="5"/>
      <c r="E532" s="5"/>
      <c r="F532" s="5"/>
      <c r="G532" s="5"/>
      <c r="H532" s="5"/>
      <c r="I532" s="5"/>
      <c r="J532" s="5"/>
      <c r="K532" s="5"/>
      <c r="L532" s="5"/>
      <c r="M532" s="5"/>
      <c r="N532" s="5"/>
      <c r="O532" s="5"/>
      <c r="P532" s="5"/>
      <c r="Q532" s="5"/>
      <c r="R532" s="5"/>
      <c r="S532" s="5"/>
    </row>
    <row r="533" spans="1:19">
      <c r="A533" s="5"/>
      <c r="B533" s="5"/>
      <c r="C533" s="5"/>
      <c r="D533" s="5"/>
      <c r="E533" s="5"/>
      <c r="F533" s="5"/>
      <c r="G533" s="5"/>
      <c r="H533" s="5"/>
      <c r="I533" s="5"/>
      <c r="J533" s="5"/>
      <c r="K533" s="5"/>
      <c r="L533" s="5"/>
      <c r="M533" s="5"/>
      <c r="N533" s="5"/>
      <c r="O533" s="5"/>
      <c r="P533" s="5"/>
      <c r="Q533" s="5"/>
      <c r="R533" s="5"/>
      <c r="S533" s="5"/>
    </row>
    <row r="534" spans="1:19">
      <c r="A534" s="5"/>
      <c r="B534" s="5"/>
      <c r="C534" s="5"/>
      <c r="D534" s="5"/>
      <c r="E534" s="5"/>
      <c r="F534" s="5"/>
      <c r="G534" s="5"/>
      <c r="H534" s="5"/>
      <c r="I534" s="5"/>
      <c r="J534" s="5"/>
      <c r="K534" s="5"/>
      <c r="L534" s="5"/>
      <c r="M534" s="5"/>
      <c r="N534" s="5"/>
      <c r="O534" s="5"/>
      <c r="P534" s="5"/>
      <c r="Q534" s="5"/>
      <c r="R534" s="5"/>
      <c r="S534" s="5"/>
    </row>
    <row r="535" spans="1:19">
      <c r="A535" s="5"/>
      <c r="B535" s="5"/>
      <c r="C535" s="5"/>
      <c r="D535" s="5"/>
      <c r="E535" s="5"/>
      <c r="F535" s="5"/>
      <c r="G535" s="5"/>
      <c r="H535" s="5"/>
      <c r="I535" s="5"/>
      <c r="J535" s="5"/>
      <c r="K535" s="5"/>
      <c r="L535" s="5"/>
      <c r="M535" s="5"/>
      <c r="N535" s="5"/>
      <c r="O535" s="5"/>
      <c r="P535" s="5"/>
      <c r="Q535" s="5"/>
      <c r="R535" s="5"/>
      <c r="S535" s="5"/>
    </row>
    <row r="536" spans="1:19">
      <c r="A536" s="5"/>
      <c r="B536" s="5"/>
      <c r="C536" s="5"/>
      <c r="D536" s="5"/>
      <c r="E536" s="5"/>
      <c r="F536" s="5"/>
      <c r="G536" s="5"/>
      <c r="H536" s="5"/>
      <c r="I536" s="5"/>
      <c r="J536" s="5"/>
      <c r="K536" s="5"/>
      <c r="L536" s="5"/>
      <c r="M536" s="5"/>
      <c r="N536" s="5"/>
      <c r="O536" s="5"/>
      <c r="P536" s="5"/>
      <c r="Q536" s="5"/>
      <c r="R536" s="5"/>
      <c r="S536" s="5"/>
    </row>
    <row r="537" spans="1:19">
      <c r="A537" s="5"/>
      <c r="B537" s="5"/>
      <c r="C537" s="5"/>
      <c r="D537" s="5"/>
      <c r="E537" s="5"/>
      <c r="F537" s="5"/>
      <c r="G537" s="5"/>
      <c r="H537" s="5"/>
      <c r="I537" s="5"/>
      <c r="J537" s="5"/>
      <c r="K537" s="5"/>
      <c r="L537" s="5"/>
      <c r="M537" s="5"/>
      <c r="N537" s="5"/>
      <c r="O537" s="5"/>
      <c r="P537" s="5"/>
      <c r="Q537" s="5"/>
      <c r="R537" s="5"/>
      <c r="S537" s="5"/>
    </row>
    <row r="538" spans="1:19">
      <c r="A538" s="5"/>
      <c r="B538" s="5"/>
      <c r="C538" s="5"/>
      <c r="D538" s="5"/>
      <c r="E538" s="5"/>
      <c r="F538" s="5"/>
      <c r="G538" s="5"/>
      <c r="H538" s="5"/>
      <c r="I538" s="5"/>
      <c r="J538" s="5"/>
      <c r="K538" s="5"/>
      <c r="L538" s="5"/>
      <c r="M538" s="5"/>
      <c r="N538" s="5"/>
      <c r="O538" s="5"/>
      <c r="P538" s="5"/>
      <c r="Q538" s="5"/>
      <c r="R538" s="5"/>
      <c r="S538" s="5"/>
    </row>
    <row r="539" spans="1:19">
      <c r="A539" s="5"/>
      <c r="B539" s="5"/>
      <c r="C539" s="5"/>
      <c r="D539" s="5"/>
      <c r="E539" s="5"/>
      <c r="F539" s="5"/>
      <c r="G539" s="5"/>
      <c r="H539" s="5"/>
      <c r="I539" s="5"/>
      <c r="J539" s="5"/>
      <c r="K539" s="5"/>
      <c r="L539" s="5"/>
      <c r="M539" s="5"/>
      <c r="N539" s="5"/>
      <c r="O539" s="5"/>
      <c r="P539" s="5"/>
      <c r="Q539" s="5"/>
      <c r="R539" s="5"/>
      <c r="S539" s="5"/>
    </row>
    <row r="540" spans="1:19">
      <c r="A540" s="5"/>
      <c r="B540" s="5"/>
      <c r="C540" s="5"/>
      <c r="D540" s="5"/>
      <c r="E540" s="5"/>
      <c r="F540" s="5"/>
      <c r="G540" s="5"/>
      <c r="H540" s="5"/>
      <c r="I540" s="5"/>
      <c r="J540" s="5"/>
      <c r="K540" s="5"/>
      <c r="L540" s="5"/>
      <c r="M540" s="5"/>
      <c r="N540" s="5"/>
      <c r="O540" s="5"/>
      <c r="P540" s="5"/>
      <c r="Q540" s="5"/>
      <c r="R540" s="5"/>
      <c r="S540" s="5"/>
    </row>
    <row r="541" spans="1:19">
      <c r="A541" s="5"/>
      <c r="B541" s="5"/>
      <c r="C541" s="5"/>
      <c r="D541" s="5"/>
      <c r="E541" s="5"/>
      <c r="F541" s="5"/>
      <c r="G541" s="5"/>
      <c r="H541" s="5"/>
      <c r="I541" s="5"/>
      <c r="J541" s="5"/>
      <c r="K541" s="5"/>
      <c r="L541" s="5"/>
      <c r="M541" s="5"/>
      <c r="N541" s="5"/>
      <c r="O541" s="5"/>
      <c r="P541" s="5"/>
      <c r="Q541" s="5"/>
      <c r="R541" s="5"/>
      <c r="S541" s="5"/>
    </row>
    <row r="542" spans="1:19">
      <c r="A542" s="5"/>
      <c r="B542" s="5"/>
      <c r="C542" s="5"/>
      <c r="D542" s="5"/>
      <c r="E542" s="5"/>
      <c r="F542" s="5"/>
      <c r="G542" s="5"/>
      <c r="H542" s="5"/>
      <c r="I542" s="5"/>
      <c r="J542" s="5"/>
      <c r="K542" s="5"/>
      <c r="L542" s="5"/>
      <c r="M542" s="5"/>
      <c r="N542" s="5"/>
      <c r="O542" s="5"/>
      <c r="P542" s="5"/>
      <c r="Q542" s="5"/>
      <c r="R542" s="5"/>
      <c r="S542" s="5"/>
    </row>
    <row r="543" spans="1:19">
      <c r="A543" s="5"/>
      <c r="B543" s="5"/>
      <c r="C543" s="5"/>
      <c r="D543" s="5"/>
      <c r="E543" s="5"/>
      <c r="F543" s="5"/>
      <c r="G543" s="5"/>
      <c r="H543" s="5"/>
      <c r="I543" s="5"/>
      <c r="J543" s="5"/>
      <c r="K543" s="5"/>
      <c r="L543" s="5"/>
      <c r="M543" s="5"/>
      <c r="N543" s="5"/>
      <c r="O543" s="5"/>
      <c r="P543" s="5"/>
      <c r="Q543" s="5"/>
      <c r="R543" s="5"/>
      <c r="S543" s="5"/>
    </row>
    <row r="544" spans="1:19">
      <c r="A544" s="5"/>
      <c r="B544" s="5"/>
      <c r="C544" s="5"/>
      <c r="D544" s="5"/>
      <c r="E544" s="5"/>
      <c r="F544" s="5"/>
      <c r="G544" s="5"/>
      <c r="H544" s="5"/>
      <c r="I544" s="5"/>
      <c r="J544" s="5"/>
      <c r="K544" s="5"/>
      <c r="L544" s="5"/>
      <c r="M544" s="5"/>
      <c r="N544" s="5"/>
      <c r="O544" s="5"/>
      <c r="P544" s="5"/>
      <c r="Q544" s="5"/>
      <c r="R544" s="5"/>
      <c r="S544" s="5"/>
    </row>
    <row r="545" spans="1:19">
      <c r="A545" s="5"/>
      <c r="B545" s="5"/>
      <c r="C545" s="5"/>
      <c r="D545" s="5"/>
      <c r="E545" s="5"/>
      <c r="F545" s="5"/>
      <c r="G545" s="5"/>
      <c r="H545" s="5"/>
      <c r="I545" s="5"/>
      <c r="J545" s="5"/>
      <c r="K545" s="5"/>
      <c r="L545" s="5"/>
      <c r="M545" s="5"/>
      <c r="N545" s="5"/>
      <c r="O545" s="5"/>
      <c r="P545" s="5"/>
      <c r="Q545" s="5"/>
      <c r="R545" s="5"/>
      <c r="S545" s="5"/>
    </row>
    <row r="546" spans="1:19">
      <c r="A546" s="5"/>
      <c r="B546" s="5"/>
      <c r="C546" s="5"/>
      <c r="D546" s="5"/>
      <c r="E546" s="5"/>
      <c r="F546" s="5"/>
      <c r="G546" s="5"/>
      <c r="H546" s="5"/>
      <c r="I546" s="5"/>
      <c r="J546" s="5"/>
      <c r="K546" s="5"/>
      <c r="L546" s="5"/>
      <c r="M546" s="5"/>
      <c r="N546" s="5"/>
      <c r="O546" s="5"/>
      <c r="P546" s="5"/>
      <c r="Q546" s="5"/>
      <c r="R546" s="5"/>
      <c r="S546" s="5"/>
    </row>
    <row r="547" spans="1:19">
      <c r="A547" s="5"/>
      <c r="B547" s="5"/>
      <c r="C547" s="5"/>
      <c r="D547" s="5"/>
      <c r="E547" s="5"/>
      <c r="F547" s="5"/>
      <c r="G547" s="5"/>
      <c r="H547" s="5"/>
      <c r="I547" s="5"/>
      <c r="J547" s="5"/>
      <c r="K547" s="5"/>
      <c r="L547" s="5"/>
      <c r="M547" s="5"/>
      <c r="N547" s="5"/>
      <c r="O547" s="5"/>
      <c r="P547" s="5"/>
      <c r="Q547" s="5"/>
      <c r="R547" s="5"/>
      <c r="S547" s="5"/>
    </row>
    <row r="548" spans="1:19">
      <c r="A548" s="5"/>
      <c r="B548" s="5"/>
      <c r="C548" s="5"/>
      <c r="D548" s="5"/>
      <c r="E548" s="5"/>
      <c r="F548" s="5"/>
      <c r="G548" s="5"/>
      <c r="H548" s="5"/>
      <c r="I548" s="5"/>
      <c r="J548" s="5"/>
      <c r="K548" s="5"/>
      <c r="L548" s="5"/>
      <c r="M548" s="5"/>
      <c r="N548" s="5"/>
      <c r="O548" s="5"/>
      <c r="P548" s="5"/>
      <c r="Q548" s="5"/>
      <c r="R548" s="5"/>
      <c r="S548" s="5"/>
    </row>
    <row r="549" spans="1:19">
      <c r="A549" s="5"/>
      <c r="B549" s="5"/>
      <c r="C549" s="5"/>
      <c r="D549" s="5"/>
      <c r="E549" s="5"/>
      <c r="F549" s="5"/>
      <c r="G549" s="5"/>
      <c r="H549" s="5"/>
      <c r="I549" s="5"/>
      <c r="J549" s="5"/>
      <c r="K549" s="5"/>
      <c r="L549" s="5"/>
      <c r="M549" s="5"/>
      <c r="N549" s="5"/>
      <c r="O549" s="5"/>
      <c r="P549" s="5"/>
      <c r="Q549" s="5"/>
      <c r="R549" s="5"/>
      <c r="S549" s="5"/>
    </row>
    <row r="550" spans="1:19">
      <c r="A550" s="5"/>
      <c r="B550" s="5"/>
      <c r="C550" s="5"/>
      <c r="D550" s="5"/>
      <c r="E550" s="5"/>
      <c r="F550" s="5"/>
      <c r="G550" s="5"/>
      <c r="H550" s="5"/>
      <c r="I550" s="5"/>
      <c r="J550" s="5"/>
      <c r="K550" s="5"/>
      <c r="L550" s="5"/>
      <c r="M550" s="5"/>
      <c r="N550" s="5"/>
      <c r="O550" s="5"/>
      <c r="P550" s="5"/>
      <c r="Q550" s="5"/>
      <c r="R550" s="5"/>
      <c r="S550" s="5"/>
    </row>
    <row r="551" spans="1:19">
      <c r="A551" s="5"/>
      <c r="B551" s="5"/>
      <c r="C551" s="5"/>
      <c r="D551" s="5"/>
      <c r="E551" s="5"/>
      <c r="F551" s="5"/>
      <c r="G551" s="5"/>
      <c r="H551" s="5"/>
      <c r="I551" s="5"/>
      <c r="J551" s="5"/>
      <c r="K551" s="5"/>
      <c r="L551" s="5"/>
      <c r="M551" s="5"/>
      <c r="N551" s="5"/>
      <c r="O551" s="5"/>
      <c r="P551" s="5"/>
      <c r="Q551" s="5"/>
      <c r="R551" s="5"/>
      <c r="S551" s="5"/>
    </row>
    <row r="552" spans="1:19">
      <c r="A552" s="5"/>
      <c r="B552" s="5"/>
      <c r="C552" s="5"/>
      <c r="D552" s="5"/>
      <c r="E552" s="5"/>
      <c r="F552" s="5"/>
      <c r="G552" s="5"/>
      <c r="H552" s="5"/>
      <c r="I552" s="5"/>
      <c r="J552" s="5"/>
      <c r="K552" s="5"/>
      <c r="L552" s="5"/>
      <c r="M552" s="5"/>
      <c r="N552" s="5"/>
      <c r="O552" s="5"/>
      <c r="P552" s="5"/>
      <c r="Q552" s="5"/>
      <c r="R552" s="5"/>
      <c r="S552" s="5"/>
    </row>
    <row r="553" spans="1:19">
      <c r="A553" s="5"/>
      <c r="B553" s="5"/>
      <c r="C553" s="5"/>
      <c r="D553" s="5"/>
      <c r="E553" s="5"/>
      <c r="F553" s="5"/>
      <c r="G553" s="5"/>
      <c r="H553" s="5"/>
      <c r="I553" s="5"/>
      <c r="J553" s="5"/>
      <c r="K553" s="5"/>
      <c r="L553" s="5"/>
      <c r="M553" s="5"/>
      <c r="N553" s="5"/>
      <c r="O553" s="5"/>
      <c r="P553" s="5"/>
      <c r="Q553" s="5"/>
      <c r="R553" s="5"/>
      <c r="S553" s="5"/>
    </row>
    <row r="554" spans="1:19">
      <c r="A554" s="5"/>
      <c r="B554" s="5"/>
      <c r="C554" s="5"/>
      <c r="D554" s="5"/>
      <c r="E554" s="5"/>
      <c r="F554" s="5"/>
      <c r="G554" s="5"/>
      <c r="H554" s="5"/>
      <c r="I554" s="5"/>
      <c r="J554" s="5"/>
      <c r="K554" s="5"/>
      <c r="L554" s="5"/>
      <c r="M554" s="5"/>
      <c r="N554" s="5"/>
      <c r="O554" s="5"/>
      <c r="P554" s="5"/>
      <c r="Q554" s="5"/>
      <c r="R554" s="5"/>
      <c r="S554" s="5"/>
    </row>
    <row r="555" spans="1:19">
      <c r="A555" s="5"/>
      <c r="B555" s="5"/>
      <c r="C555" s="5"/>
      <c r="D555" s="5"/>
      <c r="E555" s="5"/>
      <c r="F555" s="5"/>
      <c r="G555" s="5"/>
      <c r="H555" s="5"/>
      <c r="I555" s="5"/>
      <c r="J555" s="5"/>
      <c r="K555" s="5"/>
      <c r="L555" s="5"/>
      <c r="M555" s="5"/>
      <c r="N555" s="5"/>
      <c r="O555" s="5"/>
      <c r="P555" s="5"/>
      <c r="Q555" s="5"/>
      <c r="R555" s="5"/>
      <c r="S555" s="5"/>
    </row>
    <row r="556" spans="1:19">
      <c r="A556" s="5"/>
      <c r="B556" s="5"/>
      <c r="C556" s="5"/>
      <c r="D556" s="5"/>
      <c r="E556" s="5"/>
      <c r="F556" s="5"/>
      <c r="G556" s="5"/>
      <c r="H556" s="5"/>
      <c r="I556" s="5"/>
      <c r="J556" s="5"/>
      <c r="K556" s="5"/>
      <c r="L556" s="5"/>
      <c r="M556" s="5"/>
      <c r="N556" s="5"/>
      <c r="O556" s="5"/>
      <c r="P556" s="5"/>
      <c r="Q556" s="5"/>
      <c r="R556" s="5"/>
      <c r="S556" s="5"/>
    </row>
    <row r="557" spans="1:19">
      <c r="A557" s="5"/>
      <c r="B557" s="5"/>
      <c r="C557" s="5"/>
      <c r="D557" s="5"/>
      <c r="E557" s="5"/>
      <c r="F557" s="5"/>
      <c r="G557" s="5"/>
      <c r="H557" s="5"/>
      <c r="I557" s="5"/>
      <c r="J557" s="5"/>
      <c r="K557" s="5"/>
      <c r="L557" s="5"/>
      <c r="M557" s="5"/>
      <c r="N557" s="5"/>
      <c r="O557" s="5"/>
      <c r="P557" s="5"/>
      <c r="Q557" s="5"/>
      <c r="R557" s="5"/>
      <c r="S557" s="5"/>
    </row>
    <row r="558" spans="1:19">
      <c r="A558" s="5"/>
      <c r="B558" s="5"/>
      <c r="C558" s="5"/>
      <c r="D558" s="5"/>
      <c r="E558" s="5"/>
      <c r="F558" s="5"/>
      <c r="G558" s="5"/>
      <c r="H558" s="5"/>
      <c r="I558" s="5"/>
      <c r="J558" s="5"/>
      <c r="K558" s="5"/>
      <c r="L558" s="5"/>
      <c r="M558" s="5"/>
      <c r="N558" s="5"/>
      <c r="O558" s="5"/>
      <c r="P558" s="5"/>
      <c r="Q558" s="5"/>
      <c r="R558" s="5"/>
      <c r="S558" s="5"/>
    </row>
    <row r="559" spans="1:19">
      <c r="A559" s="5"/>
      <c r="B559" s="5"/>
      <c r="C559" s="5"/>
      <c r="D559" s="5"/>
      <c r="E559" s="5"/>
      <c r="F559" s="5"/>
      <c r="G559" s="5"/>
      <c r="H559" s="5"/>
      <c r="I559" s="5"/>
      <c r="J559" s="5"/>
      <c r="K559" s="5"/>
      <c r="L559" s="5"/>
      <c r="M559" s="5"/>
      <c r="N559" s="5"/>
      <c r="O559" s="5"/>
      <c r="P559" s="5"/>
      <c r="Q559" s="5"/>
      <c r="R559" s="5"/>
      <c r="S559" s="5"/>
    </row>
    <row r="560" spans="1:19">
      <c r="A560" s="5"/>
      <c r="B560" s="5"/>
      <c r="C560" s="5"/>
      <c r="D560" s="5"/>
      <c r="E560" s="5"/>
      <c r="F560" s="5"/>
      <c r="G560" s="5"/>
      <c r="H560" s="5"/>
      <c r="I560" s="5"/>
      <c r="J560" s="5"/>
      <c r="K560" s="5"/>
      <c r="L560" s="5"/>
      <c r="M560" s="5"/>
      <c r="N560" s="5"/>
      <c r="O560" s="5"/>
      <c r="P560" s="5"/>
      <c r="Q560" s="5"/>
      <c r="R560" s="5"/>
      <c r="S560" s="5"/>
    </row>
    <row r="561" spans="1:19">
      <c r="A561" s="5"/>
      <c r="B561" s="5"/>
      <c r="C561" s="5"/>
      <c r="D561" s="5"/>
      <c r="E561" s="5"/>
      <c r="F561" s="5"/>
      <c r="G561" s="5"/>
      <c r="H561" s="5"/>
      <c r="I561" s="5"/>
      <c r="J561" s="5"/>
      <c r="K561" s="5"/>
      <c r="L561" s="5"/>
      <c r="M561" s="5"/>
      <c r="N561" s="5"/>
      <c r="O561" s="5"/>
      <c r="P561" s="5"/>
      <c r="Q561" s="5"/>
      <c r="R561" s="5"/>
      <c r="S561" s="5"/>
    </row>
    <row r="562" spans="1:19">
      <c r="A562" s="5"/>
      <c r="B562" s="5"/>
      <c r="C562" s="5"/>
      <c r="D562" s="5"/>
      <c r="E562" s="5"/>
      <c r="F562" s="5"/>
      <c r="G562" s="5"/>
      <c r="H562" s="5"/>
      <c r="I562" s="5"/>
      <c r="J562" s="5"/>
      <c r="K562" s="5"/>
      <c r="L562" s="5"/>
      <c r="M562" s="5"/>
      <c r="N562" s="5"/>
      <c r="O562" s="5"/>
      <c r="P562" s="5"/>
      <c r="Q562" s="5"/>
      <c r="R562" s="5"/>
      <c r="S562" s="5"/>
    </row>
    <row r="563" spans="1:19">
      <c r="A563" s="5"/>
      <c r="B563" s="5"/>
      <c r="C563" s="5"/>
      <c r="D563" s="5"/>
      <c r="E563" s="5"/>
      <c r="F563" s="5"/>
      <c r="G563" s="5"/>
      <c r="H563" s="5"/>
      <c r="I563" s="5"/>
      <c r="J563" s="5"/>
      <c r="K563" s="5"/>
      <c r="L563" s="5"/>
      <c r="M563" s="5"/>
      <c r="N563" s="5"/>
      <c r="O563" s="5"/>
      <c r="P563" s="5"/>
      <c r="Q563" s="5"/>
      <c r="R563" s="5"/>
      <c r="S563" s="5"/>
    </row>
    <row r="564" spans="1:19">
      <c r="A564" s="5"/>
      <c r="B564" s="5"/>
      <c r="C564" s="5"/>
      <c r="D564" s="5"/>
      <c r="E564" s="5"/>
      <c r="F564" s="5"/>
      <c r="G564" s="5"/>
      <c r="H564" s="5"/>
      <c r="I564" s="5"/>
      <c r="J564" s="5"/>
      <c r="K564" s="5"/>
      <c r="L564" s="5"/>
      <c r="M564" s="5"/>
      <c r="N564" s="5"/>
      <c r="O564" s="5"/>
      <c r="P564" s="5"/>
      <c r="Q564" s="5"/>
      <c r="R564" s="5"/>
      <c r="S564" s="5"/>
    </row>
    <row r="565" spans="1:19">
      <c r="A565" s="5"/>
      <c r="B565" s="5"/>
      <c r="C565" s="5"/>
      <c r="D565" s="5"/>
      <c r="E565" s="5"/>
      <c r="F565" s="5"/>
      <c r="G565" s="5"/>
      <c r="H565" s="5"/>
      <c r="I565" s="5"/>
      <c r="J565" s="5"/>
      <c r="K565" s="5"/>
      <c r="L565" s="5"/>
      <c r="M565" s="5"/>
      <c r="N565" s="5"/>
      <c r="O565" s="5"/>
      <c r="P565" s="5"/>
      <c r="Q565" s="5"/>
      <c r="R565" s="5"/>
      <c r="S565" s="5"/>
    </row>
    <row r="566" spans="1:19">
      <c r="A566" s="5"/>
      <c r="B566" s="5"/>
      <c r="C566" s="5"/>
      <c r="D566" s="5"/>
      <c r="E566" s="5"/>
      <c r="F566" s="5"/>
      <c r="G566" s="5"/>
      <c r="H566" s="5"/>
      <c r="I566" s="5"/>
      <c r="J566" s="5"/>
      <c r="K566" s="5"/>
      <c r="L566" s="5"/>
      <c r="M566" s="5"/>
      <c r="N566" s="5"/>
      <c r="O566" s="5"/>
      <c r="P566" s="5"/>
      <c r="Q566" s="5"/>
      <c r="R566" s="5"/>
      <c r="S566" s="5"/>
    </row>
    <row r="567" spans="1:19">
      <c r="A567" s="5"/>
      <c r="B567" s="5"/>
      <c r="C567" s="5"/>
      <c r="D567" s="5"/>
      <c r="E567" s="5"/>
      <c r="F567" s="5"/>
      <c r="G567" s="5"/>
      <c r="H567" s="5"/>
      <c r="I567" s="5"/>
      <c r="J567" s="5"/>
      <c r="K567" s="5"/>
      <c r="L567" s="5"/>
      <c r="M567" s="5"/>
      <c r="N567" s="5"/>
      <c r="O567" s="5"/>
      <c r="P567" s="5"/>
      <c r="Q567" s="5"/>
      <c r="R567" s="5"/>
      <c r="S567" s="5"/>
    </row>
    <row r="568" spans="1:19">
      <c r="A568" s="5"/>
      <c r="B568" s="5"/>
      <c r="C568" s="5"/>
      <c r="D568" s="5"/>
      <c r="E568" s="5"/>
      <c r="F568" s="5"/>
      <c r="G568" s="5"/>
      <c r="H568" s="5"/>
      <c r="I568" s="5"/>
      <c r="J568" s="5"/>
      <c r="K568" s="5"/>
      <c r="L568" s="5"/>
      <c r="M568" s="5"/>
      <c r="N568" s="5"/>
      <c r="O568" s="5"/>
      <c r="P568" s="5"/>
      <c r="Q568" s="5"/>
      <c r="R568" s="5"/>
      <c r="S568" s="5"/>
    </row>
    <row r="569" spans="1:19">
      <c r="A569" s="5"/>
      <c r="B569" s="5"/>
      <c r="C569" s="5"/>
      <c r="D569" s="5"/>
      <c r="E569" s="5"/>
      <c r="F569" s="5"/>
      <c r="G569" s="5"/>
      <c r="H569" s="5"/>
      <c r="I569" s="5"/>
      <c r="J569" s="5"/>
      <c r="K569" s="5"/>
      <c r="L569" s="5"/>
      <c r="M569" s="5"/>
      <c r="N569" s="5"/>
      <c r="O569" s="5"/>
      <c r="P569" s="5"/>
      <c r="Q569" s="5"/>
      <c r="R569" s="5"/>
      <c r="S569" s="5"/>
    </row>
    <row r="570" spans="1:19">
      <c r="A570" s="5"/>
      <c r="B570" s="5"/>
      <c r="C570" s="5"/>
      <c r="D570" s="5"/>
      <c r="E570" s="5"/>
      <c r="F570" s="5"/>
      <c r="G570" s="5"/>
      <c r="H570" s="5"/>
      <c r="I570" s="5"/>
      <c r="J570" s="5"/>
      <c r="K570" s="5"/>
      <c r="L570" s="5"/>
      <c r="M570" s="5"/>
      <c r="N570" s="5"/>
      <c r="O570" s="5"/>
      <c r="P570" s="5"/>
      <c r="Q570" s="5"/>
      <c r="R570" s="5"/>
      <c r="S570" s="5"/>
    </row>
    <row r="571" spans="1:19">
      <c r="A571" s="5"/>
      <c r="B571" s="5"/>
      <c r="C571" s="5"/>
      <c r="D571" s="5"/>
      <c r="E571" s="5"/>
      <c r="F571" s="5"/>
      <c r="G571" s="5"/>
      <c r="H571" s="5"/>
      <c r="I571" s="5"/>
      <c r="J571" s="5"/>
      <c r="K571" s="5"/>
      <c r="L571" s="5"/>
      <c r="M571" s="5"/>
      <c r="N571" s="5"/>
      <c r="O571" s="5"/>
      <c r="P571" s="5"/>
      <c r="Q571" s="5"/>
      <c r="R571" s="5"/>
      <c r="S571" s="5"/>
    </row>
    <row r="572" spans="1:19">
      <c r="A572" s="5"/>
      <c r="B572" s="5"/>
      <c r="C572" s="5"/>
      <c r="D572" s="5"/>
      <c r="E572" s="5"/>
      <c r="F572" s="5"/>
      <c r="G572" s="5"/>
      <c r="H572" s="5"/>
      <c r="I572" s="5"/>
      <c r="J572" s="5"/>
      <c r="K572" s="5"/>
      <c r="L572" s="5"/>
      <c r="M572" s="5"/>
      <c r="N572" s="5"/>
      <c r="O572" s="5"/>
      <c r="P572" s="5"/>
      <c r="Q572" s="5"/>
      <c r="R572" s="5"/>
      <c r="S572" s="5"/>
    </row>
    <row r="573" spans="1:19">
      <c r="A573" s="5"/>
      <c r="B573" s="5"/>
      <c r="C573" s="5"/>
      <c r="D573" s="5"/>
      <c r="E573" s="5"/>
      <c r="F573" s="5"/>
      <c r="G573" s="5"/>
      <c r="H573" s="5"/>
      <c r="I573" s="5"/>
      <c r="J573" s="5"/>
      <c r="K573" s="5"/>
      <c r="L573" s="5"/>
      <c r="M573" s="5"/>
      <c r="N573" s="5"/>
      <c r="O573" s="5"/>
      <c r="P573" s="5"/>
      <c r="Q573" s="5"/>
      <c r="R573" s="5"/>
      <c r="S573" s="5"/>
    </row>
    <row r="574" spans="1:19">
      <c r="A574" s="5"/>
      <c r="B574" s="5"/>
      <c r="C574" s="5"/>
      <c r="D574" s="5"/>
      <c r="E574" s="5"/>
      <c r="F574" s="5"/>
      <c r="G574" s="5"/>
      <c r="H574" s="5"/>
      <c r="I574" s="5"/>
      <c r="J574" s="5"/>
      <c r="K574" s="5"/>
      <c r="L574" s="5"/>
      <c r="M574" s="5"/>
      <c r="N574" s="5"/>
      <c r="O574" s="5"/>
      <c r="P574" s="5"/>
      <c r="Q574" s="5"/>
      <c r="R574" s="5"/>
      <c r="S574" s="5"/>
    </row>
    <row r="575" spans="1:19">
      <c r="A575" s="5"/>
      <c r="B575" s="5"/>
      <c r="C575" s="5"/>
      <c r="D575" s="5"/>
      <c r="E575" s="5"/>
      <c r="F575" s="5"/>
      <c r="G575" s="5"/>
      <c r="H575" s="5"/>
      <c r="I575" s="5"/>
      <c r="J575" s="5"/>
      <c r="K575" s="5"/>
      <c r="L575" s="5"/>
      <c r="M575" s="5"/>
      <c r="N575" s="5"/>
      <c r="O575" s="5"/>
      <c r="P575" s="5"/>
      <c r="Q575" s="5"/>
      <c r="R575" s="5"/>
      <c r="S575" s="5"/>
    </row>
    <row r="576" spans="1:19">
      <c r="A576" s="5"/>
      <c r="B576" s="5"/>
      <c r="C576" s="5"/>
      <c r="D576" s="5"/>
      <c r="E576" s="5"/>
      <c r="F576" s="5"/>
      <c r="G576" s="5"/>
      <c r="H576" s="5"/>
      <c r="I576" s="5"/>
      <c r="J576" s="5"/>
      <c r="K576" s="5"/>
      <c r="L576" s="5"/>
      <c r="M576" s="5"/>
      <c r="N576" s="5"/>
      <c r="O576" s="5"/>
      <c r="P576" s="5"/>
      <c r="Q576" s="5"/>
      <c r="R576" s="5"/>
      <c r="S576" s="5"/>
    </row>
    <row r="577" spans="1:19">
      <c r="A577" s="5"/>
      <c r="B577" s="5"/>
      <c r="C577" s="5"/>
      <c r="D577" s="5"/>
      <c r="E577" s="5"/>
      <c r="F577" s="5"/>
      <c r="G577" s="5"/>
      <c r="H577" s="5"/>
      <c r="I577" s="5"/>
      <c r="J577" s="5"/>
      <c r="K577" s="5"/>
      <c r="L577" s="5"/>
      <c r="M577" s="5"/>
      <c r="N577" s="5"/>
      <c r="O577" s="5"/>
      <c r="P577" s="5"/>
      <c r="Q577" s="5"/>
      <c r="R577" s="5"/>
      <c r="S577" s="5"/>
    </row>
    <row r="578" spans="1:19">
      <c r="A578" s="5"/>
      <c r="B578" s="5"/>
      <c r="C578" s="5"/>
      <c r="D578" s="5"/>
      <c r="E578" s="5"/>
      <c r="F578" s="5"/>
      <c r="G578" s="5"/>
      <c r="H578" s="5"/>
      <c r="I578" s="5"/>
      <c r="J578" s="5"/>
      <c r="K578" s="5"/>
      <c r="L578" s="5"/>
      <c r="M578" s="5"/>
      <c r="N578" s="5"/>
      <c r="O578" s="5"/>
      <c r="P578" s="5"/>
      <c r="Q578" s="5"/>
      <c r="R578" s="5"/>
      <c r="S578" s="5"/>
    </row>
    <row r="579" spans="1:19">
      <c r="A579" s="5"/>
      <c r="B579" s="5"/>
      <c r="C579" s="5"/>
      <c r="D579" s="5"/>
      <c r="E579" s="5"/>
      <c r="F579" s="5"/>
      <c r="G579" s="5"/>
      <c r="H579" s="5"/>
      <c r="I579" s="5"/>
      <c r="J579" s="5"/>
      <c r="K579" s="5"/>
      <c r="L579" s="5"/>
      <c r="M579" s="5"/>
      <c r="N579" s="5"/>
      <c r="O579" s="5"/>
      <c r="P579" s="5"/>
      <c r="Q579" s="5"/>
      <c r="R579" s="5"/>
      <c r="S579" s="5"/>
    </row>
    <row r="580" spans="1:19">
      <c r="A580" s="5"/>
      <c r="B580" s="5"/>
      <c r="C580" s="5"/>
      <c r="D580" s="5"/>
      <c r="E580" s="5"/>
      <c r="F580" s="5"/>
      <c r="G580" s="5"/>
      <c r="H580" s="5"/>
      <c r="I580" s="5"/>
      <c r="J580" s="5"/>
      <c r="K580" s="5"/>
      <c r="L580" s="5"/>
      <c r="M580" s="5"/>
      <c r="N580" s="5"/>
      <c r="O580" s="5"/>
      <c r="P580" s="5"/>
      <c r="Q580" s="5"/>
      <c r="R580" s="5"/>
      <c r="S580" s="5"/>
    </row>
    <row r="581" spans="1:19">
      <c r="A581" s="5"/>
      <c r="B581" s="5"/>
      <c r="C581" s="5"/>
      <c r="D581" s="5"/>
      <c r="E581" s="5"/>
      <c r="F581" s="5"/>
      <c r="G581" s="5"/>
      <c r="H581" s="5"/>
      <c r="I581" s="5"/>
      <c r="J581" s="5"/>
      <c r="K581" s="5"/>
      <c r="L581" s="5"/>
      <c r="M581" s="5"/>
      <c r="N581" s="5"/>
      <c r="O581" s="5"/>
      <c r="P581" s="5"/>
      <c r="Q581" s="5"/>
      <c r="R581" s="5"/>
      <c r="S581" s="5"/>
    </row>
    <row r="582" spans="1:19">
      <c r="A582" s="5"/>
      <c r="B582" s="5"/>
      <c r="C582" s="5"/>
      <c r="D582" s="5"/>
      <c r="E582" s="5"/>
      <c r="F582" s="5"/>
      <c r="G582" s="5"/>
      <c r="H582" s="5"/>
      <c r="I582" s="5"/>
      <c r="J582" s="5"/>
      <c r="K582" s="5"/>
      <c r="L582" s="5"/>
      <c r="M582" s="5"/>
      <c r="N582" s="5"/>
      <c r="O582" s="5"/>
      <c r="P582" s="5"/>
      <c r="Q582" s="5"/>
      <c r="R582" s="5"/>
      <c r="S582" s="5"/>
    </row>
    <row r="583" spans="1:19">
      <c r="A583" s="5"/>
      <c r="B583" s="5"/>
      <c r="C583" s="5"/>
      <c r="D583" s="5"/>
      <c r="E583" s="5"/>
      <c r="F583" s="5"/>
      <c r="G583" s="5"/>
      <c r="H583" s="5"/>
      <c r="I583" s="5"/>
      <c r="J583" s="5"/>
      <c r="K583" s="5"/>
      <c r="L583" s="5"/>
      <c r="M583" s="5"/>
      <c r="N583" s="5"/>
      <c r="O583" s="5"/>
      <c r="P583" s="5"/>
      <c r="Q583" s="5"/>
      <c r="R583" s="5"/>
      <c r="S583" s="5"/>
    </row>
    <row r="584" spans="1:19">
      <c r="A584" s="5"/>
      <c r="B584" s="5"/>
      <c r="C584" s="5"/>
      <c r="D584" s="5"/>
      <c r="E584" s="5"/>
      <c r="F584" s="5"/>
      <c r="G584" s="5"/>
      <c r="H584" s="5"/>
      <c r="I584" s="5"/>
      <c r="J584" s="5"/>
      <c r="K584" s="5"/>
      <c r="L584" s="5"/>
      <c r="M584" s="5"/>
      <c r="N584" s="5"/>
      <c r="O584" s="5"/>
      <c r="P584" s="5"/>
      <c r="Q584" s="5"/>
      <c r="R584" s="5"/>
      <c r="S584" s="5"/>
    </row>
    <row r="585" spans="1:19">
      <c r="A585" s="5"/>
      <c r="B585" s="5"/>
      <c r="C585" s="5"/>
      <c r="D585" s="5"/>
      <c r="E585" s="5"/>
      <c r="F585" s="5"/>
      <c r="G585" s="5"/>
      <c r="H585" s="5"/>
      <c r="I585" s="5"/>
      <c r="J585" s="5"/>
      <c r="K585" s="5"/>
      <c r="L585" s="5"/>
      <c r="M585" s="5"/>
      <c r="N585" s="5"/>
      <c r="O585" s="5"/>
      <c r="P585" s="5"/>
      <c r="Q585" s="5"/>
      <c r="R585" s="5"/>
      <c r="S585" s="5"/>
    </row>
    <row r="586" spans="1:19">
      <c r="A586" s="5"/>
      <c r="B586" s="5"/>
      <c r="C586" s="5"/>
      <c r="D586" s="5"/>
      <c r="E586" s="5"/>
      <c r="F586" s="5"/>
      <c r="G586" s="5"/>
      <c r="H586" s="5"/>
      <c r="I586" s="5"/>
      <c r="J586" s="5"/>
      <c r="K586" s="5"/>
      <c r="L586" s="5"/>
      <c r="M586" s="5"/>
      <c r="N586" s="5"/>
      <c r="O586" s="5"/>
      <c r="P586" s="5"/>
      <c r="Q586" s="5"/>
      <c r="R586" s="5"/>
      <c r="S586" s="5"/>
    </row>
    <row r="587" spans="1:19">
      <c r="A587" s="5"/>
      <c r="B587" s="5"/>
      <c r="C587" s="5"/>
      <c r="D587" s="5"/>
      <c r="E587" s="5"/>
      <c r="F587" s="5"/>
      <c r="G587" s="5"/>
      <c r="H587" s="5"/>
      <c r="I587" s="5"/>
      <c r="J587" s="5"/>
      <c r="K587" s="5"/>
      <c r="L587" s="5"/>
      <c r="M587" s="5"/>
      <c r="N587" s="5"/>
      <c r="O587" s="5"/>
      <c r="P587" s="5"/>
      <c r="Q587" s="5"/>
      <c r="R587" s="5"/>
      <c r="S587" s="5"/>
    </row>
    <row r="588" spans="1:19">
      <c r="A588" s="5"/>
      <c r="B588" s="5"/>
      <c r="C588" s="5"/>
      <c r="D588" s="5"/>
      <c r="E588" s="5"/>
      <c r="F588" s="5"/>
      <c r="G588" s="5"/>
      <c r="H588" s="5"/>
      <c r="I588" s="5"/>
      <c r="J588" s="5"/>
      <c r="K588" s="5"/>
      <c r="L588" s="5"/>
      <c r="M588" s="5"/>
      <c r="N588" s="5"/>
      <c r="O588" s="5"/>
      <c r="P588" s="5"/>
      <c r="Q588" s="5"/>
      <c r="R588" s="5"/>
      <c r="S588" s="5"/>
    </row>
    <row r="589" spans="1:19">
      <c r="A589" s="5"/>
      <c r="B589" s="5"/>
      <c r="C589" s="5"/>
      <c r="D589" s="5"/>
      <c r="E589" s="5"/>
      <c r="F589" s="5"/>
      <c r="G589" s="5"/>
      <c r="H589" s="5"/>
      <c r="I589" s="5"/>
      <c r="J589" s="5"/>
      <c r="K589" s="5"/>
      <c r="L589" s="5"/>
      <c r="M589" s="5"/>
      <c r="N589" s="5"/>
      <c r="O589" s="5"/>
      <c r="P589" s="5"/>
      <c r="Q589" s="5"/>
      <c r="R589" s="5"/>
      <c r="S589" s="5"/>
    </row>
    <row r="590" spans="1:19">
      <c r="A590" s="5"/>
      <c r="B590" s="5"/>
      <c r="C590" s="5"/>
      <c r="D590" s="5"/>
      <c r="E590" s="5"/>
      <c r="F590" s="5"/>
      <c r="G590" s="5"/>
      <c r="H590" s="5"/>
      <c r="I590" s="5"/>
      <c r="J590" s="5"/>
      <c r="K590" s="5"/>
      <c r="L590" s="5"/>
      <c r="M590" s="5"/>
      <c r="N590" s="5"/>
      <c r="O590" s="5"/>
      <c r="P590" s="5"/>
      <c r="Q590" s="5"/>
      <c r="R590" s="5"/>
      <c r="S590" s="5"/>
    </row>
    <row r="591" spans="1:19">
      <c r="A591" s="5"/>
      <c r="B591" s="5"/>
      <c r="C591" s="5"/>
      <c r="D591" s="5"/>
      <c r="E591" s="5"/>
      <c r="F591" s="5"/>
      <c r="G591" s="5"/>
      <c r="H591" s="5"/>
      <c r="I591" s="5"/>
      <c r="J591" s="5"/>
      <c r="K591" s="5"/>
      <c r="L591" s="5"/>
      <c r="M591" s="5"/>
      <c r="N591" s="5"/>
      <c r="O591" s="5"/>
      <c r="P591" s="5"/>
      <c r="Q591" s="5"/>
      <c r="R591" s="5"/>
      <c r="S591" s="5"/>
    </row>
    <row r="592" spans="1:19">
      <c r="A592" s="5"/>
      <c r="B592" s="5"/>
      <c r="C592" s="5"/>
      <c r="D592" s="5"/>
      <c r="E592" s="5"/>
      <c r="F592" s="5"/>
      <c r="G592" s="5"/>
      <c r="H592" s="5"/>
      <c r="I592" s="5"/>
      <c r="J592" s="5"/>
      <c r="K592" s="5"/>
      <c r="L592" s="5"/>
      <c r="M592" s="5"/>
      <c r="N592" s="5"/>
      <c r="O592" s="5"/>
      <c r="P592" s="5"/>
      <c r="Q592" s="5"/>
      <c r="R592" s="5"/>
      <c r="S592" s="5"/>
    </row>
    <row r="593" spans="1:19">
      <c r="A593" s="5"/>
      <c r="B593" s="5"/>
      <c r="C593" s="5"/>
      <c r="D593" s="5"/>
      <c r="E593" s="5"/>
      <c r="F593" s="5"/>
      <c r="G593" s="5"/>
      <c r="H593" s="5"/>
      <c r="I593" s="5"/>
      <c r="J593" s="5"/>
      <c r="K593" s="5"/>
      <c r="L593" s="5"/>
      <c r="M593" s="5"/>
      <c r="N593" s="5"/>
      <c r="O593" s="5"/>
      <c r="P593" s="5"/>
      <c r="Q593" s="5"/>
      <c r="R593" s="5"/>
      <c r="S593" s="5"/>
    </row>
    <row r="594" spans="1:19">
      <c r="A594" s="5"/>
      <c r="B594" s="5"/>
      <c r="C594" s="5"/>
      <c r="D594" s="5"/>
      <c r="E594" s="5"/>
      <c r="F594" s="5"/>
      <c r="G594" s="5"/>
      <c r="H594" s="5"/>
      <c r="I594" s="5"/>
      <c r="J594" s="5"/>
      <c r="K594" s="5"/>
      <c r="L594" s="5"/>
      <c r="M594" s="5"/>
      <c r="N594" s="5"/>
      <c r="O594" s="5"/>
      <c r="P594" s="5"/>
      <c r="Q594" s="5"/>
      <c r="R594" s="5"/>
      <c r="S594" s="5"/>
    </row>
    <row r="595" spans="1:19">
      <c r="A595" s="5"/>
      <c r="B595" s="5"/>
      <c r="C595" s="5"/>
      <c r="D595" s="5"/>
      <c r="E595" s="5"/>
      <c r="F595" s="5"/>
      <c r="G595" s="5"/>
      <c r="H595" s="5"/>
      <c r="I595" s="5"/>
      <c r="J595" s="5"/>
      <c r="K595" s="5"/>
      <c r="L595" s="5"/>
      <c r="M595" s="5"/>
      <c r="N595" s="5"/>
      <c r="O595" s="5"/>
      <c r="P595" s="5"/>
      <c r="Q595" s="5"/>
      <c r="R595" s="5"/>
      <c r="S595" s="5"/>
    </row>
    <row r="596" spans="1:19">
      <c r="A596" s="5"/>
      <c r="B596" s="5"/>
      <c r="C596" s="5"/>
      <c r="D596" s="5"/>
      <c r="E596" s="5"/>
      <c r="F596" s="5"/>
      <c r="G596" s="5"/>
      <c r="H596" s="5"/>
      <c r="I596" s="5"/>
      <c r="J596" s="5"/>
      <c r="K596" s="5"/>
      <c r="L596" s="5"/>
      <c r="M596" s="5"/>
      <c r="N596" s="5"/>
      <c r="O596" s="5"/>
      <c r="P596" s="5"/>
      <c r="Q596" s="5"/>
      <c r="R596" s="5"/>
      <c r="S596" s="5"/>
    </row>
    <row r="597" spans="1:19">
      <c r="A597" s="5"/>
      <c r="B597" s="5"/>
      <c r="C597" s="5"/>
      <c r="D597" s="5"/>
      <c r="E597" s="5"/>
      <c r="F597" s="5"/>
      <c r="G597" s="5"/>
      <c r="H597" s="5"/>
      <c r="I597" s="5"/>
      <c r="J597" s="5"/>
      <c r="K597" s="5"/>
      <c r="L597" s="5"/>
      <c r="M597" s="5"/>
      <c r="N597" s="5"/>
      <c r="O597" s="5"/>
      <c r="P597" s="5"/>
      <c r="Q597" s="5"/>
      <c r="R597" s="5"/>
      <c r="S597" s="5"/>
    </row>
    <row r="598" spans="1:19">
      <c r="A598" s="5"/>
      <c r="B598" s="5"/>
      <c r="C598" s="5"/>
      <c r="D598" s="5"/>
      <c r="E598" s="5"/>
      <c r="F598" s="5"/>
      <c r="G598" s="5"/>
      <c r="H598" s="5"/>
      <c r="I598" s="5"/>
      <c r="J598" s="5"/>
      <c r="K598" s="5"/>
      <c r="L598" s="5"/>
      <c r="M598" s="5"/>
      <c r="N598" s="5"/>
      <c r="O598" s="5"/>
      <c r="P598" s="5"/>
      <c r="Q598" s="5"/>
      <c r="R598" s="5"/>
      <c r="S598" s="5"/>
    </row>
    <row r="599" spans="1:19">
      <c r="A599" s="5"/>
      <c r="B599" s="5"/>
      <c r="C599" s="5"/>
      <c r="D599" s="5"/>
      <c r="E599" s="5"/>
      <c r="F599" s="5"/>
      <c r="G599" s="5"/>
      <c r="H599" s="5"/>
      <c r="I599" s="5"/>
      <c r="J599" s="5"/>
      <c r="K599" s="5"/>
      <c r="L599" s="5"/>
      <c r="M599" s="5"/>
      <c r="N599" s="5"/>
      <c r="O599" s="5"/>
      <c r="P599" s="5"/>
      <c r="Q599" s="5"/>
      <c r="R599" s="5"/>
      <c r="S599" s="5"/>
    </row>
    <row r="600" spans="1:19">
      <c r="A600" s="5"/>
      <c r="B600" s="5"/>
      <c r="C600" s="5"/>
      <c r="D600" s="5"/>
      <c r="E600" s="5"/>
      <c r="F600" s="5"/>
      <c r="G600" s="5"/>
      <c r="H600" s="5"/>
      <c r="I600" s="5"/>
      <c r="J600" s="5"/>
      <c r="K600" s="5"/>
      <c r="L600" s="5"/>
      <c r="M600" s="5"/>
      <c r="N600" s="5"/>
      <c r="O600" s="5"/>
      <c r="P600" s="5"/>
      <c r="Q600" s="5"/>
      <c r="R600" s="5"/>
      <c r="S600" s="5"/>
    </row>
    <row r="601" spans="1:19">
      <c r="A601" s="5"/>
      <c r="B601" s="5"/>
      <c r="C601" s="5"/>
      <c r="D601" s="5"/>
      <c r="E601" s="5"/>
      <c r="F601" s="5"/>
      <c r="G601" s="5"/>
      <c r="H601" s="5"/>
      <c r="I601" s="5"/>
      <c r="J601" s="5"/>
      <c r="K601" s="5"/>
      <c r="L601" s="5"/>
      <c r="M601" s="5"/>
      <c r="N601" s="5"/>
      <c r="O601" s="5"/>
      <c r="P601" s="5"/>
      <c r="Q601" s="5"/>
      <c r="R601" s="5"/>
      <c r="S601" s="5"/>
    </row>
    <row r="602" spans="1:19">
      <c r="A602" s="5"/>
      <c r="B602" s="5"/>
      <c r="C602" s="5"/>
      <c r="D602" s="5"/>
      <c r="E602" s="5"/>
      <c r="F602" s="5"/>
      <c r="G602" s="5"/>
      <c r="H602" s="5"/>
      <c r="I602" s="5"/>
      <c r="J602" s="5"/>
      <c r="K602" s="5"/>
      <c r="L602" s="5"/>
      <c r="M602" s="5"/>
      <c r="N602" s="5"/>
      <c r="O602" s="5"/>
      <c r="P602" s="5"/>
      <c r="Q602" s="5"/>
      <c r="R602" s="5"/>
      <c r="S602" s="5"/>
    </row>
    <row r="603" spans="1:19">
      <c r="A603" s="5"/>
      <c r="B603" s="5"/>
      <c r="C603" s="5"/>
      <c r="D603" s="5"/>
      <c r="E603" s="5"/>
      <c r="F603" s="5"/>
      <c r="G603" s="5"/>
      <c r="H603" s="5"/>
      <c r="I603" s="5"/>
      <c r="J603" s="5"/>
      <c r="K603" s="5"/>
      <c r="L603" s="5"/>
      <c r="M603" s="5"/>
      <c r="N603" s="5"/>
      <c r="O603" s="5"/>
      <c r="P603" s="5"/>
      <c r="Q603" s="5"/>
      <c r="R603" s="5"/>
      <c r="S603" s="5"/>
    </row>
    <row r="604" spans="1:19">
      <c r="A604" s="5"/>
      <c r="B604" s="5"/>
      <c r="C604" s="5"/>
      <c r="D604" s="5"/>
      <c r="E604" s="5"/>
      <c r="F604" s="5"/>
      <c r="G604" s="5"/>
      <c r="H604" s="5"/>
      <c r="I604" s="5"/>
      <c r="J604" s="5"/>
      <c r="K604" s="5"/>
      <c r="L604" s="5"/>
      <c r="M604" s="5"/>
      <c r="N604" s="5"/>
      <c r="O604" s="5"/>
      <c r="P604" s="5"/>
      <c r="Q604" s="5"/>
      <c r="R604" s="5"/>
      <c r="S604" s="5"/>
    </row>
    <row r="605" spans="1:19">
      <c r="A605" s="5"/>
      <c r="B605" s="5"/>
      <c r="C605" s="5"/>
      <c r="D605" s="5"/>
      <c r="E605" s="5"/>
      <c r="F605" s="5"/>
      <c r="G605" s="5"/>
      <c r="H605" s="5"/>
      <c r="I605" s="5"/>
      <c r="J605" s="5"/>
      <c r="K605" s="5"/>
      <c r="L605" s="5"/>
      <c r="M605" s="5"/>
      <c r="N605" s="5"/>
      <c r="O605" s="5"/>
      <c r="P605" s="5"/>
      <c r="Q605" s="5"/>
      <c r="R605" s="5"/>
      <c r="S605" s="5"/>
    </row>
    <row r="606" spans="1:19">
      <c r="A606" s="5"/>
      <c r="B606" s="5"/>
      <c r="C606" s="5"/>
      <c r="D606" s="5"/>
      <c r="E606" s="5"/>
      <c r="F606" s="5"/>
      <c r="G606" s="5"/>
      <c r="H606" s="5"/>
      <c r="I606" s="5"/>
      <c r="J606" s="5"/>
      <c r="K606" s="5"/>
      <c r="L606" s="5"/>
      <c r="M606" s="5"/>
      <c r="N606" s="5"/>
      <c r="O606" s="5"/>
      <c r="P606" s="5"/>
      <c r="Q606" s="5"/>
      <c r="R606" s="5"/>
      <c r="S606" s="5"/>
    </row>
    <row r="607" spans="1:19">
      <c r="A607" s="5"/>
      <c r="B607" s="5"/>
      <c r="C607" s="5"/>
      <c r="D607" s="5"/>
      <c r="E607" s="5"/>
      <c r="F607" s="5"/>
      <c r="G607" s="5"/>
      <c r="H607" s="5"/>
      <c r="I607" s="5"/>
      <c r="J607" s="5"/>
      <c r="K607" s="5"/>
      <c r="L607" s="5"/>
      <c r="M607" s="5"/>
      <c r="N607" s="5"/>
      <c r="O607" s="5"/>
      <c r="P607" s="5"/>
      <c r="Q607" s="5"/>
      <c r="R607" s="5"/>
      <c r="S607" s="5"/>
    </row>
    <row r="608" spans="1:19">
      <c r="A608" s="5"/>
      <c r="B608" s="5"/>
      <c r="C608" s="5"/>
      <c r="D608" s="5"/>
      <c r="E608" s="5"/>
      <c r="F608" s="5"/>
      <c r="G608" s="5"/>
      <c r="H608" s="5"/>
      <c r="I608" s="5"/>
      <c r="J608" s="5"/>
      <c r="K608" s="5"/>
      <c r="L608" s="5"/>
      <c r="M608" s="5"/>
      <c r="N608" s="5"/>
      <c r="O608" s="5"/>
      <c r="P608" s="5"/>
      <c r="Q608" s="5"/>
      <c r="R608" s="5"/>
      <c r="S608" s="5"/>
    </row>
    <row r="609" spans="1:19">
      <c r="A609" s="5"/>
      <c r="B609" s="5"/>
      <c r="C609" s="5"/>
      <c r="D609" s="5"/>
      <c r="E609" s="5"/>
      <c r="F609" s="5"/>
      <c r="G609" s="5"/>
      <c r="H609" s="5"/>
      <c r="I609" s="5"/>
      <c r="J609" s="5"/>
      <c r="K609" s="5"/>
      <c r="L609" s="5"/>
      <c r="M609" s="5"/>
      <c r="N609" s="5"/>
      <c r="O609" s="5"/>
      <c r="P609" s="5"/>
      <c r="Q609" s="5"/>
      <c r="R609" s="5"/>
      <c r="S609" s="5"/>
    </row>
    <row r="610" spans="1:19">
      <c r="A610" s="5"/>
      <c r="B610" s="5"/>
      <c r="C610" s="5"/>
      <c r="D610" s="5"/>
      <c r="E610" s="5"/>
      <c r="F610" s="5"/>
      <c r="G610" s="5"/>
      <c r="H610" s="5"/>
      <c r="I610" s="5"/>
      <c r="J610" s="5"/>
      <c r="K610" s="5"/>
      <c r="L610" s="5"/>
      <c r="M610" s="5"/>
      <c r="N610" s="5"/>
      <c r="O610" s="5"/>
      <c r="P610" s="5"/>
      <c r="Q610" s="5"/>
      <c r="R610" s="5"/>
      <c r="S610" s="5"/>
    </row>
    <row r="611" spans="1:19">
      <c r="A611" s="5"/>
      <c r="B611" s="5"/>
      <c r="C611" s="5"/>
      <c r="D611" s="5"/>
      <c r="E611" s="5"/>
      <c r="F611" s="5"/>
      <c r="G611" s="5"/>
      <c r="H611" s="5"/>
      <c r="I611" s="5"/>
      <c r="J611" s="5"/>
      <c r="K611" s="5"/>
      <c r="L611" s="5"/>
      <c r="M611" s="5"/>
      <c r="N611" s="5"/>
      <c r="O611" s="5"/>
      <c r="P611" s="5"/>
      <c r="Q611" s="5"/>
      <c r="R611" s="5"/>
      <c r="S611" s="5"/>
    </row>
    <row r="612" spans="1:19">
      <c r="A612" s="5"/>
      <c r="B612" s="5"/>
      <c r="C612" s="5"/>
      <c r="D612" s="5"/>
      <c r="E612" s="5"/>
      <c r="F612" s="5"/>
      <c r="G612" s="5"/>
      <c r="H612" s="5"/>
      <c r="I612" s="5"/>
      <c r="J612" s="5"/>
      <c r="K612" s="5"/>
      <c r="L612" s="5"/>
      <c r="M612" s="5"/>
      <c r="N612" s="5"/>
      <c r="O612" s="5"/>
      <c r="P612" s="5"/>
      <c r="Q612" s="5"/>
      <c r="R612" s="5"/>
      <c r="S612" s="5"/>
    </row>
    <row r="613" spans="1:19">
      <c r="A613" s="5"/>
      <c r="B613" s="5"/>
      <c r="C613" s="5"/>
      <c r="D613" s="5"/>
      <c r="E613" s="5"/>
      <c r="F613" s="5"/>
      <c r="G613" s="5"/>
      <c r="H613" s="5"/>
      <c r="I613" s="5"/>
      <c r="J613" s="5"/>
      <c r="K613" s="5"/>
      <c r="L613" s="5"/>
      <c r="M613" s="5"/>
      <c r="N613" s="5"/>
      <c r="O613" s="5"/>
      <c r="P613" s="5"/>
      <c r="Q613" s="5"/>
      <c r="R613" s="5"/>
      <c r="S613" s="5"/>
    </row>
    <row r="614" spans="1:19">
      <c r="A614" s="5"/>
      <c r="B614" s="5"/>
      <c r="C614" s="5"/>
      <c r="D614" s="5"/>
      <c r="E614" s="5"/>
      <c r="F614" s="5"/>
      <c r="G614" s="5"/>
      <c r="H614" s="5"/>
      <c r="I614" s="5"/>
      <c r="J614" s="5"/>
      <c r="K614" s="5"/>
      <c r="L614" s="5"/>
      <c r="M614" s="5"/>
      <c r="N614" s="5"/>
      <c r="O614" s="5"/>
      <c r="P614" s="5"/>
      <c r="Q614" s="5"/>
      <c r="R614" s="5"/>
      <c r="S614" s="5"/>
    </row>
    <row r="615" spans="1:19">
      <c r="A615" s="5"/>
      <c r="B615" s="5"/>
      <c r="C615" s="5"/>
      <c r="D615" s="5"/>
      <c r="E615" s="5"/>
      <c r="F615" s="5"/>
      <c r="G615" s="5"/>
      <c r="H615" s="5"/>
      <c r="I615" s="5"/>
      <c r="J615" s="5"/>
      <c r="K615" s="5"/>
      <c r="L615" s="5"/>
      <c r="M615" s="5"/>
      <c r="N615" s="5"/>
      <c r="O615" s="5"/>
      <c r="P615" s="5"/>
      <c r="Q615" s="5"/>
      <c r="R615" s="5"/>
      <c r="S615" s="5"/>
    </row>
    <row r="616" spans="1:19">
      <c r="A616" s="5"/>
      <c r="B616" s="5"/>
      <c r="C616" s="5"/>
      <c r="D616" s="5"/>
      <c r="E616" s="5"/>
      <c r="F616" s="5"/>
      <c r="G616" s="5"/>
      <c r="H616" s="5"/>
      <c r="I616" s="5"/>
      <c r="J616" s="5"/>
      <c r="K616" s="5"/>
      <c r="L616" s="5"/>
      <c r="M616" s="5"/>
      <c r="N616" s="5"/>
      <c r="O616" s="5"/>
      <c r="P616" s="5"/>
      <c r="Q616" s="5"/>
      <c r="R616" s="5"/>
      <c r="S616" s="5"/>
    </row>
    <row r="617" spans="1:19">
      <c r="A617" s="5"/>
      <c r="B617" s="5"/>
      <c r="C617" s="5"/>
      <c r="D617" s="5"/>
      <c r="E617" s="5"/>
      <c r="F617" s="5"/>
      <c r="G617" s="5"/>
      <c r="H617" s="5"/>
      <c r="I617" s="5"/>
      <c r="J617" s="5"/>
      <c r="K617" s="5"/>
      <c r="L617" s="5"/>
      <c r="M617" s="5"/>
      <c r="N617" s="5"/>
      <c r="O617" s="5"/>
      <c r="P617" s="5"/>
      <c r="Q617" s="5"/>
      <c r="R617" s="5"/>
      <c r="S617" s="5"/>
    </row>
    <row r="618" spans="1:19">
      <c r="A618" s="5"/>
      <c r="B618" s="5"/>
      <c r="C618" s="5"/>
      <c r="D618" s="5"/>
      <c r="E618" s="5"/>
      <c r="F618" s="5"/>
      <c r="G618" s="5"/>
      <c r="H618" s="5"/>
      <c r="I618" s="5"/>
      <c r="J618" s="5"/>
      <c r="K618" s="5"/>
      <c r="L618" s="5"/>
      <c r="M618" s="5"/>
      <c r="N618" s="5"/>
      <c r="O618" s="5"/>
      <c r="P618" s="5"/>
      <c r="Q618" s="5"/>
      <c r="R618" s="5"/>
      <c r="S618" s="5"/>
    </row>
    <row r="619" spans="1:19">
      <c r="A619" s="5"/>
      <c r="B619" s="5"/>
      <c r="C619" s="5"/>
      <c r="D619" s="5"/>
      <c r="E619" s="5"/>
      <c r="F619" s="5"/>
      <c r="G619" s="5"/>
      <c r="H619" s="5"/>
      <c r="I619" s="5"/>
      <c r="J619" s="5"/>
      <c r="K619" s="5"/>
      <c r="L619" s="5"/>
      <c r="M619" s="5"/>
      <c r="N619" s="5"/>
      <c r="O619" s="5"/>
      <c r="P619" s="5"/>
      <c r="Q619" s="5"/>
      <c r="R619" s="5"/>
      <c r="S619" s="5"/>
    </row>
    <row r="620" spans="1:19">
      <c r="A620" s="5"/>
      <c r="B620" s="5"/>
      <c r="C620" s="5"/>
      <c r="D620" s="5"/>
      <c r="E620" s="5"/>
      <c r="F620" s="5"/>
      <c r="G620" s="5"/>
      <c r="H620" s="5"/>
      <c r="I620" s="5"/>
      <c r="J620" s="5"/>
      <c r="K620" s="5"/>
      <c r="L620" s="5"/>
      <c r="M620" s="5"/>
      <c r="N620" s="5"/>
      <c r="O620" s="5"/>
      <c r="P620" s="5"/>
      <c r="Q620" s="5"/>
      <c r="R620" s="5"/>
      <c r="S620" s="5"/>
    </row>
    <row r="621" spans="1:19">
      <c r="A621" s="5"/>
      <c r="B621" s="5"/>
      <c r="C621" s="5"/>
      <c r="D621" s="5"/>
      <c r="E621" s="5"/>
      <c r="F621" s="5"/>
      <c r="G621" s="5"/>
      <c r="H621" s="5"/>
      <c r="I621" s="5"/>
      <c r="J621" s="5"/>
      <c r="K621" s="5"/>
      <c r="L621" s="5"/>
      <c r="M621" s="5"/>
      <c r="N621" s="5"/>
      <c r="O621" s="5"/>
      <c r="P621" s="5"/>
      <c r="Q621" s="5"/>
      <c r="R621" s="5"/>
      <c r="S621" s="5"/>
    </row>
    <row r="622" spans="1:19">
      <c r="A622" s="5"/>
      <c r="B622" s="5"/>
      <c r="C622" s="5"/>
      <c r="D622" s="5"/>
      <c r="E622" s="5"/>
      <c r="F622" s="5"/>
      <c r="G622" s="5"/>
      <c r="H622" s="5"/>
      <c r="I622" s="5"/>
      <c r="J622" s="5"/>
      <c r="K622" s="5"/>
      <c r="L622" s="5"/>
      <c r="M622" s="5"/>
      <c r="N622" s="5"/>
      <c r="O622" s="5"/>
      <c r="P622" s="5"/>
      <c r="Q622" s="5"/>
      <c r="R622" s="5"/>
      <c r="S622" s="5"/>
    </row>
    <row r="623" spans="1:19">
      <c r="A623" s="5"/>
      <c r="B623" s="5"/>
      <c r="C623" s="5"/>
      <c r="D623" s="5"/>
      <c r="E623" s="5"/>
      <c r="F623" s="5"/>
      <c r="G623" s="5"/>
      <c r="H623" s="5"/>
      <c r="I623" s="5"/>
      <c r="J623" s="5"/>
      <c r="K623" s="5"/>
      <c r="L623" s="5"/>
      <c r="M623" s="5"/>
      <c r="N623" s="5"/>
      <c r="O623" s="5"/>
      <c r="P623" s="5"/>
      <c r="Q623" s="5"/>
      <c r="R623" s="5"/>
      <c r="S623" s="5"/>
    </row>
    <row r="624" spans="1:19">
      <c r="A624" s="5"/>
      <c r="B624" s="5"/>
      <c r="C624" s="5"/>
      <c r="D624" s="5"/>
      <c r="E624" s="5"/>
      <c r="F624" s="5"/>
      <c r="G624" s="5"/>
      <c r="H624" s="5"/>
      <c r="I624" s="5"/>
      <c r="J624" s="5"/>
      <c r="K624" s="5"/>
      <c r="L624" s="5"/>
      <c r="M624" s="5"/>
      <c r="N624" s="5"/>
      <c r="O624" s="5"/>
      <c r="P624" s="5"/>
      <c r="Q624" s="5"/>
      <c r="R624" s="5"/>
      <c r="S624" s="5"/>
    </row>
    <row r="625" spans="1:19">
      <c r="A625" s="5"/>
      <c r="B625" s="5"/>
      <c r="C625" s="5"/>
      <c r="D625" s="5"/>
      <c r="E625" s="5"/>
      <c r="F625" s="5"/>
      <c r="G625" s="5"/>
      <c r="H625" s="5"/>
      <c r="I625" s="5"/>
      <c r="J625" s="5"/>
      <c r="K625" s="5"/>
      <c r="L625" s="5"/>
      <c r="M625" s="5"/>
      <c r="N625" s="5"/>
      <c r="O625" s="5"/>
      <c r="P625" s="5"/>
      <c r="Q625" s="5"/>
      <c r="R625" s="5"/>
      <c r="S625" s="5"/>
    </row>
    <row r="626" spans="1:19">
      <c r="A626" s="5"/>
      <c r="B626" s="5"/>
      <c r="C626" s="5"/>
      <c r="D626" s="5"/>
      <c r="E626" s="5"/>
      <c r="F626" s="5"/>
      <c r="G626" s="5"/>
      <c r="H626" s="5"/>
      <c r="I626" s="5"/>
      <c r="J626" s="5"/>
      <c r="K626" s="5"/>
      <c r="L626" s="5"/>
      <c r="M626" s="5"/>
      <c r="N626" s="5"/>
      <c r="O626" s="5"/>
      <c r="P626" s="5"/>
      <c r="Q626" s="5"/>
      <c r="R626" s="5"/>
      <c r="S626" s="5"/>
    </row>
    <row r="627" spans="1:19">
      <c r="A627" s="5"/>
      <c r="B627" s="5"/>
      <c r="C627" s="5"/>
      <c r="D627" s="5"/>
      <c r="E627" s="5"/>
      <c r="F627" s="5"/>
      <c r="G627" s="5"/>
      <c r="H627" s="5"/>
      <c r="I627" s="5"/>
      <c r="J627" s="5"/>
      <c r="K627" s="5"/>
      <c r="L627" s="5"/>
      <c r="M627" s="5"/>
      <c r="N627" s="5"/>
      <c r="O627" s="5"/>
      <c r="P627" s="5"/>
      <c r="Q627" s="5"/>
      <c r="R627" s="5"/>
      <c r="S627" s="5"/>
    </row>
    <row r="628" spans="1:19">
      <c r="A628" s="5"/>
      <c r="B628" s="5"/>
      <c r="C628" s="5"/>
      <c r="D628" s="5"/>
      <c r="E628" s="5"/>
      <c r="F628" s="5"/>
      <c r="G628" s="5"/>
      <c r="H628" s="5"/>
      <c r="I628" s="5"/>
      <c r="J628" s="5"/>
      <c r="K628" s="5"/>
      <c r="L628" s="5"/>
      <c r="M628" s="5"/>
      <c r="N628" s="5"/>
      <c r="O628" s="5"/>
      <c r="P628" s="5"/>
      <c r="Q628" s="5"/>
      <c r="R628" s="5"/>
      <c r="S628" s="5"/>
    </row>
    <row r="629" spans="1:19">
      <c r="A629" s="5"/>
      <c r="B629" s="5"/>
      <c r="C629" s="5"/>
      <c r="D629" s="5"/>
      <c r="E629" s="5"/>
      <c r="F629" s="5"/>
      <c r="G629" s="5"/>
      <c r="H629" s="5"/>
      <c r="I629" s="5"/>
      <c r="J629" s="5"/>
      <c r="K629" s="5"/>
      <c r="L629" s="5"/>
      <c r="M629" s="5"/>
      <c r="N629" s="5"/>
      <c r="O629" s="5"/>
      <c r="P629" s="5"/>
      <c r="Q629" s="5"/>
      <c r="R629" s="5"/>
      <c r="S629" s="5"/>
    </row>
    <row r="630" spans="1:19">
      <c r="A630" s="5"/>
      <c r="B630" s="5"/>
      <c r="C630" s="5"/>
      <c r="D630" s="5"/>
      <c r="E630" s="5"/>
      <c r="F630" s="5"/>
      <c r="G630" s="5"/>
      <c r="H630" s="5"/>
      <c r="I630" s="5"/>
      <c r="J630" s="5"/>
      <c r="K630" s="5"/>
      <c r="L630" s="5"/>
      <c r="M630" s="5"/>
      <c r="N630" s="5"/>
      <c r="O630" s="5"/>
      <c r="P630" s="5"/>
      <c r="Q630" s="5"/>
      <c r="R630" s="5"/>
      <c r="S630" s="5"/>
    </row>
    <row r="631" spans="1:19">
      <c r="A631" s="5"/>
      <c r="B631" s="5"/>
      <c r="C631" s="5"/>
      <c r="D631" s="5"/>
      <c r="E631" s="5"/>
      <c r="F631" s="5"/>
      <c r="G631" s="5"/>
      <c r="H631" s="5"/>
      <c r="I631" s="5"/>
      <c r="J631" s="5"/>
      <c r="K631" s="5"/>
      <c r="L631" s="5"/>
      <c r="M631" s="5"/>
      <c r="N631" s="5"/>
      <c r="O631" s="5"/>
      <c r="P631" s="5"/>
      <c r="Q631" s="5"/>
      <c r="R631" s="5"/>
      <c r="S631" s="5"/>
    </row>
    <row r="632" spans="1:19">
      <c r="A632" s="5"/>
      <c r="B632" s="5"/>
      <c r="C632" s="5"/>
      <c r="D632" s="5"/>
      <c r="E632" s="5"/>
      <c r="F632" s="5"/>
      <c r="G632" s="5"/>
      <c r="H632" s="5"/>
      <c r="I632" s="5"/>
      <c r="J632" s="5"/>
      <c r="K632" s="5"/>
      <c r="L632" s="5"/>
      <c r="M632" s="5"/>
      <c r="N632" s="5"/>
      <c r="O632" s="5"/>
      <c r="P632" s="5"/>
      <c r="Q632" s="5"/>
      <c r="R632" s="5"/>
      <c r="S632" s="5"/>
    </row>
    <row r="633" spans="1:19">
      <c r="A633" s="5"/>
      <c r="B633" s="5"/>
      <c r="C633" s="5"/>
      <c r="D633" s="5"/>
      <c r="E633" s="5"/>
      <c r="F633" s="5"/>
      <c r="G633" s="5"/>
      <c r="H633" s="5"/>
      <c r="I633" s="5"/>
      <c r="J633" s="5"/>
      <c r="K633" s="5"/>
      <c r="L633" s="5"/>
      <c r="M633" s="5"/>
      <c r="N633" s="5"/>
      <c r="O633" s="5"/>
      <c r="P633" s="5"/>
      <c r="Q633" s="5"/>
      <c r="R633" s="5"/>
      <c r="S633" s="5"/>
    </row>
    <row r="634" spans="1:19">
      <c r="A634" s="5"/>
      <c r="B634" s="5"/>
      <c r="C634" s="5"/>
      <c r="D634" s="5"/>
      <c r="E634" s="5"/>
      <c r="F634" s="5"/>
      <c r="G634" s="5"/>
      <c r="H634" s="5"/>
      <c r="I634" s="5"/>
      <c r="J634" s="5"/>
      <c r="K634" s="5"/>
      <c r="L634" s="5"/>
      <c r="M634" s="5"/>
      <c r="N634" s="5"/>
      <c r="O634" s="5"/>
      <c r="P634" s="5"/>
      <c r="Q634" s="5"/>
      <c r="R634" s="5"/>
      <c r="S634" s="5"/>
    </row>
    <row r="635" spans="1:19">
      <c r="A635" s="5"/>
      <c r="B635" s="5"/>
      <c r="C635" s="5"/>
      <c r="D635" s="5"/>
      <c r="E635" s="5"/>
      <c r="F635" s="5"/>
      <c r="G635" s="5"/>
      <c r="H635" s="5"/>
      <c r="I635" s="5"/>
      <c r="J635" s="5"/>
      <c r="K635" s="5"/>
      <c r="L635" s="5"/>
      <c r="M635" s="5"/>
      <c r="N635" s="5"/>
      <c r="O635" s="5"/>
      <c r="P635" s="5"/>
      <c r="Q635" s="5"/>
      <c r="R635" s="5"/>
      <c r="S635" s="5"/>
    </row>
    <row r="636" spans="1:19">
      <c r="A636" s="5"/>
      <c r="B636" s="5"/>
      <c r="C636" s="5"/>
      <c r="D636" s="5"/>
      <c r="E636" s="5"/>
      <c r="F636" s="5"/>
      <c r="G636" s="5"/>
      <c r="H636" s="5"/>
      <c r="I636" s="5"/>
      <c r="J636" s="5"/>
      <c r="K636" s="5"/>
      <c r="L636" s="5"/>
      <c r="M636" s="5"/>
      <c r="N636" s="5"/>
      <c r="O636" s="5"/>
      <c r="P636" s="5"/>
      <c r="Q636" s="5"/>
      <c r="R636" s="5"/>
      <c r="S636" s="5"/>
    </row>
    <row r="637" spans="1:19">
      <c r="A637" s="5"/>
      <c r="B637" s="5"/>
      <c r="C637" s="5"/>
      <c r="D637" s="5"/>
      <c r="E637" s="5"/>
      <c r="F637" s="5"/>
      <c r="G637" s="5"/>
      <c r="H637" s="5"/>
      <c r="I637" s="5"/>
      <c r="J637" s="5"/>
      <c r="K637" s="5"/>
      <c r="L637" s="5"/>
      <c r="M637" s="5"/>
      <c r="N637" s="5"/>
      <c r="O637" s="5"/>
      <c r="P637" s="5"/>
      <c r="Q637" s="5"/>
      <c r="R637" s="5"/>
      <c r="S637" s="5"/>
    </row>
    <row r="638" spans="1:19">
      <c r="A638" s="5"/>
      <c r="B638" s="5"/>
      <c r="C638" s="5"/>
      <c r="D638" s="5"/>
      <c r="E638" s="5"/>
      <c r="F638" s="5"/>
      <c r="G638" s="5"/>
      <c r="H638" s="5"/>
      <c r="I638" s="5"/>
      <c r="J638" s="5"/>
      <c r="K638" s="5"/>
      <c r="L638" s="5"/>
      <c r="M638" s="5"/>
      <c r="N638" s="5"/>
      <c r="O638" s="5"/>
      <c r="P638" s="5"/>
      <c r="Q638" s="5"/>
      <c r="R638" s="5"/>
      <c r="S638" s="5"/>
    </row>
    <row r="639" spans="1:19">
      <c r="A639" s="5"/>
      <c r="B639" s="5"/>
      <c r="C639" s="5"/>
      <c r="D639" s="5"/>
      <c r="E639" s="5"/>
      <c r="F639" s="5"/>
      <c r="G639" s="5"/>
      <c r="H639" s="5"/>
      <c r="I639" s="5"/>
      <c r="J639" s="5"/>
      <c r="K639" s="5"/>
      <c r="L639" s="5"/>
      <c r="M639" s="5"/>
      <c r="N639" s="5"/>
      <c r="O639" s="5"/>
      <c r="P639" s="5"/>
      <c r="Q639" s="5"/>
      <c r="R639" s="5"/>
      <c r="S639" s="5"/>
    </row>
    <row r="640" spans="1:19">
      <c r="A640" s="5"/>
      <c r="B640" s="5"/>
      <c r="C640" s="5"/>
      <c r="D640" s="5"/>
      <c r="E640" s="5"/>
      <c r="F640" s="5"/>
      <c r="G640" s="5"/>
      <c r="H640" s="5"/>
      <c r="I640" s="5"/>
      <c r="J640" s="5"/>
      <c r="K640" s="5"/>
      <c r="L640" s="5"/>
      <c r="M640" s="5"/>
      <c r="N640" s="5"/>
      <c r="O640" s="5"/>
      <c r="P640" s="5"/>
      <c r="Q640" s="5"/>
      <c r="R640" s="5"/>
      <c r="S640" s="5"/>
    </row>
    <row r="641" spans="1:19">
      <c r="A641" s="5"/>
      <c r="B641" s="5"/>
      <c r="C641" s="5"/>
      <c r="D641" s="5"/>
      <c r="E641" s="5"/>
      <c r="F641" s="5"/>
      <c r="G641" s="5"/>
      <c r="H641" s="5"/>
      <c r="I641" s="5"/>
      <c r="J641" s="5"/>
      <c r="K641" s="5"/>
      <c r="L641" s="5"/>
      <c r="M641" s="5"/>
      <c r="N641" s="5"/>
      <c r="O641" s="5"/>
      <c r="P641" s="5"/>
      <c r="Q641" s="5"/>
      <c r="R641" s="5"/>
      <c r="S641" s="5"/>
    </row>
    <row r="642" spans="1:19">
      <c r="A642" s="5"/>
      <c r="B642" s="5"/>
      <c r="C642" s="5"/>
      <c r="D642" s="5"/>
      <c r="E642" s="5"/>
      <c r="F642" s="5"/>
      <c r="G642" s="5"/>
      <c r="H642" s="5"/>
      <c r="I642" s="5"/>
      <c r="J642" s="5"/>
      <c r="K642" s="5"/>
      <c r="L642" s="5"/>
      <c r="M642" s="5"/>
      <c r="N642" s="5"/>
      <c r="O642" s="5"/>
      <c r="P642" s="5"/>
      <c r="Q642" s="5"/>
      <c r="R642" s="5"/>
      <c r="S642" s="5"/>
    </row>
    <row r="643" spans="1:19">
      <c r="A643" s="5"/>
      <c r="B643" s="5"/>
      <c r="C643" s="5"/>
      <c r="D643" s="5"/>
      <c r="E643" s="5"/>
      <c r="F643" s="5"/>
      <c r="G643" s="5"/>
      <c r="H643" s="5"/>
      <c r="I643" s="5"/>
      <c r="J643" s="5"/>
      <c r="K643" s="5"/>
      <c r="L643" s="5"/>
      <c r="M643" s="5"/>
      <c r="N643" s="5"/>
      <c r="O643" s="5"/>
      <c r="P643" s="5"/>
      <c r="Q643" s="5"/>
      <c r="R643" s="5"/>
      <c r="S643" s="5"/>
    </row>
    <row r="644" spans="1:19">
      <c r="A644" s="5"/>
      <c r="B644" s="5"/>
      <c r="C644" s="5"/>
      <c r="D644" s="5"/>
      <c r="E644" s="5"/>
      <c r="F644" s="5"/>
      <c r="G644" s="5"/>
      <c r="H644" s="5"/>
      <c r="I644" s="5"/>
      <c r="J644" s="5"/>
      <c r="K644" s="5"/>
      <c r="L644" s="5"/>
      <c r="M644" s="5"/>
      <c r="N644" s="5"/>
      <c r="O644" s="5"/>
      <c r="P644" s="5"/>
      <c r="Q644" s="5"/>
      <c r="R644" s="5"/>
      <c r="S644" s="5"/>
    </row>
    <row r="645" spans="1:19">
      <c r="A645" s="5"/>
      <c r="B645" s="5"/>
      <c r="C645" s="5"/>
      <c r="D645" s="5"/>
      <c r="E645" s="5"/>
      <c r="F645" s="5"/>
      <c r="G645" s="5"/>
      <c r="H645" s="5"/>
      <c r="I645" s="5"/>
      <c r="J645" s="5"/>
      <c r="K645" s="5"/>
      <c r="L645" s="5"/>
      <c r="M645" s="5"/>
      <c r="N645" s="5"/>
      <c r="O645" s="5"/>
      <c r="P645" s="5"/>
      <c r="Q645" s="5"/>
      <c r="R645" s="5"/>
      <c r="S645" s="5"/>
    </row>
    <row r="646" spans="1:19">
      <c r="A646" s="5"/>
      <c r="B646" s="5"/>
      <c r="C646" s="5"/>
      <c r="D646" s="5"/>
      <c r="E646" s="5"/>
      <c r="F646" s="5"/>
      <c r="G646" s="5"/>
      <c r="H646" s="5"/>
      <c r="I646" s="5"/>
      <c r="J646" s="5"/>
      <c r="K646" s="5"/>
      <c r="L646" s="5"/>
      <c r="M646" s="5"/>
      <c r="N646" s="5"/>
      <c r="O646" s="5"/>
      <c r="P646" s="5"/>
      <c r="Q646" s="5"/>
      <c r="R646" s="5"/>
      <c r="S646" s="5"/>
    </row>
    <row r="647" spans="1:19">
      <c r="A647" s="5"/>
      <c r="B647" s="5"/>
      <c r="C647" s="5"/>
      <c r="D647" s="5"/>
      <c r="E647" s="5"/>
      <c r="F647" s="5"/>
      <c r="G647" s="5"/>
      <c r="H647" s="5"/>
      <c r="I647" s="5"/>
      <c r="J647" s="5"/>
      <c r="K647" s="5"/>
      <c r="L647" s="5"/>
      <c r="M647" s="5"/>
      <c r="N647" s="5"/>
      <c r="O647" s="5"/>
      <c r="P647" s="5"/>
      <c r="Q647" s="5"/>
      <c r="R647" s="5"/>
      <c r="S647" s="5"/>
    </row>
    <row r="648" spans="1:19">
      <c r="A648" s="5"/>
      <c r="B648" s="5"/>
      <c r="C648" s="5"/>
      <c r="D648" s="5"/>
      <c r="E648" s="5"/>
      <c r="F648" s="5"/>
      <c r="G648" s="5"/>
      <c r="H648" s="5"/>
      <c r="I648" s="5"/>
      <c r="J648" s="5"/>
      <c r="K648" s="5"/>
      <c r="L648" s="5"/>
      <c r="M648" s="5"/>
      <c r="N648" s="5"/>
      <c r="O648" s="5"/>
      <c r="P648" s="5"/>
      <c r="Q648" s="5"/>
      <c r="R648" s="5"/>
      <c r="S648" s="5"/>
    </row>
    <row r="649" spans="1:19">
      <c r="A649" s="5"/>
      <c r="B649" s="5"/>
      <c r="C649" s="5"/>
      <c r="D649" s="5"/>
      <c r="E649" s="5"/>
      <c r="F649" s="5"/>
      <c r="G649" s="5"/>
      <c r="H649" s="5"/>
      <c r="I649" s="5"/>
      <c r="J649" s="5"/>
      <c r="K649" s="5"/>
      <c r="L649" s="5"/>
      <c r="M649" s="5"/>
      <c r="N649" s="5"/>
      <c r="O649" s="5"/>
      <c r="P649" s="5"/>
      <c r="Q649" s="5"/>
      <c r="R649" s="5"/>
      <c r="S649" s="5"/>
    </row>
    <row r="650" spans="1:19">
      <c r="A650" s="5"/>
      <c r="B650" s="5"/>
      <c r="C650" s="5"/>
      <c r="D650" s="5"/>
      <c r="E650" s="5"/>
      <c r="F650" s="5"/>
      <c r="G650" s="5"/>
      <c r="H650" s="5"/>
      <c r="I650" s="5"/>
      <c r="J650" s="5"/>
      <c r="K650" s="5"/>
      <c r="L650" s="5"/>
      <c r="M650" s="5"/>
      <c r="N650" s="5"/>
      <c r="O650" s="5"/>
      <c r="P650" s="5"/>
      <c r="Q650" s="5"/>
      <c r="R650" s="5"/>
      <c r="S650" s="5"/>
    </row>
    <row r="651" spans="1:19">
      <c r="A651" s="5"/>
      <c r="B651" s="5"/>
      <c r="C651" s="5"/>
      <c r="D651" s="5"/>
      <c r="E651" s="5"/>
      <c r="F651" s="5"/>
      <c r="G651" s="5"/>
      <c r="H651" s="5"/>
      <c r="I651" s="5"/>
      <c r="J651" s="5"/>
      <c r="K651" s="5"/>
      <c r="L651" s="5"/>
      <c r="M651" s="5"/>
      <c r="N651" s="5"/>
      <c r="O651" s="5"/>
      <c r="P651" s="5"/>
      <c r="Q651" s="5"/>
      <c r="R651" s="5"/>
      <c r="S651" s="5"/>
    </row>
    <row r="652" spans="1:19">
      <c r="A652" s="5"/>
      <c r="B652" s="5"/>
      <c r="C652" s="5"/>
      <c r="D652" s="5"/>
      <c r="E652" s="5"/>
      <c r="F652" s="5"/>
      <c r="G652" s="5"/>
      <c r="H652" s="5"/>
      <c r="I652" s="5"/>
      <c r="J652" s="5"/>
      <c r="K652" s="5"/>
      <c r="L652" s="5"/>
      <c r="M652" s="5"/>
      <c r="N652" s="5"/>
      <c r="O652" s="5"/>
      <c r="P652" s="5"/>
      <c r="Q652" s="5"/>
      <c r="R652" s="5"/>
      <c r="S652" s="5"/>
    </row>
    <row r="653" spans="1:19">
      <c r="A653" s="5"/>
      <c r="B653" s="5"/>
      <c r="C653" s="5"/>
      <c r="D653" s="5"/>
      <c r="E653" s="5"/>
      <c r="F653" s="5"/>
      <c r="G653" s="5"/>
      <c r="H653" s="5"/>
      <c r="I653" s="5"/>
      <c r="J653" s="5"/>
      <c r="K653" s="5"/>
      <c r="L653" s="5"/>
      <c r="M653" s="5"/>
      <c r="N653" s="5"/>
      <c r="O653" s="5"/>
      <c r="P653" s="5"/>
      <c r="Q653" s="5"/>
      <c r="R653" s="5"/>
      <c r="S653" s="5"/>
    </row>
    <row r="654" spans="1:19">
      <c r="A654" s="5"/>
      <c r="B654" s="5"/>
      <c r="C654" s="5"/>
      <c r="D654" s="5"/>
      <c r="E654" s="5"/>
      <c r="F654" s="5"/>
      <c r="G654" s="5"/>
      <c r="H654" s="5"/>
      <c r="I654" s="5"/>
      <c r="J654" s="5"/>
      <c r="K654" s="5"/>
      <c r="L654" s="5"/>
      <c r="M654" s="5"/>
      <c r="N654" s="5"/>
      <c r="O654" s="5"/>
      <c r="P654" s="5"/>
      <c r="Q654" s="5"/>
      <c r="R654" s="5"/>
      <c r="S654" s="5"/>
    </row>
    <row r="655" spans="1:19">
      <c r="A655" s="5"/>
      <c r="B655" s="5"/>
      <c r="C655" s="5"/>
      <c r="D655" s="5"/>
      <c r="E655" s="5"/>
      <c r="F655" s="5"/>
      <c r="G655" s="5"/>
      <c r="H655" s="5"/>
      <c r="I655" s="5"/>
      <c r="J655" s="5"/>
      <c r="K655" s="5"/>
      <c r="L655" s="5"/>
      <c r="M655" s="5"/>
      <c r="N655" s="5"/>
      <c r="O655" s="5"/>
      <c r="P655" s="5"/>
      <c r="Q655" s="5"/>
      <c r="R655" s="5"/>
      <c r="S655" s="5"/>
    </row>
    <row r="656" spans="1:19">
      <c r="A656" s="5"/>
      <c r="B656" s="5"/>
      <c r="C656" s="5"/>
      <c r="D656" s="5"/>
      <c r="E656" s="5"/>
      <c r="F656" s="5"/>
      <c r="G656" s="5"/>
      <c r="H656" s="5"/>
      <c r="I656" s="5"/>
      <c r="J656" s="5"/>
      <c r="K656" s="5"/>
      <c r="L656" s="5"/>
      <c r="M656" s="5"/>
      <c r="N656" s="5"/>
      <c r="O656" s="5"/>
      <c r="P656" s="5"/>
      <c r="Q656" s="5"/>
      <c r="R656" s="5"/>
      <c r="S656" s="5"/>
    </row>
    <row r="657" spans="1:19">
      <c r="A657" s="5"/>
      <c r="B657" s="5"/>
      <c r="C657" s="5"/>
      <c r="D657" s="5"/>
      <c r="E657" s="5"/>
      <c r="F657" s="5"/>
      <c r="G657" s="5"/>
      <c r="H657" s="5"/>
      <c r="I657" s="5"/>
      <c r="J657" s="5"/>
      <c r="K657" s="5"/>
      <c r="L657" s="5"/>
      <c r="M657" s="5"/>
      <c r="N657" s="5"/>
      <c r="O657" s="5"/>
      <c r="P657" s="5"/>
      <c r="Q657" s="5"/>
      <c r="R657" s="5"/>
      <c r="S657" s="5"/>
    </row>
    <row r="658" spans="1:19">
      <c r="A658" s="5"/>
      <c r="B658" s="5"/>
      <c r="C658" s="5"/>
      <c r="D658" s="5"/>
      <c r="E658" s="5"/>
      <c r="F658" s="5"/>
      <c r="G658" s="5"/>
      <c r="H658" s="5"/>
      <c r="I658" s="5"/>
      <c r="J658" s="5"/>
      <c r="K658" s="5"/>
      <c r="L658" s="5"/>
      <c r="M658" s="5"/>
      <c r="N658" s="5"/>
      <c r="O658" s="5"/>
      <c r="P658" s="5"/>
      <c r="Q658" s="5"/>
      <c r="R658" s="5"/>
      <c r="S658" s="5"/>
    </row>
    <row r="659" spans="1:19">
      <c r="A659" s="5"/>
      <c r="B659" s="5"/>
      <c r="C659" s="5"/>
      <c r="D659" s="5"/>
      <c r="E659" s="5"/>
      <c r="F659" s="5"/>
      <c r="G659" s="5"/>
      <c r="H659" s="5"/>
      <c r="I659" s="5"/>
      <c r="J659" s="5"/>
      <c r="K659" s="5"/>
      <c r="L659" s="5"/>
      <c r="M659" s="5"/>
      <c r="N659" s="5"/>
      <c r="O659" s="5"/>
      <c r="P659" s="5"/>
      <c r="Q659" s="5"/>
      <c r="R659" s="5"/>
      <c r="S659" s="5"/>
    </row>
    <row r="660" spans="1:19">
      <c r="A660" s="5"/>
      <c r="B660" s="5"/>
      <c r="C660" s="5"/>
      <c r="D660" s="5"/>
      <c r="E660" s="5"/>
      <c r="F660" s="5"/>
      <c r="G660" s="5"/>
      <c r="H660" s="5"/>
      <c r="I660" s="5"/>
      <c r="J660" s="5"/>
      <c r="K660" s="5"/>
      <c r="L660" s="5"/>
      <c r="M660" s="5"/>
      <c r="N660" s="5"/>
      <c r="O660" s="5"/>
      <c r="P660" s="5"/>
      <c r="Q660" s="5"/>
      <c r="R660" s="5"/>
      <c r="S660" s="5"/>
    </row>
    <row r="661" spans="1:19">
      <c r="A661" s="5"/>
      <c r="B661" s="5"/>
      <c r="C661" s="5"/>
      <c r="D661" s="5"/>
      <c r="E661" s="5"/>
      <c r="F661" s="5"/>
      <c r="G661" s="5"/>
      <c r="H661" s="5"/>
      <c r="I661" s="5"/>
      <c r="J661" s="5"/>
      <c r="K661" s="5"/>
      <c r="L661" s="5"/>
      <c r="M661" s="5"/>
      <c r="N661" s="5"/>
      <c r="O661" s="5"/>
      <c r="P661" s="5"/>
      <c r="Q661" s="5"/>
      <c r="R661" s="5"/>
      <c r="S661" s="5"/>
    </row>
    <row r="662" spans="1:19">
      <c r="A662" s="5"/>
      <c r="B662" s="5"/>
      <c r="C662" s="5"/>
      <c r="D662" s="5"/>
      <c r="E662" s="5"/>
      <c r="F662" s="5"/>
      <c r="G662" s="5"/>
      <c r="H662" s="5"/>
      <c r="I662" s="5"/>
      <c r="J662" s="5"/>
      <c r="K662" s="5"/>
      <c r="L662" s="5"/>
      <c r="M662" s="5"/>
      <c r="N662" s="5"/>
      <c r="O662" s="5"/>
      <c r="P662" s="5"/>
      <c r="Q662" s="5"/>
      <c r="R662" s="5"/>
      <c r="S662" s="5"/>
    </row>
    <row r="663" spans="1:19">
      <c r="A663" s="5"/>
      <c r="B663" s="5"/>
      <c r="C663" s="5"/>
      <c r="D663" s="5"/>
      <c r="E663" s="5"/>
      <c r="F663" s="5"/>
      <c r="G663" s="5"/>
      <c r="H663" s="5"/>
      <c r="I663" s="5"/>
      <c r="J663" s="5"/>
      <c r="K663" s="5"/>
      <c r="L663" s="5"/>
      <c r="M663" s="5"/>
      <c r="N663" s="5"/>
      <c r="O663" s="5"/>
      <c r="P663" s="5"/>
      <c r="Q663" s="5"/>
      <c r="R663" s="5"/>
      <c r="S663" s="5"/>
    </row>
    <row r="664" spans="1:19">
      <c r="A664" s="5"/>
      <c r="B664" s="5"/>
      <c r="C664" s="5"/>
      <c r="D664" s="5"/>
      <c r="E664" s="5"/>
      <c r="F664" s="5"/>
      <c r="G664" s="5"/>
      <c r="H664" s="5"/>
      <c r="I664" s="5"/>
      <c r="J664" s="5"/>
      <c r="K664" s="5"/>
      <c r="L664" s="5"/>
      <c r="M664" s="5"/>
      <c r="N664" s="5"/>
      <c r="O664" s="5"/>
      <c r="P664" s="5"/>
      <c r="Q664" s="5"/>
      <c r="R664" s="5"/>
      <c r="S664" s="5"/>
    </row>
    <row r="665" spans="1:19">
      <c r="A665" s="5"/>
      <c r="B665" s="5"/>
      <c r="C665" s="5"/>
      <c r="D665" s="5"/>
      <c r="E665" s="5"/>
      <c r="F665" s="5"/>
      <c r="G665" s="5"/>
      <c r="H665" s="5"/>
      <c r="I665" s="5"/>
      <c r="J665" s="5"/>
      <c r="K665" s="5"/>
      <c r="L665" s="5"/>
      <c r="M665" s="5"/>
      <c r="N665" s="5"/>
      <c r="O665" s="5"/>
      <c r="P665" s="5"/>
      <c r="Q665" s="5"/>
      <c r="R665" s="5"/>
      <c r="S665" s="5"/>
    </row>
    <row r="666" spans="1:19">
      <c r="A666" s="5"/>
      <c r="B666" s="5"/>
      <c r="C666" s="5"/>
      <c r="D666" s="5"/>
      <c r="E666" s="5"/>
      <c r="F666" s="5"/>
      <c r="G666" s="5"/>
      <c r="H666" s="5"/>
      <c r="I666" s="5"/>
      <c r="J666" s="5"/>
      <c r="K666" s="5"/>
      <c r="L666" s="5"/>
      <c r="M666" s="5"/>
      <c r="N666" s="5"/>
      <c r="O666" s="5"/>
      <c r="P666" s="5"/>
      <c r="Q666" s="5"/>
      <c r="R666" s="5"/>
      <c r="S666" s="5"/>
    </row>
    <row r="667" spans="1:19">
      <c r="A667" s="5"/>
      <c r="B667" s="5"/>
      <c r="C667" s="5"/>
      <c r="D667" s="5"/>
      <c r="E667" s="5"/>
      <c r="F667" s="5"/>
      <c r="G667" s="5"/>
      <c r="H667" s="5"/>
      <c r="I667" s="5"/>
      <c r="J667" s="5"/>
      <c r="K667" s="5"/>
      <c r="L667" s="5"/>
      <c r="M667" s="5"/>
      <c r="N667" s="5"/>
      <c r="O667" s="5"/>
      <c r="P667" s="5"/>
      <c r="Q667" s="5"/>
      <c r="R667" s="5"/>
      <c r="S667" s="5"/>
    </row>
    <row r="668" spans="1:19">
      <c r="A668" s="5"/>
      <c r="B668" s="5"/>
      <c r="C668" s="5"/>
      <c r="D668" s="5"/>
      <c r="E668" s="5"/>
      <c r="F668" s="5"/>
      <c r="G668" s="5"/>
      <c r="H668" s="5"/>
      <c r="I668" s="5"/>
      <c r="J668" s="5"/>
      <c r="K668" s="5"/>
      <c r="L668" s="5"/>
      <c r="M668" s="5"/>
      <c r="N668" s="5"/>
      <c r="O668" s="5"/>
      <c r="P668" s="5"/>
      <c r="Q668" s="5"/>
      <c r="R668" s="5"/>
      <c r="S668" s="5"/>
    </row>
    <row r="669" spans="1:19">
      <c r="A669" s="5"/>
      <c r="B669" s="5"/>
      <c r="C669" s="5"/>
      <c r="D669" s="5"/>
      <c r="E669" s="5"/>
      <c r="F669" s="5"/>
      <c r="G669" s="5"/>
      <c r="H669" s="5"/>
      <c r="I669" s="5"/>
      <c r="J669" s="5"/>
      <c r="K669" s="5"/>
      <c r="L669" s="5"/>
      <c r="M669" s="5"/>
      <c r="N669" s="5"/>
      <c r="O669" s="5"/>
      <c r="P669" s="5"/>
      <c r="Q669" s="5"/>
      <c r="R669" s="5"/>
      <c r="S669" s="5"/>
    </row>
    <row r="670" spans="1:19">
      <c r="A670" s="5"/>
      <c r="B670" s="5"/>
      <c r="C670" s="5"/>
      <c r="D670" s="5"/>
      <c r="E670" s="5"/>
      <c r="F670" s="5"/>
      <c r="G670" s="5"/>
      <c r="H670" s="5"/>
      <c r="I670" s="5"/>
      <c r="J670" s="5"/>
      <c r="K670" s="5"/>
      <c r="L670" s="5"/>
      <c r="M670" s="5"/>
      <c r="N670" s="5"/>
      <c r="O670" s="5"/>
      <c r="P670" s="5"/>
      <c r="Q670" s="5"/>
      <c r="R670" s="5"/>
      <c r="S670" s="5"/>
    </row>
    <row r="671" spans="1:19">
      <c r="A671" s="5"/>
      <c r="B671" s="5"/>
      <c r="C671" s="5"/>
      <c r="D671" s="5"/>
      <c r="E671" s="5"/>
      <c r="F671" s="5"/>
      <c r="G671" s="5"/>
      <c r="H671" s="5"/>
      <c r="I671" s="5"/>
      <c r="J671" s="5"/>
      <c r="K671" s="5"/>
      <c r="L671" s="5"/>
      <c r="M671" s="5"/>
      <c r="N671" s="5"/>
      <c r="O671" s="5"/>
      <c r="P671" s="5"/>
      <c r="Q671" s="5"/>
      <c r="R671" s="5"/>
      <c r="S671" s="5"/>
    </row>
    <row r="672" spans="1:19">
      <c r="A672" s="5"/>
      <c r="B672" s="5"/>
      <c r="C672" s="5"/>
      <c r="D672" s="5"/>
      <c r="E672" s="5"/>
      <c r="F672" s="5"/>
      <c r="G672" s="5"/>
      <c r="H672" s="5"/>
      <c r="I672" s="5"/>
      <c r="J672" s="5"/>
      <c r="K672" s="5"/>
      <c r="L672" s="5"/>
      <c r="M672" s="5"/>
      <c r="N672" s="5"/>
      <c r="O672" s="5"/>
      <c r="P672" s="5"/>
      <c r="Q672" s="5"/>
      <c r="R672" s="5"/>
      <c r="S672" s="5"/>
    </row>
    <row r="673" spans="1:19">
      <c r="A673" s="5"/>
      <c r="B673" s="5"/>
      <c r="C673" s="5"/>
      <c r="D673" s="5"/>
      <c r="E673" s="5"/>
      <c r="F673" s="5"/>
      <c r="G673" s="5"/>
      <c r="H673" s="5"/>
      <c r="I673" s="5"/>
      <c r="J673" s="5"/>
      <c r="K673" s="5"/>
      <c r="L673" s="5"/>
      <c r="M673" s="5"/>
      <c r="N673" s="5"/>
      <c r="O673" s="5"/>
      <c r="P673" s="5"/>
      <c r="Q673" s="5"/>
      <c r="R673" s="5"/>
      <c r="S673" s="5"/>
    </row>
    <row r="674" spans="1:19">
      <c r="A674" s="5"/>
      <c r="B674" s="5"/>
      <c r="C674" s="5"/>
      <c r="D674" s="5"/>
      <c r="E674" s="5"/>
      <c r="F674" s="5"/>
      <c r="G674" s="5"/>
      <c r="H674" s="5"/>
      <c r="I674" s="5"/>
      <c r="J674" s="5"/>
      <c r="K674" s="5"/>
      <c r="L674" s="5"/>
      <c r="M674" s="5"/>
      <c r="N674" s="5"/>
      <c r="O674" s="5"/>
      <c r="P674" s="5"/>
      <c r="Q674" s="5"/>
      <c r="R674" s="5"/>
      <c r="S674" s="5"/>
    </row>
    <row r="675" spans="1:19">
      <c r="A675" s="5"/>
      <c r="B675" s="5"/>
      <c r="C675" s="5"/>
      <c r="D675" s="5"/>
      <c r="E675" s="5"/>
      <c r="F675" s="5"/>
      <c r="G675" s="5"/>
      <c r="H675" s="5"/>
      <c r="I675" s="5"/>
      <c r="J675" s="5"/>
      <c r="K675" s="5"/>
      <c r="L675" s="5"/>
      <c r="M675" s="5"/>
      <c r="N675" s="5"/>
      <c r="O675" s="5"/>
      <c r="P675" s="5"/>
      <c r="Q675" s="5"/>
      <c r="R675" s="5"/>
      <c r="S675" s="5"/>
    </row>
    <row r="676" spans="1:19">
      <c r="A676" s="5"/>
      <c r="B676" s="5"/>
      <c r="C676" s="5"/>
      <c r="D676" s="5"/>
      <c r="E676" s="5"/>
      <c r="F676" s="5"/>
      <c r="G676" s="5"/>
      <c r="H676" s="5"/>
      <c r="I676" s="5"/>
      <c r="J676" s="5"/>
      <c r="K676" s="5"/>
      <c r="L676" s="5"/>
      <c r="M676" s="5"/>
      <c r="N676" s="5"/>
      <c r="O676" s="5"/>
      <c r="P676" s="5"/>
      <c r="Q676" s="5"/>
      <c r="R676" s="5"/>
      <c r="S676" s="5"/>
    </row>
    <row r="677" spans="1:19">
      <c r="A677" s="5"/>
      <c r="B677" s="5"/>
      <c r="C677" s="5"/>
      <c r="D677" s="5"/>
      <c r="E677" s="5"/>
      <c r="F677" s="5"/>
      <c r="G677" s="5"/>
      <c r="H677" s="5"/>
      <c r="I677" s="5"/>
      <c r="J677" s="5"/>
      <c r="K677" s="5"/>
      <c r="L677" s="5"/>
      <c r="M677" s="5"/>
      <c r="N677" s="5"/>
      <c r="O677" s="5"/>
      <c r="P677" s="5"/>
      <c r="Q677" s="5"/>
      <c r="R677" s="5"/>
      <c r="S677" s="5"/>
    </row>
    <row r="678" spans="1:19">
      <c r="A678" s="5"/>
      <c r="B678" s="5"/>
      <c r="C678" s="5"/>
      <c r="D678" s="5"/>
      <c r="E678" s="5"/>
      <c r="F678" s="5"/>
      <c r="G678" s="5"/>
      <c r="H678" s="5"/>
      <c r="I678" s="5"/>
      <c r="J678" s="5"/>
      <c r="K678" s="5"/>
      <c r="L678" s="5"/>
      <c r="M678" s="5"/>
      <c r="N678" s="5"/>
      <c r="O678" s="5"/>
      <c r="P678" s="5"/>
      <c r="Q678" s="5"/>
      <c r="R678" s="5"/>
      <c r="S678" s="5"/>
    </row>
    <row r="679" spans="1:19">
      <c r="A679" s="5"/>
      <c r="B679" s="5"/>
      <c r="C679" s="5"/>
      <c r="D679" s="5"/>
      <c r="E679" s="5"/>
      <c r="F679" s="5"/>
      <c r="G679" s="5"/>
      <c r="H679" s="5"/>
      <c r="I679" s="5"/>
      <c r="J679" s="5"/>
      <c r="K679" s="5"/>
      <c r="L679" s="5"/>
      <c r="M679" s="5"/>
      <c r="N679" s="5"/>
      <c r="O679" s="5"/>
      <c r="P679" s="5"/>
      <c r="Q679" s="5"/>
      <c r="R679" s="5"/>
      <c r="S679" s="5"/>
    </row>
    <row r="680" spans="1:19">
      <c r="A680" s="5"/>
      <c r="B680" s="5"/>
      <c r="C680" s="5"/>
      <c r="D680" s="5"/>
      <c r="E680" s="5"/>
      <c r="F680" s="5"/>
      <c r="G680" s="5"/>
      <c r="H680" s="5"/>
      <c r="I680" s="5"/>
      <c r="J680" s="5"/>
      <c r="K680" s="5"/>
      <c r="L680" s="5"/>
      <c r="M680" s="5"/>
      <c r="N680" s="5"/>
      <c r="O680" s="5"/>
      <c r="P680" s="5"/>
      <c r="Q680" s="5"/>
      <c r="R680" s="5"/>
      <c r="S680" s="5"/>
    </row>
    <row r="681" spans="1:19">
      <c r="A681" s="5"/>
      <c r="B681" s="5"/>
      <c r="C681" s="5"/>
      <c r="D681" s="5"/>
      <c r="E681" s="5"/>
      <c r="F681" s="5"/>
      <c r="G681" s="5"/>
      <c r="H681" s="5"/>
      <c r="I681" s="5"/>
      <c r="J681" s="5"/>
      <c r="K681" s="5"/>
      <c r="L681" s="5"/>
      <c r="M681" s="5"/>
      <c r="N681" s="5"/>
      <c r="O681" s="5"/>
      <c r="P681" s="5"/>
      <c r="Q681" s="5"/>
      <c r="R681" s="5"/>
      <c r="S681" s="5"/>
    </row>
    <row r="682" spans="1:19">
      <c r="A682" s="5"/>
      <c r="B682" s="5"/>
      <c r="C682" s="5"/>
      <c r="D682" s="5"/>
      <c r="E682" s="5"/>
      <c r="F682" s="5"/>
      <c r="G682" s="5"/>
      <c r="H682" s="5"/>
      <c r="I682" s="5"/>
      <c r="J682" s="5"/>
      <c r="K682" s="5"/>
      <c r="L682" s="5"/>
      <c r="M682" s="5"/>
      <c r="N682" s="5"/>
      <c r="O682" s="5"/>
      <c r="P682" s="5"/>
      <c r="Q682" s="5"/>
      <c r="R682" s="5"/>
      <c r="S682" s="5"/>
    </row>
    <row r="683" spans="1:19">
      <c r="A683" s="5"/>
      <c r="B683" s="5"/>
      <c r="C683" s="5"/>
      <c r="D683" s="5"/>
      <c r="E683" s="5"/>
      <c r="F683" s="5"/>
      <c r="G683" s="5"/>
      <c r="H683" s="5"/>
      <c r="I683" s="5"/>
      <c r="J683" s="5"/>
      <c r="K683" s="5"/>
      <c r="L683" s="5"/>
      <c r="M683" s="5"/>
      <c r="N683" s="5"/>
      <c r="O683" s="5"/>
      <c r="P683" s="5"/>
      <c r="Q683" s="5"/>
      <c r="R683" s="5"/>
      <c r="S683" s="5"/>
    </row>
    <row r="684" spans="1:19">
      <c r="A684" s="5"/>
      <c r="B684" s="5"/>
      <c r="C684" s="5"/>
      <c r="D684" s="5"/>
      <c r="E684" s="5"/>
      <c r="F684" s="5"/>
      <c r="G684" s="5"/>
      <c r="H684" s="5"/>
      <c r="I684" s="5"/>
      <c r="J684" s="5"/>
      <c r="K684" s="5"/>
      <c r="L684" s="5"/>
      <c r="M684" s="5"/>
      <c r="N684" s="5"/>
      <c r="O684" s="5"/>
      <c r="P684" s="5"/>
      <c r="Q684" s="5"/>
      <c r="R684" s="5"/>
      <c r="S684" s="5"/>
    </row>
    <row r="685" spans="1:19">
      <c r="A685" s="5"/>
      <c r="B685" s="5"/>
      <c r="C685" s="5"/>
      <c r="D685" s="5"/>
      <c r="E685" s="5"/>
      <c r="F685" s="5"/>
      <c r="G685" s="5"/>
      <c r="H685" s="5"/>
      <c r="I685" s="5"/>
      <c r="J685" s="5"/>
      <c r="K685" s="5"/>
      <c r="L685" s="5"/>
      <c r="M685" s="5"/>
      <c r="N685" s="5"/>
      <c r="O685" s="5"/>
      <c r="P685" s="5"/>
      <c r="Q685" s="5"/>
      <c r="R685" s="5"/>
      <c r="S685" s="5"/>
    </row>
    <row r="686" spans="1:19">
      <c r="A686" s="5"/>
      <c r="B686" s="5"/>
      <c r="C686" s="5"/>
      <c r="D686" s="5"/>
      <c r="E686" s="5"/>
      <c r="F686" s="5"/>
      <c r="G686" s="5"/>
      <c r="H686" s="5"/>
      <c r="I686" s="5"/>
      <c r="J686" s="5"/>
      <c r="K686" s="5"/>
      <c r="L686" s="5"/>
      <c r="M686" s="5"/>
      <c r="N686" s="5"/>
      <c r="O686" s="5"/>
      <c r="P686" s="5"/>
      <c r="Q686" s="5"/>
      <c r="R686" s="5"/>
      <c r="S686" s="5"/>
    </row>
    <row r="687" spans="1:19">
      <c r="A687" s="5"/>
      <c r="B687" s="5"/>
      <c r="C687" s="5"/>
      <c r="D687" s="5"/>
      <c r="E687" s="5"/>
      <c r="F687" s="5"/>
      <c r="G687" s="5"/>
      <c r="H687" s="5"/>
      <c r="I687" s="5"/>
      <c r="J687" s="5"/>
      <c r="K687" s="5"/>
      <c r="L687" s="5"/>
      <c r="M687" s="5"/>
      <c r="N687" s="5"/>
      <c r="O687" s="5"/>
      <c r="P687" s="5"/>
      <c r="Q687" s="5"/>
      <c r="R687" s="5"/>
      <c r="S687" s="5"/>
    </row>
    <row r="688" spans="1:19">
      <c r="A688" s="5"/>
      <c r="B688" s="5"/>
      <c r="C688" s="5"/>
      <c r="D688" s="5"/>
      <c r="E688" s="5"/>
      <c r="F688" s="5"/>
      <c r="G688" s="5"/>
      <c r="H688" s="5"/>
      <c r="I688" s="5"/>
      <c r="J688" s="5"/>
      <c r="K688" s="5"/>
      <c r="L688" s="5"/>
      <c r="M688" s="5"/>
      <c r="N688" s="5"/>
      <c r="O688" s="5"/>
      <c r="P688" s="5"/>
      <c r="Q688" s="5"/>
      <c r="R688" s="5"/>
      <c r="S688" s="5"/>
    </row>
    <row r="689" spans="1:19">
      <c r="A689" s="5"/>
      <c r="B689" s="5"/>
      <c r="C689" s="5"/>
      <c r="D689" s="5"/>
      <c r="E689" s="5"/>
      <c r="F689" s="5"/>
      <c r="G689" s="5"/>
      <c r="H689" s="5"/>
      <c r="I689" s="5"/>
      <c r="J689" s="5"/>
      <c r="K689" s="5"/>
      <c r="L689" s="5"/>
      <c r="M689" s="5"/>
      <c r="N689" s="5"/>
      <c r="O689" s="5"/>
      <c r="P689" s="5"/>
      <c r="Q689" s="5"/>
      <c r="R689" s="5"/>
      <c r="S689" s="5"/>
    </row>
    <row r="690" spans="1:19">
      <c r="A690" s="5"/>
      <c r="B690" s="5"/>
      <c r="C690" s="5"/>
      <c r="D690" s="5"/>
      <c r="E690" s="5"/>
      <c r="F690" s="5"/>
      <c r="G690" s="5"/>
      <c r="H690" s="5"/>
      <c r="I690" s="5"/>
      <c r="J690" s="5"/>
      <c r="K690" s="5"/>
      <c r="L690" s="5"/>
      <c r="M690" s="5"/>
      <c r="N690" s="5"/>
      <c r="O690" s="5"/>
      <c r="P690" s="5"/>
      <c r="Q690" s="5"/>
      <c r="R690" s="5"/>
      <c r="S690" s="5"/>
    </row>
    <row r="691" spans="1:19">
      <c r="A691" s="5"/>
      <c r="B691" s="5"/>
      <c r="C691" s="5"/>
      <c r="D691" s="5"/>
      <c r="E691" s="5"/>
      <c r="F691" s="5"/>
      <c r="G691" s="5"/>
      <c r="H691" s="5"/>
      <c r="I691" s="5"/>
      <c r="J691" s="5"/>
      <c r="K691" s="5"/>
      <c r="L691" s="5"/>
      <c r="M691" s="5"/>
      <c r="N691" s="5"/>
      <c r="O691" s="5"/>
      <c r="P691" s="5"/>
      <c r="Q691" s="5"/>
      <c r="R691" s="5"/>
      <c r="S691" s="5"/>
    </row>
    <row r="692" spans="1:19">
      <c r="A692" s="5"/>
      <c r="B692" s="5"/>
      <c r="C692" s="5"/>
      <c r="D692" s="5"/>
      <c r="E692" s="5"/>
      <c r="F692" s="5"/>
      <c r="G692" s="5"/>
      <c r="H692" s="5"/>
      <c r="I692" s="5"/>
      <c r="J692" s="5"/>
      <c r="K692" s="5"/>
      <c r="L692" s="5"/>
      <c r="M692" s="5"/>
      <c r="N692" s="5"/>
      <c r="O692" s="5"/>
      <c r="P692" s="5"/>
      <c r="Q692" s="5"/>
      <c r="R692" s="5"/>
      <c r="S692" s="5"/>
    </row>
    <row r="693" spans="1:19">
      <c r="A693" s="5"/>
      <c r="B693" s="5"/>
      <c r="C693" s="5"/>
      <c r="D693" s="5"/>
      <c r="E693" s="5"/>
      <c r="F693" s="5"/>
      <c r="G693" s="5"/>
      <c r="H693" s="5"/>
      <c r="I693" s="5"/>
      <c r="J693" s="5"/>
      <c r="K693" s="5"/>
      <c r="L693" s="5"/>
      <c r="M693" s="5"/>
      <c r="N693" s="5"/>
      <c r="O693" s="5"/>
      <c r="P693" s="5"/>
      <c r="Q693" s="5"/>
      <c r="R693" s="5"/>
      <c r="S693" s="5"/>
    </row>
    <row r="694" spans="1:19">
      <c r="A694" s="5"/>
      <c r="B694" s="5"/>
      <c r="C694" s="5"/>
      <c r="D694" s="5"/>
      <c r="E694" s="5"/>
      <c r="F694" s="5"/>
      <c r="G694" s="5"/>
      <c r="H694" s="5"/>
      <c r="I694" s="5"/>
      <c r="J694" s="5"/>
      <c r="K694" s="5"/>
      <c r="L694" s="5"/>
      <c r="M694" s="5"/>
      <c r="N694" s="5"/>
      <c r="O694" s="5"/>
      <c r="P694" s="5"/>
      <c r="Q694" s="5"/>
      <c r="R694" s="5"/>
      <c r="S694" s="5"/>
    </row>
    <row r="695" spans="1:19">
      <c r="A695" s="5"/>
      <c r="B695" s="5"/>
      <c r="C695" s="5"/>
      <c r="D695" s="5"/>
      <c r="E695" s="5"/>
      <c r="F695" s="5"/>
      <c r="G695" s="5"/>
      <c r="H695" s="5"/>
      <c r="I695" s="5"/>
      <c r="J695" s="5"/>
      <c r="K695" s="5"/>
      <c r="L695" s="5"/>
      <c r="M695" s="5"/>
      <c r="N695" s="5"/>
      <c r="O695" s="5"/>
      <c r="P695" s="5"/>
      <c r="Q695" s="5"/>
      <c r="R695" s="5"/>
      <c r="S695" s="5"/>
    </row>
    <row r="696" spans="1:19">
      <c r="A696" s="5"/>
      <c r="B696" s="5"/>
      <c r="C696" s="5"/>
      <c r="D696" s="5"/>
      <c r="E696" s="5"/>
      <c r="F696" s="5"/>
      <c r="G696" s="5"/>
      <c r="H696" s="5"/>
      <c r="I696" s="5"/>
      <c r="J696" s="5"/>
      <c r="K696" s="5"/>
      <c r="L696" s="5"/>
      <c r="M696" s="5"/>
      <c r="N696" s="5"/>
      <c r="O696" s="5"/>
      <c r="P696" s="5"/>
      <c r="Q696" s="5"/>
      <c r="R696" s="5"/>
      <c r="S696" s="5"/>
    </row>
    <row r="697" spans="1:19">
      <c r="A697" s="5"/>
      <c r="B697" s="5"/>
      <c r="C697" s="5"/>
      <c r="D697" s="5"/>
      <c r="E697" s="5"/>
      <c r="F697" s="5"/>
      <c r="G697" s="5"/>
      <c r="H697" s="5"/>
      <c r="I697" s="5"/>
      <c r="J697" s="5"/>
      <c r="K697" s="5"/>
      <c r="L697" s="5"/>
      <c r="M697" s="5"/>
      <c r="N697" s="5"/>
      <c r="O697" s="5"/>
      <c r="P697" s="5"/>
      <c r="Q697" s="5"/>
      <c r="R697" s="5"/>
      <c r="S697" s="5"/>
    </row>
    <row r="698" spans="1:19">
      <c r="A698" s="5"/>
      <c r="B698" s="5"/>
      <c r="C698" s="5"/>
      <c r="D698" s="5"/>
      <c r="E698" s="5"/>
      <c r="F698" s="5"/>
      <c r="G698" s="5"/>
      <c r="H698" s="5"/>
      <c r="I698" s="5"/>
      <c r="J698" s="5"/>
      <c r="K698" s="5"/>
      <c r="L698" s="5"/>
      <c r="M698" s="5"/>
      <c r="N698" s="5"/>
      <c r="O698" s="5"/>
      <c r="P698" s="5"/>
      <c r="Q698" s="5"/>
      <c r="R698" s="5"/>
      <c r="S698" s="5"/>
    </row>
    <row r="699" spans="1:19">
      <c r="A699" s="5"/>
      <c r="B699" s="5"/>
      <c r="C699" s="5"/>
      <c r="D699" s="5"/>
      <c r="E699" s="5"/>
      <c r="F699" s="5"/>
      <c r="G699" s="5"/>
      <c r="H699" s="5"/>
      <c r="I699" s="5"/>
      <c r="J699" s="5"/>
      <c r="K699" s="5"/>
      <c r="L699" s="5"/>
      <c r="M699" s="5"/>
      <c r="N699" s="5"/>
      <c r="O699" s="5"/>
      <c r="P699" s="5"/>
      <c r="Q699" s="5"/>
      <c r="R699" s="5"/>
      <c r="S699" s="5"/>
    </row>
    <row r="700" spans="1:19">
      <c r="A700" s="5"/>
      <c r="B700" s="5"/>
      <c r="C700" s="5"/>
      <c r="D700" s="5"/>
      <c r="E700" s="5"/>
      <c r="F700" s="5"/>
      <c r="G700" s="5"/>
      <c r="H700" s="5"/>
      <c r="I700" s="5"/>
      <c r="J700" s="5"/>
      <c r="K700" s="5"/>
      <c r="L700" s="5"/>
      <c r="M700" s="5"/>
      <c r="N700" s="5"/>
      <c r="O700" s="5"/>
      <c r="P700" s="5"/>
      <c r="Q700" s="5"/>
      <c r="R700" s="5"/>
      <c r="S700" s="5"/>
    </row>
    <row r="701" spans="1:19">
      <c r="A701" s="5"/>
      <c r="B701" s="5"/>
      <c r="C701" s="5"/>
      <c r="D701" s="5"/>
      <c r="E701" s="5"/>
      <c r="F701" s="5"/>
      <c r="G701" s="5"/>
      <c r="H701" s="5"/>
      <c r="I701" s="5"/>
      <c r="J701" s="5"/>
      <c r="K701" s="5"/>
      <c r="L701" s="5"/>
      <c r="M701" s="5"/>
      <c r="N701" s="5"/>
      <c r="O701" s="5"/>
      <c r="P701" s="5"/>
      <c r="Q701" s="5"/>
      <c r="R701" s="5"/>
      <c r="S701" s="5"/>
    </row>
    <row r="702" spans="1:19">
      <c r="A702" s="5"/>
      <c r="B702" s="5"/>
      <c r="C702" s="5"/>
      <c r="D702" s="5"/>
      <c r="E702" s="5"/>
      <c r="F702" s="5"/>
      <c r="G702" s="5"/>
      <c r="H702" s="5"/>
      <c r="I702" s="5"/>
      <c r="J702" s="5"/>
      <c r="K702" s="5"/>
      <c r="L702" s="5"/>
      <c r="M702" s="5"/>
      <c r="N702" s="5"/>
      <c r="O702" s="5"/>
      <c r="P702" s="5"/>
      <c r="Q702" s="5"/>
      <c r="R702" s="5"/>
      <c r="S702" s="5"/>
    </row>
    <row r="703" spans="1:19">
      <c r="A703" s="5"/>
      <c r="B703" s="5"/>
      <c r="C703" s="5"/>
      <c r="D703" s="5"/>
      <c r="E703" s="5"/>
      <c r="F703" s="5"/>
      <c r="G703" s="5"/>
      <c r="H703" s="5"/>
      <c r="I703" s="5"/>
      <c r="J703" s="5"/>
      <c r="K703" s="5"/>
      <c r="L703" s="5"/>
      <c r="M703" s="5"/>
      <c r="N703" s="5"/>
      <c r="O703" s="5"/>
      <c r="P703" s="5"/>
      <c r="Q703" s="5"/>
      <c r="R703" s="5"/>
      <c r="S703" s="5"/>
    </row>
    <row r="704" spans="1:19">
      <c r="A704" s="5"/>
      <c r="B704" s="5"/>
      <c r="C704" s="5"/>
      <c r="D704" s="5"/>
      <c r="E704" s="5"/>
      <c r="F704" s="5"/>
      <c r="G704" s="5"/>
      <c r="H704" s="5"/>
      <c r="I704" s="5"/>
      <c r="J704" s="5"/>
      <c r="K704" s="5"/>
      <c r="L704" s="5"/>
      <c r="M704" s="5"/>
      <c r="N704" s="5"/>
      <c r="O704" s="5"/>
      <c r="P704" s="5"/>
      <c r="Q704" s="5"/>
      <c r="R704" s="5"/>
      <c r="S704" s="5"/>
    </row>
    <row r="705" spans="1:19">
      <c r="A705" s="5"/>
      <c r="B705" s="5"/>
      <c r="C705" s="5"/>
      <c r="D705" s="5"/>
      <c r="E705" s="5"/>
      <c r="F705" s="5"/>
      <c r="G705" s="5"/>
      <c r="H705" s="5"/>
      <c r="I705" s="5"/>
      <c r="J705" s="5"/>
      <c r="K705" s="5"/>
      <c r="L705" s="5"/>
      <c r="M705" s="5"/>
      <c r="N705" s="5"/>
      <c r="O705" s="5"/>
      <c r="P705" s="5"/>
      <c r="Q705" s="5"/>
      <c r="R705" s="5"/>
      <c r="S705" s="5"/>
    </row>
    <row r="706" spans="1:19">
      <c r="A706" s="5"/>
      <c r="B706" s="5"/>
      <c r="C706" s="5"/>
      <c r="D706" s="5"/>
      <c r="E706" s="5"/>
      <c r="F706" s="5"/>
      <c r="G706" s="5"/>
      <c r="H706" s="5"/>
      <c r="I706" s="5"/>
      <c r="J706" s="5"/>
      <c r="K706" s="5"/>
      <c r="L706" s="5"/>
      <c r="M706" s="5"/>
      <c r="N706" s="5"/>
      <c r="O706" s="5"/>
      <c r="P706" s="5"/>
      <c r="Q706" s="5"/>
      <c r="R706" s="5"/>
      <c r="S706" s="5"/>
    </row>
    <row r="707" spans="1:19">
      <c r="A707" s="5"/>
      <c r="B707" s="5"/>
      <c r="C707" s="5"/>
      <c r="D707" s="5"/>
      <c r="E707" s="5"/>
      <c r="F707" s="5"/>
      <c r="G707" s="5"/>
      <c r="H707" s="5"/>
      <c r="I707" s="5"/>
      <c r="J707" s="5"/>
      <c r="K707" s="5"/>
      <c r="L707" s="5"/>
      <c r="M707" s="5"/>
      <c r="N707" s="5"/>
      <c r="O707" s="5"/>
      <c r="P707" s="5"/>
      <c r="Q707" s="5"/>
      <c r="R707" s="5"/>
      <c r="S707" s="5"/>
    </row>
    <row r="708" spans="1:19">
      <c r="A708" s="5"/>
      <c r="B708" s="5"/>
      <c r="C708" s="5"/>
      <c r="D708" s="5"/>
      <c r="E708" s="5"/>
      <c r="F708" s="5"/>
      <c r="G708" s="5"/>
      <c r="H708" s="5"/>
      <c r="I708" s="5"/>
      <c r="J708" s="5"/>
      <c r="K708" s="5"/>
      <c r="L708" s="5"/>
      <c r="M708" s="5"/>
      <c r="N708" s="5"/>
      <c r="O708" s="5"/>
      <c r="P708" s="5"/>
      <c r="Q708" s="5"/>
      <c r="R708" s="5"/>
      <c r="S708" s="5"/>
    </row>
    <row r="709" spans="1:19">
      <c r="A709" s="5"/>
      <c r="B709" s="5"/>
      <c r="C709" s="5"/>
      <c r="D709" s="5"/>
      <c r="E709" s="5"/>
      <c r="F709" s="5"/>
      <c r="G709" s="5"/>
      <c r="H709" s="5"/>
      <c r="I709" s="5"/>
      <c r="J709" s="5"/>
      <c r="K709" s="5"/>
      <c r="L709" s="5"/>
      <c r="M709" s="5"/>
      <c r="N709" s="5"/>
      <c r="O709" s="5"/>
      <c r="P709" s="5"/>
      <c r="Q709" s="5"/>
      <c r="R709" s="5"/>
      <c r="S709" s="5"/>
    </row>
    <row r="710" spans="1:19">
      <c r="A710" s="5"/>
      <c r="B710" s="5"/>
      <c r="C710" s="5"/>
      <c r="D710" s="5"/>
      <c r="E710" s="5"/>
      <c r="F710" s="5"/>
      <c r="G710" s="5"/>
      <c r="H710" s="5"/>
      <c r="I710" s="5"/>
      <c r="J710" s="5"/>
      <c r="K710" s="5"/>
      <c r="L710" s="5"/>
      <c r="M710" s="5"/>
      <c r="N710" s="5"/>
      <c r="O710" s="5"/>
      <c r="P710" s="5"/>
      <c r="Q710" s="5"/>
      <c r="R710" s="5"/>
      <c r="S710" s="5"/>
    </row>
    <row r="711" spans="1:19">
      <c r="A711" s="5"/>
      <c r="B711" s="5"/>
      <c r="C711" s="5"/>
      <c r="D711" s="5"/>
      <c r="E711" s="5"/>
      <c r="F711" s="5"/>
      <c r="G711" s="5"/>
      <c r="H711" s="5"/>
      <c r="I711" s="5"/>
      <c r="J711" s="5"/>
      <c r="K711" s="5"/>
      <c r="L711" s="5"/>
      <c r="M711" s="5"/>
      <c r="N711" s="5"/>
      <c r="O711" s="5"/>
      <c r="P711" s="5"/>
      <c r="Q711" s="5"/>
      <c r="R711" s="5"/>
      <c r="S711" s="5"/>
    </row>
    <row r="712" spans="1:19">
      <c r="A712" s="5"/>
      <c r="B712" s="5"/>
      <c r="C712" s="5"/>
      <c r="D712" s="5"/>
      <c r="E712" s="5"/>
      <c r="F712" s="5"/>
      <c r="G712" s="5"/>
      <c r="H712" s="5"/>
      <c r="I712" s="5"/>
      <c r="J712" s="5"/>
      <c r="K712" s="5"/>
      <c r="L712" s="5"/>
      <c r="M712" s="5"/>
      <c r="N712" s="5"/>
      <c r="O712" s="5"/>
      <c r="P712" s="5"/>
      <c r="Q712" s="5"/>
      <c r="R712" s="5"/>
      <c r="S712" s="5"/>
    </row>
    <row r="713" spans="1:19">
      <c r="A713" s="5"/>
      <c r="B713" s="5"/>
      <c r="C713" s="5"/>
      <c r="D713" s="5"/>
      <c r="E713" s="5"/>
      <c r="F713" s="5"/>
      <c r="G713" s="5"/>
      <c r="H713" s="5"/>
      <c r="I713" s="5"/>
      <c r="J713" s="5"/>
      <c r="K713" s="5"/>
      <c r="L713" s="5"/>
      <c r="M713" s="5"/>
      <c r="N713" s="5"/>
      <c r="O713" s="5"/>
      <c r="P713" s="5"/>
      <c r="Q713" s="5"/>
      <c r="R713" s="5"/>
      <c r="S713" s="5"/>
    </row>
    <row r="714" spans="1:19">
      <c r="A714" s="5"/>
      <c r="B714" s="5"/>
      <c r="C714" s="5"/>
      <c r="D714" s="5"/>
      <c r="E714" s="5"/>
      <c r="F714" s="5"/>
      <c r="G714" s="5"/>
      <c r="H714" s="5"/>
      <c r="I714" s="5"/>
      <c r="J714" s="5"/>
      <c r="K714" s="5"/>
      <c r="L714" s="5"/>
      <c r="M714" s="5"/>
      <c r="N714" s="5"/>
      <c r="O714" s="5"/>
      <c r="P714" s="5"/>
      <c r="Q714" s="5"/>
      <c r="R714" s="5"/>
      <c r="S714" s="5"/>
    </row>
    <row r="715" spans="1:19">
      <c r="A715" s="5"/>
      <c r="B715" s="5"/>
      <c r="C715" s="5"/>
      <c r="D715" s="5"/>
      <c r="E715" s="5"/>
      <c r="F715" s="5"/>
      <c r="G715" s="5"/>
      <c r="H715" s="5"/>
      <c r="I715" s="5"/>
      <c r="J715" s="5"/>
      <c r="K715" s="5"/>
      <c r="L715" s="5"/>
      <c r="M715" s="5"/>
      <c r="N715" s="5"/>
      <c r="O715" s="5"/>
      <c r="P715" s="5"/>
      <c r="Q715" s="5"/>
      <c r="R715" s="5"/>
      <c r="S715" s="5"/>
    </row>
    <row r="716" spans="1:19">
      <c r="A716" s="5"/>
      <c r="B716" s="5"/>
      <c r="C716" s="5"/>
      <c r="D716" s="5"/>
      <c r="E716" s="5"/>
      <c r="F716" s="5"/>
      <c r="G716" s="5"/>
      <c r="H716" s="5"/>
      <c r="I716" s="5"/>
      <c r="J716" s="5"/>
      <c r="K716" s="5"/>
      <c r="L716" s="5"/>
      <c r="M716" s="5"/>
      <c r="N716" s="5"/>
      <c r="O716" s="5"/>
      <c r="P716" s="5"/>
      <c r="Q716" s="5"/>
      <c r="R716" s="5"/>
      <c r="S716" s="5"/>
    </row>
    <row r="717" spans="1:19">
      <c r="A717" s="5"/>
      <c r="B717" s="5"/>
      <c r="C717" s="5"/>
      <c r="D717" s="5"/>
      <c r="E717" s="5"/>
      <c r="F717" s="5"/>
      <c r="G717" s="5"/>
      <c r="H717" s="5"/>
      <c r="I717" s="5"/>
      <c r="J717" s="5"/>
      <c r="K717" s="5"/>
      <c r="L717" s="5"/>
      <c r="M717" s="5"/>
      <c r="N717" s="5"/>
      <c r="O717" s="5"/>
      <c r="P717" s="5"/>
      <c r="Q717" s="5"/>
      <c r="R717" s="5"/>
      <c r="S717" s="5"/>
    </row>
    <row r="718" spans="1:19">
      <c r="A718" s="5"/>
      <c r="B718" s="5"/>
      <c r="C718" s="5"/>
      <c r="D718" s="5"/>
      <c r="E718" s="5"/>
      <c r="F718" s="5"/>
      <c r="G718" s="5"/>
      <c r="H718" s="5"/>
      <c r="I718" s="5"/>
      <c r="J718" s="5"/>
      <c r="K718" s="5"/>
      <c r="L718" s="5"/>
      <c r="M718" s="5"/>
      <c r="N718" s="5"/>
      <c r="O718" s="5"/>
      <c r="P718" s="5"/>
      <c r="Q718" s="5"/>
      <c r="R718" s="5"/>
      <c r="S718" s="5"/>
    </row>
    <row r="719" spans="1:19">
      <c r="A719" s="5"/>
      <c r="B719" s="5"/>
      <c r="C719" s="5"/>
      <c r="D719" s="5"/>
      <c r="E719" s="5"/>
      <c r="F719" s="5"/>
      <c r="G719" s="5"/>
      <c r="H719" s="5"/>
      <c r="I719" s="5"/>
      <c r="J719" s="5"/>
      <c r="K719" s="5"/>
      <c r="L719" s="5"/>
      <c r="M719" s="5"/>
      <c r="N719" s="5"/>
      <c r="O719" s="5"/>
      <c r="P719" s="5"/>
      <c r="Q719" s="5"/>
      <c r="R719" s="5"/>
      <c r="S719" s="5"/>
    </row>
    <row r="720" spans="1:19">
      <c r="A720" s="5"/>
      <c r="B720" s="5"/>
      <c r="C720" s="5"/>
      <c r="D720" s="5"/>
      <c r="E720" s="5"/>
      <c r="F720" s="5"/>
      <c r="G720" s="5"/>
      <c r="H720" s="5"/>
      <c r="I720" s="5"/>
      <c r="J720" s="5"/>
      <c r="K720" s="5"/>
      <c r="L720" s="5"/>
      <c r="M720" s="5"/>
      <c r="N720" s="5"/>
      <c r="O720" s="5"/>
      <c r="P720" s="5"/>
      <c r="Q720" s="5"/>
      <c r="R720" s="5"/>
      <c r="S720" s="5"/>
    </row>
    <row r="721" spans="1:19">
      <c r="A721" s="5"/>
      <c r="B721" s="5"/>
      <c r="C721" s="5"/>
      <c r="D721" s="5"/>
      <c r="E721" s="5"/>
      <c r="F721" s="5"/>
      <c r="G721" s="5"/>
      <c r="H721" s="5"/>
      <c r="I721" s="5"/>
      <c r="J721" s="5"/>
      <c r="K721" s="5"/>
      <c r="L721" s="5"/>
      <c r="M721" s="5"/>
      <c r="N721" s="5"/>
      <c r="O721" s="5"/>
      <c r="P721" s="5"/>
      <c r="Q721" s="5"/>
      <c r="R721" s="5"/>
      <c r="S721" s="5"/>
    </row>
    <row r="722" spans="1:19">
      <c r="A722" s="5"/>
      <c r="B722" s="5"/>
      <c r="C722" s="5"/>
      <c r="D722" s="5"/>
      <c r="E722" s="5"/>
      <c r="F722" s="5"/>
      <c r="G722" s="5"/>
      <c r="H722" s="5"/>
      <c r="I722" s="5"/>
      <c r="J722" s="5"/>
      <c r="K722" s="5"/>
      <c r="L722" s="5"/>
      <c r="M722" s="5"/>
      <c r="N722" s="5"/>
      <c r="O722" s="5"/>
      <c r="P722" s="5"/>
      <c r="Q722" s="5"/>
      <c r="R722" s="5"/>
      <c r="S722" s="5"/>
    </row>
    <row r="723" spans="1:19">
      <c r="A723" s="5"/>
      <c r="B723" s="5"/>
      <c r="C723" s="5"/>
      <c r="D723" s="5"/>
      <c r="E723" s="5"/>
      <c r="F723" s="5"/>
      <c r="G723" s="5"/>
      <c r="H723" s="5"/>
      <c r="I723" s="5"/>
      <c r="J723" s="5"/>
      <c r="K723" s="5"/>
      <c r="L723" s="5"/>
      <c r="M723" s="5"/>
      <c r="N723" s="5"/>
      <c r="O723" s="5"/>
      <c r="P723" s="5"/>
      <c r="Q723" s="5"/>
      <c r="R723" s="5"/>
      <c r="S723" s="5"/>
    </row>
    <row r="724" spans="1:19">
      <c r="A724" s="5"/>
      <c r="B724" s="5"/>
      <c r="C724" s="5"/>
      <c r="D724" s="5"/>
      <c r="E724" s="5"/>
      <c r="F724" s="5"/>
      <c r="G724" s="5"/>
      <c r="H724" s="5"/>
      <c r="I724" s="5"/>
      <c r="J724" s="5"/>
      <c r="K724" s="5"/>
      <c r="L724" s="5"/>
      <c r="M724" s="5"/>
      <c r="N724" s="5"/>
      <c r="O724" s="5"/>
      <c r="P724" s="5"/>
      <c r="Q724" s="5"/>
      <c r="R724" s="5"/>
      <c r="S724" s="5"/>
    </row>
    <row r="725" spans="1:19">
      <c r="A725" s="5"/>
      <c r="B725" s="5"/>
      <c r="C725" s="5"/>
      <c r="D725" s="5"/>
      <c r="E725" s="5"/>
      <c r="F725" s="5"/>
      <c r="G725" s="5"/>
      <c r="H725" s="5"/>
      <c r="I725" s="5"/>
      <c r="J725" s="5"/>
      <c r="K725" s="5"/>
      <c r="L725" s="5"/>
      <c r="M725" s="5"/>
      <c r="N725" s="5"/>
      <c r="O725" s="5"/>
      <c r="P725" s="5"/>
      <c r="Q725" s="5"/>
      <c r="R725" s="5"/>
      <c r="S725" s="5"/>
    </row>
    <row r="726" spans="1:19">
      <c r="A726" s="5"/>
      <c r="B726" s="5"/>
      <c r="C726" s="5"/>
      <c r="D726" s="5"/>
      <c r="E726" s="5"/>
      <c r="F726" s="5"/>
      <c r="G726" s="5"/>
      <c r="H726" s="5"/>
      <c r="I726" s="5"/>
      <c r="J726" s="5"/>
      <c r="K726" s="5"/>
      <c r="L726" s="5"/>
      <c r="M726" s="5"/>
      <c r="N726" s="5"/>
      <c r="O726" s="5"/>
      <c r="P726" s="5"/>
      <c r="Q726" s="5"/>
      <c r="R726" s="5"/>
      <c r="S726" s="5"/>
    </row>
    <row r="727" spans="1:19">
      <c r="A727" s="5"/>
      <c r="B727" s="5"/>
      <c r="C727" s="5"/>
      <c r="D727" s="5"/>
      <c r="E727" s="5"/>
      <c r="F727" s="5"/>
      <c r="G727" s="5"/>
      <c r="H727" s="5"/>
      <c r="I727" s="5"/>
      <c r="J727" s="5"/>
      <c r="K727" s="5"/>
      <c r="L727" s="5"/>
      <c r="M727" s="5"/>
      <c r="N727" s="5"/>
      <c r="O727" s="5"/>
      <c r="P727" s="5"/>
      <c r="Q727" s="5"/>
      <c r="R727" s="5"/>
      <c r="S727" s="5"/>
    </row>
    <row r="728" spans="1:19">
      <c r="A728" s="5"/>
      <c r="B728" s="5"/>
      <c r="C728" s="5"/>
      <c r="D728" s="5"/>
      <c r="E728" s="5"/>
      <c r="F728" s="5"/>
      <c r="G728" s="5"/>
      <c r="H728" s="5"/>
      <c r="I728" s="5"/>
      <c r="J728" s="5"/>
      <c r="K728" s="5"/>
      <c r="L728" s="5"/>
      <c r="M728" s="5"/>
      <c r="N728" s="5"/>
      <c r="O728" s="5"/>
      <c r="P728" s="5"/>
      <c r="Q728" s="5"/>
      <c r="R728" s="5"/>
      <c r="S728" s="5"/>
    </row>
    <row r="729" spans="1:19">
      <c r="A729" s="5"/>
      <c r="B729" s="5"/>
      <c r="C729" s="5"/>
      <c r="D729" s="5"/>
      <c r="E729" s="5"/>
      <c r="F729" s="5"/>
      <c r="G729" s="5"/>
      <c r="H729" s="5"/>
      <c r="I729" s="5"/>
      <c r="J729" s="5"/>
      <c r="K729" s="5"/>
      <c r="L729" s="5"/>
      <c r="M729" s="5"/>
      <c r="N729" s="5"/>
      <c r="O729" s="5"/>
      <c r="P729" s="5"/>
      <c r="Q729" s="5"/>
      <c r="R729" s="5"/>
      <c r="S729" s="5"/>
    </row>
    <row r="730" spans="1:19">
      <c r="A730" s="5"/>
      <c r="B730" s="5"/>
      <c r="C730" s="5"/>
      <c r="D730" s="5"/>
      <c r="E730" s="5"/>
      <c r="F730" s="5"/>
      <c r="G730" s="5"/>
      <c r="H730" s="5"/>
      <c r="I730" s="5"/>
      <c r="J730" s="5"/>
      <c r="K730" s="5"/>
      <c r="L730" s="5"/>
      <c r="M730" s="5"/>
      <c r="N730" s="5"/>
      <c r="O730" s="5"/>
      <c r="P730" s="5"/>
      <c r="Q730" s="5"/>
      <c r="R730" s="5"/>
      <c r="S730" s="5"/>
    </row>
    <row r="731" spans="1:19">
      <c r="A731" s="5"/>
      <c r="B731" s="5"/>
      <c r="C731" s="5"/>
      <c r="D731" s="5"/>
      <c r="E731" s="5"/>
      <c r="F731" s="5"/>
      <c r="G731" s="5"/>
      <c r="H731" s="5"/>
      <c r="I731" s="5"/>
      <c r="J731" s="5"/>
      <c r="K731" s="5"/>
      <c r="L731" s="5"/>
      <c r="M731" s="5"/>
      <c r="N731" s="5"/>
      <c r="O731" s="5"/>
      <c r="P731" s="5"/>
      <c r="Q731" s="5"/>
      <c r="R731" s="5"/>
      <c r="S731" s="5"/>
    </row>
    <row r="732" spans="1:19">
      <c r="A732" s="5"/>
      <c r="B732" s="5"/>
      <c r="C732" s="5"/>
      <c r="D732" s="5"/>
      <c r="E732" s="5"/>
      <c r="F732" s="5"/>
      <c r="G732" s="5"/>
      <c r="H732" s="5"/>
      <c r="I732" s="5"/>
      <c r="J732" s="5"/>
      <c r="K732" s="5"/>
      <c r="L732" s="5"/>
      <c r="M732" s="5"/>
      <c r="N732" s="5"/>
      <c r="O732" s="5"/>
      <c r="P732" s="5"/>
      <c r="Q732" s="5"/>
      <c r="R732" s="5"/>
      <c r="S732" s="5"/>
    </row>
    <row r="733" spans="1:19">
      <c r="A733" s="5"/>
      <c r="B733" s="5"/>
      <c r="C733" s="5"/>
      <c r="D733" s="5"/>
      <c r="E733" s="5"/>
      <c r="F733" s="5"/>
      <c r="G733" s="5"/>
      <c r="H733" s="5"/>
      <c r="I733" s="5"/>
      <c r="J733" s="5"/>
      <c r="K733" s="5"/>
      <c r="L733" s="5"/>
      <c r="M733" s="5"/>
      <c r="N733" s="5"/>
      <c r="O733" s="5"/>
      <c r="P733" s="5"/>
      <c r="Q733" s="5"/>
      <c r="R733" s="5"/>
      <c r="S733" s="5"/>
    </row>
    <row r="734" spans="1:19">
      <c r="A734" s="5"/>
      <c r="B734" s="5"/>
      <c r="C734" s="5"/>
      <c r="D734" s="5"/>
      <c r="E734" s="5"/>
      <c r="F734" s="5"/>
      <c r="G734" s="5"/>
      <c r="H734" s="5"/>
      <c r="I734" s="5"/>
      <c r="J734" s="5"/>
      <c r="K734" s="5"/>
      <c r="L734" s="5"/>
      <c r="M734" s="5"/>
      <c r="N734" s="5"/>
      <c r="O734" s="5"/>
      <c r="P734" s="5"/>
      <c r="Q734" s="5"/>
      <c r="R734" s="5"/>
      <c r="S734" s="5"/>
    </row>
    <row r="735" spans="1:19">
      <c r="A735" s="5"/>
      <c r="B735" s="5"/>
      <c r="C735" s="5"/>
      <c r="D735" s="5"/>
      <c r="E735" s="5"/>
      <c r="F735" s="5"/>
      <c r="G735" s="5"/>
      <c r="H735" s="5"/>
      <c r="I735" s="5"/>
      <c r="J735" s="5"/>
      <c r="K735" s="5"/>
      <c r="L735" s="5"/>
      <c r="M735" s="5"/>
      <c r="N735" s="5"/>
      <c r="O735" s="5"/>
      <c r="P735" s="5"/>
      <c r="Q735" s="5"/>
      <c r="R735" s="5"/>
      <c r="S735" s="5"/>
    </row>
    <row r="736" spans="1:19">
      <c r="A736" s="5"/>
      <c r="B736" s="5"/>
      <c r="C736" s="5"/>
      <c r="D736" s="5"/>
      <c r="E736" s="5"/>
      <c r="F736" s="5"/>
      <c r="G736" s="5"/>
      <c r="H736" s="5"/>
      <c r="I736" s="5"/>
      <c r="J736" s="5"/>
      <c r="K736" s="5"/>
      <c r="L736" s="5"/>
      <c r="M736" s="5"/>
      <c r="N736" s="5"/>
      <c r="O736" s="5"/>
      <c r="P736" s="5"/>
      <c r="Q736" s="5"/>
      <c r="R736" s="5"/>
      <c r="S736" s="5"/>
    </row>
    <row r="737" spans="1:19">
      <c r="A737" s="5"/>
      <c r="B737" s="5"/>
      <c r="C737" s="5"/>
      <c r="D737" s="5"/>
      <c r="E737" s="5"/>
      <c r="F737" s="5"/>
      <c r="G737" s="5"/>
      <c r="H737" s="5"/>
      <c r="I737" s="5"/>
      <c r="J737" s="5"/>
      <c r="K737" s="5"/>
      <c r="L737" s="5"/>
      <c r="M737" s="5"/>
      <c r="N737" s="5"/>
      <c r="O737" s="5"/>
      <c r="P737" s="5"/>
      <c r="Q737" s="5"/>
      <c r="R737" s="5"/>
      <c r="S737" s="5"/>
    </row>
    <row r="738" spans="1:19">
      <c r="A738" s="5"/>
      <c r="B738" s="5"/>
      <c r="C738" s="5"/>
      <c r="D738" s="5"/>
      <c r="E738" s="5"/>
      <c r="F738" s="5"/>
      <c r="G738" s="5"/>
      <c r="H738" s="5"/>
      <c r="I738" s="5"/>
      <c r="J738" s="5"/>
      <c r="K738" s="5"/>
      <c r="L738" s="5"/>
      <c r="M738" s="5"/>
      <c r="N738" s="5"/>
      <c r="O738" s="5"/>
      <c r="P738" s="5"/>
      <c r="Q738" s="5"/>
      <c r="R738" s="5"/>
      <c r="S738" s="5"/>
    </row>
    <row r="739" spans="1:19">
      <c r="A739" s="5"/>
      <c r="B739" s="5"/>
      <c r="C739" s="5"/>
      <c r="D739" s="5"/>
      <c r="E739" s="5"/>
      <c r="F739" s="5"/>
      <c r="G739" s="5"/>
      <c r="H739" s="5"/>
      <c r="I739" s="5"/>
      <c r="J739" s="5"/>
      <c r="K739" s="5"/>
      <c r="L739" s="5"/>
      <c r="M739" s="5"/>
      <c r="N739" s="5"/>
      <c r="O739" s="5"/>
      <c r="P739" s="5"/>
      <c r="Q739" s="5"/>
      <c r="R739" s="5"/>
      <c r="S739" s="5"/>
    </row>
    <row r="740" spans="1:19">
      <c r="A740" s="5"/>
      <c r="B740" s="5"/>
      <c r="C740" s="5"/>
      <c r="D740" s="5"/>
      <c r="E740" s="5"/>
      <c r="F740" s="5"/>
      <c r="G740" s="5"/>
      <c r="H740" s="5"/>
      <c r="I740" s="5"/>
      <c r="J740" s="5"/>
      <c r="K740" s="5"/>
      <c r="L740" s="5"/>
      <c r="M740" s="5"/>
      <c r="N740" s="5"/>
      <c r="O740" s="5"/>
      <c r="P740" s="5"/>
      <c r="Q740" s="5"/>
      <c r="R740" s="5"/>
      <c r="S740" s="5"/>
    </row>
    <row r="741" spans="1:19">
      <c r="A741" s="5"/>
      <c r="B741" s="5"/>
      <c r="C741" s="5"/>
      <c r="D741" s="5"/>
      <c r="E741" s="5"/>
      <c r="F741" s="5"/>
      <c r="G741" s="5"/>
      <c r="H741" s="5"/>
      <c r="I741" s="5"/>
      <c r="J741" s="5"/>
      <c r="K741" s="5"/>
      <c r="L741" s="5"/>
      <c r="M741" s="5"/>
      <c r="N741" s="5"/>
      <c r="O741" s="5"/>
      <c r="P741" s="5"/>
      <c r="Q741" s="5"/>
      <c r="R741" s="5"/>
      <c r="S741" s="5"/>
    </row>
    <row r="742" spans="1:19">
      <c r="A742" s="5"/>
      <c r="B742" s="5"/>
      <c r="C742" s="5"/>
      <c r="D742" s="5"/>
      <c r="E742" s="5"/>
      <c r="F742" s="5"/>
      <c r="G742" s="5"/>
      <c r="H742" s="5"/>
      <c r="I742" s="5"/>
      <c r="J742" s="5"/>
      <c r="K742" s="5"/>
      <c r="L742" s="5"/>
      <c r="M742" s="5"/>
      <c r="N742" s="5"/>
      <c r="O742" s="5"/>
      <c r="P742" s="5"/>
      <c r="Q742" s="5"/>
      <c r="R742" s="5"/>
      <c r="S742" s="5"/>
    </row>
    <row r="743" spans="1:19">
      <c r="A743" s="5"/>
      <c r="B743" s="5"/>
      <c r="C743" s="5"/>
      <c r="D743" s="5"/>
      <c r="E743" s="5"/>
      <c r="F743" s="5"/>
      <c r="G743" s="5"/>
      <c r="H743" s="5"/>
      <c r="I743" s="5"/>
      <c r="J743" s="5"/>
      <c r="K743" s="5"/>
      <c r="L743" s="5"/>
      <c r="M743" s="5"/>
      <c r="N743" s="5"/>
      <c r="O743" s="5"/>
      <c r="P743" s="5"/>
      <c r="Q743" s="5"/>
      <c r="R743" s="5"/>
      <c r="S743" s="5"/>
    </row>
    <row r="744" spans="1:19">
      <c r="A744" s="5"/>
      <c r="B744" s="5"/>
      <c r="C744" s="5"/>
      <c r="D744" s="5"/>
      <c r="E744" s="5"/>
      <c r="F744" s="5"/>
      <c r="G744" s="5"/>
      <c r="H744" s="5"/>
      <c r="I744" s="5"/>
      <c r="J744" s="5"/>
      <c r="K744" s="5"/>
      <c r="L744" s="5"/>
      <c r="M744" s="5"/>
      <c r="N744" s="5"/>
      <c r="O744" s="5"/>
      <c r="P744" s="5"/>
      <c r="Q744" s="5"/>
      <c r="R744" s="5"/>
      <c r="S744" s="5"/>
    </row>
    <row r="745" spans="1:19">
      <c r="A745" s="5"/>
      <c r="B745" s="5"/>
      <c r="C745" s="5"/>
      <c r="D745" s="5"/>
      <c r="E745" s="5"/>
      <c r="F745" s="5"/>
      <c r="G745" s="5"/>
      <c r="H745" s="5"/>
      <c r="I745" s="5"/>
      <c r="J745" s="5"/>
      <c r="K745" s="5"/>
      <c r="L745" s="5"/>
      <c r="M745" s="5"/>
      <c r="N745" s="5"/>
      <c r="O745" s="5"/>
      <c r="P745" s="5"/>
      <c r="Q745" s="5"/>
      <c r="R745" s="5"/>
      <c r="S745" s="5"/>
    </row>
    <row r="746" spans="1:19">
      <c r="A746" s="5"/>
      <c r="B746" s="5"/>
      <c r="C746" s="5"/>
      <c r="D746" s="5"/>
      <c r="E746" s="5"/>
      <c r="F746" s="5"/>
      <c r="G746" s="5"/>
      <c r="H746" s="5"/>
      <c r="I746" s="5"/>
      <c r="J746" s="5"/>
      <c r="K746" s="5"/>
      <c r="L746" s="5"/>
      <c r="M746" s="5"/>
      <c r="N746" s="5"/>
      <c r="O746" s="5"/>
      <c r="P746" s="5"/>
      <c r="Q746" s="5"/>
      <c r="R746" s="5"/>
      <c r="S746" s="5"/>
    </row>
    <row r="747" spans="1:19">
      <c r="A747" s="5"/>
      <c r="B747" s="5"/>
      <c r="C747" s="5"/>
      <c r="D747" s="5"/>
      <c r="E747" s="5"/>
      <c r="F747" s="5"/>
      <c r="G747" s="5"/>
      <c r="H747" s="5"/>
      <c r="I747" s="5"/>
      <c r="J747" s="5"/>
      <c r="K747" s="5"/>
      <c r="L747" s="5"/>
      <c r="M747" s="5"/>
      <c r="N747" s="5"/>
      <c r="O747" s="5"/>
      <c r="P747" s="5"/>
      <c r="Q747" s="5"/>
      <c r="R747" s="5"/>
      <c r="S747" s="5"/>
    </row>
    <row r="748" spans="1:19">
      <c r="A748" s="5"/>
      <c r="B748" s="5"/>
      <c r="C748" s="5"/>
      <c r="D748" s="5"/>
      <c r="E748" s="5"/>
      <c r="F748" s="5"/>
      <c r="G748" s="5"/>
      <c r="H748" s="5"/>
      <c r="I748" s="5"/>
      <c r="J748" s="5"/>
      <c r="K748" s="5"/>
      <c r="L748" s="5"/>
      <c r="M748" s="5"/>
      <c r="N748" s="5"/>
      <c r="O748" s="5"/>
      <c r="P748" s="5"/>
      <c r="Q748" s="5"/>
      <c r="R748" s="5"/>
      <c r="S748" s="5"/>
    </row>
    <row r="749" spans="1:19">
      <c r="A749" s="5"/>
      <c r="B749" s="5"/>
      <c r="C749" s="5"/>
      <c r="D749" s="5"/>
      <c r="E749" s="5"/>
      <c r="F749" s="5"/>
      <c r="G749" s="5"/>
      <c r="H749" s="5"/>
      <c r="I749" s="5"/>
      <c r="J749" s="5"/>
      <c r="K749" s="5"/>
      <c r="L749" s="5"/>
      <c r="M749" s="5"/>
      <c r="N749" s="5"/>
      <c r="O749" s="5"/>
      <c r="P749" s="5"/>
      <c r="Q749" s="5"/>
      <c r="R749" s="5"/>
      <c r="S749" s="5"/>
    </row>
    <row r="750" spans="1:19">
      <c r="A750" s="5"/>
      <c r="B750" s="5"/>
      <c r="C750" s="5"/>
      <c r="D750" s="5"/>
      <c r="E750" s="5"/>
      <c r="F750" s="5"/>
      <c r="G750" s="5"/>
      <c r="H750" s="5"/>
      <c r="I750" s="5"/>
      <c r="J750" s="5"/>
      <c r="K750" s="5"/>
      <c r="L750" s="5"/>
      <c r="M750" s="5"/>
      <c r="N750" s="5"/>
      <c r="O750" s="5"/>
      <c r="P750" s="5"/>
      <c r="Q750" s="5"/>
      <c r="R750" s="5"/>
      <c r="S750" s="5"/>
    </row>
    <row r="751" spans="1:19">
      <c r="A751" s="5"/>
      <c r="B751" s="5"/>
      <c r="C751" s="5"/>
      <c r="D751" s="5"/>
      <c r="E751" s="5"/>
      <c r="F751" s="5"/>
      <c r="G751" s="5"/>
      <c r="H751" s="5"/>
      <c r="I751" s="5"/>
      <c r="J751" s="5"/>
      <c r="K751" s="5"/>
      <c r="L751" s="5"/>
      <c r="M751" s="5"/>
      <c r="N751" s="5"/>
      <c r="O751" s="5"/>
      <c r="P751" s="5"/>
      <c r="Q751" s="5"/>
      <c r="R751" s="5"/>
      <c r="S751" s="5"/>
    </row>
    <row r="752" spans="1:19">
      <c r="A752" s="5"/>
      <c r="B752" s="5"/>
      <c r="C752" s="5"/>
      <c r="D752" s="5"/>
      <c r="E752" s="5"/>
      <c r="F752" s="5"/>
      <c r="G752" s="5"/>
      <c r="H752" s="5"/>
      <c r="I752" s="5"/>
      <c r="J752" s="5"/>
      <c r="K752" s="5"/>
      <c r="L752" s="5"/>
      <c r="M752" s="5"/>
      <c r="N752" s="5"/>
      <c r="O752" s="5"/>
      <c r="P752" s="5"/>
      <c r="Q752" s="5"/>
      <c r="R752" s="5"/>
      <c r="S752" s="5"/>
    </row>
    <row r="753" spans="1:19">
      <c r="A753" s="5"/>
      <c r="B753" s="5"/>
      <c r="C753" s="5"/>
      <c r="D753" s="5"/>
      <c r="E753" s="5"/>
      <c r="F753" s="5"/>
      <c r="G753" s="5"/>
      <c r="H753" s="5"/>
      <c r="I753" s="5"/>
      <c r="J753" s="5"/>
      <c r="K753" s="5"/>
      <c r="L753" s="5"/>
      <c r="M753" s="5"/>
      <c r="N753" s="5"/>
      <c r="O753" s="5"/>
      <c r="P753" s="5"/>
      <c r="Q753" s="5"/>
      <c r="R753" s="5"/>
      <c r="S753" s="5"/>
    </row>
    <row r="754" spans="1:19">
      <c r="A754" s="5"/>
      <c r="B754" s="5"/>
      <c r="C754" s="5"/>
      <c r="D754" s="5"/>
      <c r="E754" s="5"/>
      <c r="F754" s="5"/>
      <c r="G754" s="5"/>
      <c r="H754" s="5"/>
      <c r="I754" s="5"/>
      <c r="J754" s="5"/>
      <c r="K754" s="5"/>
      <c r="L754" s="5"/>
      <c r="M754" s="5"/>
      <c r="N754" s="5"/>
      <c r="O754" s="5"/>
      <c r="P754" s="5"/>
      <c r="Q754" s="5"/>
      <c r="R754" s="5"/>
      <c r="S754" s="5"/>
    </row>
    <row r="755" spans="1:19">
      <c r="A755" s="5"/>
      <c r="B755" s="5"/>
      <c r="C755" s="5"/>
      <c r="D755" s="5"/>
      <c r="E755" s="5"/>
      <c r="F755" s="5"/>
      <c r="G755" s="5"/>
      <c r="H755" s="5"/>
      <c r="I755" s="5"/>
      <c r="J755" s="5"/>
      <c r="K755" s="5"/>
      <c r="L755" s="5"/>
      <c r="M755" s="5"/>
      <c r="N755" s="5"/>
      <c r="O755" s="5"/>
      <c r="P755" s="5"/>
      <c r="Q755" s="5"/>
      <c r="R755" s="5"/>
      <c r="S755" s="5"/>
    </row>
    <row r="756" spans="1:19">
      <c r="A756" s="5"/>
      <c r="B756" s="5"/>
      <c r="C756" s="5"/>
      <c r="D756" s="5"/>
      <c r="E756" s="5"/>
      <c r="F756" s="5"/>
      <c r="G756" s="5"/>
      <c r="H756" s="5"/>
      <c r="I756" s="5"/>
      <c r="J756" s="5"/>
      <c r="K756" s="5"/>
      <c r="L756" s="5"/>
      <c r="M756" s="5"/>
      <c r="N756" s="5"/>
      <c r="O756" s="5"/>
      <c r="P756" s="5"/>
      <c r="Q756" s="5"/>
      <c r="R756" s="5"/>
      <c r="S756" s="5"/>
    </row>
    <row r="757" spans="1:19">
      <c r="A757" s="5"/>
      <c r="B757" s="5"/>
      <c r="C757" s="5"/>
      <c r="D757" s="5"/>
      <c r="E757" s="5"/>
      <c r="F757" s="5"/>
      <c r="G757" s="5"/>
      <c r="H757" s="5"/>
      <c r="I757" s="5"/>
      <c r="J757" s="5"/>
      <c r="K757" s="5"/>
      <c r="L757" s="5"/>
      <c r="M757" s="5"/>
      <c r="N757" s="5"/>
      <c r="O757" s="5"/>
      <c r="P757" s="5"/>
      <c r="Q757" s="5"/>
      <c r="R757" s="5"/>
      <c r="S757" s="5"/>
    </row>
    <row r="758" spans="1:19">
      <c r="A758" s="5"/>
      <c r="B758" s="5"/>
      <c r="C758" s="5"/>
      <c r="D758" s="5"/>
      <c r="E758" s="5"/>
      <c r="F758" s="5"/>
      <c r="G758" s="5"/>
      <c r="H758" s="5"/>
      <c r="I758" s="5"/>
      <c r="J758" s="5"/>
      <c r="K758" s="5"/>
      <c r="L758" s="5"/>
      <c r="M758" s="5"/>
      <c r="N758" s="5"/>
      <c r="O758" s="5"/>
      <c r="P758" s="5"/>
      <c r="Q758" s="5"/>
      <c r="R758" s="5"/>
      <c r="S758" s="5"/>
    </row>
    <row r="759" spans="1:19">
      <c r="A759" s="5"/>
      <c r="B759" s="5"/>
      <c r="C759" s="5"/>
      <c r="D759" s="5"/>
      <c r="E759" s="5"/>
      <c r="F759" s="5"/>
      <c r="G759" s="5"/>
      <c r="H759" s="5"/>
      <c r="I759" s="5"/>
      <c r="J759" s="5"/>
      <c r="K759" s="5"/>
      <c r="L759" s="5"/>
      <c r="M759" s="5"/>
      <c r="N759" s="5"/>
      <c r="O759" s="5"/>
      <c r="P759" s="5"/>
      <c r="Q759" s="5"/>
      <c r="R759" s="5"/>
      <c r="S759" s="5"/>
    </row>
    <row r="760" spans="1:19">
      <c r="A760" s="5"/>
      <c r="B760" s="5"/>
      <c r="C760" s="5"/>
      <c r="D760" s="5"/>
      <c r="E760" s="5"/>
      <c r="F760" s="5"/>
      <c r="G760" s="5"/>
      <c r="H760" s="5"/>
      <c r="I760" s="5"/>
      <c r="J760" s="5"/>
      <c r="K760" s="5"/>
      <c r="L760" s="5"/>
      <c r="M760" s="5"/>
      <c r="N760" s="5"/>
      <c r="O760" s="5"/>
      <c r="P760" s="5"/>
      <c r="Q760" s="5"/>
      <c r="R760" s="5"/>
      <c r="S760" s="5"/>
    </row>
    <row r="761" spans="1:19">
      <c r="A761" s="5"/>
      <c r="B761" s="5"/>
      <c r="C761" s="5"/>
      <c r="D761" s="5"/>
      <c r="E761" s="5"/>
      <c r="F761" s="5"/>
      <c r="G761" s="5"/>
      <c r="H761" s="5"/>
      <c r="I761" s="5"/>
      <c r="J761" s="5"/>
      <c r="K761" s="5"/>
      <c r="L761" s="5"/>
      <c r="M761" s="5"/>
      <c r="N761" s="5"/>
      <c r="O761" s="5"/>
      <c r="P761" s="5"/>
      <c r="Q761" s="5"/>
      <c r="R761" s="5"/>
      <c r="S761" s="5"/>
    </row>
    <row r="762" spans="1:19">
      <c r="A762" s="5"/>
      <c r="B762" s="5"/>
      <c r="C762" s="5"/>
      <c r="D762" s="5"/>
      <c r="E762" s="5"/>
      <c r="F762" s="5"/>
      <c r="G762" s="5"/>
      <c r="H762" s="5"/>
      <c r="I762" s="5"/>
      <c r="J762" s="5"/>
      <c r="K762" s="5"/>
      <c r="L762" s="5"/>
      <c r="M762" s="5"/>
      <c r="N762" s="5"/>
      <c r="O762" s="5"/>
      <c r="P762" s="5"/>
      <c r="Q762" s="5"/>
      <c r="R762" s="5"/>
      <c r="S762" s="5"/>
    </row>
    <row r="763" spans="1:19">
      <c r="A763" s="5"/>
      <c r="B763" s="5"/>
      <c r="C763" s="5"/>
      <c r="D763" s="5"/>
      <c r="E763" s="5"/>
      <c r="F763" s="5"/>
      <c r="G763" s="5"/>
      <c r="H763" s="5"/>
      <c r="I763" s="5"/>
      <c r="J763" s="5"/>
      <c r="K763" s="5"/>
      <c r="L763" s="5"/>
      <c r="M763" s="5"/>
      <c r="N763" s="5"/>
      <c r="O763" s="5"/>
      <c r="P763" s="5"/>
      <c r="Q763" s="5"/>
      <c r="R763" s="5"/>
      <c r="S763" s="5"/>
    </row>
    <row r="764" spans="1:19">
      <c r="A764" s="5"/>
      <c r="B764" s="5"/>
      <c r="C764" s="5"/>
      <c r="D764" s="5"/>
      <c r="E764" s="5"/>
      <c r="F764" s="5"/>
      <c r="G764" s="5"/>
      <c r="H764" s="5"/>
      <c r="I764" s="5"/>
      <c r="J764" s="5"/>
      <c r="K764" s="5"/>
      <c r="L764" s="5"/>
      <c r="M764" s="5"/>
      <c r="N764" s="5"/>
      <c r="O764" s="5"/>
      <c r="P764" s="5"/>
      <c r="Q764" s="5"/>
      <c r="R764" s="5"/>
      <c r="S764" s="5"/>
    </row>
    <row r="765" spans="1:19">
      <c r="A765" s="5"/>
      <c r="B765" s="5"/>
      <c r="C765" s="5"/>
      <c r="D765" s="5"/>
      <c r="E765" s="5"/>
      <c r="F765" s="5"/>
      <c r="G765" s="5"/>
      <c r="H765" s="5"/>
      <c r="I765" s="5"/>
      <c r="J765" s="5"/>
      <c r="K765" s="5"/>
      <c r="L765" s="5"/>
      <c r="M765" s="5"/>
      <c r="N765" s="5"/>
      <c r="O765" s="5"/>
      <c r="P765" s="5"/>
      <c r="Q765" s="5"/>
      <c r="R765" s="5"/>
      <c r="S765" s="5"/>
    </row>
    <row r="766" spans="1:19">
      <c r="A766" s="5"/>
      <c r="B766" s="5"/>
      <c r="C766" s="5"/>
      <c r="D766" s="5"/>
      <c r="E766" s="5"/>
      <c r="F766" s="5"/>
      <c r="G766" s="5"/>
      <c r="H766" s="5"/>
      <c r="I766" s="5"/>
      <c r="J766" s="5"/>
      <c r="K766" s="5"/>
      <c r="L766" s="5"/>
      <c r="M766" s="5"/>
      <c r="N766" s="5"/>
      <c r="O766" s="5"/>
      <c r="P766" s="5"/>
      <c r="Q766" s="5"/>
      <c r="R766" s="5"/>
      <c r="S766" s="5"/>
    </row>
    <row r="767" spans="1:19">
      <c r="A767" s="5"/>
      <c r="B767" s="5"/>
      <c r="C767" s="5"/>
      <c r="D767" s="5"/>
      <c r="E767" s="5"/>
      <c r="F767" s="5"/>
      <c r="G767" s="5"/>
      <c r="H767" s="5"/>
      <c r="I767" s="5"/>
      <c r="J767" s="5"/>
      <c r="K767" s="5"/>
      <c r="L767" s="5"/>
      <c r="M767" s="5"/>
      <c r="N767" s="5"/>
      <c r="O767" s="5"/>
      <c r="P767" s="5"/>
      <c r="Q767" s="5"/>
      <c r="R767" s="5"/>
      <c r="S767" s="5"/>
    </row>
    <row r="768" spans="1:19">
      <c r="A768" s="5"/>
      <c r="B768" s="5"/>
      <c r="C768" s="5"/>
      <c r="D768" s="5"/>
      <c r="E768" s="5"/>
      <c r="F768" s="5"/>
      <c r="G768" s="5"/>
      <c r="H768" s="5"/>
      <c r="I768" s="5"/>
      <c r="J768" s="5"/>
      <c r="K768" s="5"/>
      <c r="L768" s="5"/>
      <c r="M768" s="5"/>
      <c r="N768" s="5"/>
      <c r="O768" s="5"/>
      <c r="P768" s="5"/>
      <c r="Q768" s="5"/>
      <c r="R768" s="5"/>
      <c r="S768" s="5"/>
    </row>
    <row r="769" spans="1:19">
      <c r="A769" s="5"/>
      <c r="B769" s="5"/>
      <c r="C769" s="5"/>
      <c r="D769" s="5"/>
      <c r="E769" s="5"/>
      <c r="F769" s="5"/>
      <c r="G769" s="5"/>
      <c r="H769" s="5"/>
      <c r="I769" s="5"/>
      <c r="J769" s="5"/>
      <c r="K769" s="5"/>
      <c r="L769" s="5"/>
      <c r="M769" s="5"/>
      <c r="N769" s="5"/>
      <c r="O769" s="5"/>
      <c r="P769" s="5"/>
      <c r="Q769" s="5"/>
      <c r="R769" s="5"/>
      <c r="S769" s="5"/>
    </row>
    <row r="770" spans="1:19">
      <c r="A770" s="5"/>
      <c r="B770" s="5"/>
      <c r="C770" s="5"/>
      <c r="D770" s="5"/>
      <c r="E770" s="5"/>
      <c r="F770" s="5"/>
      <c r="G770" s="5"/>
      <c r="H770" s="5"/>
      <c r="I770" s="5"/>
      <c r="J770" s="5"/>
      <c r="K770" s="5"/>
      <c r="L770" s="5"/>
      <c r="M770" s="5"/>
      <c r="N770" s="5"/>
      <c r="O770" s="5"/>
      <c r="P770" s="5"/>
      <c r="Q770" s="5"/>
      <c r="R770" s="5"/>
      <c r="S770" s="5"/>
    </row>
    <row r="771" spans="1:19">
      <c r="A771" s="5"/>
      <c r="B771" s="5"/>
      <c r="C771" s="5"/>
      <c r="D771" s="5"/>
      <c r="E771" s="5"/>
      <c r="F771" s="5"/>
      <c r="G771" s="5"/>
      <c r="H771" s="5"/>
      <c r="I771" s="5"/>
      <c r="J771" s="5"/>
      <c r="K771" s="5"/>
      <c r="L771" s="5"/>
      <c r="M771" s="5"/>
      <c r="N771" s="5"/>
      <c r="O771" s="5"/>
      <c r="P771" s="5"/>
      <c r="Q771" s="5"/>
      <c r="R771" s="5"/>
      <c r="S771" s="5"/>
    </row>
    <row r="772" spans="1:19">
      <c r="A772" s="5"/>
      <c r="B772" s="5"/>
      <c r="C772" s="5"/>
      <c r="D772" s="5"/>
      <c r="E772" s="5"/>
      <c r="F772" s="5"/>
      <c r="G772" s="5"/>
      <c r="H772" s="5"/>
      <c r="I772" s="5"/>
      <c r="J772" s="5"/>
      <c r="K772" s="5"/>
      <c r="L772" s="5"/>
      <c r="M772" s="5"/>
      <c r="N772" s="5"/>
      <c r="O772" s="5"/>
      <c r="P772" s="5"/>
      <c r="Q772" s="5"/>
      <c r="R772" s="5"/>
      <c r="S772" s="5"/>
    </row>
    <row r="773" spans="1:19">
      <c r="A773" s="5"/>
      <c r="B773" s="5"/>
      <c r="C773" s="5"/>
      <c r="D773" s="5"/>
      <c r="E773" s="5"/>
      <c r="F773" s="5"/>
      <c r="G773" s="5"/>
      <c r="H773" s="5"/>
      <c r="I773" s="5"/>
      <c r="J773" s="5"/>
      <c r="K773" s="5"/>
      <c r="L773" s="5"/>
      <c r="M773" s="5"/>
      <c r="N773" s="5"/>
      <c r="O773" s="5"/>
      <c r="P773" s="5"/>
      <c r="Q773" s="5"/>
      <c r="R773" s="5"/>
      <c r="S773" s="5"/>
    </row>
    <row r="774" spans="1:19">
      <c r="A774" s="5"/>
      <c r="B774" s="5"/>
      <c r="C774" s="5"/>
      <c r="D774" s="5"/>
      <c r="E774" s="5"/>
      <c r="F774" s="5"/>
      <c r="G774" s="5"/>
      <c r="H774" s="5"/>
      <c r="I774" s="5"/>
      <c r="J774" s="5"/>
      <c r="K774" s="5"/>
      <c r="L774" s="5"/>
      <c r="M774" s="5"/>
      <c r="N774" s="5"/>
      <c r="O774" s="5"/>
      <c r="P774" s="5"/>
      <c r="Q774" s="5"/>
      <c r="R774" s="5"/>
      <c r="S774" s="5"/>
    </row>
    <row r="775" spans="1:19">
      <c r="A775" s="5"/>
      <c r="B775" s="5"/>
      <c r="C775" s="5"/>
      <c r="D775" s="5"/>
      <c r="E775" s="5"/>
      <c r="F775" s="5"/>
      <c r="G775" s="5"/>
      <c r="H775" s="5"/>
      <c r="I775" s="5"/>
      <c r="J775" s="5"/>
      <c r="K775" s="5"/>
      <c r="L775" s="5"/>
      <c r="M775" s="5"/>
      <c r="N775" s="5"/>
      <c r="O775" s="5"/>
      <c r="P775" s="5"/>
      <c r="Q775" s="5"/>
      <c r="R775" s="5"/>
      <c r="S775" s="5"/>
    </row>
    <row r="776" spans="1:19">
      <c r="A776" s="5"/>
      <c r="B776" s="5"/>
      <c r="C776" s="5"/>
      <c r="D776" s="5"/>
      <c r="E776" s="5"/>
      <c r="F776" s="5"/>
      <c r="G776" s="5"/>
      <c r="H776" s="5"/>
      <c r="I776" s="5"/>
      <c r="J776" s="5"/>
      <c r="K776" s="5"/>
      <c r="L776" s="5"/>
      <c r="M776" s="5"/>
      <c r="N776" s="5"/>
      <c r="O776" s="5"/>
      <c r="P776" s="5"/>
      <c r="Q776" s="5"/>
      <c r="R776" s="5"/>
      <c r="S776" s="5"/>
    </row>
    <row r="777" spans="1:19">
      <c r="A777" s="5"/>
      <c r="B777" s="5"/>
      <c r="C777" s="5"/>
      <c r="D777" s="5"/>
      <c r="E777" s="5"/>
      <c r="F777" s="5"/>
      <c r="G777" s="5"/>
      <c r="H777" s="5"/>
      <c r="I777" s="5"/>
      <c r="J777" s="5"/>
      <c r="K777" s="5"/>
      <c r="L777" s="5"/>
      <c r="M777" s="5"/>
      <c r="N777" s="5"/>
      <c r="O777" s="5"/>
      <c r="P777" s="5"/>
      <c r="Q777" s="5"/>
      <c r="R777" s="5"/>
      <c r="S777" s="5"/>
    </row>
    <row r="778" spans="1:19">
      <c r="A778" s="5"/>
      <c r="B778" s="5"/>
      <c r="C778" s="5"/>
      <c r="D778" s="5"/>
      <c r="E778" s="5"/>
      <c r="F778" s="5"/>
      <c r="G778" s="5"/>
      <c r="H778" s="5"/>
      <c r="I778" s="5"/>
      <c r="J778" s="5"/>
      <c r="K778" s="5"/>
      <c r="L778" s="5"/>
      <c r="M778" s="5"/>
      <c r="N778" s="5"/>
      <c r="O778" s="5"/>
      <c r="P778" s="5"/>
      <c r="Q778" s="5"/>
      <c r="R778" s="5"/>
      <c r="S778" s="5"/>
    </row>
    <row r="779" spans="1:19">
      <c r="A779" s="5"/>
      <c r="B779" s="5"/>
      <c r="C779" s="5"/>
      <c r="D779" s="5"/>
      <c r="E779" s="5"/>
      <c r="F779" s="5"/>
      <c r="G779" s="5"/>
      <c r="H779" s="5"/>
      <c r="I779" s="5"/>
      <c r="J779" s="5"/>
      <c r="K779" s="5"/>
      <c r="L779" s="5"/>
      <c r="M779" s="5"/>
      <c r="N779" s="5"/>
      <c r="O779" s="5"/>
      <c r="P779" s="5"/>
      <c r="Q779" s="5"/>
      <c r="R779" s="5"/>
      <c r="S779" s="5"/>
    </row>
    <row r="780" spans="1:19">
      <c r="A780" s="5"/>
      <c r="B780" s="5"/>
      <c r="C780" s="5"/>
      <c r="D780" s="5"/>
      <c r="E780" s="5"/>
      <c r="F780" s="5"/>
      <c r="G780" s="5"/>
      <c r="H780" s="5"/>
      <c r="I780" s="5"/>
      <c r="J780" s="5"/>
      <c r="K780" s="5"/>
      <c r="L780" s="5"/>
      <c r="M780" s="5"/>
      <c r="N780" s="5"/>
      <c r="O780" s="5"/>
      <c r="P780" s="5"/>
      <c r="Q780" s="5"/>
      <c r="R780" s="5"/>
      <c r="S780" s="5"/>
    </row>
    <row r="781" spans="1:19">
      <c r="A781" s="5"/>
      <c r="B781" s="5"/>
      <c r="C781" s="5"/>
      <c r="D781" s="5"/>
      <c r="E781" s="5"/>
      <c r="F781" s="5"/>
      <c r="G781" s="5"/>
      <c r="H781" s="5"/>
      <c r="I781" s="5"/>
      <c r="J781" s="5"/>
      <c r="K781" s="5"/>
      <c r="L781" s="5"/>
      <c r="M781" s="5"/>
      <c r="N781" s="5"/>
      <c r="O781" s="5"/>
      <c r="P781" s="5"/>
      <c r="Q781" s="5"/>
      <c r="R781" s="5"/>
      <c r="S781" s="5"/>
    </row>
    <row r="782" spans="1:19">
      <c r="A782" s="5"/>
      <c r="B782" s="5"/>
      <c r="C782" s="5"/>
      <c r="D782" s="5"/>
      <c r="E782" s="5"/>
      <c r="F782" s="5"/>
      <c r="G782" s="5"/>
      <c r="H782" s="5"/>
      <c r="I782" s="5"/>
      <c r="J782" s="5"/>
      <c r="K782" s="5"/>
      <c r="L782" s="5"/>
      <c r="M782" s="5"/>
      <c r="N782" s="5"/>
      <c r="O782" s="5"/>
      <c r="P782" s="5"/>
      <c r="Q782" s="5"/>
      <c r="R782" s="5"/>
      <c r="S782" s="5"/>
    </row>
    <row r="783" spans="1:19">
      <c r="A783" s="5"/>
      <c r="B783" s="5"/>
      <c r="C783" s="5"/>
      <c r="D783" s="5"/>
      <c r="E783" s="5"/>
      <c r="F783" s="5"/>
      <c r="G783" s="5"/>
      <c r="H783" s="5"/>
      <c r="I783" s="5"/>
      <c r="J783" s="5"/>
      <c r="K783" s="5"/>
      <c r="L783" s="5"/>
      <c r="M783" s="5"/>
      <c r="N783" s="5"/>
      <c r="O783" s="5"/>
      <c r="P783" s="5"/>
      <c r="Q783" s="5"/>
      <c r="R783" s="5"/>
      <c r="S783" s="5"/>
    </row>
    <row r="784" spans="1:19">
      <c r="A784" s="5"/>
      <c r="B784" s="5"/>
      <c r="C784" s="5"/>
      <c r="D784" s="5"/>
      <c r="E784" s="5"/>
      <c r="F784" s="5"/>
      <c r="G784" s="5"/>
      <c r="H784" s="5"/>
      <c r="I784" s="5"/>
      <c r="J784" s="5"/>
      <c r="K784" s="5"/>
      <c r="L784" s="5"/>
      <c r="M784" s="5"/>
      <c r="N784" s="5"/>
      <c r="O784" s="5"/>
      <c r="P784" s="5"/>
      <c r="Q784" s="5"/>
      <c r="R784" s="5"/>
      <c r="S784" s="5"/>
    </row>
    <row r="785" spans="1:19">
      <c r="A785" s="5"/>
      <c r="B785" s="5"/>
      <c r="C785" s="5"/>
      <c r="D785" s="5"/>
      <c r="E785" s="5"/>
      <c r="F785" s="5"/>
      <c r="G785" s="5"/>
      <c r="H785" s="5"/>
      <c r="I785" s="5"/>
      <c r="J785" s="5"/>
      <c r="K785" s="5"/>
      <c r="L785" s="5"/>
      <c r="M785" s="5"/>
      <c r="N785" s="5"/>
      <c r="O785" s="5"/>
      <c r="P785" s="5"/>
      <c r="Q785" s="5"/>
      <c r="R785" s="5"/>
      <c r="S785" s="5"/>
    </row>
    <row r="786" spans="1:19">
      <c r="A786" s="5"/>
      <c r="B786" s="5"/>
      <c r="C786" s="5"/>
      <c r="D786" s="5"/>
      <c r="E786" s="5"/>
      <c r="F786" s="5"/>
      <c r="G786" s="5"/>
      <c r="H786" s="5"/>
      <c r="I786" s="5"/>
      <c r="J786" s="5"/>
      <c r="K786" s="5"/>
      <c r="L786" s="5"/>
      <c r="M786" s="5"/>
      <c r="N786" s="5"/>
      <c r="O786" s="5"/>
      <c r="P786" s="5"/>
      <c r="Q786" s="5"/>
      <c r="R786" s="5"/>
      <c r="S786" s="5"/>
    </row>
    <row r="787" spans="1:19">
      <c r="A787" s="5"/>
      <c r="B787" s="5"/>
      <c r="C787" s="5"/>
      <c r="D787" s="5"/>
      <c r="E787" s="5"/>
      <c r="F787" s="5"/>
      <c r="G787" s="5"/>
      <c r="H787" s="5"/>
      <c r="I787" s="5"/>
      <c r="J787" s="5"/>
      <c r="K787" s="5"/>
      <c r="L787" s="5"/>
      <c r="M787" s="5"/>
      <c r="N787" s="5"/>
      <c r="O787" s="5"/>
      <c r="P787" s="5"/>
      <c r="Q787" s="5"/>
      <c r="R787" s="5"/>
      <c r="S787" s="5"/>
    </row>
    <row r="788" spans="1:19">
      <c r="A788" s="5"/>
      <c r="B788" s="5"/>
      <c r="C788" s="5"/>
      <c r="D788" s="5"/>
      <c r="E788" s="5"/>
      <c r="F788" s="5"/>
      <c r="G788" s="5"/>
      <c r="H788" s="5"/>
      <c r="I788" s="5"/>
      <c r="J788" s="5"/>
      <c r="K788" s="5"/>
      <c r="L788" s="5"/>
      <c r="M788" s="5"/>
      <c r="N788" s="5"/>
      <c r="O788" s="5"/>
      <c r="P788" s="5"/>
      <c r="Q788" s="5"/>
      <c r="R788" s="5"/>
      <c r="S788" s="5"/>
    </row>
    <row r="789" spans="1:19">
      <c r="A789" s="5"/>
      <c r="B789" s="5"/>
      <c r="C789" s="5"/>
      <c r="D789" s="5"/>
      <c r="E789" s="5"/>
      <c r="F789" s="5"/>
      <c r="G789" s="5"/>
      <c r="H789" s="5"/>
      <c r="I789" s="5"/>
      <c r="J789" s="5"/>
      <c r="K789" s="5"/>
      <c r="L789" s="5"/>
      <c r="M789" s="5"/>
      <c r="N789" s="5"/>
      <c r="O789" s="5"/>
      <c r="P789" s="5"/>
      <c r="Q789" s="5"/>
      <c r="R789" s="5"/>
      <c r="S789" s="5"/>
    </row>
    <row r="790" spans="1:19">
      <c r="A790" s="5"/>
      <c r="B790" s="5"/>
      <c r="C790" s="5"/>
      <c r="D790" s="5"/>
      <c r="E790" s="5"/>
      <c r="F790" s="5"/>
      <c r="G790" s="5"/>
      <c r="H790" s="5"/>
      <c r="I790" s="5"/>
      <c r="J790" s="5"/>
      <c r="K790" s="5"/>
      <c r="L790" s="5"/>
      <c r="M790" s="5"/>
      <c r="N790" s="5"/>
      <c r="O790" s="5"/>
      <c r="P790" s="5"/>
      <c r="Q790" s="5"/>
      <c r="R790" s="5"/>
      <c r="S790" s="5"/>
    </row>
    <row r="791" spans="1:19">
      <c r="A791" s="5"/>
      <c r="B791" s="5"/>
      <c r="C791" s="5"/>
      <c r="D791" s="5"/>
      <c r="E791" s="5"/>
      <c r="F791" s="5"/>
      <c r="G791" s="5"/>
      <c r="H791" s="5"/>
      <c r="I791" s="5"/>
      <c r="J791" s="5"/>
      <c r="K791" s="5"/>
      <c r="L791" s="5"/>
      <c r="M791" s="5"/>
      <c r="N791" s="5"/>
      <c r="O791" s="5"/>
      <c r="P791" s="5"/>
      <c r="Q791" s="5"/>
      <c r="R791" s="5"/>
      <c r="S791" s="5"/>
    </row>
    <row r="792" spans="1:19">
      <c r="A792" s="5"/>
      <c r="B792" s="5"/>
      <c r="C792" s="5"/>
      <c r="D792" s="5"/>
      <c r="E792" s="5"/>
      <c r="F792" s="5"/>
      <c r="G792" s="5"/>
      <c r="H792" s="5"/>
      <c r="I792" s="5"/>
      <c r="J792" s="5"/>
      <c r="K792" s="5"/>
      <c r="L792" s="5"/>
      <c r="M792" s="5"/>
      <c r="N792" s="5"/>
      <c r="O792" s="5"/>
      <c r="P792" s="5"/>
      <c r="Q792" s="5"/>
      <c r="R792" s="5"/>
      <c r="S792" s="5"/>
    </row>
    <row r="793" spans="1:19">
      <c r="A793" s="5"/>
      <c r="B793" s="5"/>
      <c r="C793" s="5"/>
      <c r="D793" s="5"/>
      <c r="E793" s="5"/>
      <c r="F793" s="5"/>
      <c r="G793" s="5"/>
      <c r="H793" s="5"/>
      <c r="I793" s="5"/>
      <c r="J793" s="5"/>
      <c r="K793" s="5"/>
      <c r="L793" s="5"/>
      <c r="M793" s="5"/>
      <c r="N793" s="5"/>
      <c r="O793" s="5"/>
      <c r="P793" s="5"/>
      <c r="Q793" s="5"/>
      <c r="R793" s="5"/>
      <c r="S793" s="5"/>
    </row>
    <row r="794" spans="1:19">
      <c r="A794" s="5"/>
      <c r="B794" s="5"/>
      <c r="C794" s="5"/>
      <c r="D794" s="5"/>
      <c r="E794" s="5"/>
      <c r="F794" s="5"/>
      <c r="G794" s="5"/>
      <c r="H794" s="5"/>
      <c r="I794" s="5"/>
      <c r="J794" s="5"/>
      <c r="K794" s="5"/>
      <c r="L794" s="5"/>
      <c r="M794" s="5"/>
      <c r="N794" s="5"/>
      <c r="O794" s="5"/>
      <c r="P794" s="5"/>
      <c r="Q794" s="5"/>
      <c r="R794" s="5"/>
      <c r="S794" s="5"/>
    </row>
    <row r="795" spans="1:19">
      <c r="A795" s="5"/>
      <c r="B795" s="5"/>
      <c r="C795" s="5"/>
      <c r="D795" s="5"/>
      <c r="E795" s="5"/>
      <c r="F795" s="5"/>
      <c r="G795" s="5"/>
      <c r="H795" s="5"/>
      <c r="I795" s="5"/>
      <c r="J795" s="5"/>
      <c r="K795" s="5"/>
      <c r="L795" s="5"/>
      <c r="M795" s="5"/>
      <c r="N795" s="5"/>
      <c r="O795" s="5"/>
      <c r="P795" s="5"/>
      <c r="Q795" s="5"/>
      <c r="R795" s="5"/>
      <c r="S795" s="5"/>
    </row>
    <row r="796" spans="1:19">
      <c r="A796" s="5"/>
      <c r="B796" s="5"/>
      <c r="C796" s="5"/>
      <c r="D796" s="5"/>
      <c r="E796" s="5"/>
      <c r="F796" s="5"/>
      <c r="G796" s="5"/>
      <c r="H796" s="5"/>
      <c r="I796" s="5"/>
      <c r="J796" s="5"/>
      <c r="K796" s="5"/>
      <c r="L796" s="5"/>
      <c r="M796" s="5"/>
      <c r="N796" s="5"/>
      <c r="O796" s="5"/>
      <c r="P796" s="5"/>
      <c r="Q796" s="5"/>
      <c r="R796" s="5"/>
      <c r="S796" s="5"/>
    </row>
    <row r="797" spans="1:19">
      <c r="A797" s="5"/>
      <c r="B797" s="5"/>
      <c r="C797" s="5"/>
      <c r="D797" s="5"/>
      <c r="E797" s="5"/>
      <c r="F797" s="5"/>
      <c r="G797" s="5"/>
      <c r="H797" s="5"/>
      <c r="I797" s="5"/>
      <c r="J797" s="5"/>
      <c r="K797" s="5"/>
      <c r="L797" s="5"/>
      <c r="M797" s="5"/>
      <c r="N797" s="5"/>
      <c r="O797" s="5"/>
      <c r="P797" s="5"/>
      <c r="Q797" s="5"/>
      <c r="R797" s="5"/>
      <c r="S797" s="5"/>
    </row>
    <row r="798" spans="1:19">
      <c r="A798" s="5"/>
      <c r="B798" s="5"/>
      <c r="C798" s="5"/>
      <c r="D798" s="5"/>
      <c r="E798" s="5"/>
      <c r="F798" s="5"/>
      <c r="G798" s="5"/>
      <c r="H798" s="5"/>
      <c r="I798" s="5"/>
      <c r="J798" s="5"/>
      <c r="K798" s="5"/>
      <c r="L798" s="5"/>
      <c r="M798" s="5"/>
      <c r="N798" s="5"/>
      <c r="O798" s="5"/>
      <c r="P798" s="5"/>
      <c r="Q798" s="5"/>
      <c r="R798" s="5"/>
      <c r="S798" s="5"/>
    </row>
    <row r="799" spans="1:19">
      <c r="A799" s="5"/>
      <c r="B799" s="5"/>
      <c r="C799" s="5"/>
      <c r="D799" s="5"/>
      <c r="E799" s="5"/>
      <c r="F799" s="5"/>
      <c r="G799" s="5"/>
      <c r="H799" s="5"/>
      <c r="I799" s="5"/>
      <c r="J799" s="5"/>
      <c r="K799" s="5"/>
      <c r="L799" s="5"/>
      <c r="M799" s="5"/>
      <c r="N799" s="5"/>
      <c r="O799" s="5"/>
      <c r="P799" s="5"/>
      <c r="Q799" s="5"/>
      <c r="R799" s="5"/>
      <c r="S799" s="5"/>
    </row>
    <row r="800" spans="1:19">
      <c r="A800" s="5"/>
      <c r="B800" s="5"/>
      <c r="C800" s="5"/>
      <c r="D800" s="5"/>
      <c r="E800" s="5"/>
      <c r="F800" s="5"/>
      <c r="G800" s="5"/>
      <c r="H800" s="5"/>
      <c r="I800" s="5"/>
      <c r="J800" s="5"/>
      <c r="K800" s="5"/>
      <c r="L800" s="5"/>
      <c r="M800" s="5"/>
      <c r="N800" s="5"/>
      <c r="O800" s="5"/>
      <c r="P800" s="5"/>
      <c r="Q800" s="5"/>
      <c r="R800" s="5"/>
      <c r="S800" s="5"/>
    </row>
    <row r="801" spans="1:19">
      <c r="A801" s="5"/>
      <c r="B801" s="5"/>
      <c r="C801" s="5"/>
      <c r="D801" s="5"/>
      <c r="E801" s="5"/>
      <c r="F801" s="5"/>
      <c r="G801" s="5"/>
      <c r="H801" s="5"/>
      <c r="I801" s="5"/>
      <c r="J801" s="5"/>
      <c r="K801" s="5"/>
      <c r="L801" s="5"/>
      <c r="M801" s="5"/>
      <c r="N801" s="5"/>
      <c r="O801" s="5"/>
      <c r="P801" s="5"/>
      <c r="Q801" s="5"/>
      <c r="R801" s="5"/>
      <c r="S801" s="5"/>
    </row>
    <row r="802" spans="1:19">
      <c r="A802" s="5"/>
      <c r="B802" s="5"/>
      <c r="C802" s="5"/>
      <c r="D802" s="5"/>
      <c r="E802" s="5"/>
      <c r="F802" s="5"/>
      <c r="G802" s="5"/>
      <c r="H802" s="5"/>
      <c r="I802" s="5"/>
      <c r="J802" s="5"/>
      <c r="K802" s="5"/>
      <c r="L802" s="5"/>
      <c r="M802" s="5"/>
      <c r="N802" s="5"/>
      <c r="O802" s="5"/>
      <c r="P802" s="5"/>
      <c r="Q802" s="5"/>
      <c r="R802" s="5"/>
      <c r="S802" s="5"/>
    </row>
    <row r="803" spans="1:19">
      <c r="A803" s="5"/>
      <c r="B803" s="5"/>
      <c r="C803" s="5"/>
      <c r="D803" s="5"/>
      <c r="E803" s="5"/>
      <c r="F803" s="5"/>
      <c r="G803" s="5"/>
      <c r="H803" s="5"/>
      <c r="I803" s="5"/>
      <c r="J803" s="5"/>
      <c r="K803" s="5"/>
      <c r="L803" s="5"/>
      <c r="M803" s="5"/>
      <c r="N803" s="5"/>
      <c r="O803" s="5"/>
      <c r="P803" s="5"/>
      <c r="Q803" s="5"/>
      <c r="R803" s="5"/>
      <c r="S803" s="5"/>
    </row>
    <row r="804" spans="1:19">
      <c r="A804" s="5"/>
      <c r="B804" s="5"/>
      <c r="C804" s="5"/>
      <c r="D804" s="5"/>
      <c r="E804" s="5"/>
      <c r="F804" s="5"/>
      <c r="G804" s="5"/>
      <c r="H804" s="5"/>
      <c r="I804" s="5"/>
      <c r="J804" s="5"/>
      <c r="K804" s="5"/>
      <c r="L804" s="5"/>
      <c r="M804" s="5"/>
      <c r="N804" s="5"/>
      <c r="O804" s="5"/>
      <c r="P804" s="5"/>
      <c r="Q804" s="5"/>
      <c r="R804" s="5"/>
      <c r="S804" s="5"/>
    </row>
    <row r="805" spans="1:19">
      <c r="A805" s="5"/>
      <c r="B805" s="5"/>
      <c r="C805" s="5"/>
      <c r="D805" s="5"/>
      <c r="E805" s="5"/>
      <c r="F805" s="5"/>
      <c r="G805" s="5"/>
      <c r="H805" s="5"/>
      <c r="I805" s="5"/>
      <c r="J805" s="5"/>
      <c r="K805" s="5"/>
      <c r="L805" s="5"/>
      <c r="M805" s="5"/>
      <c r="N805" s="5"/>
      <c r="O805" s="5"/>
      <c r="P805" s="5"/>
      <c r="Q805" s="5"/>
      <c r="R805" s="5"/>
      <c r="S805" s="5"/>
    </row>
    <row r="806" spans="1:19">
      <c r="A806" s="5"/>
      <c r="B806" s="5"/>
      <c r="C806" s="5"/>
      <c r="D806" s="5"/>
      <c r="E806" s="5"/>
      <c r="F806" s="5"/>
      <c r="G806" s="5"/>
      <c r="H806" s="5"/>
      <c r="I806" s="5"/>
      <c r="J806" s="5"/>
      <c r="K806" s="5"/>
      <c r="L806" s="5"/>
      <c r="M806" s="5"/>
      <c r="N806" s="5"/>
      <c r="O806" s="5"/>
      <c r="P806" s="5"/>
      <c r="Q806" s="5"/>
      <c r="R806" s="5"/>
      <c r="S806" s="5"/>
    </row>
    <row r="807" spans="1:19">
      <c r="A807" s="5"/>
      <c r="B807" s="5"/>
      <c r="C807" s="5"/>
      <c r="D807" s="5"/>
      <c r="E807" s="5"/>
      <c r="F807" s="5"/>
      <c r="G807" s="5"/>
      <c r="H807" s="5"/>
      <c r="I807" s="5"/>
      <c r="J807" s="5"/>
      <c r="K807" s="5"/>
      <c r="L807" s="5"/>
      <c r="M807" s="5"/>
      <c r="N807" s="5"/>
      <c r="O807" s="5"/>
      <c r="P807" s="5"/>
      <c r="Q807" s="5"/>
      <c r="R807" s="5"/>
      <c r="S807" s="5"/>
    </row>
    <row r="808" spans="1:19">
      <c r="A808" s="5"/>
      <c r="B808" s="5"/>
      <c r="C808" s="5"/>
      <c r="D808" s="5"/>
      <c r="E808" s="5"/>
      <c r="F808" s="5"/>
      <c r="G808" s="5"/>
      <c r="H808" s="5"/>
      <c r="I808" s="5"/>
      <c r="J808" s="5"/>
      <c r="K808" s="5"/>
      <c r="L808" s="5"/>
      <c r="M808" s="5"/>
      <c r="N808" s="5"/>
      <c r="O808" s="5"/>
      <c r="P808" s="5"/>
      <c r="Q808" s="5"/>
      <c r="R808" s="5"/>
      <c r="S808" s="5"/>
    </row>
    <row r="809" spans="1:19">
      <c r="A809" s="5"/>
      <c r="B809" s="5"/>
      <c r="C809" s="5"/>
      <c r="D809" s="5"/>
      <c r="E809" s="5"/>
      <c r="F809" s="5"/>
      <c r="G809" s="5"/>
      <c r="H809" s="5"/>
      <c r="I809" s="5"/>
      <c r="J809" s="5"/>
      <c r="K809" s="5"/>
      <c r="L809" s="5"/>
      <c r="M809" s="5"/>
      <c r="N809" s="5"/>
      <c r="O809" s="5"/>
      <c r="P809" s="5"/>
      <c r="Q809" s="5"/>
      <c r="R809" s="5"/>
      <c r="S809" s="5"/>
    </row>
    <row r="810" spans="1:19">
      <c r="A810" s="5"/>
      <c r="B810" s="5"/>
      <c r="C810" s="5"/>
      <c r="D810" s="5"/>
      <c r="E810" s="5"/>
      <c r="F810" s="5"/>
      <c r="G810" s="5"/>
      <c r="H810" s="5"/>
      <c r="I810" s="5"/>
      <c r="J810" s="5"/>
      <c r="K810" s="5"/>
      <c r="L810" s="5"/>
      <c r="M810" s="5"/>
      <c r="N810" s="5"/>
      <c r="O810" s="5"/>
      <c r="P810" s="5"/>
      <c r="Q810" s="5"/>
      <c r="R810" s="5"/>
      <c r="S810" s="5"/>
    </row>
    <row r="811" spans="1:19">
      <c r="A811" s="5"/>
      <c r="B811" s="5"/>
      <c r="C811" s="5"/>
      <c r="D811" s="5"/>
      <c r="E811" s="5"/>
      <c r="F811" s="5"/>
      <c r="G811" s="5"/>
      <c r="H811" s="5"/>
      <c r="I811" s="5"/>
      <c r="J811" s="5"/>
      <c r="K811" s="5"/>
      <c r="L811" s="5"/>
      <c r="M811" s="5"/>
      <c r="N811" s="5"/>
      <c r="O811" s="5"/>
      <c r="P811" s="5"/>
      <c r="Q811" s="5"/>
      <c r="R811" s="5"/>
      <c r="S811" s="5"/>
    </row>
    <row r="812" spans="1:19">
      <c r="A812" s="5"/>
      <c r="B812" s="5"/>
      <c r="C812" s="5"/>
      <c r="D812" s="5"/>
      <c r="E812" s="5"/>
      <c r="F812" s="5"/>
      <c r="G812" s="5"/>
      <c r="H812" s="5"/>
      <c r="I812" s="5"/>
      <c r="J812" s="5"/>
      <c r="K812" s="5"/>
      <c r="L812" s="5"/>
      <c r="M812" s="5"/>
      <c r="N812" s="5"/>
      <c r="O812" s="5"/>
      <c r="P812" s="5"/>
      <c r="Q812" s="5"/>
      <c r="R812" s="5"/>
      <c r="S812" s="5"/>
    </row>
    <row r="813" spans="1:19">
      <c r="A813" s="5"/>
      <c r="B813" s="5"/>
      <c r="C813" s="5"/>
      <c r="D813" s="5"/>
      <c r="E813" s="5"/>
      <c r="F813" s="5"/>
      <c r="G813" s="5"/>
      <c r="H813" s="5"/>
      <c r="I813" s="5"/>
      <c r="J813" s="5"/>
      <c r="K813" s="5"/>
      <c r="L813" s="5"/>
      <c r="M813" s="5"/>
      <c r="N813" s="5"/>
      <c r="O813" s="5"/>
      <c r="P813" s="5"/>
      <c r="Q813" s="5"/>
      <c r="R813" s="5"/>
      <c r="S813" s="5"/>
    </row>
    <row r="814" spans="1:19">
      <c r="A814" s="5"/>
      <c r="B814" s="5"/>
      <c r="C814" s="5"/>
      <c r="D814" s="5"/>
      <c r="E814" s="5"/>
      <c r="F814" s="5"/>
      <c r="G814" s="5"/>
      <c r="H814" s="5"/>
      <c r="I814" s="5"/>
      <c r="J814" s="5"/>
      <c r="K814" s="5"/>
      <c r="L814" s="5"/>
      <c r="M814" s="5"/>
      <c r="N814" s="5"/>
      <c r="O814" s="5"/>
      <c r="P814" s="5"/>
      <c r="Q814" s="5"/>
      <c r="R814" s="5"/>
      <c r="S814" s="5"/>
    </row>
    <row r="815" spans="1:19">
      <c r="A815" s="5"/>
      <c r="B815" s="5"/>
      <c r="C815" s="5"/>
      <c r="D815" s="5"/>
      <c r="E815" s="5"/>
      <c r="F815" s="5"/>
      <c r="G815" s="5"/>
      <c r="H815" s="5"/>
      <c r="I815" s="5"/>
      <c r="J815" s="5"/>
      <c r="K815" s="5"/>
      <c r="L815" s="5"/>
      <c r="M815" s="5"/>
      <c r="N815" s="5"/>
      <c r="O815" s="5"/>
      <c r="P815" s="5"/>
      <c r="Q815" s="5"/>
      <c r="R815" s="5"/>
      <c r="S815" s="5"/>
    </row>
    <row r="816" spans="1:19">
      <c r="A816" s="5"/>
      <c r="B816" s="5"/>
      <c r="C816" s="5"/>
      <c r="D816" s="5"/>
      <c r="E816" s="5"/>
      <c r="F816" s="5"/>
      <c r="G816" s="5"/>
      <c r="H816" s="5"/>
      <c r="I816" s="5"/>
      <c r="J816" s="5"/>
      <c r="K816" s="5"/>
      <c r="L816" s="5"/>
      <c r="M816" s="5"/>
      <c r="N816" s="5"/>
      <c r="O816" s="5"/>
      <c r="P816" s="5"/>
      <c r="Q816" s="5"/>
      <c r="R816" s="5"/>
      <c r="S816" s="5"/>
    </row>
    <row r="817" spans="1:19">
      <c r="A817" s="5"/>
      <c r="B817" s="5"/>
      <c r="C817" s="5"/>
      <c r="D817" s="5"/>
      <c r="E817" s="5"/>
      <c r="F817" s="5"/>
      <c r="G817" s="5"/>
      <c r="H817" s="5"/>
      <c r="I817" s="5"/>
      <c r="J817" s="5"/>
      <c r="K817" s="5"/>
      <c r="L817" s="5"/>
      <c r="M817" s="5"/>
      <c r="N817" s="5"/>
      <c r="O817" s="5"/>
      <c r="P817" s="5"/>
      <c r="Q817" s="5"/>
      <c r="R817" s="5"/>
      <c r="S817" s="5"/>
    </row>
    <row r="818" spans="1:19">
      <c r="A818" s="5"/>
      <c r="B818" s="5"/>
      <c r="C818" s="5"/>
      <c r="D818" s="5"/>
      <c r="E818" s="5"/>
      <c r="F818" s="5"/>
      <c r="G818" s="5"/>
      <c r="H818" s="5"/>
      <c r="I818" s="5"/>
      <c r="J818" s="5"/>
      <c r="K818" s="5"/>
      <c r="L818" s="5"/>
      <c r="M818" s="5"/>
      <c r="N818" s="5"/>
      <c r="O818" s="5"/>
      <c r="P818" s="5"/>
      <c r="Q818" s="5"/>
      <c r="R818" s="5"/>
      <c r="S818" s="5"/>
    </row>
    <row r="819" spans="1:19">
      <c r="A819" s="5"/>
      <c r="B819" s="5"/>
      <c r="C819" s="5"/>
      <c r="D819" s="5"/>
      <c r="E819" s="5"/>
      <c r="F819" s="5"/>
      <c r="G819" s="5"/>
      <c r="H819" s="5"/>
      <c r="I819" s="5"/>
      <c r="J819" s="5"/>
      <c r="K819" s="5"/>
      <c r="L819" s="5"/>
      <c r="M819" s="5"/>
      <c r="N819" s="5"/>
      <c r="O819" s="5"/>
      <c r="P819" s="5"/>
      <c r="Q819" s="5"/>
      <c r="R819" s="5"/>
      <c r="S819" s="5"/>
    </row>
    <row r="820" spans="1:19">
      <c r="A820" s="5"/>
      <c r="B820" s="5"/>
      <c r="C820" s="5"/>
      <c r="D820" s="5"/>
      <c r="E820" s="5"/>
      <c r="F820" s="5"/>
      <c r="G820" s="5"/>
      <c r="H820" s="5"/>
      <c r="I820" s="5"/>
      <c r="J820" s="5"/>
      <c r="K820" s="5"/>
      <c r="L820" s="5"/>
      <c r="M820" s="5"/>
      <c r="N820" s="5"/>
      <c r="O820" s="5"/>
      <c r="P820" s="5"/>
      <c r="Q820" s="5"/>
      <c r="R820" s="5"/>
      <c r="S820" s="5"/>
    </row>
    <row r="821" spans="1:19">
      <c r="A821" s="5"/>
      <c r="B821" s="5"/>
      <c r="C821" s="5"/>
      <c r="D821" s="5"/>
      <c r="E821" s="5"/>
      <c r="F821" s="5"/>
      <c r="G821" s="5"/>
      <c r="H821" s="5"/>
      <c r="I821" s="5"/>
      <c r="J821" s="5"/>
      <c r="K821" s="5"/>
      <c r="L821" s="5"/>
      <c r="M821" s="5"/>
      <c r="N821" s="5"/>
      <c r="O821" s="5"/>
      <c r="P821" s="5"/>
      <c r="Q821" s="5"/>
      <c r="R821" s="5"/>
      <c r="S821" s="5"/>
    </row>
    <row r="822" spans="1:19">
      <c r="A822" s="5"/>
      <c r="B822" s="5"/>
      <c r="C822" s="5"/>
      <c r="D822" s="5"/>
      <c r="E822" s="5"/>
      <c r="F822" s="5"/>
      <c r="G822" s="5"/>
      <c r="H822" s="5"/>
      <c r="I822" s="5"/>
      <c r="J822" s="5"/>
      <c r="K822" s="5"/>
      <c r="L822" s="5"/>
      <c r="M822" s="5"/>
      <c r="N822" s="5"/>
      <c r="O822" s="5"/>
      <c r="P822" s="5"/>
      <c r="Q822" s="5"/>
      <c r="R822" s="5"/>
      <c r="S822" s="5"/>
    </row>
    <row r="823" spans="1:19">
      <c r="A823" s="5"/>
      <c r="B823" s="5"/>
      <c r="C823" s="5"/>
      <c r="D823" s="5"/>
      <c r="E823" s="5"/>
      <c r="F823" s="5"/>
      <c r="G823" s="5"/>
      <c r="H823" s="5"/>
      <c r="I823" s="5"/>
      <c r="J823" s="5"/>
      <c r="K823" s="5"/>
      <c r="L823" s="5"/>
      <c r="M823" s="5"/>
      <c r="N823" s="5"/>
      <c r="O823" s="5"/>
      <c r="P823" s="5"/>
      <c r="Q823" s="5"/>
      <c r="R823" s="5"/>
      <c r="S823" s="5"/>
    </row>
    <row r="824" spans="1:19">
      <c r="A824" s="5"/>
      <c r="B824" s="5"/>
      <c r="C824" s="5"/>
      <c r="D824" s="5"/>
      <c r="E824" s="5"/>
      <c r="F824" s="5"/>
      <c r="G824" s="5"/>
      <c r="H824" s="5"/>
      <c r="I824" s="5"/>
      <c r="J824" s="5"/>
      <c r="K824" s="5"/>
      <c r="L824" s="5"/>
      <c r="M824" s="5"/>
      <c r="N824" s="5"/>
      <c r="O824" s="5"/>
      <c r="P824" s="5"/>
      <c r="Q824" s="5"/>
      <c r="R824" s="5"/>
      <c r="S824" s="5"/>
    </row>
    <row r="825" spans="1:19">
      <c r="A825" s="5"/>
      <c r="B825" s="5"/>
      <c r="C825" s="5"/>
      <c r="D825" s="5"/>
      <c r="E825" s="5"/>
      <c r="F825" s="5"/>
      <c r="G825" s="5"/>
      <c r="H825" s="5"/>
      <c r="I825" s="5"/>
      <c r="J825" s="5"/>
      <c r="K825" s="5"/>
      <c r="L825" s="5"/>
      <c r="M825" s="5"/>
      <c r="N825" s="5"/>
      <c r="O825" s="5"/>
      <c r="P825" s="5"/>
      <c r="Q825" s="5"/>
      <c r="R825" s="5"/>
      <c r="S825" s="5"/>
    </row>
    <row r="826" spans="1:19">
      <c r="A826" s="5"/>
      <c r="B826" s="5"/>
      <c r="C826" s="5"/>
      <c r="D826" s="5"/>
      <c r="E826" s="5"/>
      <c r="F826" s="5"/>
      <c r="G826" s="5"/>
      <c r="H826" s="5"/>
      <c r="I826" s="5"/>
      <c r="J826" s="5"/>
      <c r="K826" s="5"/>
      <c r="L826" s="5"/>
      <c r="M826" s="5"/>
      <c r="N826" s="5"/>
      <c r="O826" s="5"/>
      <c r="P826" s="5"/>
      <c r="Q826" s="5"/>
      <c r="R826" s="5"/>
      <c r="S826" s="5"/>
    </row>
    <row r="827" spans="1:19">
      <c r="A827" s="5"/>
      <c r="B827" s="5"/>
      <c r="C827" s="5"/>
      <c r="D827" s="5"/>
      <c r="E827" s="5"/>
      <c r="F827" s="5"/>
      <c r="G827" s="5"/>
      <c r="H827" s="5"/>
      <c r="I827" s="5"/>
      <c r="J827" s="5"/>
      <c r="K827" s="5"/>
      <c r="L827" s="5"/>
      <c r="M827" s="5"/>
      <c r="N827" s="5"/>
      <c r="O827" s="5"/>
      <c r="P827" s="5"/>
      <c r="Q827" s="5"/>
      <c r="R827" s="5"/>
      <c r="S827" s="5"/>
    </row>
    <row r="828" spans="1:19">
      <c r="A828" s="5"/>
      <c r="B828" s="5"/>
      <c r="C828" s="5"/>
      <c r="D828" s="5"/>
      <c r="E828" s="5"/>
      <c r="F828" s="5"/>
      <c r="G828" s="5"/>
      <c r="H828" s="5"/>
      <c r="I828" s="5"/>
      <c r="J828" s="5"/>
      <c r="K828" s="5"/>
      <c r="L828" s="5"/>
      <c r="M828" s="5"/>
      <c r="N828" s="5"/>
      <c r="O828" s="5"/>
      <c r="P828" s="5"/>
      <c r="Q828" s="5"/>
      <c r="R828" s="5"/>
      <c r="S828" s="5"/>
    </row>
    <row r="829" spans="1:19">
      <c r="A829" s="5"/>
      <c r="B829" s="5"/>
      <c r="C829" s="5"/>
      <c r="D829" s="5"/>
      <c r="E829" s="5"/>
      <c r="F829" s="5"/>
      <c r="G829" s="5"/>
      <c r="H829" s="5"/>
      <c r="I829" s="5"/>
      <c r="J829" s="5"/>
      <c r="K829" s="5"/>
      <c r="L829" s="5"/>
      <c r="M829" s="5"/>
      <c r="N829" s="5"/>
      <c r="O829" s="5"/>
      <c r="P829" s="5"/>
      <c r="Q829" s="5"/>
      <c r="R829" s="5"/>
      <c r="S829" s="5"/>
    </row>
    <row r="830" spans="1:19">
      <c r="A830" s="5"/>
      <c r="B830" s="5"/>
      <c r="C830" s="5"/>
      <c r="D830" s="5"/>
      <c r="E830" s="5"/>
      <c r="F830" s="5"/>
      <c r="G830" s="5"/>
      <c r="H830" s="5"/>
      <c r="I830" s="5"/>
      <c r="J830" s="5"/>
      <c r="K830" s="5"/>
      <c r="L830" s="5"/>
      <c r="M830" s="5"/>
      <c r="N830" s="5"/>
      <c r="O830" s="5"/>
      <c r="P830" s="5"/>
      <c r="Q830" s="5"/>
      <c r="R830" s="5"/>
      <c r="S830" s="5"/>
    </row>
    <row r="831" spans="1:19">
      <c r="A831" s="5"/>
      <c r="B831" s="5"/>
      <c r="C831" s="5"/>
      <c r="D831" s="5"/>
      <c r="E831" s="5"/>
      <c r="F831" s="5"/>
      <c r="G831" s="5"/>
      <c r="H831" s="5"/>
      <c r="I831" s="5"/>
      <c r="J831" s="5"/>
      <c r="K831" s="5"/>
      <c r="L831" s="5"/>
      <c r="M831" s="5"/>
      <c r="N831" s="5"/>
      <c r="O831" s="5"/>
      <c r="P831" s="5"/>
      <c r="Q831" s="5"/>
      <c r="R831" s="5"/>
      <c r="S831" s="5"/>
    </row>
    <row r="832" spans="1:19">
      <c r="A832" s="5"/>
      <c r="B832" s="5"/>
      <c r="C832" s="5"/>
      <c r="D832" s="5"/>
      <c r="E832" s="5"/>
      <c r="F832" s="5"/>
      <c r="G832" s="5"/>
      <c r="H832" s="5"/>
      <c r="I832" s="5"/>
      <c r="J832" s="5"/>
      <c r="K832" s="5"/>
      <c r="L832" s="5"/>
      <c r="M832" s="5"/>
      <c r="N832" s="5"/>
      <c r="O832" s="5"/>
      <c r="P832" s="5"/>
      <c r="Q832" s="5"/>
      <c r="R832" s="5"/>
      <c r="S832" s="5"/>
    </row>
    <row r="833" spans="1:19">
      <c r="A833" s="5"/>
      <c r="B833" s="5"/>
      <c r="C833" s="5"/>
      <c r="D833" s="5"/>
      <c r="E833" s="5"/>
      <c r="F833" s="5"/>
      <c r="G833" s="5"/>
      <c r="H833" s="5"/>
      <c r="I833" s="5"/>
      <c r="J833" s="5"/>
      <c r="K833" s="5"/>
      <c r="L833" s="5"/>
      <c r="M833" s="5"/>
      <c r="N833" s="5"/>
      <c r="O833" s="5"/>
      <c r="P833" s="5"/>
      <c r="Q833" s="5"/>
      <c r="R833" s="5"/>
      <c r="S833" s="5"/>
    </row>
    <row r="834" spans="1:19">
      <c r="A834" s="5"/>
      <c r="B834" s="5"/>
      <c r="C834" s="5"/>
      <c r="D834" s="5"/>
      <c r="E834" s="5"/>
      <c r="F834" s="5"/>
      <c r="G834" s="5"/>
      <c r="H834" s="5"/>
      <c r="I834" s="5"/>
      <c r="J834" s="5"/>
      <c r="K834" s="5"/>
      <c r="L834" s="5"/>
      <c r="M834" s="5"/>
      <c r="N834" s="5"/>
      <c r="O834" s="5"/>
      <c r="P834" s="5"/>
      <c r="Q834" s="5"/>
      <c r="R834" s="5"/>
      <c r="S834" s="5"/>
    </row>
    <row r="835" spans="1:19">
      <c r="A835" s="5"/>
      <c r="B835" s="5"/>
      <c r="C835" s="5"/>
      <c r="D835" s="5"/>
      <c r="E835" s="5"/>
      <c r="F835" s="5"/>
      <c r="G835" s="5"/>
      <c r="H835" s="5"/>
      <c r="I835" s="5"/>
      <c r="J835" s="5"/>
      <c r="K835" s="5"/>
      <c r="L835" s="5"/>
      <c r="M835" s="5"/>
      <c r="N835" s="5"/>
      <c r="O835" s="5"/>
      <c r="P835" s="5"/>
      <c r="Q835" s="5"/>
      <c r="R835" s="5"/>
      <c r="S835" s="5"/>
    </row>
    <row r="836" spans="1:19">
      <c r="A836" s="5"/>
      <c r="B836" s="5"/>
      <c r="C836" s="5"/>
      <c r="D836" s="5"/>
      <c r="E836" s="5"/>
      <c r="F836" s="5"/>
      <c r="G836" s="5"/>
      <c r="H836" s="5"/>
      <c r="I836" s="5"/>
      <c r="J836" s="5"/>
      <c r="K836" s="5"/>
      <c r="L836" s="5"/>
      <c r="M836" s="5"/>
      <c r="N836" s="5"/>
      <c r="O836" s="5"/>
      <c r="P836" s="5"/>
      <c r="Q836" s="5"/>
      <c r="R836" s="5"/>
      <c r="S836" s="5"/>
    </row>
    <row r="837" spans="1:19">
      <c r="A837" s="5"/>
      <c r="B837" s="5"/>
      <c r="C837" s="5"/>
      <c r="D837" s="5"/>
      <c r="E837" s="5"/>
      <c r="F837" s="5"/>
      <c r="G837" s="5"/>
      <c r="H837" s="5"/>
      <c r="I837" s="5"/>
      <c r="J837" s="5"/>
      <c r="K837" s="5"/>
      <c r="L837" s="5"/>
      <c r="M837" s="5"/>
      <c r="N837" s="5"/>
      <c r="O837" s="5"/>
      <c r="P837" s="5"/>
      <c r="Q837" s="5"/>
      <c r="R837" s="5"/>
      <c r="S837" s="5"/>
    </row>
    <row r="838" spans="1:19">
      <c r="A838" s="5"/>
      <c r="B838" s="5"/>
      <c r="C838" s="5"/>
      <c r="D838" s="5"/>
      <c r="E838" s="5"/>
      <c r="F838" s="5"/>
      <c r="G838" s="5"/>
      <c r="H838" s="5"/>
      <c r="I838" s="5"/>
      <c r="J838" s="5"/>
      <c r="K838" s="5"/>
      <c r="L838" s="5"/>
      <c r="M838" s="5"/>
      <c r="N838" s="5"/>
      <c r="O838" s="5"/>
      <c r="P838" s="5"/>
      <c r="Q838" s="5"/>
      <c r="R838" s="5"/>
      <c r="S838" s="5"/>
    </row>
    <row r="839" spans="1:19">
      <c r="A839" s="5"/>
      <c r="B839" s="5"/>
      <c r="C839" s="5"/>
      <c r="D839" s="5"/>
      <c r="E839" s="5"/>
      <c r="F839" s="5"/>
      <c r="G839" s="5"/>
      <c r="H839" s="5"/>
      <c r="I839" s="5"/>
      <c r="J839" s="5"/>
      <c r="K839" s="5"/>
      <c r="L839" s="5"/>
      <c r="M839" s="5"/>
      <c r="N839" s="5"/>
      <c r="O839" s="5"/>
      <c r="P839" s="5"/>
      <c r="Q839" s="5"/>
      <c r="R839" s="5"/>
      <c r="S839" s="5"/>
    </row>
    <row r="840" spans="1:19">
      <c r="A840" s="5"/>
      <c r="B840" s="5"/>
      <c r="C840" s="5"/>
      <c r="D840" s="5"/>
      <c r="E840" s="5"/>
      <c r="F840" s="5"/>
      <c r="G840" s="5"/>
      <c r="H840" s="5"/>
      <c r="I840" s="5"/>
      <c r="J840" s="5"/>
      <c r="K840" s="5"/>
      <c r="L840" s="5"/>
      <c r="M840" s="5"/>
      <c r="N840" s="5"/>
      <c r="O840" s="5"/>
      <c r="P840" s="5"/>
      <c r="Q840" s="5"/>
      <c r="R840" s="5"/>
      <c r="S840" s="5"/>
    </row>
    <row r="841" spans="1:19">
      <c r="A841" s="5"/>
      <c r="B841" s="5"/>
      <c r="C841" s="5"/>
      <c r="D841" s="5"/>
      <c r="E841" s="5"/>
      <c r="F841" s="5"/>
      <c r="G841" s="5"/>
      <c r="H841" s="5"/>
      <c r="I841" s="5"/>
      <c r="J841" s="5"/>
      <c r="K841" s="5"/>
      <c r="L841" s="5"/>
      <c r="M841" s="5"/>
      <c r="N841" s="5"/>
      <c r="O841" s="5"/>
      <c r="P841" s="5"/>
      <c r="Q841" s="5"/>
      <c r="R841" s="5"/>
      <c r="S841" s="5"/>
    </row>
    <row r="842" spans="1:19">
      <c r="A842" s="5"/>
      <c r="B842" s="5"/>
      <c r="C842" s="5"/>
      <c r="D842" s="5"/>
      <c r="E842" s="5"/>
      <c r="F842" s="5"/>
      <c r="G842" s="5"/>
      <c r="H842" s="5"/>
      <c r="I842" s="5"/>
      <c r="J842" s="5"/>
      <c r="K842" s="5"/>
      <c r="L842" s="5"/>
      <c r="M842" s="5"/>
      <c r="N842" s="5"/>
      <c r="O842" s="5"/>
      <c r="P842" s="5"/>
      <c r="Q842" s="5"/>
      <c r="R842" s="5"/>
      <c r="S842" s="5"/>
    </row>
    <row r="843" spans="1:19">
      <c r="A843" s="5"/>
      <c r="B843" s="5"/>
      <c r="C843" s="5"/>
      <c r="D843" s="5"/>
      <c r="E843" s="5"/>
      <c r="F843" s="5"/>
      <c r="G843" s="5"/>
      <c r="H843" s="5"/>
      <c r="I843" s="5"/>
      <c r="J843" s="5"/>
      <c r="K843" s="5"/>
      <c r="L843" s="5"/>
      <c r="M843" s="5"/>
      <c r="N843" s="5"/>
      <c r="O843" s="5"/>
      <c r="P843" s="5"/>
      <c r="Q843" s="5"/>
      <c r="R843" s="5"/>
      <c r="S843" s="5"/>
    </row>
    <row r="844" spans="1:19">
      <c r="A844" s="5"/>
      <c r="B844" s="5"/>
      <c r="C844" s="5"/>
      <c r="D844" s="5"/>
      <c r="E844" s="5"/>
      <c r="F844" s="5"/>
      <c r="G844" s="5"/>
      <c r="H844" s="5"/>
      <c r="I844" s="5"/>
      <c r="J844" s="5"/>
      <c r="K844" s="5"/>
      <c r="L844" s="5"/>
      <c r="M844" s="5"/>
      <c r="N844" s="5"/>
      <c r="O844" s="5"/>
      <c r="P844" s="5"/>
      <c r="Q844" s="5"/>
      <c r="R844" s="5"/>
      <c r="S844" s="5"/>
    </row>
    <row r="845" spans="1:19">
      <c r="A845" s="5"/>
      <c r="B845" s="5"/>
      <c r="C845" s="5"/>
      <c r="D845" s="5"/>
      <c r="E845" s="5"/>
      <c r="F845" s="5"/>
      <c r="G845" s="5"/>
      <c r="H845" s="5"/>
      <c r="I845" s="5"/>
      <c r="J845" s="5"/>
      <c r="K845" s="5"/>
      <c r="L845" s="5"/>
      <c r="M845" s="5"/>
      <c r="N845" s="5"/>
      <c r="O845" s="5"/>
      <c r="P845" s="5"/>
      <c r="Q845" s="5"/>
      <c r="R845" s="5"/>
      <c r="S845" s="5"/>
    </row>
    <row r="846" spans="1:19">
      <c r="A846" s="5"/>
      <c r="B846" s="5"/>
      <c r="C846" s="5"/>
      <c r="D846" s="5"/>
      <c r="E846" s="5"/>
      <c r="F846" s="5"/>
      <c r="G846" s="5"/>
      <c r="H846" s="5"/>
      <c r="I846" s="5"/>
      <c r="J846" s="5"/>
      <c r="K846" s="5"/>
      <c r="L846" s="5"/>
      <c r="M846" s="5"/>
      <c r="N846" s="5"/>
      <c r="O846" s="5"/>
      <c r="P846" s="5"/>
      <c r="Q846" s="5"/>
      <c r="R846" s="5"/>
      <c r="S846" s="5"/>
    </row>
    <row r="847" spans="1:19">
      <c r="A847" s="5"/>
      <c r="B847" s="5"/>
      <c r="C847" s="5"/>
      <c r="D847" s="5"/>
      <c r="E847" s="5"/>
      <c r="F847" s="5"/>
      <c r="G847" s="5"/>
      <c r="H847" s="5"/>
      <c r="I847" s="5"/>
      <c r="J847" s="5"/>
      <c r="K847" s="5"/>
      <c r="L847" s="5"/>
      <c r="M847" s="5"/>
      <c r="N847" s="5"/>
      <c r="O847" s="5"/>
      <c r="P847" s="5"/>
      <c r="Q847" s="5"/>
      <c r="R847" s="5"/>
      <c r="S847" s="5"/>
    </row>
    <row r="848" spans="1:19">
      <c r="A848" s="5"/>
      <c r="B848" s="5"/>
      <c r="C848" s="5"/>
      <c r="D848" s="5"/>
      <c r="E848" s="5"/>
      <c r="F848" s="5"/>
      <c r="G848" s="5"/>
      <c r="H848" s="5"/>
      <c r="I848" s="5"/>
      <c r="J848" s="5"/>
      <c r="K848" s="5"/>
      <c r="L848" s="5"/>
      <c r="M848" s="5"/>
      <c r="N848" s="5"/>
      <c r="O848" s="5"/>
      <c r="P848" s="5"/>
      <c r="Q848" s="5"/>
      <c r="R848" s="5"/>
      <c r="S848" s="5"/>
    </row>
    <row r="849" spans="1:19">
      <c r="A849" s="5"/>
      <c r="B849" s="5"/>
      <c r="C849" s="5"/>
      <c r="D849" s="5"/>
      <c r="E849" s="5"/>
      <c r="F849" s="5"/>
      <c r="G849" s="5"/>
      <c r="H849" s="5"/>
      <c r="I849" s="5"/>
      <c r="J849" s="5"/>
      <c r="K849" s="5"/>
      <c r="L849" s="5"/>
      <c r="M849" s="5"/>
      <c r="N849" s="5"/>
      <c r="O849" s="5"/>
      <c r="P849" s="5"/>
      <c r="Q849" s="5"/>
      <c r="R849" s="5"/>
      <c r="S849" s="5"/>
    </row>
    <row r="850" spans="1:19">
      <c r="A850" s="5"/>
      <c r="B850" s="5"/>
      <c r="C850" s="5"/>
      <c r="D850" s="5"/>
      <c r="E850" s="5"/>
      <c r="F850" s="5"/>
      <c r="G850" s="5"/>
      <c r="H850" s="5"/>
      <c r="I850" s="5"/>
      <c r="J850" s="5"/>
      <c r="K850" s="5"/>
      <c r="L850" s="5"/>
      <c r="M850" s="5"/>
      <c r="N850" s="5"/>
      <c r="O850" s="5"/>
      <c r="P850" s="5"/>
      <c r="Q850" s="5"/>
      <c r="R850" s="5"/>
      <c r="S850" s="5"/>
    </row>
    <row r="851" spans="1:19">
      <c r="A851" s="5"/>
      <c r="B851" s="5"/>
      <c r="C851" s="5"/>
      <c r="D851" s="5"/>
      <c r="E851" s="5"/>
      <c r="F851" s="5"/>
      <c r="G851" s="5"/>
      <c r="H851" s="5"/>
      <c r="I851" s="5"/>
      <c r="J851" s="5"/>
      <c r="K851" s="5"/>
      <c r="L851" s="5"/>
      <c r="M851" s="5"/>
      <c r="N851" s="5"/>
      <c r="O851" s="5"/>
      <c r="P851" s="5"/>
      <c r="Q851" s="5"/>
      <c r="R851" s="5"/>
      <c r="S851" s="5"/>
    </row>
    <row r="852" spans="1:19">
      <c r="A852" s="5"/>
      <c r="B852" s="5"/>
      <c r="C852" s="5"/>
      <c r="D852" s="5"/>
      <c r="E852" s="5"/>
      <c r="F852" s="5"/>
      <c r="G852" s="5"/>
      <c r="H852" s="5"/>
      <c r="I852" s="5"/>
      <c r="J852" s="5"/>
      <c r="K852" s="5"/>
      <c r="L852" s="5"/>
      <c r="M852" s="5"/>
      <c r="N852" s="5"/>
      <c r="O852" s="5"/>
      <c r="P852" s="5"/>
      <c r="Q852" s="5"/>
      <c r="R852" s="5"/>
      <c r="S852" s="5"/>
    </row>
    <row r="853" spans="1:19">
      <c r="A853" s="5"/>
      <c r="B853" s="5"/>
      <c r="C853" s="5"/>
      <c r="D853" s="5"/>
      <c r="E853" s="5"/>
      <c r="F853" s="5"/>
      <c r="G853" s="5"/>
      <c r="H853" s="5"/>
      <c r="I853" s="5"/>
      <c r="J853" s="5"/>
      <c r="K853" s="5"/>
      <c r="L853" s="5"/>
      <c r="M853" s="5"/>
      <c r="N853" s="5"/>
      <c r="O853" s="5"/>
      <c r="P853" s="5"/>
      <c r="Q853" s="5"/>
      <c r="R853" s="5"/>
      <c r="S853" s="5"/>
    </row>
    <row r="854" spans="1:19">
      <c r="A854" s="5"/>
      <c r="B854" s="5"/>
      <c r="C854" s="5"/>
      <c r="D854" s="5"/>
      <c r="E854" s="5"/>
      <c r="F854" s="5"/>
      <c r="G854" s="5"/>
      <c r="H854" s="5"/>
      <c r="I854" s="5"/>
      <c r="J854" s="5"/>
      <c r="K854" s="5"/>
      <c r="L854" s="5"/>
      <c r="M854" s="5"/>
      <c r="N854" s="5"/>
      <c r="O854" s="5"/>
      <c r="P854" s="5"/>
      <c r="Q854" s="5"/>
      <c r="R854" s="5"/>
      <c r="S854" s="5"/>
    </row>
    <row r="855" spans="1:19">
      <c r="A855" s="5"/>
      <c r="B855" s="5"/>
      <c r="C855" s="5"/>
      <c r="D855" s="5"/>
      <c r="E855" s="5"/>
      <c r="F855" s="5"/>
      <c r="G855" s="5"/>
      <c r="H855" s="5"/>
      <c r="I855" s="5"/>
      <c r="J855" s="5"/>
      <c r="K855" s="5"/>
      <c r="L855" s="5"/>
      <c r="M855" s="5"/>
      <c r="N855" s="5"/>
      <c r="O855" s="5"/>
      <c r="P855" s="5"/>
      <c r="Q855" s="5"/>
      <c r="R855" s="5"/>
      <c r="S855" s="5"/>
    </row>
    <row r="856" spans="1:19">
      <c r="A856" s="5"/>
      <c r="B856" s="5"/>
      <c r="C856" s="5"/>
      <c r="D856" s="5"/>
      <c r="E856" s="5"/>
      <c r="F856" s="5"/>
      <c r="G856" s="5"/>
      <c r="H856" s="5"/>
      <c r="I856" s="5"/>
      <c r="J856" s="5"/>
      <c r="K856" s="5"/>
      <c r="L856" s="5"/>
      <c r="M856" s="5"/>
      <c r="N856" s="5"/>
      <c r="O856" s="5"/>
      <c r="P856" s="5"/>
      <c r="Q856" s="5"/>
      <c r="R856" s="5"/>
      <c r="S856" s="5"/>
    </row>
    <row r="857" spans="1:19">
      <c r="A857" s="5"/>
      <c r="B857" s="5"/>
      <c r="C857" s="5"/>
      <c r="D857" s="5"/>
      <c r="E857" s="5"/>
      <c r="F857" s="5"/>
      <c r="G857" s="5"/>
      <c r="H857" s="5"/>
      <c r="I857" s="5"/>
      <c r="J857" s="5"/>
      <c r="K857" s="5"/>
      <c r="L857" s="5"/>
      <c r="M857" s="5"/>
      <c r="N857" s="5"/>
      <c r="O857" s="5"/>
      <c r="P857" s="5"/>
      <c r="Q857" s="5"/>
      <c r="R857" s="5"/>
      <c r="S857" s="5"/>
    </row>
    <row r="858" spans="1:19">
      <c r="A858" s="5"/>
      <c r="B858" s="5"/>
      <c r="C858" s="5"/>
      <c r="D858" s="5"/>
      <c r="E858" s="5"/>
      <c r="F858" s="5"/>
      <c r="G858" s="5"/>
      <c r="H858" s="5"/>
      <c r="I858" s="5"/>
      <c r="J858" s="5"/>
      <c r="K858" s="5"/>
      <c r="L858" s="5"/>
      <c r="M858" s="5"/>
      <c r="N858" s="5"/>
      <c r="O858" s="5"/>
      <c r="P858" s="5"/>
      <c r="Q858" s="5"/>
      <c r="R858" s="5"/>
      <c r="S858" s="5"/>
    </row>
    <row r="859" spans="1:19">
      <c r="A859" s="5"/>
      <c r="B859" s="5"/>
      <c r="C859" s="5"/>
      <c r="D859" s="5"/>
      <c r="E859" s="5"/>
      <c r="F859" s="5"/>
      <c r="G859" s="5"/>
      <c r="H859" s="5"/>
      <c r="I859" s="5"/>
      <c r="J859" s="5"/>
      <c r="K859" s="5"/>
      <c r="L859" s="5"/>
      <c r="M859" s="5"/>
      <c r="N859" s="5"/>
      <c r="O859" s="5"/>
      <c r="P859" s="5"/>
      <c r="Q859" s="5"/>
      <c r="R859" s="5"/>
      <c r="S859" s="5"/>
    </row>
    <row r="860" spans="1:19">
      <c r="A860" s="5"/>
      <c r="B860" s="5"/>
      <c r="C860" s="5"/>
      <c r="D860" s="5"/>
      <c r="E860" s="5"/>
      <c r="F860" s="5"/>
      <c r="G860" s="5"/>
      <c r="H860" s="5"/>
      <c r="I860" s="5"/>
      <c r="J860" s="5"/>
      <c r="K860" s="5"/>
      <c r="L860" s="5"/>
      <c r="M860" s="5"/>
      <c r="N860" s="5"/>
      <c r="O860" s="5"/>
      <c r="P860" s="5"/>
      <c r="Q860" s="5"/>
      <c r="R860" s="5"/>
      <c r="S860" s="5"/>
    </row>
    <row r="861" spans="1:19">
      <c r="A861" s="5"/>
      <c r="B861" s="5"/>
      <c r="C861" s="5"/>
      <c r="D861" s="5"/>
      <c r="E861" s="5"/>
      <c r="F861" s="5"/>
      <c r="G861" s="5"/>
      <c r="H861" s="5"/>
      <c r="I861" s="5"/>
      <c r="J861" s="5"/>
      <c r="K861" s="5"/>
      <c r="L861" s="5"/>
      <c r="M861" s="5"/>
      <c r="N861" s="5"/>
      <c r="O861" s="5"/>
      <c r="P861" s="5"/>
      <c r="Q861" s="5"/>
      <c r="R861" s="5"/>
      <c r="S861" s="5"/>
    </row>
    <row r="862" spans="1:19">
      <c r="A862" s="5"/>
      <c r="B862" s="5"/>
      <c r="C862" s="5"/>
      <c r="D862" s="5"/>
      <c r="E862" s="5"/>
      <c r="F862" s="5"/>
      <c r="G862" s="5"/>
      <c r="H862" s="5"/>
      <c r="I862" s="5"/>
      <c r="J862" s="5"/>
      <c r="K862" s="5"/>
      <c r="L862" s="5"/>
      <c r="M862" s="5"/>
      <c r="N862" s="5"/>
      <c r="O862" s="5"/>
      <c r="P862" s="5"/>
      <c r="Q862" s="5"/>
      <c r="R862" s="5"/>
      <c r="S862" s="5"/>
    </row>
    <row r="863" spans="1:19">
      <c r="A863" s="5"/>
      <c r="B863" s="5"/>
      <c r="C863" s="5"/>
      <c r="D863" s="5"/>
      <c r="E863" s="5"/>
      <c r="F863" s="5"/>
      <c r="G863" s="5"/>
      <c r="H863" s="5"/>
      <c r="I863" s="5"/>
      <c r="J863" s="5"/>
      <c r="K863" s="5"/>
      <c r="L863" s="5"/>
      <c r="M863" s="5"/>
      <c r="N863" s="5"/>
      <c r="O863" s="5"/>
      <c r="P863" s="5"/>
      <c r="Q863" s="5"/>
      <c r="R863" s="5"/>
      <c r="S863" s="5"/>
    </row>
    <row r="864" spans="1:19">
      <c r="A864" s="5"/>
      <c r="B864" s="5"/>
      <c r="C864" s="5"/>
      <c r="D864" s="5"/>
      <c r="E864" s="5"/>
      <c r="F864" s="5"/>
      <c r="G864" s="5"/>
      <c r="H864" s="5"/>
      <c r="I864" s="5"/>
      <c r="J864" s="5"/>
      <c r="K864" s="5"/>
      <c r="L864" s="5"/>
      <c r="M864" s="5"/>
      <c r="N864" s="5"/>
      <c r="O864" s="5"/>
      <c r="P864" s="5"/>
      <c r="Q864" s="5"/>
      <c r="R864" s="5"/>
      <c r="S864" s="5"/>
    </row>
    <row r="865" spans="1:19">
      <c r="A865" s="5"/>
      <c r="B865" s="5"/>
      <c r="C865" s="5"/>
      <c r="D865" s="5"/>
      <c r="E865" s="5"/>
      <c r="F865" s="5"/>
      <c r="G865" s="5"/>
      <c r="H865" s="5"/>
      <c r="I865" s="5"/>
      <c r="J865" s="5"/>
      <c r="K865" s="5"/>
      <c r="L865" s="5"/>
      <c r="M865" s="5"/>
      <c r="N865" s="5"/>
      <c r="O865" s="5"/>
      <c r="P865" s="5"/>
      <c r="Q865" s="5"/>
      <c r="R865" s="5"/>
      <c r="S865" s="5"/>
    </row>
    <row r="866" spans="1:19">
      <c r="A866" s="5"/>
      <c r="B866" s="5"/>
      <c r="C866" s="5"/>
      <c r="D866" s="5"/>
      <c r="E866" s="5"/>
      <c r="F866" s="5"/>
      <c r="G866" s="5"/>
      <c r="H866" s="5"/>
      <c r="I866" s="5"/>
      <c r="J866" s="5"/>
      <c r="K866" s="5"/>
      <c r="L866" s="5"/>
      <c r="M866" s="5"/>
      <c r="N866" s="5"/>
      <c r="O866" s="5"/>
      <c r="P866" s="5"/>
      <c r="Q866" s="5"/>
      <c r="R866" s="5"/>
      <c r="S866" s="5"/>
    </row>
    <row r="867" spans="1:19">
      <c r="A867" s="5"/>
      <c r="B867" s="5"/>
      <c r="C867" s="5"/>
      <c r="D867" s="5"/>
      <c r="E867" s="5"/>
      <c r="F867" s="5"/>
      <c r="G867" s="5"/>
      <c r="H867" s="5"/>
      <c r="I867" s="5"/>
      <c r="J867" s="5"/>
      <c r="K867" s="5"/>
      <c r="L867" s="5"/>
      <c r="M867" s="5"/>
      <c r="N867" s="5"/>
      <c r="O867" s="5"/>
      <c r="P867" s="5"/>
      <c r="Q867" s="5"/>
      <c r="R867" s="5"/>
      <c r="S867" s="5"/>
    </row>
    <row r="868" spans="1:19">
      <c r="A868" s="5"/>
      <c r="B868" s="5"/>
      <c r="C868" s="5"/>
      <c r="D868" s="5"/>
      <c r="E868" s="5"/>
      <c r="F868" s="5"/>
      <c r="G868" s="5"/>
      <c r="H868" s="5"/>
      <c r="I868" s="5"/>
      <c r="J868" s="5"/>
      <c r="K868" s="5"/>
      <c r="L868" s="5"/>
      <c r="M868" s="5"/>
      <c r="N868" s="5"/>
      <c r="O868" s="5"/>
      <c r="P868" s="5"/>
      <c r="Q868" s="5"/>
      <c r="R868" s="5"/>
      <c r="S868" s="5"/>
    </row>
    <row r="869" spans="1:19">
      <c r="A869" s="5"/>
      <c r="B869" s="5"/>
      <c r="C869" s="5"/>
      <c r="D869" s="5"/>
      <c r="E869" s="5"/>
      <c r="F869" s="5"/>
      <c r="G869" s="5"/>
      <c r="H869" s="5"/>
      <c r="I869" s="5"/>
      <c r="J869" s="5"/>
      <c r="K869" s="5"/>
      <c r="L869" s="5"/>
      <c r="M869" s="5"/>
      <c r="N869" s="5"/>
      <c r="O869" s="5"/>
      <c r="P869" s="5"/>
      <c r="Q869" s="5"/>
      <c r="R869" s="5"/>
      <c r="S869" s="5"/>
    </row>
    <row r="870" spans="1:19">
      <c r="A870" s="5"/>
      <c r="B870" s="5"/>
      <c r="C870" s="5"/>
      <c r="D870" s="5"/>
      <c r="E870" s="5"/>
      <c r="F870" s="5"/>
      <c r="G870" s="5"/>
      <c r="H870" s="5"/>
      <c r="I870" s="5"/>
      <c r="J870" s="5"/>
      <c r="K870" s="5"/>
      <c r="L870" s="5"/>
      <c r="M870" s="5"/>
      <c r="N870" s="5"/>
      <c r="O870" s="5"/>
      <c r="P870" s="5"/>
      <c r="Q870" s="5"/>
      <c r="R870" s="5"/>
      <c r="S870" s="5"/>
    </row>
    <row r="871" spans="1:19">
      <c r="A871" s="5"/>
      <c r="B871" s="5"/>
      <c r="C871" s="5"/>
      <c r="D871" s="5"/>
      <c r="E871" s="5"/>
      <c r="F871" s="5"/>
      <c r="G871" s="5"/>
      <c r="H871" s="5"/>
      <c r="I871" s="5"/>
      <c r="J871" s="5"/>
      <c r="K871" s="5"/>
      <c r="L871" s="5"/>
      <c r="M871" s="5"/>
      <c r="N871" s="5"/>
      <c r="O871" s="5"/>
      <c r="P871" s="5"/>
      <c r="Q871" s="5"/>
      <c r="R871" s="5"/>
      <c r="S871" s="5"/>
    </row>
    <row r="872" spans="1:19">
      <c r="A872" s="5"/>
      <c r="B872" s="5"/>
      <c r="C872" s="5"/>
      <c r="D872" s="5"/>
      <c r="E872" s="5"/>
      <c r="F872" s="5"/>
      <c r="G872" s="5"/>
      <c r="H872" s="5"/>
      <c r="I872" s="5"/>
      <c r="J872" s="5"/>
      <c r="K872" s="5"/>
      <c r="L872" s="5"/>
      <c r="M872" s="5"/>
      <c r="N872" s="5"/>
      <c r="O872" s="5"/>
      <c r="P872" s="5"/>
      <c r="Q872" s="5"/>
      <c r="R872" s="5"/>
      <c r="S872" s="5"/>
    </row>
    <row r="873" spans="1:19">
      <c r="A873" s="5"/>
      <c r="B873" s="5"/>
      <c r="C873" s="5"/>
      <c r="D873" s="5"/>
      <c r="E873" s="5"/>
      <c r="F873" s="5"/>
      <c r="G873" s="5"/>
      <c r="H873" s="5"/>
      <c r="I873" s="5"/>
      <c r="J873" s="5"/>
      <c r="K873" s="5"/>
      <c r="L873" s="5"/>
      <c r="M873" s="5"/>
      <c r="N873" s="5"/>
      <c r="O873" s="5"/>
      <c r="P873" s="5"/>
      <c r="Q873" s="5"/>
      <c r="R873" s="5"/>
      <c r="S873" s="5"/>
    </row>
    <row r="874" spans="1:19">
      <c r="A874" s="5"/>
      <c r="B874" s="5"/>
      <c r="C874" s="5"/>
      <c r="D874" s="5"/>
      <c r="E874" s="5"/>
      <c r="F874" s="5"/>
      <c r="G874" s="5"/>
      <c r="H874" s="5"/>
      <c r="I874" s="5"/>
      <c r="J874" s="5"/>
      <c r="K874" s="5"/>
      <c r="L874" s="5"/>
      <c r="M874" s="5"/>
      <c r="N874" s="5"/>
      <c r="O874" s="5"/>
      <c r="P874" s="5"/>
      <c r="Q874" s="5"/>
      <c r="R874" s="5"/>
      <c r="S874" s="5"/>
    </row>
    <row r="875" spans="1:19">
      <c r="A875" s="5"/>
      <c r="B875" s="5"/>
      <c r="C875" s="5"/>
      <c r="D875" s="5"/>
      <c r="E875" s="5"/>
      <c r="F875" s="5"/>
      <c r="G875" s="5"/>
      <c r="H875" s="5"/>
      <c r="I875" s="5"/>
      <c r="J875" s="5"/>
      <c r="K875" s="5"/>
      <c r="L875" s="5"/>
      <c r="M875" s="5"/>
      <c r="N875" s="5"/>
      <c r="O875" s="5"/>
      <c r="P875" s="5"/>
      <c r="Q875" s="5"/>
      <c r="R875" s="5"/>
      <c r="S875" s="5"/>
    </row>
    <row r="876" spans="1:19">
      <c r="A876" s="5"/>
      <c r="B876" s="5"/>
      <c r="C876" s="5"/>
      <c r="D876" s="5"/>
      <c r="E876" s="5"/>
      <c r="F876" s="5"/>
      <c r="G876" s="5"/>
      <c r="H876" s="5"/>
      <c r="I876" s="5"/>
      <c r="J876" s="5"/>
      <c r="K876" s="5"/>
      <c r="L876" s="5"/>
      <c r="M876" s="5"/>
      <c r="N876" s="5"/>
      <c r="O876" s="5"/>
      <c r="P876" s="5"/>
      <c r="Q876" s="5"/>
      <c r="R876" s="5"/>
      <c r="S876" s="5"/>
    </row>
    <row r="877" spans="1:19">
      <c r="A877" s="5"/>
      <c r="B877" s="5"/>
      <c r="C877" s="5"/>
      <c r="D877" s="5"/>
      <c r="E877" s="5"/>
      <c r="F877" s="5"/>
      <c r="G877" s="5"/>
      <c r="H877" s="5"/>
      <c r="I877" s="5"/>
      <c r="J877" s="5"/>
      <c r="K877" s="5"/>
      <c r="L877" s="5"/>
      <c r="M877" s="5"/>
      <c r="N877" s="5"/>
      <c r="O877" s="5"/>
      <c r="P877" s="5"/>
      <c r="Q877" s="5"/>
      <c r="R877" s="5"/>
      <c r="S877" s="5"/>
    </row>
    <row r="878" spans="1:19">
      <c r="A878" s="5"/>
      <c r="B878" s="5"/>
      <c r="C878" s="5"/>
      <c r="D878" s="5"/>
      <c r="E878" s="5"/>
      <c r="F878" s="5"/>
      <c r="G878" s="5"/>
      <c r="H878" s="5"/>
      <c r="I878" s="5"/>
      <c r="J878" s="5"/>
      <c r="K878" s="5"/>
      <c r="L878" s="5"/>
      <c r="M878" s="5"/>
      <c r="N878" s="5"/>
      <c r="O878" s="5"/>
      <c r="P878" s="5"/>
      <c r="Q878" s="5"/>
      <c r="R878" s="5"/>
      <c r="S878" s="5"/>
    </row>
    <row r="879" spans="1:19">
      <c r="A879" s="5"/>
      <c r="B879" s="5"/>
      <c r="C879" s="5"/>
      <c r="D879" s="5"/>
      <c r="E879" s="5"/>
      <c r="F879" s="5"/>
      <c r="G879" s="5"/>
      <c r="H879" s="5"/>
      <c r="I879" s="5"/>
      <c r="J879" s="5"/>
      <c r="K879" s="5"/>
      <c r="L879" s="5"/>
      <c r="M879" s="5"/>
      <c r="N879" s="5"/>
      <c r="O879" s="5"/>
      <c r="P879" s="5"/>
      <c r="Q879" s="5"/>
      <c r="R879" s="5"/>
      <c r="S879" s="5"/>
    </row>
    <row r="880" spans="1:19">
      <c r="A880" s="5"/>
      <c r="B880" s="5"/>
      <c r="C880" s="5"/>
      <c r="D880" s="5"/>
      <c r="E880" s="5"/>
      <c r="F880" s="5"/>
      <c r="G880" s="5"/>
      <c r="H880" s="5"/>
      <c r="I880" s="5"/>
      <c r="J880" s="5"/>
      <c r="K880" s="5"/>
      <c r="L880" s="5"/>
      <c r="M880" s="5"/>
      <c r="N880" s="5"/>
      <c r="O880" s="5"/>
      <c r="P880" s="5"/>
      <c r="Q880" s="5"/>
      <c r="R880" s="5"/>
      <c r="S880" s="5"/>
    </row>
    <row r="881" spans="1:19">
      <c r="A881" s="5"/>
      <c r="B881" s="5"/>
      <c r="C881" s="5"/>
      <c r="D881" s="5"/>
      <c r="E881" s="5"/>
      <c r="F881" s="5"/>
      <c r="G881" s="5"/>
      <c r="H881" s="5"/>
      <c r="I881" s="5"/>
      <c r="J881" s="5"/>
      <c r="K881" s="5"/>
      <c r="L881" s="5"/>
      <c r="M881" s="5"/>
      <c r="N881" s="5"/>
      <c r="O881" s="5"/>
      <c r="P881" s="5"/>
      <c r="Q881" s="5"/>
      <c r="R881" s="5"/>
      <c r="S881" s="5"/>
    </row>
    <row r="882" spans="1:19">
      <c r="A882" s="5"/>
      <c r="B882" s="5"/>
      <c r="C882" s="5"/>
      <c r="D882" s="5"/>
      <c r="E882" s="5"/>
      <c r="F882" s="5"/>
      <c r="G882" s="5"/>
      <c r="H882" s="5"/>
      <c r="I882" s="5"/>
      <c r="J882" s="5"/>
      <c r="K882" s="5"/>
      <c r="L882" s="5"/>
      <c r="M882" s="5"/>
      <c r="N882" s="5"/>
      <c r="O882" s="5"/>
      <c r="P882" s="5"/>
      <c r="Q882" s="5"/>
      <c r="R882" s="5"/>
      <c r="S882" s="5"/>
    </row>
    <row r="883" spans="1:19">
      <c r="A883" s="5"/>
      <c r="B883" s="5"/>
      <c r="C883" s="5"/>
      <c r="D883" s="5"/>
      <c r="E883" s="5"/>
      <c r="F883" s="5"/>
      <c r="G883" s="5"/>
      <c r="H883" s="5"/>
      <c r="I883" s="5"/>
      <c r="J883" s="5"/>
      <c r="K883" s="5"/>
      <c r="L883" s="5"/>
      <c r="M883" s="5"/>
      <c r="N883" s="5"/>
      <c r="O883" s="5"/>
      <c r="P883" s="5"/>
      <c r="Q883" s="5"/>
      <c r="R883" s="5"/>
      <c r="S883" s="5"/>
    </row>
    <row r="884" spans="1:19">
      <c r="A884" s="5"/>
      <c r="B884" s="5"/>
      <c r="C884" s="5"/>
      <c r="D884" s="5"/>
      <c r="E884" s="5"/>
      <c r="F884" s="5"/>
      <c r="G884" s="5"/>
      <c r="H884" s="5"/>
      <c r="I884" s="5"/>
      <c r="J884" s="5"/>
      <c r="K884" s="5"/>
      <c r="L884" s="5"/>
      <c r="M884" s="5"/>
      <c r="N884" s="5"/>
      <c r="O884" s="5"/>
      <c r="P884" s="5"/>
      <c r="Q884" s="5"/>
      <c r="R884" s="5"/>
      <c r="S884" s="5"/>
    </row>
    <row r="885" spans="1:19">
      <c r="A885" s="5"/>
      <c r="B885" s="5"/>
      <c r="C885" s="5"/>
      <c r="D885" s="5"/>
      <c r="E885" s="5"/>
      <c r="F885" s="5"/>
      <c r="G885" s="5"/>
      <c r="H885" s="5"/>
      <c r="I885" s="5"/>
      <c r="J885" s="5"/>
      <c r="K885" s="5"/>
      <c r="L885" s="5"/>
      <c r="M885" s="5"/>
      <c r="N885" s="5"/>
      <c r="O885" s="5"/>
      <c r="P885" s="5"/>
      <c r="Q885" s="5"/>
      <c r="R885" s="5"/>
      <c r="S885" s="5"/>
    </row>
    <row r="886" spans="1:19">
      <c r="A886" s="5"/>
      <c r="B886" s="5"/>
      <c r="C886" s="5"/>
      <c r="D886" s="5"/>
      <c r="E886" s="5"/>
      <c r="F886" s="5"/>
      <c r="G886" s="5"/>
      <c r="H886" s="5"/>
      <c r="I886" s="5"/>
      <c r="J886" s="5"/>
      <c r="K886" s="5"/>
      <c r="L886" s="5"/>
      <c r="M886" s="5"/>
      <c r="N886" s="5"/>
      <c r="O886" s="5"/>
      <c r="P886" s="5"/>
      <c r="Q886" s="5"/>
      <c r="R886" s="5"/>
      <c r="S886" s="5"/>
    </row>
    <row r="887" spans="1:19">
      <c r="A887" s="5"/>
      <c r="B887" s="5"/>
      <c r="C887" s="5"/>
      <c r="D887" s="5"/>
      <c r="E887" s="5"/>
      <c r="F887" s="5"/>
      <c r="G887" s="5"/>
      <c r="H887" s="5"/>
      <c r="I887" s="5"/>
      <c r="J887" s="5"/>
      <c r="K887" s="5"/>
      <c r="L887" s="5"/>
      <c r="M887" s="5"/>
      <c r="N887" s="5"/>
      <c r="O887" s="5"/>
      <c r="P887" s="5"/>
      <c r="Q887" s="5"/>
      <c r="R887" s="5"/>
      <c r="S887" s="5"/>
    </row>
    <row r="888" spans="1:19">
      <c r="A888" s="5"/>
      <c r="B888" s="5"/>
      <c r="C888" s="5"/>
      <c r="D888" s="5"/>
      <c r="E888" s="5"/>
      <c r="F888" s="5"/>
      <c r="G888" s="5"/>
      <c r="H888" s="5"/>
      <c r="I888" s="5"/>
      <c r="J888" s="5"/>
      <c r="K888" s="5"/>
      <c r="L888" s="5"/>
      <c r="M888" s="5"/>
      <c r="N888" s="5"/>
      <c r="O888" s="5"/>
      <c r="P888" s="5"/>
      <c r="Q888" s="5"/>
      <c r="R888" s="5"/>
      <c r="S888" s="5"/>
    </row>
    <row r="889" spans="1:19">
      <c r="A889" s="5"/>
      <c r="B889" s="5"/>
      <c r="C889" s="5"/>
      <c r="D889" s="5"/>
      <c r="E889" s="5"/>
      <c r="F889" s="5"/>
      <c r="G889" s="5"/>
      <c r="H889" s="5"/>
      <c r="I889" s="5"/>
      <c r="J889" s="5"/>
      <c r="K889" s="5"/>
      <c r="L889" s="5"/>
      <c r="M889" s="5"/>
      <c r="N889" s="5"/>
      <c r="O889" s="5"/>
      <c r="P889" s="5"/>
      <c r="Q889" s="5"/>
      <c r="R889" s="5"/>
      <c r="S889" s="5"/>
    </row>
    <row r="890" spans="1:19">
      <c r="A890" s="5"/>
      <c r="B890" s="5"/>
      <c r="C890" s="5"/>
      <c r="D890" s="5"/>
      <c r="E890" s="5"/>
      <c r="F890" s="5"/>
      <c r="G890" s="5"/>
      <c r="H890" s="5"/>
      <c r="I890" s="5"/>
      <c r="J890" s="5"/>
      <c r="K890" s="5"/>
      <c r="L890" s="5"/>
      <c r="M890" s="5"/>
      <c r="N890" s="5"/>
      <c r="O890" s="5"/>
      <c r="P890" s="5"/>
      <c r="Q890" s="5"/>
      <c r="R890" s="5"/>
      <c r="S890" s="5"/>
    </row>
    <row r="891" spans="1:19">
      <c r="A891" s="5"/>
      <c r="B891" s="5"/>
      <c r="C891" s="5"/>
      <c r="D891" s="5"/>
      <c r="E891" s="5"/>
      <c r="F891" s="5"/>
      <c r="G891" s="5"/>
      <c r="H891" s="5"/>
      <c r="I891" s="5"/>
      <c r="J891" s="5"/>
      <c r="K891" s="5"/>
      <c r="L891" s="5"/>
      <c r="M891" s="5"/>
      <c r="N891" s="5"/>
      <c r="O891" s="5"/>
      <c r="P891" s="5"/>
      <c r="Q891" s="5"/>
      <c r="R891" s="5"/>
      <c r="S891" s="5"/>
    </row>
    <row r="892" spans="1:19">
      <c r="A892" s="5"/>
      <c r="B892" s="5"/>
      <c r="C892" s="5"/>
      <c r="D892" s="5"/>
      <c r="E892" s="5"/>
      <c r="F892" s="5"/>
      <c r="G892" s="5"/>
      <c r="H892" s="5"/>
      <c r="I892" s="5"/>
      <c r="J892" s="5"/>
      <c r="K892" s="5"/>
      <c r="L892" s="5"/>
      <c r="M892" s="5"/>
      <c r="N892" s="5"/>
      <c r="O892" s="5"/>
      <c r="P892" s="5"/>
      <c r="Q892" s="5"/>
      <c r="R892" s="5"/>
      <c r="S892" s="5"/>
    </row>
    <row r="893" spans="1:19">
      <c r="A893" s="5"/>
      <c r="B893" s="5"/>
      <c r="C893" s="5"/>
      <c r="D893" s="5"/>
      <c r="E893" s="5"/>
      <c r="F893" s="5"/>
      <c r="G893" s="5"/>
      <c r="H893" s="5"/>
      <c r="I893" s="5"/>
      <c r="J893" s="5"/>
      <c r="K893" s="5"/>
      <c r="L893" s="5"/>
      <c r="M893" s="5"/>
      <c r="N893" s="5"/>
      <c r="O893" s="5"/>
      <c r="P893" s="5"/>
      <c r="Q893" s="5"/>
      <c r="R893" s="5"/>
      <c r="S893" s="5"/>
    </row>
    <row r="894" spans="1:19">
      <c r="A894" s="5"/>
      <c r="B894" s="5"/>
      <c r="C894" s="5"/>
      <c r="D894" s="5"/>
      <c r="E894" s="5"/>
      <c r="F894" s="5"/>
      <c r="G894" s="5"/>
      <c r="H894" s="5"/>
      <c r="I894" s="5"/>
      <c r="J894" s="5"/>
      <c r="K894" s="5"/>
      <c r="L894" s="5"/>
      <c r="M894" s="5"/>
      <c r="N894" s="5"/>
      <c r="O894" s="5"/>
      <c r="P894" s="5"/>
      <c r="Q894" s="5"/>
      <c r="R894" s="5"/>
      <c r="S894" s="5"/>
    </row>
    <row r="895" spans="1:19">
      <c r="A895" s="5"/>
      <c r="B895" s="5"/>
      <c r="C895" s="5"/>
      <c r="D895" s="5"/>
      <c r="E895" s="5"/>
      <c r="F895" s="5"/>
      <c r="G895" s="5"/>
      <c r="H895" s="5"/>
      <c r="I895" s="5"/>
      <c r="J895" s="5"/>
      <c r="K895" s="5"/>
      <c r="L895" s="5"/>
      <c r="M895" s="5"/>
      <c r="N895" s="5"/>
      <c r="O895" s="5"/>
      <c r="P895" s="5"/>
      <c r="Q895" s="5"/>
      <c r="R895" s="5"/>
      <c r="S895" s="5"/>
    </row>
    <row r="896" spans="1:19">
      <c r="A896" s="5"/>
      <c r="B896" s="5"/>
      <c r="C896" s="5"/>
      <c r="D896" s="5"/>
      <c r="E896" s="5"/>
      <c r="F896" s="5"/>
      <c r="G896" s="5"/>
      <c r="H896" s="5"/>
      <c r="I896" s="5"/>
      <c r="J896" s="5"/>
      <c r="K896" s="5"/>
      <c r="L896" s="5"/>
      <c r="M896" s="5"/>
      <c r="N896" s="5"/>
      <c r="O896" s="5"/>
      <c r="P896" s="5"/>
      <c r="Q896" s="5"/>
      <c r="R896" s="5"/>
      <c r="S896" s="5"/>
    </row>
    <row r="897" spans="1:19">
      <c r="A897" s="5"/>
      <c r="B897" s="5"/>
      <c r="C897" s="5"/>
      <c r="D897" s="5"/>
      <c r="E897" s="5"/>
      <c r="F897" s="5"/>
      <c r="G897" s="5"/>
      <c r="H897" s="5"/>
      <c r="I897" s="5"/>
      <c r="J897" s="5"/>
      <c r="K897" s="5"/>
      <c r="L897" s="5"/>
      <c r="M897" s="5"/>
      <c r="N897" s="5"/>
      <c r="O897" s="5"/>
      <c r="P897" s="5"/>
      <c r="Q897" s="5"/>
      <c r="R897" s="5"/>
      <c r="S897" s="5"/>
    </row>
    <row r="898" spans="1:19">
      <c r="A898" s="5"/>
      <c r="B898" s="5"/>
      <c r="C898" s="5"/>
      <c r="D898" s="5"/>
      <c r="E898" s="5"/>
      <c r="F898" s="5"/>
      <c r="G898" s="5"/>
      <c r="H898" s="5"/>
      <c r="I898" s="5"/>
      <c r="J898" s="5"/>
      <c r="K898" s="5"/>
      <c r="L898" s="5"/>
      <c r="M898" s="5"/>
      <c r="N898" s="5"/>
      <c r="O898" s="5"/>
      <c r="P898" s="5"/>
      <c r="Q898" s="5"/>
      <c r="R898" s="5"/>
      <c r="S898" s="5"/>
    </row>
    <row r="899" spans="1:19">
      <c r="A899" s="5"/>
      <c r="B899" s="5"/>
      <c r="C899" s="5"/>
      <c r="D899" s="5"/>
      <c r="E899" s="5"/>
      <c r="F899" s="5"/>
      <c r="G899" s="5"/>
      <c r="H899" s="5"/>
      <c r="I899" s="5"/>
      <c r="J899" s="5"/>
      <c r="K899" s="5"/>
      <c r="L899" s="5"/>
      <c r="M899" s="5"/>
      <c r="N899" s="5"/>
      <c r="O899" s="5"/>
      <c r="P899" s="5"/>
      <c r="Q899" s="5"/>
      <c r="R899" s="5"/>
      <c r="S899" s="5"/>
    </row>
    <row r="900" spans="1:19">
      <c r="A900" s="5"/>
      <c r="B900" s="5"/>
      <c r="C900" s="5"/>
      <c r="D900" s="5"/>
      <c r="E900" s="5"/>
      <c r="F900" s="5"/>
      <c r="G900" s="5"/>
      <c r="H900" s="5"/>
      <c r="I900" s="5"/>
      <c r="J900" s="5"/>
      <c r="K900" s="5"/>
      <c r="L900" s="5"/>
      <c r="M900" s="5"/>
      <c r="N900" s="5"/>
      <c r="O900" s="5"/>
      <c r="P900" s="5"/>
      <c r="Q900" s="5"/>
      <c r="R900" s="5"/>
      <c r="S900" s="5"/>
    </row>
    <row r="901" spans="1:19">
      <c r="A901" s="5"/>
      <c r="B901" s="5"/>
      <c r="C901" s="5"/>
      <c r="D901" s="5"/>
      <c r="E901" s="5"/>
      <c r="F901" s="5"/>
      <c r="G901" s="5"/>
      <c r="H901" s="5"/>
      <c r="I901" s="5"/>
      <c r="J901" s="5"/>
      <c r="K901" s="5"/>
      <c r="L901" s="5"/>
      <c r="M901" s="5"/>
      <c r="N901" s="5"/>
      <c r="O901" s="5"/>
      <c r="P901" s="5"/>
      <c r="Q901" s="5"/>
      <c r="R901" s="5"/>
      <c r="S901" s="5"/>
    </row>
    <row r="902" spans="1:19">
      <c r="A902" s="5"/>
      <c r="B902" s="5"/>
      <c r="C902" s="5"/>
      <c r="D902" s="5"/>
      <c r="E902" s="5"/>
      <c r="F902" s="5"/>
      <c r="G902" s="5"/>
      <c r="H902" s="5"/>
      <c r="I902" s="5"/>
      <c r="J902" s="5"/>
      <c r="K902" s="5"/>
      <c r="L902" s="5"/>
      <c r="M902" s="5"/>
      <c r="N902" s="5"/>
      <c r="O902" s="5"/>
      <c r="P902" s="5"/>
      <c r="Q902" s="5"/>
      <c r="R902" s="5"/>
      <c r="S902" s="5"/>
    </row>
    <row r="903" spans="1:19">
      <c r="A903" s="5"/>
      <c r="B903" s="5"/>
      <c r="C903" s="5"/>
      <c r="D903" s="5"/>
      <c r="E903" s="5"/>
      <c r="F903" s="5"/>
      <c r="G903" s="5"/>
      <c r="H903" s="5"/>
      <c r="I903" s="5"/>
      <c r="J903" s="5"/>
      <c r="K903" s="5"/>
      <c r="L903" s="5"/>
      <c r="M903" s="5"/>
      <c r="N903" s="5"/>
      <c r="O903" s="5"/>
      <c r="P903" s="5"/>
      <c r="Q903" s="5"/>
      <c r="R903" s="5"/>
      <c r="S903" s="5"/>
    </row>
    <row r="904" spans="1:19">
      <c r="A904" s="5"/>
      <c r="B904" s="5"/>
      <c r="C904" s="5"/>
      <c r="D904" s="5"/>
      <c r="E904" s="5"/>
      <c r="F904" s="5"/>
      <c r="G904" s="5"/>
      <c r="H904" s="5"/>
      <c r="I904" s="5"/>
      <c r="J904" s="5"/>
      <c r="K904" s="5"/>
      <c r="L904" s="5"/>
      <c r="M904" s="5"/>
      <c r="N904" s="5"/>
      <c r="O904" s="5"/>
      <c r="P904" s="5"/>
      <c r="Q904" s="5"/>
      <c r="R904" s="5"/>
      <c r="S904" s="5"/>
    </row>
    <row r="905" spans="1:19">
      <c r="A905" s="5"/>
      <c r="B905" s="5"/>
      <c r="C905" s="5"/>
      <c r="D905" s="5"/>
      <c r="E905" s="5"/>
      <c r="F905" s="5"/>
      <c r="G905" s="5"/>
      <c r="H905" s="5"/>
      <c r="I905" s="5"/>
      <c r="J905" s="5"/>
      <c r="K905" s="5"/>
      <c r="L905" s="5"/>
      <c r="M905" s="5"/>
      <c r="N905" s="5"/>
      <c r="O905" s="5"/>
      <c r="P905" s="5"/>
      <c r="Q905" s="5"/>
      <c r="R905" s="5"/>
      <c r="S905" s="5"/>
    </row>
    <row r="906" spans="1:19">
      <c r="A906" s="5"/>
      <c r="B906" s="5"/>
      <c r="C906" s="5"/>
      <c r="D906" s="5"/>
      <c r="E906" s="5"/>
      <c r="F906" s="5"/>
      <c r="G906" s="5"/>
      <c r="H906" s="5"/>
      <c r="I906" s="5"/>
      <c r="J906" s="5"/>
      <c r="K906" s="5"/>
      <c r="L906" s="5"/>
      <c r="M906" s="5"/>
      <c r="N906" s="5"/>
      <c r="O906" s="5"/>
      <c r="P906" s="5"/>
      <c r="Q906" s="5"/>
      <c r="R906" s="5"/>
      <c r="S906" s="5"/>
    </row>
    <row r="907" spans="1:19">
      <c r="A907" s="5"/>
      <c r="B907" s="5"/>
      <c r="C907" s="5"/>
      <c r="D907" s="5"/>
      <c r="E907" s="5"/>
      <c r="F907" s="5"/>
      <c r="G907" s="5"/>
      <c r="H907" s="5"/>
      <c r="I907" s="5"/>
      <c r="J907" s="5"/>
      <c r="K907" s="5"/>
      <c r="L907" s="5"/>
      <c r="M907" s="5"/>
      <c r="N907" s="5"/>
      <c r="O907" s="5"/>
      <c r="P907" s="5"/>
      <c r="Q907" s="5"/>
      <c r="R907" s="5"/>
      <c r="S907" s="5"/>
    </row>
    <row r="908" spans="1:19">
      <c r="A908" s="5"/>
      <c r="B908" s="5"/>
      <c r="C908" s="5"/>
      <c r="D908" s="5"/>
      <c r="E908" s="5"/>
      <c r="F908" s="5"/>
      <c r="G908" s="5"/>
      <c r="H908" s="5"/>
      <c r="I908" s="5"/>
      <c r="J908" s="5"/>
      <c r="K908" s="5"/>
      <c r="L908" s="5"/>
      <c r="M908" s="5"/>
      <c r="N908" s="5"/>
      <c r="O908" s="5"/>
      <c r="P908" s="5"/>
      <c r="Q908" s="5"/>
      <c r="R908" s="5"/>
      <c r="S908" s="5"/>
    </row>
    <row r="909" spans="1:19">
      <c r="A909" s="5"/>
      <c r="B909" s="5"/>
      <c r="C909" s="5"/>
      <c r="D909" s="5"/>
      <c r="E909" s="5"/>
      <c r="F909" s="5"/>
      <c r="G909" s="5"/>
      <c r="H909" s="5"/>
      <c r="I909" s="5"/>
      <c r="J909" s="5"/>
      <c r="K909" s="5"/>
      <c r="L909" s="5"/>
      <c r="M909" s="5"/>
      <c r="N909" s="5"/>
      <c r="O909" s="5"/>
      <c r="P909" s="5"/>
      <c r="Q909" s="5"/>
      <c r="R909" s="5"/>
      <c r="S909" s="5"/>
    </row>
    <row r="910" spans="1:19">
      <c r="A910" s="5"/>
      <c r="B910" s="5"/>
      <c r="C910" s="5"/>
      <c r="D910" s="5"/>
      <c r="E910" s="5"/>
      <c r="F910" s="5"/>
      <c r="G910" s="5"/>
      <c r="H910" s="5"/>
      <c r="I910" s="5"/>
      <c r="J910" s="5"/>
      <c r="K910" s="5"/>
      <c r="L910" s="5"/>
      <c r="M910" s="5"/>
      <c r="N910" s="5"/>
      <c r="O910" s="5"/>
      <c r="P910" s="5"/>
      <c r="Q910" s="5"/>
      <c r="R910" s="5"/>
      <c r="S910" s="5"/>
    </row>
    <row r="911" spans="1:19">
      <c r="A911" s="5"/>
      <c r="B911" s="5"/>
      <c r="C911" s="5"/>
      <c r="D911" s="5"/>
      <c r="E911" s="5"/>
      <c r="F911" s="5"/>
      <c r="G911" s="5"/>
      <c r="H911" s="5"/>
      <c r="I911" s="5"/>
      <c r="J911" s="5"/>
      <c r="K911" s="5"/>
      <c r="L911" s="5"/>
      <c r="M911" s="5"/>
      <c r="N911" s="5"/>
      <c r="O911" s="5"/>
      <c r="P911" s="5"/>
      <c r="Q911" s="5"/>
      <c r="R911" s="5"/>
      <c r="S911" s="5"/>
    </row>
    <row r="912" spans="1:19">
      <c r="A912" s="5"/>
      <c r="B912" s="5"/>
      <c r="C912" s="5"/>
      <c r="D912" s="5"/>
      <c r="E912" s="5"/>
      <c r="F912" s="5"/>
      <c r="G912" s="5"/>
      <c r="H912" s="5"/>
      <c r="I912" s="5"/>
      <c r="J912" s="5"/>
      <c r="K912" s="5"/>
      <c r="L912" s="5"/>
      <c r="M912" s="5"/>
      <c r="N912" s="5"/>
      <c r="O912" s="5"/>
      <c r="P912" s="5"/>
      <c r="Q912" s="5"/>
      <c r="R912" s="5"/>
      <c r="S912" s="5"/>
    </row>
    <row r="913" spans="1:19">
      <c r="A913" s="5"/>
      <c r="B913" s="5"/>
      <c r="C913" s="5"/>
      <c r="D913" s="5"/>
      <c r="E913" s="5"/>
      <c r="F913" s="5"/>
      <c r="G913" s="5"/>
      <c r="H913" s="5"/>
      <c r="I913" s="5"/>
      <c r="J913" s="5"/>
      <c r="K913" s="5"/>
      <c r="L913" s="5"/>
      <c r="M913" s="5"/>
      <c r="N913" s="5"/>
      <c r="O913" s="5"/>
      <c r="P913" s="5"/>
      <c r="Q913" s="5"/>
      <c r="R913" s="5"/>
      <c r="S913" s="5"/>
    </row>
    <row r="914" spans="1:19">
      <c r="A914" s="5"/>
      <c r="B914" s="5"/>
      <c r="C914" s="5"/>
      <c r="D914" s="5"/>
      <c r="E914" s="5"/>
      <c r="F914" s="5"/>
      <c r="G914" s="5"/>
      <c r="H914" s="5"/>
      <c r="I914" s="5"/>
      <c r="J914" s="5"/>
      <c r="K914" s="5"/>
      <c r="L914" s="5"/>
      <c r="M914" s="5"/>
      <c r="N914" s="5"/>
      <c r="O914" s="5"/>
      <c r="P914" s="5"/>
      <c r="Q914" s="5"/>
      <c r="R914" s="5"/>
      <c r="S914" s="5"/>
    </row>
    <row r="915" spans="1:19">
      <c r="A915" s="5"/>
      <c r="B915" s="5"/>
      <c r="C915" s="5"/>
      <c r="D915" s="5"/>
      <c r="E915" s="5"/>
      <c r="F915" s="5"/>
      <c r="G915" s="5"/>
      <c r="H915" s="5"/>
      <c r="I915" s="5"/>
      <c r="J915" s="5"/>
      <c r="K915" s="5"/>
      <c r="L915" s="5"/>
      <c r="M915" s="5"/>
      <c r="N915" s="5"/>
      <c r="O915" s="5"/>
      <c r="P915" s="5"/>
      <c r="Q915" s="5"/>
      <c r="R915" s="5"/>
      <c r="S915" s="5"/>
    </row>
    <row r="916" spans="1:19">
      <c r="A916" s="5"/>
      <c r="B916" s="5"/>
      <c r="C916" s="5"/>
      <c r="D916" s="5"/>
      <c r="E916" s="5"/>
      <c r="F916" s="5"/>
      <c r="G916" s="5"/>
      <c r="H916" s="5"/>
      <c r="I916" s="5"/>
      <c r="J916" s="5"/>
      <c r="K916" s="5"/>
      <c r="L916" s="5"/>
      <c r="M916" s="5"/>
      <c r="N916" s="5"/>
      <c r="O916" s="5"/>
      <c r="P916" s="5"/>
      <c r="Q916" s="5"/>
      <c r="R916" s="5"/>
      <c r="S916" s="5"/>
    </row>
    <row r="917" spans="1:19">
      <c r="A917" s="5"/>
      <c r="B917" s="5"/>
      <c r="C917" s="5"/>
      <c r="D917" s="5"/>
      <c r="E917" s="5"/>
      <c r="F917" s="5"/>
      <c r="G917" s="5"/>
      <c r="H917" s="5"/>
      <c r="I917" s="5"/>
      <c r="J917" s="5"/>
      <c r="K917" s="5"/>
      <c r="L917" s="5"/>
      <c r="M917" s="5"/>
      <c r="N917" s="5"/>
      <c r="O917" s="5"/>
      <c r="P917" s="5"/>
      <c r="Q917" s="5"/>
      <c r="R917" s="5"/>
      <c r="S917" s="5"/>
    </row>
    <row r="918" spans="1:19">
      <c r="A918" s="5"/>
      <c r="B918" s="5"/>
      <c r="C918" s="5"/>
      <c r="D918" s="5"/>
      <c r="E918" s="5"/>
      <c r="F918" s="5"/>
      <c r="G918" s="5"/>
      <c r="H918" s="5"/>
      <c r="I918" s="5"/>
      <c r="J918" s="5"/>
      <c r="K918" s="5"/>
      <c r="L918" s="5"/>
      <c r="M918" s="5"/>
      <c r="N918" s="5"/>
      <c r="O918" s="5"/>
      <c r="P918" s="5"/>
      <c r="Q918" s="5"/>
      <c r="R918" s="5"/>
      <c r="S918" s="5"/>
    </row>
    <row r="919" spans="1:19">
      <c r="A919" s="5"/>
      <c r="B919" s="5"/>
      <c r="C919" s="5"/>
      <c r="D919" s="5"/>
      <c r="E919" s="5"/>
      <c r="F919" s="5"/>
      <c r="G919" s="5"/>
      <c r="H919" s="5"/>
      <c r="I919" s="5"/>
      <c r="J919" s="5"/>
      <c r="K919" s="5"/>
      <c r="L919" s="5"/>
      <c r="M919" s="5"/>
      <c r="N919" s="5"/>
      <c r="O919" s="5"/>
      <c r="P919" s="5"/>
      <c r="Q919" s="5"/>
      <c r="R919" s="5"/>
      <c r="S919" s="5"/>
    </row>
    <row r="920" spans="1:19">
      <c r="A920" s="5"/>
      <c r="B920" s="5"/>
      <c r="C920" s="5"/>
      <c r="D920" s="5"/>
      <c r="E920" s="5"/>
      <c r="F920" s="5"/>
      <c r="G920" s="5"/>
      <c r="H920" s="5"/>
      <c r="I920" s="5"/>
      <c r="J920" s="5"/>
      <c r="K920" s="5"/>
      <c r="L920" s="5"/>
      <c r="M920" s="5"/>
      <c r="N920" s="5"/>
      <c r="O920" s="5"/>
      <c r="P920" s="5"/>
      <c r="Q920" s="5"/>
      <c r="R920" s="5"/>
      <c r="S920" s="5"/>
    </row>
    <row r="921" spans="1:19">
      <c r="A921" s="5"/>
      <c r="B921" s="5"/>
      <c r="C921" s="5"/>
      <c r="D921" s="5"/>
      <c r="E921" s="5"/>
      <c r="F921" s="5"/>
      <c r="G921" s="5"/>
      <c r="H921" s="5"/>
      <c r="I921" s="5"/>
      <c r="J921" s="5"/>
      <c r="K921" s="5"/>
      <c r="L921" s="5"/>
      <c r="M921" s="5"/>
      <c r="N921" s="5"/>
      <c r="O921" s="5"/>
      <c r="P921" s="5"/>
      <c r="Q921" s="5"/>
      <c r="R921" s="5"/>
      <c r="S921" s="5"/>
    </row>
    <row r="922" spans="1:19">
      <c r="A922" s="5"/>
      <c r="B922" s="5"/>
      <c r="C922" s="5"/>
      <c r="D922" s="5"/>
      <c r="E922" s="5"/>
      <c r="F922" s="5"/>
      <c r="G922" s="5"/>
      <c r="H922" s="5"/>
      <c r="I922" s="5"/>
      <c r="J922" s="5"/>
      <c r="K922" s="5"/>
      <c r="L922" s="5"/>
      <c r="M922" s="5"/>
      <c r="N922" s="5"/>
      <c r="O922" s="5"/>
      <c r="P922" s="5"/>
      <c r="Q922" s="5"/>
      <c r="R922" s="5"/>
      <c r="S922" s="5"/>
    </row>
    <row r="923" spans="1:19">
      <c r="A923" s="5"/>
      <c r="B923" s="5"/>
      <c r="C923" s="5"/>
      <c r="D923" s="5"/>
      <c r="E923" s="5"/>
      <c r="F923" s="5"/>
      <c r="G923" s="5"/>
      <c r="H923" s="5"/>
      <c r="I923" s="5"/>
      <c r="J923" s="5"/>
      <c r="K923" s="5"/>
      <c r="L923" s="5"/>
      <c r="M923" s="5"/>
      <c r="N923" s="5"/>
      <c r="O923" s="5"/>
      <c r="P923" s="5"/>
      <c r="Q923" s="5"/>
      <c r="R923" s="5"/>
      <c r="S923" s="5"/>
    </row>
    <row r="924" spans="1:19">
      <c r="A924" s="5"/>
      <c r="B924" s="5"/>
      <c r="C924" s="5"/>
      <c r="D924" s="5"/>
      <c r="E924" s="5"/>
      <c r="F924" s="5"/>
      <c r="G924" s="5"/>
      <c r="H924" s="5"/>
      <c r="I924" s="5"/>
      <c r="J924" s="5"/>
      <c r="K924" s="5"/>
      <c r="L924" s="5"/>
      <c r="M924" s="5"/>
      <c r="N924" s="5"/>
      <c r="O924" s="5"/>
      <c r="P924" s="5"/>
      <c r="Q924" s="5"/>
      <c r="R924" s="5"/>
      <c r="S924" s="5"/>
    </row>
    <row r="925" spans="1:19">
      <c r="A925" s="5"/>
      <c r="B925" s="5"/>
      <c r="C925" s="5"/>
      <c r="D925" s="5"/>
      <c r="E925" s="5"/>
      <c r="F925" s="5"/>
      <c r="G925" s="5"/>
      <c r="H925" s="5"/>
      <c r="I925" s="5"/>
      <c r="J925" s="5"/>
      <c r="K925" s="5"/>
      <c r="L925" s="5"/>
      <c r="M925" s="5"/>
      <c r="N925" s="5"/>
      <c r="O925" s="5"/>
      <c r="P925" s="5"/>
      <c r="Q925" s="5"/>
      <c r="R925" s="5"/>
      <c r="S925" s="5"/>
    </row>
    <row r="926" spans="1:19">
      <c r="A926" s="5"/>
      <c r="B926" s="5"/>
      <c r="C926" s="5"/>
      <c r="D926" s="5"/>
      <c r="E926" s="5"/>
      <c r="F926" s="5"/>
      <c r="G926" s="5"/>
      <c r="H926" s="5"/>
      <c r="I926" s="5"/>
      <c r="J926" s="5"/>
      <c r="K926" s="5"/>
      <c r="L926" s="5"/>
      <c r="M926" s="5"/>
      <c r="N926" s="5"/>
      <c r="O926" s="5"/>
      <c r="P926" s="5"/>
      <c r="Q926" s="5"/>
      <c r="R926" s="5"/>
      <c r="S926" s="5"/>
    </row>
    <row r="927" spans="1:19">
      <c r="A927" s="5"/>
      <c r="B927" s="5"/>
      <c r="C927" s="5"/>
      <c r="D927" s="5"/>
      <c r="E927" s="5"/>
      <c r="F927" s="5"/>
      <c r="G927" s="5"/>
      <c r="H927" s="5"/>
      <c r="I927" s="5"/>
      <c r="J927" s="5"/>
      <c r="K927" s="5"/>
      <c r="L927" s="5"/>
      <c r="M927" s="5"/>
      <c r="N927" s="5"/>
      <c r="O927" s="5"/>
      <c r="P927" s="5"/>
      <c r="Q927" s="5"/>
      <c r="R927" s="5"/>
      <c r="S927" s="5"/>
    </row>
    <row r="928" spans="1:19">
      <c r="A928" s="5"/>
      <c r="B928" s="5"/>
      <c r="C928" s="5"/>
      <c r="D928" s="5"/>
      <c r="E928" s="5"/>
      <c r="F928" s="5"/>
      <c r="G928" s="5"/>
      <c r="H928" s="5"/>
      <c r="I928" s="5"/>
      <c r="J928" s="5"/>
      <c r="K928" s="5"/>
      <c r="L928" s="5"/>
      <c r="M928" s="5"/>
      <c r="N928" s="5"/>
      <c r="O928" s="5"/>
      <c r="P928" s="5"/>
      <c r="Q928" s="5"/>
      <c r="R928" s="5"/>
      <c r="S928" s="5"/>
    </row>
    <row r="929" spans="1:19">
      <c r="A929" s="5"/>
      <c r="B929" s="5"/>
      <c r="C929" s="5"/>
      <c r="D929" s="5"/>
      <c r="E929" s="5"/>
      <c r="F929" s="5"/>
      <c r="G929" s="5"/>
      <c r="H929" s="5"/>
      <c r="I929" s="5"/>
      <c r="J929" s="5"/>
      <c r="K929" s="5"/>
      <c r="L929" s="5"/>
      <c r="M929" s="5"/>
      <c r="N929" s="5"/>
      <c r="O929" s="5"/>
      <c r="P929" s="5"/>
      <c r="Q929" s="5"/>
      <c r="R929" s="5"/>
      <c r="S929" s="5"/>
    </row>
    <row r="930" spans="1:19">
      <c r="A930" s="5"/>
      <c r="B930" s="5"/>
      <c r="C930" s="5"/>
      <c r="D930" s="5"/>
      <c r="E930" s="5"/>
      <c r="F930" s="5"/>
      <c r="G930" s="5"/>
      <c r="H930" s="5"/>
      <c r="I930" s="5"/>
      <c r="J930" s="5"/>
      <c r="K930" s="5"/>
      <c r="L930" s="5"/>
      <c r="M930" s="5"/>
      <c r="N930" s="5"/>
      <c r="O930" s="5"/>
      <c r="P930" s="5"/>
      <c r="Q930" s="5"/>
      <c r="R930" s="5"/>
      <c r="S930" s="5"/>
    </row>
    <row r="931" spans="1:19">
      <c r="A931" s="5"/>
      <c r="B931" s="5"/>
      <c r="C931" s="5"/>
      <c r="D931" s="5"/>
      <c r="E931" s="5"/>
      <c r="F931" s="5"/>
      <c r="G931" s="5"/>
      <c r="H931" s="5"/>
      <c r="I931" s="5"/>
      <c r="J931" s="5"/>
      <c r="K931" s="5"/>
      <c r="L931" s="5"/>
      <c r="M931" s="5"/>
      <c r="N931" s="5"/>
      <c r="O931" s="5"/>
      <c r="P931" s="5"/>
      <c r="Q931" s="5"/>
      <c r="R931" s="5"/>
      <c r="S931" s="5"/>
    </row>
    <row r="932" spans="1:19">
      <c r="A932" s="5"/>
      <c r="B932" s="5"/>
      <c r="C932" s="5"/>
      <c r="D932" s="5"/>
      <c r="E932" s="5"/>
      <c r="F932" s="5"/>
      <c r="G932" s="5"/>
      <c r="H932" s="5"/>
      <c r="I932" s="5"/>
      <c r="J932" s="5"/>
      <c r="K932" s="5"/>
      <c r="L932" s="5"/>
      <c r="M932" s="5"/>
      <c r="N932" s="5"/>
      <c r="O932" s="5"/>
      <c r="P932" s="5"/>
      <c r="Q932" s="5"/>
      <c r="R932" s="5"/>
      <c r="S932" s="5"/>
    </row>
    <row r="933" spans="1:19">
      <c r="A933" s="5"/>
      <c r="B933" s="5"/>
      <c r="C933" s="5"/>
      <c r="D933" s="5"/>
      <c r="E933" s="5"/>
      <c r="F933" s="5"/>
      <c r="G933" s="5"/>
      <c r="H933" s="5"/>
      <c r="I933" s="5"/>
      <c r="J933" s="5"/>
      <c r="K933" s="5"/>
      <c r="L933" s="5"/>
      <c r="M933" s="5"/>
      <c r="N933" s="5"/>
      <c r="O933" s="5"/>
      <c r="P933" s="5"/>
      <c r="Q933" s="5"/>
      <c r="R933" s="5"/>
      <c r="S933" s="5"/>
    </row>
    <row r="934" spans="1:19">
      <c r="A934" s="5"/>
      <c r="B934" s="5"/>
      <c r="C934" s="5"/>
      <c r="D934" s="5"/>
      <c r="E934" s="5"/>
      <c r="F934" s="5"/>
      <c r="G934" s="5"/>
      <c r="H934" s="5"/>
      <c r="I934" s="5"/>
      <c r="J934" s="5"/>
      <c r="K934" s="5"/>
      <c r="L934" s="5"/>
      <c r="M934" s="5"/>
      <c r="N934" s="5"/>
      <c r="O934" s="5"/>
      <c r="P934" s="5"/>
      <c r="Q934" s="5"/>
      <c r="R934" s="5"/>
      <c r="S934" s="5"/>
    </row>
    <row r="935" spans="1:19">
      <c r="A935" s="5"/>
      <c r="B935" s="5"/>
      <c r="C935" s="5"/>
      <c r="D935" s="5"/>
      <c r="E935" s="5"/>
      <c r="F935" s="5"/>
      <c r="G935" s="5"/>
      <c r="H935" s="5"/>
      <c r="I935" s="5"/>
      <c r="J935" s="5"/>
      <c r="K935" s="5"/>
      <c r="L935" s="5"/>
      <c r="M935" s="5"/>
      <c r="N935" s="5"/>
      <c r="O935" s="5"/>
      <c r="P935" s="5"/>
      <c r="Q935" s="5"/>
      <c r="R935" s="5"/>
      <c r="S935" s="5"/>
    </row>
    <row r="936" spans="1:19">
      <c r="A936" s="5"/>
      <c r="B936" s="5"/>
      <c r="C936" s="5"/>
      <c r="D936" s="5"/>
      <c r="E936" s="5"/>
      <c r="F936" s="5"/>
      <c r="G936" s="5"/>
      <c r="H936" s="5"/>
      <c r="I936" s="5"/>
      <c r="J936" s="5"/>
      <c r="K936" s="5"/>
      <c r="L936" s="5"/>
      <c r="M936" s="5"/>
      <c r="N936" s="5"/>
      <c r="O936" s="5"/>
      <c r="P936" s="5"/>
      <c r="Q936" s="5"/>
      <c r="R936" s="5"/>
      <c r="S936" s="5"/>
    </row>
    <row r="937" spans="1:19">
      <c r="A937" s="5"/>
      <c r="B937" s="5"/>
      <c r="C937" s="5"/>
      <c r="D937" s="5"/>
      <c r="E937" s="5"/>
      <c r="F937" s="5"/>
      <c r="G937" s="5"/>
      <c r="H937" s="5"/>
      <c r="I937" s="5"/>
      <c r="J937" s="5"/>
      <c r="K937" s="5"/>
      <c r="L937" s="5"/>
      <c r="M937" s="5"/>
      <c r="N937" s="5"/>
      <c r="O937" s="5"/>
      <c r="P937" s="5"/>
      <c r="Q937" s="5"/>
      <c r="R937" s="5"/>
      <c r="S937" s="5"/>
    </row>
    <row r="938" spans="1:19">
      <c r="A938" s="5"/>
      <c r="B938" s="5"/>
      <c r="C938" s="5"/>
      <c r="D938" s="5"/>
      <c r="E938" s="5"/>
      <c r="F938" s="5"/>
      <c r="G938" s="5"/>
      <c r="H938" s="5"/>
      <c r="I938" s="5"/>
      <c r="J938" s="5"/>
      <c r="K938" s="5"/>
      <c r="L938" s="5"/>
      <c r="M938" s="5"/>
      <c r="N938" s="5"/>
      <c r="O938" s="5"/>
      <c r="P938" s="5"/>
      <c r="Q938" s="5"/>
      <c r="R938" s="5"/>
      <c r="S938" s="5"/>
    </row>
    <row r="939" spans="1:19">
      <c r="A939" s="5"/>
      <c r="B939" s="5"/>
      <c r="C939" s="5"/>
      <c r="D939" s="5"/>
      <c r="E939" s="5"/>
      <c r="F939" s="5"/>
      <c r="G939" s="5"/>
      <c r="H939" s="5"/>
      <c r="I939" s="5"/>
      <c r="J939" s="5"/>
      <c r="K939" s="5"/>
      <c r="L939" s="5"/>
      <c r="M939" s="5"/>
      <c r="N939" s="5"/>
      <c r="O939" s="5"/>
      <c r="P939" s="5"/>
      <c r="Q939" s="5"/>
      <c r="R939" s="5"/>
      <c r="S939" s="5"/>
    </row>
    <row r="940" spans="1:19">
      <c r="A940" s="5"/>
      <c r="B940" s="5"/>
      <c r="C940" s="5"/>
      <c r="D940" s="5"/>
      <c r="E940" s="5"/>
      <c r="F940" s="5"/>
      <c r="G940" s="5"/>
      <c r="H940" s="5"/>
      <c r="I940" s="5"/>
      <c r="J940" s="5"/>
      <c r="K940" s="5"/>
      <c r="L940" s="5"/>
      <c r="M940" s="5"/>
      <c r="N940" s="5"/>
      <c r="O940" s="5"/>
      <c r="P940" s="5"/>
      <c r="Q940" s="5"/>
      <c r="R940" s="5"/>
      <c r="S940" s="5"/>
    </row>
    <row r="941" spans="1:19">
      <c r="A941" s="5"/>
      <c r="B941" s="5"/>
      <c r="C941" s="5"/>
      <c r="D941" s="5"/>
      <c r="E941" s="5"/>
      <c r="F941" s="5"/>
      <c r="G941" s="5"/>
      <c r="H941" s="5"/>
      <c r="I941" s="5"/>
      <c r="J941" s="5"/>
      <c r="K941" s="5"/>
      <c r="L941" s="5"/>
      <c r="M941" s="5"/>
      <c r="N941" s="5"/>
      <c r="O941" s="5"/>
      <c r="P941" s="5"/>
      <c r="Q941" s="5"/>
      <c r="R941" s="5"/>
      <c r="S941" s="5"/>
    </row>
    <row r="942" spans="1:19">
      <c r="A942" s="5"/>
      <c r="B942" s="5"/>
      <c r="C942" s="5"/>
      <c r="D942" s="5"/>
      <c r="E942" s="5"/>
      <c r="F942" s="5"/>
      <c r="G942" s="5"/>
      <c r="H942" s="5"/>
      <c r="I942" s="5"/>
      <c r="J942" s="5"/>
      <c r="K942" s="5"/>
      <c r="L942" s="5"/>
      <c r="M942" s="5"/>
      <c r="N942" s="5"/>
      <c r="O942" s="5"/>
      <c r="P942" s="5"/>
      <c r="Q942" s="5"/>
      <c r="R942" s="5"/>
      <c r="S942" s="5"/>
    </row>
    <row r="943" spans="1:19">
      <c r="A943" s="5"/>
      <c r="B943" s="5"/>
      <c r="C943" s="5"/>
      <c r="D943" s="5"/>
      <c r="E943" s="5"/>
      <c r="F943" s="5"/>
      <c r="G943" s="5"/>
      <c r="H943" s="5"/>
      <c r="I943" s="5"/>
      <c r="J943" s="5"/>
      <c r="K943" s="5"/>
      <c r="L943" s="5"/>
      <c r="M943" s="5"/>
      <c r="N943" s="5"/>
      <c r="O943" s="5"/>
      <c r="P943" s="5"/>
      <c r="Q943" s="5"/>
      <c r="R943" s="5"/>
      <c r="S943" s="5"/>
    </row>
    <row r="944" spans="1:19">
      <c r="A944" s="5"/>
      <c r="B944" s="5"/>
      <c r="C944" s="5"/>
      <c r="D944" s="5"/>
      <c r="E944" s="5"/>
      <c r="F944" s="5"/>
      <c r="G944" s="5"/>
      <c r="H944" s="5"/>
      <c r="I944" s="5"/>
      <c r="J944" s="5"/>
      <c r="K944" s="5"/>
      <c r="L944" s="5"/>
      <c r="M944" s="5"/>
      <c r="N944" s="5"/>
      <c r="O944" s="5"/>
      <c r="P944" s="5"/>
      <c r="Q944" s="5"/>
      <c r="R944" s="5"/>
      <c r="S944" s="5"/>
    </row>
    <row r="945" spans="1:19">
      <c r="A945" s="5"/>
      <c r="B945" s="5"/>
      <c r="C945" s="5"/>
      <c r="D945" s="5"/>
      <c r="E945" s="5"/>
      <c r="F945" s="5"/>
      <c r="G945" s="5"/>
      <c r="H945" s="5"/>
      <c r="I945" s="5"/>
      <c r="J945" s="5"/>
      <c r="K945" s="5"/>
      <c r="L945" s="5"/>
      <c r="M945" s="5"/>
      <c r="N945" s="5"/>
      <c r="O945" s="5"/>
      <c r="P945" s="5"/>
      <c r="Q945" s="5"/>
      <c r="R945" s="5"/>
      <c r="S945" s="5"/>
    </row>
    <row r="946" spans="1:19">
      <c r="A946" s="5"/>
      <c r="B946" s="5"/>
      <c r="C946" s="5"/>
      <c r="D946" s="5"/>
      <c r="E946" s="5"/>
      <c r="F946" s="5"/>
      <c r="G946" s="5"/>
      <c r="H946" s="5"/>
      <c r="I946" s="5"/>
      <c r="J946" s="5"/>
      <c r="K946" s="5"/>
      <c r="L946" s="5"/>
      <c r="M946" s="5"/>
      <c r="N946" s="5"/>
      <c r="O946" s="5"/>
      <c r="P946" s="5"/>
      <c r="Q946" s="5"/>
      <c r="R946" s="5"/>
      <c r="S946" s="5"/>
    </row>
    <row r="947" spans="1:19">
      <c r="A947" s="5"/>
      <c r="B947" s="5"/>
      <c r="C947" s="5"/>
      <c r="D947" s="5"/>
      <c r="E947" s="5"/>
      <c r="F947" s="5"/>
      <c r="G947" s="5"/>
      <c r="H947" s="5"/>
      <c r="I947" s="5"/>
      <c r="J947" s="5"/>
      <c r="K947" s="5"/>
      <c r="L947" s="5"/>
      <c r="M947" s="5"/>
      <c r="N947" s="5"/>
      <c r="O947" s="5"/>
      <c r="P947" s="5"/>
      <c r="Q947" s="5"/>
      <c r="R947" s="5"/>
      <c r="S947" s="5"/>
    </row>
    <row r="948" spans="1:19">
      <c r="A948" s="5"/>
      <c r="B948" s="5"/>
      <c r="C948" s="5"/>
      <c r="D948" s="5"/>
      <c r="E948" s="5"/>
      <c r="F948" s="5"/>
      <c r="G948" s="5"/>
      <c r="H948" s="5"/>
      <c r="I948" s="5"/>
      <c r="J948" s="5"/>
      <c r="K948" s="5"/>
      <c r="L948" s="5"/>
      <c r="M948" s="5"/>
      <c r="N948" s="5"/>
      <c r="O948" s="5"/>
      <c r="P948" s="5"/>
      <c r="Q948" s="5"/>
      <c r="R948" s="5"/>
      <c r="S948" s="5"/>
    </row>
    <row r="949" spans="1:19">
      <c r="A949" s="5"/>
      <c r="B949" s="5"/>
      <c r="C949" s="5"/>
      <c r="D949" s="5"/>
      <c r="E949" s="5"/>
      <c r="F949" s="5"/>
      <c r="G949" s="5"/>
      <c r="H949" s="5"/>
      <c r="I949" s="5"/>
      <c r="J949" s="5"/>
      <c r="K949" s="5"/>
      <c r="L949" s="5"/>
      <c r="M949" s="5"/>
      <c r="N949" s="5"/>
      <c r="O949" s="5"/>
      <c r="P949" s="5"/>
      <c r="Q949" s="5"/>
      <c r="R949" s="5"/>
      <c r="S949" s="5"/>
    </row>
    <row r="950" spans="1:19">
      <c r="A950" s="5"/>
      <c r="B950" s="5"/>
      <c r="C950" s="5"/>
      <c r="D950" s="5"/>
      <c r="E950" s="5"/>
      <c r="F950" s="5"/>
      <c r="G950" s="5"/>
      <c r="H950" s="5"/>
      <c r="I950" s="5"/>
      <c r="J950" s="5"/>
      <c r="K950" s="5"/>
      <c r="L950" s="5"/>
      <c r="M950" s="5"/>
      <c r="N950" s="5"/>
      <c r="O950" s="5"/>
      <c r="P950" s="5"/>
      <c r="Q950" s="5"/>
      <c r="R950" s="5"/>
      <c r="S950" s="5"/>
    </row>
    <row r="951" spans="1:19">
      <c r="A951" s="5"/>
      <c r="B951" s="5"/>
      <c r="C951" s="5"/>
      <c r="D951" s="5"/>
      <c r="E951" s="5"/>
      <c r="F951" s="5"/>
      <c r="G951" s="5"/>
      <c r="H951" s="5"/>
      <c r="I951" s="5"/>
      <c r="J951" s="5"/>
      <c r="K951" s="5"/>
      <c r="L951" s="5"/>
      <c r="M951" s="5"/>
      <c r="N951" s="5"/>
      <c r="O951" s="5"/>
      <c r="P951" s="5"/>
      <c r="Q951" s="5"/>
      <c r="R951" s="5"/>
      <c r="S951" s="5"/>
    </row>
    <row r="952" spans="1:19">
      <c r="A952" s="5"/>
      <c r="B952" s="5"/>
      <c r="C952" s="5"/>
      <c r="D952" s="5"/>
      <c r="E952" s="5"/>
      <c r="F952" s="5"/>
      <c r="G952" s="5"/>
      <c r="H952" s="5"/>
      <c r="I952" s="5"/>
      <c r="J952" s="5"/>
      <c r="K952" s="5"/>
      <c r="L952" s="5"/>
      <c r="M952" s="5"/>
      <c r="N952" s="5"/>
      <c r="O952" s="5"/>
      <c r="P952" s="5"/>
      <c r="Q952" s="5"/>
      <c r="R952" s="5"/>
      <c r="S952" s="5"/>
    </row>
    <row r="953" spans="1:19">
      <c r="A953" s="5"/>
      <c r="B953" s="5"/>
      <c r="C953" s="5"/>
      <c r="D953" s="5"/>
      <c r="E953" s="5"/>
      <c r="F953" s="5"/>
      <c r="G953" s="5"/>
      <c r="H953" s="5"/>
      <c r="I953" s="5"/>
      <c r="J953" s="5"/>
      <c r="K953" s="5"/>
      <c r="L953" s="5"/>
      <c r="M953" s="5"/>
      <c r="N953" s="5"/>
      <c r="O953" s="5"/>
      <c r="P953" s="5"/>
      <c r="Q953" s="5"/>
      <c r="R953" s="5"/>
      <c r="S953" s="5"/>
    </row>
    <row r="954" spans="1:19">
      <c r="A954" s="5"/>
      <c r="B954" s="5"/>
      <c r="C954" s="5"/>
      <c r="D954" s="5"/>
      <c r="E954" s="5"/>
      <c r="F954" s="5"/>
      <c r="G954" s="5"/>
      <c r="H954" s="5"/>
      <c r="I954" s="5"/>
      <c r="J954" s="5"/>
      <c r="K954" s="5"/>
      <c r="L954" s="5"/>
      <c r="M954" s="5"/>
      <c r="N954" s="5"/>
      <c r="O954" s="5"/>
      <c r="P954" s="5"/>
      <c r="Q954" s="5"/>
      <c r="R954" s="5"/>
      <c r="S954" s="5"/>
    </row>
    <row r="955" spans="1:19">
      <c r="A955" s="5"/>
      <c r="B955" s="5"/>
      <c r="C955" s="5"/>
      <c r="D955" s="5"/>
      <c r="E955" s="5"/>
      <c r="F955" s="5"/>
      <c r="G955" s="5"/>
      <c r="H955" s="5"/>
      <c r="I955" s="5"/>
      <c r="J955" s="5"/>
      <c r="K955" s="5"/>
      <c r="L955" s="5"/>
      <c r="M955" s="5"/>
      <c r="N955" s="5"/>
      <c r="O955" s="5"/>
      <c r="P955" s="5"/>
      <c r="Q955" s="5"/>
      <c r="R955" s="5"/>
      <c r="S955" s="5"/>
    </row>
    <row r="956" spans="1:19">
      <c r="A956" s="5"/>
      <c r="B956" s="5"/>
      <c r="C956" s="5"/>
      <c r="D956" s="5"/>
      <c r="E956" s="5"/>
      <c r="F956" s="5"/>
      <c r="G956" s="5"/>
      <c r="H956" s="5"/>
      <c r="I956" s="5"/>
      <c r="J956" s="5"/>
      <c r="K956" s="5"/>
      <c r="L956" s="5"/>
      <c r="M956" s="5"/>
      <c r="N956" s="5"/>
      <c r="O956" s="5"/>
      <c r="P956" s="5"/>
      <c r="Q956" s="5"/>
      <c r="R956" s="5"/>
      <c r="S956" s="5"/>
    </row>
    <row r="957" spans="1:19">
      <c r="A957" s="5"/>
      <c r="B957" s="5"/>
      <c r="C957" s="5"/>
      <c r="D957" s="5"/>
      <c r="E957" s="5"/>
      <c r="F957" s="5"/>
      <c r="G957" s="5"/>
      <c r="H957" s="5"/>
      <c r="I957" s="5"/>
      <c r="J957" s="5"/>
      <c r="K957" s="5"/>
      <c r="L957" s="5"/>
      <c r="M957" s="5"/>
      <c r="N957" s="5"/>
      <c r="O957" s="5"/>
      <c r="P957" s="5"/>
      <c r="Q957" s="5"/>
      <c r="R957" s="5"/>
      <c r="S957" s="5"/>
    </row>
    <row r="958" spans="1:19">
      <c r="A958" s="5"/>
      <c r="B958" s="5"/>
      <c r="C958" s="5"/>
      <c r="D958" s="5"/>
      <c r="E958" s="5"/>
      <c r="F958" s="5"/>
      <c r="G958" s="5"/>
      <c r="H958" s="5"/>
      <c r="I958" s="5"/>
      <c r="J958" s="5"/>
      <c r="K958" s="5"/>
      <c r="L958" s="5"/>
      <c r="M958" s="5"/>
      <c r="N958" s="5"/>
      <c r="O958" s="5"/>
      <c r="P958" s="5"/>
      <c r="Q958" s="5"/>
      <c r="R958" s="5"/>
      <c r="S958" s="5"/>
    </row>
    <row r="959" spans="1:19">
      <c r="A959" s="5"/>
      <c r="B959" s="5"/>
      <c r="C959" s="5"/>
      <c r="D959" s="5"/>
      <c r="E959" s="5"/>
      <c r="F959" s="5"/>
      <c r="G959" s="5"/>
      <c r="H959" s="5"/>
      <c r="I959" s="5"/>
      <c r="J959" s="5"/>
      <c r="K959" s="5"/>
      <c r="L959" s="5"/>
      <c r="M959" s="5"/>
      <c r="N959" s="5"/>
      <c r="O959" s="5"/>
      <c r="P959" s="5"/>
      <c r="Q959" s="5"/>
      <c r="R959" s="5"/>
      <c r="S959" s="5"/>
    </row>
    <row r="960" spans="1:19">
      <c r="A960" s="5"/>
      <c r="B960" s="5"/>
      <c r="C960" s="5"/>
      <c r="D960" s="5"/>
      <c r="E960" s="5"/>
      <c r="F960" s="5"/>
      <c r="G960" s="5"/>
      <c r="H960" s="5"/>
      <c r="I960" s="5"/>
      <c r="J960" s="5"/>
      <c r="K960" s="5"/>
      <c r="L960" s="5"/>
      <c r="M960" s="5"/>
      <c r="N960" s="5"/>
      <c r="O960" s="5"/>
      <c r="P960" s="5"/>
      <c r="Q960" s="5"/>
      <c r="R960" s="5"/>
      <c r="S960" s="5"/>
    </row>
    <row r="961" spans="1:19">
      <c r="A961" s="5"/>
      <c r="B961" s="5"/>
      <c r="C961" s="5"/>
      <c r="D961" s="5"/>
      <c r="E961" s="5"/>
      <c r="F961" s="5"/>
      <c r="G961" s="5"/>
      <c r="H961" s="5"/>
      <c r="I961" s="5"/>
      <c r="J961" s="5"/>
      <c r="K961" s="5"/>
      <c r="L961" s="5"/>
      <c r="M961" s="5"/>
      <c r="N961" s="5"/>
      <c r="O961" s="5"/>
      <c r="P961" s="5"/>
      <c r="Q961" s="5"/>
      <c r="R961" s="5"/>
      <c r="S961" s="5"/>
    </row>
    <row r="962" spans="1:19">
      <c r="A962" s="5"/>
      <c r="B962" s="5"/>
      <c r="C962" s="5"/>
      <c r="D962" s="5"/>
      <c r="E962" s="5"/>
      <c r="F962" s="5"/>
      <c r="G962" s="5"/>
      <c r="H962" s="5"/>
      <c r="I962" s="5"/>
      <c r="J962" s="5"/>
      <c r="K962" s="5"/>
      <c r="L962" s="5"/>
      <c r="M962" s="5"/>
      <c r="N962" s="5"/>
      <c r="O962" s="5"/>
      <c r="P962" s="5"/>
      <c r="Q962" s="5"/>
      <c r="R962" s="5"/>
      <c r="S962" s="5"/>
    </row>
    <row r="963" spans="1:19">
      <c r="A963" s="5"/>
      <c r="B963" s="5"/>
      <c r="C963" s="5"/>
      <c r="D963" s="5"/>
      <c r="E963" s="5"/>
      <c r="F963" s="5"/>
      <c r="G963" s="5"/>
      <c r="H963" s="5"/>
      <c r="I963" s="5"/>
      <c r="J963" s="5"/>
      <c r="K963" s="5"/>
      <c r="L963" s="5"/>
      <c r="M963" s="5"/>
      <c r="N963" s="5"/>
      <c r="O963" s="5"/>
      <c r="P963" s="5"/>
      <c r="Q963" s="5"/>
      <c r="R963" s="5"/>
      <c r="S963" s="5"/>
    </row>
    <row r="964" spans="1:19">
      <c r="A964" s="5"/>
      <c r="B964" s="5"/>
      <c r="C964" s="5"/>
      <c r="D964" s="5"/>
      <c r="E964" s="5"/>
      <c r="F964" s="5"/>
      <c r="G964" s="5"/>
      <c r="H964" s="5"/>
      <c r="I964" s="5"/>
      <c r="J964" s="5"/>
      <c r="K964" s="5"/>
      <c r="L964" s="5"/>
      <c r="M964" s="5"/>
      <c r="N964" s="5"/>
      <c r="O964" s="5"/>
      <c r="P964" s="5"/>
      <c r="Q964" s="5"/>
      <c r="R964" s="5"/>
      <c r="S964" s="5"/>
    </row>
    <row r="965" spans="1:19">
      <c r="A965" s="5"/>
      <c r="B965" s="5"/>
      <c r="C965" s="5"/>
      <c r="D965" s="5"/>
      <c r="E965" s="5"/>
      <c r="F965" s="5"/>
      <c r="G965" s="5"/>
      <c r="H965" s="5"/>
      <c r="I965" s="5"/>
      <c r="J965" s="5"/>
      <c r="K965" s="5"/>
      <c r="L965" s="5"/>
      <c r="M965" s="5"/>
      <c r="N965" s="5"/>
      <c r="O965" s="5"/>
      <c r="P965" s="5"/>
      <c r="Q965" s="5"/>
      <c r="R965" s="5"/>
      <c r="S965" s="5"/>
    </row>
    <row r="966" spans="1:19">
      <c r="A966" s="5"/>
      <c r="B966" s="5"/>
      <c r="C966" s="5"/>
      <c r="D966" s="5"/>
      <c r="E966" s="5"/>
      <c r="F966" s="5"/>
      <c r="G966" s="5"/>
      <c r="H966" s="5"/>
      <c r="I966" s="5"/>
      <c r="J966" s="5"/>
      <c r="K966" s="5"/>
      <c r="L966" s="5"/>
      <c r="M966" s="5"/>
      <c r="N966" s="5"/>
      <c r="O966" s="5"/>
      <c r="P966" s="5"/>
      <c r="Q966" s="5"/>
      <c r="R966" s="5"/>
      <c r="S966" s="5"/>
    </row>
    <row r="967" spans="1:19">
      <c r="A967" s="5"/>
      <c r="B967" s="5"/>
      <c r="C967" s="5"/>
      <c r="D967" s="5"/>
      <c r="E967" s="5"/>
      <c r="F967" s="5"/>
      <c r="G967" s="5"/>
      <c r="H967" s="5"/>
      <c r="I967" s="5"/>
      <c r="J967" s="5"/>
      <c r="K967" s="5"/>
      <c r="L967" s="5"/>
      <c r="M967" s="5"/>
      <c r="N967" s="5"/>
      <c r="O967" s="5"/>
      <c r="P967" s="5"/>
      <c r="Q967" s="5"/>
      <c r="R967" s="5"/>
      <c r="S967" s="5"/>
    </row>
    <row r="968" spans="1:19">
      <c r="A968" s="5"/>
      <c r="B968" s="5"/>
      <c r="C968" s="5"/>
      <c r="D968" s="5"/>
      <c r="E968" s="5"/>
      <c r="F968" s="5"/>
      <c r="G968" s="5"/>
      <c r="H968" s="5"/>
      <c r="I968" s="5"/>
      <c r="J968" s="5"/>
      <c r="K968" s="5"/>
      <c r="L968" s="5"/>
      <c r="M968" s="5"/>
      <c r="N968" s="5"/>
      <c r="O968" s="5"/>
      <c r="P968" s="5"/>
      <c r="Q968" s="5"/>
      <c r="R968" s="5"/>
      <c r="S968" s="5"/>
    </row>
    <row r="969" spans="1:19">
      <c r="A969" s="5"/>
      <c r="B969" s="5"/>
      <c r="C969" s="5"/>
      <c r="D969" s="5"/>
      <c r="E969" s="5"/>
      <c r="F969" s="5"/>
      <c r="G969" s="5"/>
      <c r="H969" s="5"/>
      <c r="I969" s="5"/>
      <c r="J969" s="5"/>
      <c r="K969" s="5"/>
      <c r="L969" s="5"/>
      <c r="M969" s="5"/>
      <c r="N969" s="5"/>
      <c r="O969" s="5"/>
      <c r="P969" s="5"/>
      <c r="Q969" s="5"/>
      <c r="R969" s="5"/>
      <c r="S969" s="5"/>
    </row>
    <row r="970" spans="1:19">
      <c r="A970" s="5"/>
      <c r="B970" s="5"/>
      <c r="C970" s="5"/>
      <c r="D970" s="5"/>
      <c r="E970" s="5"/>
      <c r="F970" s="5"/>
      <c r="G970" s="5"/>
      <c r="H970" s="5"/>
      <c r="I970" s="5"/>
      <c r="J970" s="5"/>
      <c r="K970" s="5"/>
      <c r="L970" s="5"/>
      <c r="M970" s="5"/>
      <c r="N970" s="5"/>
      <c r="O970" s="5"/>
      <c r="P970" s="5"/>
      <c r="Q970" s="5"/>
      <c r="R970" s="5"/>
      <c r="S970" s="5"/>
    </row>
    <row r="971" spans="1:19">
      <c r="A971" s="5"/>
      <c r="B971" s="5"/>
      <c r="C971" s="5"/>
      <c r="D971" s="5"/>
      <c r="E971" s="5"/>
      <c r="F971" s="5"/>
      <c r="G971" s="5"/>
      <c r="H971" s="5"/>
      <c r="I971" s="5"/>
      <c r="J971" s="5"/>
      <c r="K971" s="5"/>
      <c r="L971" s="5"/>
      <c r="M971" s="5"/>
      <c r="N971" s="5"/>
      <c r="O971" s="5"/>
      <c r="P971" s="5"/>
      <c r="Q971" s="5"/>
      <c r="R971" s="5"/>
      <c r="S971" s="5"/>
    </row>
    <row r="972" spans="1:19">
      <c r="A972" s="5"/>
      <c r="B972" s="5"/>
      <c r="C972" s="5"/>
      <c r="D972" s="5"/>
      <c r="E972" s="5"/>
      <c r="F972" s="5"/>
      <c r="G972" s="5"/>
      <c r="H972" s="5"/>
      <c r="I972" s="5"/>
      <c r="J972" s="5"/>
      <c r="K972" s="5"/>
      <c r="L972" s="5"/>
      <c r="M972" s="5"/>
      <c r="N972" s="5"/>
      <c r="O972" s="5"/>
      <c r="P972" s="5"/>
      <c r="Q972" s="5"/>
      <c r="R972" s="5"/>
      <c r="S972" s="5"/>
    </row>
    <row r="973" spans="1:19">
      <c r="A973" s="5"/>
      <c r="B973" s="5"/>
      <c r="C973" s="5"/>
      <c r="D973" s="5"/>
      <c r="E973" s="5"/>
      <c r="F973" s="5"/>
      <c r="G973" s="5"/>
      <c r="H973" s="5"/>
      <c r="I973" s="5"/>
      <c r="J973" s="5"/>
      <c r="K973" s="5"/>
      <c r="L973" s="5"/>
      <c r="M973" s="5"/>
      <c r="N973" s="5"/>
      <c r="O973" s="5"/>
      <c r="P973" s="5"/>
      <c r="Q973" s="5"/>
      <c r="R973" s="5"/>
      <c r="S973" s="5"/>
    </row>
    <row r="974" spans="1:19">
      <c r="A974" s="5"/>
      <c r="B974" s="5"/>
      <c r="C974" s="5"/>
      <c r="D974" s="5"/>
      <c r="E974" s="5"/>
      <c r="F974" s="5"/>
      <c r="G974" s="5"/>
      <c r="H974" s="5"/>
      <c r="I974" s="5"/>
      <c r="J974" s="5"/>
      <c r="K974" s="5"/>
      <c r="L974" s="5"/>
      <c r="M974" s="5"/>
      <c r="N974" s="5"/>
      <c r="O974" s="5"/>
      <c r="P974" s="5"/>
      <c r="Q974" s="5"/>
      <c r="R974" s="5"/>
      <c r="S974" s="5"/>
    </row>
    <row r="975" spans="1:19">
      <c r="A975" s="5"/>
      <c r="B975" s="5"/>
      <c r="C975" s="5"/>
      <c r="D975" s="5"/>
      <c r="E975" s="5"/>
      <c r="F975" s="5"/>
      <c r="G975" s="5"/>
      <c r="H975" s="5"/>
      <c r="I975" s="5"/>
      <c r="J975" s="5"/>
      <c r="K975" s="5"/>
      <c r="L975" s="5"/>
      <c r="M975" s="5"/>
      <c r="N975" s="5"/>
      <c r="O975" s="5"/>
      <c r="P975" s="5"/>
      <c r="Q975" s="5"/>
      <c r="R975" s="5"/>
      <c r="S975" s="5"/>
    </row>
    <row r="976" spans="1:19">
      <c r="A976" s="5"/>
      <c r="B976" s="5"/>
      <c r="C976" s="5"/>
      <c r="D976" s="5"/>
      <c r="E976" s="5"/>
      <c r="F976" s="5"/>
      <c r="G976" s="5"/>
      <c r="H976" s="5"/>
      <c r="I976" s="5"/>
      <c r="J976" s="5"/>
      <c r="K976" s="5"/>
      <c r="L976" s="5"/>
      <c r="M976" s="5"/>
      <c r="N976" s="5"/>
      <c r="O976" s="5"/>
      <c r="P976" s="5"/>
      <c r="Q976" s="5"/>
      <c r="R976" s="5"/>
      <c r="S976" s="5"/>
    </row>
    <row r="977" spans="1:19">
      <c r="A977" s="5"/>
      <c r="B977" s="5"/>
      <c r="C977" s="5"/>
      <c r="D977" s="5"/>
      <c r="E977" s="5"/>
      <c r="F977" s="5"/>
      <c r="G977" s="5"/>
      <c r="H977" s="5"/>
      <c r="I977" s="5"/>
      <c r="J977" s="5"/>
      <c r="K977" s="5"/>
      <c r="L977" s="5"/>
      <c r="M977" s="5"/>
      <c r="N977" s="5"/>
      <c r="O977" s="5"/>
      <c r="P977" s="5"/>
      <c r="Q977" s="5"/>
      <c r="R977" s="5"/>
      <c r="S977" s="5"/>
    </row>
    <row r="978" spans="1:19">
      <c r="A978" s="5"/>
      <c r="B978" s="5"/>
      <c r="C978" s="5"/>
      <c r="D978" s="5"/>
      <c r="E978" s="5"/>
      <c r="F978" s="5"/>
      <c r="G978" s="5"/>
      <c r="H978" s="5"/>
      <c r="I978" s="5"/>
      <c r="J978" s="5"/>
      <c r="K978" s="5"/>
      <c r="L978" s="5"/>
      <c r="M978" s="5"/>
      <c r="N978" s="5"/>
      <c r="O978" s="5"/>
      <c r="P978" s="5"/>
      <c r="Q978" s="5"/>
      <c r="R978" s="5"/>
      <c r="S978" s="5"/>
    </row>
    <row r="979" spans="1:19">
      <c r="A979" s="5"/>
      <c r="B979" s="5"/>
      <c r="C979" s="5"/>
      <c r="D979" s="5"/>
      <c r="E979" s="5"/>
      <c r="F979" s="5"/>
      <c r="G979" s="5"/>
      <c r="H979" s="5"/>
      <c r="I979" s="5"/>
      <c r="J979" s="5"/>
      <c r="K979" s="5"/>
      <c r="L979" s="5"/>
      <c r="M979" s="5"/>
      <c r="N979" s="5"/>
      <c r="O979" s="5"/>
      <c r="P979" s="5"/>
      <c r="Q979" s="5"/>
      <c r="R979" s="5"/>
      <c r="S979" s="5"/>
    </row>
    <row r="980" spans="1:19">
      <c r="A980" s="5"/>
      <c r="B980" s="5"/>
      <c r="C980" s="5"/>
      <c r="D980" s="5"/>
      <c r="E980" s="5"/>
      <c r="F980" s="5"/>
      <c r="G980" s="5"/>
      <c r="H980" s="5"/>
      <c r="I980" s="5"/>
      <c r="J980" s="5"/>
      <c r="K980" s="5"/>
      <c r="L980" s="5"/>
      <c r="M980" s="5"/>
      <c r="N980" s="5"/>
      <c r="O980" s="5"/>
      <c r="P980" s="5"/>
      <c r="Q980" s="5"/>
      <c r="R980" s="5"/>
      <c r="S980" s="5"/>
    </row>
    <row r="981" spans="1:19">
      <c r="A981" s="5"/>
      <c r="B981" s="5"/>
      <c r="C981" s="5"/>
      <c r="D981" s="5"/>
      <c r="E981" s="5"/>
      <c r="F981" s="5"/>
      <c r="G981" s="5"/>
      <c r="H981" s="5"/>
      <c r="I981" s="5"/>
      <c r="J981" s="5"/>
      <c r="K981" s="5"/>
      <c r="L981" s="5"/>
      <c r="M981" s="5"/>
      <c r="N981" s="5"/>
      <c r="O981" s="5"/>
      <c r="P981" s="5"/>
      <c r="Q981" s="5"/>
      <c r="R981" s="5"/>
      <c r="S981" s="5"/>
    </row>
    <row r="982" spans="1:19">
      <c r="A982" s="5"/>
      <c r="B982" s="5"/>
      <c r="C982" s="5"/>
      <c r="D982" s="5"/>
      <c r="E982" s="5"/>
      <c r="F982" s="5"/>
      <c r="G982" s="5"/>
      <c r="H982" s="5"/>
      <c r="I982" s="5"/>
      <c r="J982" s="5"/>
      <c r="K982" s="5"/>
      <c r="L982" s="5"/>
      <c r="M982" s="5"/>
      <c r="N982" s="5"/>
      <c r="O982" s="5"/>
      <c r="P982" s="5"/>
      <c r="Q982" s="5"/>
      <c r="R982" s="5"/>
      <c r="S982" s="5"/>
    </row>
    <row r="983" spans="1:19">
      <c r="A983" s="5"/>
      <c r="B983" s="5"/>
      <c r="C983" s="5"/>
      <c r="D983" s="5"/>
      <c r="E983" s="5"/>
      <c r="F983" s="5"/>
      <c r="G983" s="5"/>
      <c r="H983" s="5"/>
      <c r="I983" s="5"/>
      <c r="J983" s="5"/>
      <c r="K983" s="5"/>
      <c r="L983" s="5"/>
      <c r="M983" s="5"/>
      <c r="N983" s="5"/>
      <c r="O983" s="5"/>
      <c r="P983" s="5"/>
      <c r="Q983" s="5"/>
      <c r="R983" s="5"/>
      <c r="S983" s="5"/>
    </row>
    <row r="984" spans="1:19">
      <c r="A984" s="5"/>
      <c r="B984" s="5"/>
      <c r="C984" s="5"/>
      <c r="D984" s="5"/>
      <c r="E984" s="5"/>
      <c r="F984" s="5"/>
      <c r="G984" s="5"/>
      <c r="H984" s="5"/>
      <c r="I984" s="5"/>
      <c r="J984" s="5"/>
      <c r="K984" s="5"/>
      <c r="L984" s="5"/>
      <c r="M984" s="5"/>
      <c r="N984" s="5"/>
      <c r="O984" s="5"/>
      <c r="P984" s="5"/>
      <c r="Q984" s="5"/>
      <c r="R984" s="5"/>
      <c r="S984" s="5"/>
    </row>
    <row r="985" spans="1:19">
      <c r="A985" s="5"/>
      <c r="B985" s="5"/>
      <c r="C985" s="5"/>
      <c r="D985" s="5"/>
      <c r="E985" s="5"/>
      <c r="F985" s="5"/>
      <c r="G985" s="5"/>
      <c r="H985" s="5"/>
      <c r="I985" s="5"/>
      <c r="J985" s="5"/>
      <c r="K985" s="5"/>
      <c r="L985" s="5"/>
      <c r="M985" s="5"/>
      <c r="N985" s="5"/>
      <c r="O985" s="5"/>
      <c r="P985" s="5"/>
      <c r="Q985" s="5"/>
      <c r="R985" s="5"/>
      <c r="S985" s="5"/>
    </row>
    <row r="986" spans="1:19">
      <c r="A986" s="5"/>
      <c r="B986" s="5"/>
      <c r="C986" s="5"/>
      <c r="D986" s="5"/>
      <c r="E986" s="5"/>
      <c r="F986" s="5"/>
      <c r="G986" s="5"/>
      <c r="H986" s="5"/>
      <c r="I986" s="5"/>
      <c r="J986" s="5"/>
      <c r="K986" s="5"/>
      <c r="L986" s="5"/>
      <c r="M986" s="5"/>
      <c r="N986" s="5"/>
      <c r="O986" s="5"/>
      <c r="P986" s="5"/>
      <c r="Q986" s="5"/>
      <c r="R986" s="5"/>
      <c r="S986" s="5"/>
    </row>
    <row r="987" spans="1:19">
      <c r="A987" s="5"/>
      <c r="B987" s="5"/>
      <c r="C987" s="5"/>
      <c r="D987" s="5"/>
      <c r="E987" s="5"/>
      <c r="F987" s="5"/>
      <c r="G987" s="5"/>
      <c r="H987" s="5"/>
      <c r="I987" s="5"/>
      <c r="J987" s="5"/>
      <c r="K987" s="5"/>
      <c r="L987" s="5"/>
      <c r="M987" s="5"/>
      <c r="N987" s="5"/>
      <c r="O987" s="5"/>
      <c r="P987" s="5"/>
      <c r="Q987" s="5"/>
      <c r="R987" s="5"/>
      <c r="S987" s="5"/>
    </row>
    <row r="988" spans="1:19">
      <c r="A988" s="5"/>
      <c r="B988" s="5"/>
      <c r="C988" s="5"/>
      <c r="D988" s="5"/>
      <c r="E988" s="5"/>
      <c r="F988" s="5"/>
      <c r="G988" s="5"/>
      <c r="H988" s="5"/>
      <c r="I988" s="5"/>
      <c r="J988" s="5"/>
      <c r="K988" s="5"/>
      <c r="L988" s="5"/>
      <c r="M988" s="5"/>
      <c r="N988" s="5"/>
      <c r="O988" s="5"/>
      <c r="P988" s="5"/>
      <c r="Q988" s="5"/>
      <c r="R988" s="5"/>
      <c r="S988" s="5"/>
    </row>
    <row r="989" spans="1:19">
      <c r="A989" s="5"/>
      <c r="B989" s="5"/>
      <c r="C989" s="5"/>
      <c r="D989" s="5"/>
      <c r="E989" s="5"/>
      <c r="F989" s="5"/>
      <c r="G989" s="5"/>
      <c r="H989" s="5"/>
      <c r="I989" s="5"/>
      <c r="J989" s="5"/>
      <c r="K989" s="5"/>
      <c r="L989" s="5"/>
      <c r="M989" s="5"/>
      <c r="N989" s="5"/>
      <c r="O989" s="5"/>
      <c r="P989" s="5"/>
      <c r="Q989" s="5"/>
      <c r="R989" s="5"/>
      <c r="S989" s="5"/>
    </row>
    <row r="990" spans="1:19">
      <c r="A990" s="5"/>
      <c r="B990" s="5"/>
      <c r="C990" s="5"/>
      <c r="D990" s="5"/>
      <c r="E990" s="5"/>
      <c r="F990" s="5"/>
      <c r="G990" s="5"/>
      <c r="H990" s="5"/>
      <c r="I990" s="5"/>
      <c r="J990" s="5"/>
      <c r="K990" s="5"/>
      <c r="L990" s="5"/>
      <c r="M990" s="5"/>
      <c r="N990" s="5"/>
      <c r="O990" s="5"/>
      <c r="P990" s="5"/>
      <c r="Q990" s="5"/>
      <c r="R990" s="5"/>
      <c r="S990" s="5"/>
    </row>
    <row r="991" spans="1:19">
      <c r="A991" s="5"/>
      <c r="B991" s="5"/>
      <c r="C991" s="5"/>
      <c r="D991" s="5"/>
      <c r="E991" s="5"/>
      <c r="F991" s="5"/>
      <c r="G991" s="5"/>
      <c r="H991" s="5"/>
      <c r="I991" s="5"/>
      <c r="J991" s="5"/>
      <c r="K991" s="5"/>
      <c r="L991" s="5"/>
      <c r="M991" s="5"/>
      <c r="N991" s="5"/>
      <c r="O991" s="5"/>
      <c r="P991" s="5"/>
      <c r="Q991" s="5"/>
      <c r="R991" s="5"/>
      <c r="S991" s="5"/>
    </row>
    <row r="992" spans="1:19">
      <c r="A992" s="5"/>
      <c r="B992" s="5"/>
      <c r="C992" s="5"/>
      <c r="D992" s="5"/>
      <c r="E992" s="5"/>
      <c r="F992" s="5"/>
      <c r="G992" s="5"/>
      <c r="H992" s="5"/>
      <c r="I992" s="5"/>
      <c r="J992" s="5"/>
      <c r="K992" s="5"/>
      <c r="L992" s="5"/>
      <c r="M992" s="5"/>
      <c r="N992" s="5"/>
      <c r="O992" s="5"/>
      <c r="P992" s="5"/>
      <c r="Q992" s="5"/>
      <c r="R992" s="5"/>
      <c r="S992" s="5"/>
    </row>
    <row r="993" spans="1:19">
      <c r="A993" s="5"/>
      <c r="B993" s="5"/>
      <c r="C993" s="5"/>
      <c r="D993" s="5"/>
      <c r="E993" s="5"/>
      <c r="F993" s="5"/>
      <c r="G993" s="5"/>
      <c r="H993" s="5"/>
      <c r="I993" s="5"/>
      <c r="J993" s="5"/>
      <c r="K993" s="5"/>
      <c r="L993" s="5"/>
      <c r="M993" s="5"/>
      <c r="N993" s="5"/>
      <c r="O993" s="5"/>
      <c r="P993" s="5"/>
      <c r="Q993" s="5"/>
      <c r="R993" s="5"/>
      <c r="S993" s="5"/>
    </row>
    <row r="994" spans="1:19">
      <c r="A994" s="5"/>
      <c r="B994" s="5"/>
      <c r="C994" s="5"/>
      <c r="D994" s="5"/>
      <c r="E994" s="5"/>
      <c r="F994" s="5"/>
      <c r="G994" s="5"/>
      <c r="H994" s="5"/>
      <c r="I994" s="5"/>
      <c r="J994" s="5"/>
      <c r="K994" s="5"/>
      <c r="L994" s="5"/>
      <c r="M994" s="5"/>
      <c r="N994" s="5"/>
      <c r="O994" s="5"/>
      <c r="P994" s="5"/>
      <c r="Q994" s="5"/>
      <c r="R994" s="5"/>
      <c r="S994" s="5"/>
    </row>
    <row r="995" spans="1:19">
      <c r="A995" s="5"/>
      <c r="B995" s="5"/>
      <c r="C995" s="5"/>
      <c r="D995" s="5"/>
      <c r="E995" s="5"/>
      <c r="F995" s="5"/>
      <c r="G995" s="5"/>
      <c r="H995" s="5"/>
      <c r="I995" s="5"/>
      <c r="J995" s="5"/>
      <c r="K995" s="5"/>
      <c r="L995" s="5"/>
      <c r="M995" s="5"/>
      <c r="N995" s="5"/>
      <c r="O995" s="5"/>
      <c r="P995" s="5"/>
      <c r="Q995" s="5"/>
      <c r="R995" s="5"/>
      <c r="S995" s="5"/>
    </row>
    <row r="996" spans="1:19">
      <c r="A996" s="5"/>
      <c r="B996" s="5"/>
      <c r="C996" s="5"/>
      <c r="D996" s="5"/>
      <c r="E996" s="5"/>
      <c r="F996" s="5"/>
      <c r="G996" s="5"/>
      <c r="H996" s="5"/>
      <c r="I996" s="5"/>
      <c r="J996" s="5"/>
      <c r="K996" s="5"/>
      <c r="L996" s="5"/>
      <c r="M996" s="5"/>
      <c r="N996" s="5"/>
      <c r="O996" s="5"/>
      <c r="P996" s="5"/>
      <c r="Q996" s="5"/>
      <c r="R996" s="5"/>
      <c r="S996" s="5"/>
    </row>
    <row r="997" spans="1:19">
      <c r="A997" s="5"/>
      <c r="B997" s="5"/>
      <c r="C997" s="5"/>
      <c r="D997" s="5"/>
      <c r="E997" s="5"/>
      <c r="F997" s="5"/>
      <c r="G997" s="5"/>
      <c r="H997" s="5"/>
      <c r="I997" s="5"/>
      <c r="J997" s="5"/>
      <c r="K997" s="5"/>
      <c r="L997" s="5"/>
      <c r="M997" s="5"/>
      <c r="N997" s="5"/>
      <c r="O997" s="5"/>
      <c r="P997" s="5"/>
      <c r="Q997" s="5"/>
      <c r="R997" s="5"/>
      <c r="S997" s="5"/>
    </row>
    <row r="998" spans="1:19">
      <c r="A998" s="5"/>
      <c r="B998" s="5"/>
      <c r="C998" s="5"/>
      <c r="D998" s="5"/>
      <c r="E998" s="5"/>
      <c r="F998" s="5"/>
      <c r="G998" s="5"/>
      <c r="H998" s="5"/>
      <c r="I998" s="5"/>
      <c r="J998" s="5"/>
      <c r="K998" s="5"/>
      <c r="L998" s="5"/>
      <c r="M998" s="5"/>
      <c r="N998" s="5"/>
      <c r="O998" s="5"/>
      <c r="P998" s="5"/>
      <c r="Q998" s="5"/>
      <c r="R998" s="5"/>
      <c r="S998" s="5"/>
    </row>
    <row r="999" spans="1:19">
      <c r="A999" s="5"/>
      <c r="B999" s="5"/>
      <c r="C999" s="5"/>
      <c r="D999" s="5"/>
      <c r="E999" s="5"/>
      <c r="F999" s="5"/>
      <c r="G999" s="5"/>
      <c r="H999" s="5"/>
      <c r="I999" s="5"/>
      <c r="J999" s="5"/>
      <c r="K999" s="5"/>
      <c r="L999" s="5"/>
      <c r="M999" s="5"/>
      <c r="N999" s="5"/>
      <c r="O999" s="5"/>
      <c r="P999" s="5"/>
      <c r="Q999" s="5"/>
      <c r="R999" s="5"/>
      <c r="S999" s="5"/>
    </row>
    <row r="1000" spans="1:19">
      <c r="A1000" s="5"/>
      <c r="B1000" s="5"/>
      <c r="C1000" s="5"/>
      <c r="D1000" s="5"/>
      <c r="E1000" s="5"/>
      <c r="F1000" s="5"/>
      <c r="G1000" s="5"/>
      <c r="H1000" s="5"/>
      <c r="I1000" s="5"/>
      <c r="J1000" s="5"/>
      <c r="K1000" s="5"/>
      <c r="L1000" s="5"/>
      <c r="M1000" s="5"/>
      <c r="N1000" s="5"/>
      <c r="O1000" s="5"/>
      <c r="P1000" s="5"/>
      <c r="Q1000" s="5"/>
      <c r="R1000" s="5"/>
      <c r="S1000" s="5"/>
    </row>
    <row r="1001" spans="1:19">
      <c r="A1001" s="5"/>
      <c r="B1001" s="5"/>
      <c r="C1001" s="5"/>
      <c r="D1001" s="5"/>
      <c r="E1001" s="5"/>
      <c r="F1001" s="5"/>
      <c r="G1001" s="5"/>
      <c r="H1001" s="5"/>
      <c r="I1001" s="5"/>
      <c r="J1001" s="5"/>
      <c r="K1001" s="5"/>
      <c r="L1001" s="5"/>
      <c r="M1001" s="5"/>
      <c r="N1001" s="5"/>
      <c r="O1001" s="5"/>
      <c r="P1001" s="5"/>
      <c r="Q1001" s="5"/>
      <c r="R1001" s="5"/>
      <c r="S1001" s="5"/>
    </row>
    <row r="1002" spans="1:19">
      <c r="A1002" s="27" t="s">
        <v>90</v>
      </c>
      <c r="B1002" s="27" t="s">
        <v>90</v>
      </c>
      <c r="C1002" s="27" t="s">
        <v>90</v>
      </c>
      <c r="D1002" s="28"/>
      <c r="E1002" s="28"/>
      <c r="F1002" s="28"/>
      <c r="G1002" s="28"/>
      <c r="H1002" s="28"/>
      <c r="I1002" s="28"/>
      <c r="J1002" s="28"/>
      <c r="K1002" s="28"/>
      <c r="L1002" s="28"/>
      <c r="M1002" s="28"/>
      <c r="N1002" s="28"/>
      <c r="O1002" s="28"/>
      <c r="P1002" s="28"/>
      <c r="Q1002" s="28"/>
      <c r="R1002" s="28"/>
      <c r="S1002" s="28"/>
    </row>
  </sheetData>
  <mergeCells count="13">
    <mergeCell ref="M4:N4"/>
    <mergeCell ref="S4:V4"/>
    <mergeCell ref="C5:C6"/>
    <mergeCell ref="J5:J6"/>
    <mergeCell ref="S14:V14"/>
    <mergeCell ref="L25:Q31"/>
    <mergeCell ref="C32:F34"/>
    <mergeCell ref="M5:P5"/>
    <mergeCell ref="M6:P6"/>
    <mergeCell ref="M7:N8"/>
    <mergeCell ref="O7:O8"/>
    <mergeCell ref="P7:P8"/>
    <mergeCell ref="M9:N9"/>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4"/>
  </sheetPr>
  <dimension ref="A1:AK1002"/>
  <sheetViews>
    <sheetView workbookViewId="0">
      <selection activeCell="A2" sqref="A2"/>
    </sheetView>
  </sheetViews>
  <sheetFormatPr baseColWidth="10" defaultColWidth="11" defaultRowHeight="16"/>
  <cols>
    <col min="1" max="2" width="14.33203125" style="162" customWidth="1"/>
    <col min="3" max="3" width="2.6640625" customWidth="1"/>
    <col min="4" max="4" width="3.33203125" customWidth="1"/>
    <col min="5" max="5" width="5.33203125" customWidth="1"/>
    <col min="6" max="10" width="14" customWidth="1"/>
    <col min="11" max="11" width="15.83203125" customWidth="1"/>
    <col min="12" max="13" width="5" customWidth="1"/>
    <col min="14" max="17" width="16" customWidth="1"/>
    <col min="19" max="22" width="12.5" customWidth="1"/>
    <col min="24" max="25" width="11" style="162"/>
    <col min="26" max="26" width="66.6640625" style="120" customWidth="1"/>
    <col min="27" max="28" width="10.83203125" style="120"/>
    <col min="29" max="29" width="10.83203125" style="111"/>
    <col min="30" max="31" width="27.6640625" style="111" customWidth="1"/>
    <col min="32" max="32" width="14.1640625" style="111" customWidth="1"/>
    <col min="33" max="33" width="35.6640625" customWidth="1"/>
    <col min="35" max="35" width="25.6640625" customWidth="1"/>
  </cols>
  <sheetData>
    <row r="1" spans="1:37" ht="35">
      <c r="A1" s="158" t="s">
        <v>132</v>
      </c>
      <c r="B1" s="158" t="s">
        <v>188</v>
      </c>
      <c r="C1" s="2"/>
      <c r="D1" s="2"/>
      <c r="E1" s="2"/>
      <c r="F1" s="3" t="s">
        <v>121</v>
      </c>
      <c r="G1" s="2"/>
      <c r="H1" s="2"/>
      <c r="I1" s="2"/>
      <c r="J1" s="2"/>
      <c r="K1" s="2"/>
      <c r="L1" s="2"/>
      <c r="M1" s="2"/>
      <c r="N1" s="2"/>
      <c r="O1" s="2"/>
      <c r="P1" s="2"/>
      <c r="Q1" s="2"/>
      <c r="R1" s="2"/>
      <c r="S1" s="2"/>
      <c r="T1" s="2"/>
      <c r="U1" s="2"/>
      <c r="V1" s="2"/>
      <c r="W1" s="2"/>
      <c r="X1" s="163" t="s">
        <v>122</v>
      </c>
      <c r="Y1" s="163" t="s">
        <v>123</v>
      </c>
      <c r="Z1" s="155" t="s">
        <v>124</v>
      </c>
      <c r="AC1" s="123" t="s">
        <v>125</v>
      </c>
      <c r="AD1" s="123" t="s">
        <v>126</v>
      </c>
      <c r="AE1" s="123" t="s">
        <v>197</v>
      </c>
      <c r="AG1" s="136" t="s">
        <v>166</v>
      </c>
      <c r="AH1" s="130"/>
      <c r="AI1" s="130"/>
      <c r="AJ1" s="130"/>
    </row>
    <row r="2" spans="1:37" ht="17" thickBot="1">
      <c r="A2" s="159">
        <v>4.34</v>
      </c>
      <c r="B2" s="160">
        <v>50</v>
      </c>
      <c r="C2" s="5"/>
      <c r="D2" s="7"/>
      <c r="E2" s="7"/>
      <c r="F2" s="7"/>
      <c r="G2" s="7"/>
      <c r="H2" s="7"/>
      <c r="I2" s="7"/>
      <c r="J2" s="7"/>
      <c r="K2" s="7"/>
      <c r="L2" s="7"/>
      <c r="M2" s="7"/>
      <c r="N2" s="7"/>
      <c r="O2" s="7"/>
      <c r="P2" s="7"/>
      <c r="Q2" s="7"/>
      <c r="R2" s="7"/>
      <c r="S2" s="6"/>
      <c r="T2" s="6"/>
      <c r="U2" s="6"/>
      <c r="V2" s="7"/>
      <c r="W2" s="7"/>
      <c r="X2" s="164">
        <f t="shared" ref="X2:X65" si="0">IF(AB2=1, A2,NA())</f>
        <v>4.34</v>
      </c>
      <c r="Y2" s="164">
        <f t="shared" ref="Y2:Y65" si="1">IF(AB2=1,B2-($H$7+$I$7*X2),NA())</f>
        <v>-20.022254703791333</v>
      </c>
      <c r="AA2" s="120">
        <f>AVERAGE(A:A)</f>
        <v>4.3384615384615381</v>
      </c>
      <c r="AB2" s="156">
        <f>IF(ISBLANK(A2),0,1)</f>
        <v>1</v>
      </c>
      <c r="AC2" s="121">
        <f>IF(ISBLANK(A2), "", Y2^2)</f>
        <v>400.89068342349418</v>
      </c>
      <c r="AD2" s="121">
        <f>SUM(AC2:AC1001)</f>
        <v>1796.6360255679608</v>
      </c>
      <c r="AE2" s="121">
        <f>IF(AB2=1,(A2-$AA$2)^2, "")</f>
        <v>2.3668639053259734E-6</v>
      </c>
      <c r="AI2" s="130"/>
      <c r="AJ2" s="130"/>
    </row>
    <row r="3" spans="1:37" ht="17" customHeight="1">
      <c r="A3" s="159">
        <v>4.7300000000000004</v>
      </c>
      <c r="B3" s="160">
        <v>83.3</v>
      </c>
      <c r="C3" s="5"/>
      <c r="D3" s="7"/>
      <c r="E3" s="7"/>
      <c r="F3" s="7"/>
      <c r="G3" s="6"/>
      <c r="H3" s="7"/>
      <c r="I3" s="7"/>
      <c r="J3" s="7"/>
      <c r="K3" s="7"/>
      <c r="L3" s="7"/>
      <c r="M3" s="7"/>
      <c r="N3" s="7"/>
      <c r="O3" s="7"/>
      <c r="P3" s="6"/>
      <c r="Q3" s="6"/>
      <c r="R3" s="7"/>
      <c r="S3" s="65"/>
      <c r="T3" s="65"/>
      <c r="U3" s="65"/>
      <c r="V3" s="6"/>
      <c r="W3" s="7"/>
      <c r="X3" s="164">
        <f t="shared" si="0"/>
        <v>4.7300000000000004</v>
      </c>
      <c r="Y3" s="164">
        <f t="shared" si="1"/>
        <v>7.6361778851081681</v>
      </c>
      <c r="AB3" s="156">
        <f t="shared" ref="AB3:AB66" si="2">IF(ISBLANK(A3),0,1)</f>
        <v>1</v>
      </c>
      <c r="AC3" s="121">
        <f t="shared" ref="AC3:AC65" si="3">IF(ISBLANK(A3), "", Y3^2)</f>
        <v>58.311212693015058</v>
      </c>
      <c r="AD3" s="123" t="s">
        <v>195</v>
      </c>
      <c r="AE3" s="121">
        <f t="shared" ref="AE3:AE66" si="4">IF(AB3=1,(A3-$AA$2)^2, "")</f>
        <v>0.15330236686390591</v>
      </c>
      <c r="AF3" s="111">
        <f>IFERROR(Y2, "")</f>
        <v>-20.022254703791333</v>
      </c>
      <c r="AG3" s="131" t="s">
        <v>155</v>
      </c>
      <c r="AH3" s="130" t="s">
        <v>198</v>
      </c>
      <c r="AI3" s="130"/>
      <c r="AJ3" s="130"/>
    </row>
    <row r="4" spans="1:37" ht="17" thickBot="1">
      <c r="A4" s="159">
        <v>5.28</v>
      </c>
      <c r="B4" s="160">
        <v>76.7</v>
      </c>
      <c r="C4" s="5"/>
      <c r="D4" s="7"/>
      <c r="E4" s="7"/>
      <c r="F4" s="8" t="s">
        <v>2</v>
      </c>
      <c r="G4" s="9"/>
      <c r="H4" s="9"/>
      <c r="I4" s="9"/>
      <c r="J4" s="9"/>
      <c r="K4" s="10"/>
      <c r="L4" s="7"/>
      <c r="M4" s="7"/>
      <c r="N4" s="168" t="s">
        <v>127</v>
      </c>
      <c r="O4" s="169"/>
      <c r="P4" s="169"/>
      <c r="Q4" s="112"/>
      <c r="R4" s="7"/>
      <c r="S4" s="251" t="s">
        <v>139</v>
      </c>
      <c r="T4" s="252"/>
      <c r="U4" s="252"/>
      <c r="V4" s="253"/>
      <c r="W4" s="7"/>
      <c r="X4" s="164">
        <f t="shared" si="0"/>
        <v>5.28</v>
      </c>
      <c r="Y4" s="164">
        <f t="shared" si="1"/>
        <v>-6.9198787202899581</v>
      </c>
      <c r="AB4" s="156">
        <f t="shared" si="2"/>
        <v>1</v>
      </c>
      <c r="AC4" s="121">
        <f t="shared" si="3"/>
        <v>47.884721503521789</v>
      </c>
      <c r="AD4" s="111">
        <f>SUM(AE:AE)</f>
        <v>15.009169230769231</v>
      </c>
      <c r="AE4" s="121">
        <f t="shared" si="4"/>
        <v>0.88649467455621411</v>
      </c>
      <c r="AF4" s="111">
        <f t="shared" ref="AF4:AF67" si="5">IFERROR(Y3, "")</f>
        <v>7.6361778851081681</v>
      </c>
      <c r="AG4" s="131" t="s">
        <v>149</v>
      </c>
      <c r="AH4" s="130">
        <f ca="1">MIN(INDIRECT(CONCATENATE(AH3,":",AH3)))</f>
        <v>-20.022254703791333</v>
      </c>
      <c r="AI4" s="130"/>
      <c r="AJ4" s="130"/>
    </row>
    <row r="5" spans="1:37">
      <c r="A5" s="159">
        <v>3.85</v>
      </c>
      <c r="B5" s="160">
        <v>50</v>
      </c>
      <c r="C5" s="5"/>
      <c r="D5" s="7"/>
      <c r="E5" s="7"/>
      <c r="F5" s="176" t="s">
        <v>4</v>
      </c>
      <c r="G5" s="176" t="s">
        <v>128</v>
      </c>
      <c r="H5" s="176" t="s">
        <v>134</v>
      </c>
      <c r="I5" s="176" t="s">
        <v>135</v>
      </c>
      <c r="J5" s="256" t="s">
        <v>136</v>
      </c>
      <c r="K5" s="256" t="s">
        <v>137</v>
      </c>
      <c r="L5" s="7"/>
      <c r="M5" s="7"/>
      <c r="N5" s="11" t="s">
        <v>36</v>
      </c>
      <c r="O5" s="35" t="s">
        <v>138</v>
      </c>
      <c r="P5" s="11" t="s">
        <v>9</v>
      </c>
      <c r="Q5" s="113">
        <v>0</v>
      </c>
      <c r="R5" s="7"/>
      <c r="S5" s="6"/>
      <c r="T5" s="6"/>
      <c r="U5" s="6"/>
      <c r="V5" s="6"/>
      <c r="W5" s="7"/>
      <c r="X5" s="164">
        <f t="shared" si="0"/>
        <v>3.85</v>
      </c>
      <c r="Y5" s="164">
        <f t="shared" si="1"/>
        <v>-12.934131546254811</v>
      </c>
      <c r="AB5" s="156">
        <f t="shared" si="2"/>
        <v>1</v>
      </c>
      <c r="AC5" s="121">
        <f t="shared" si="3"/>
        <v>167.29175885582387</v>
      </c>
      <c r="AD5" s="123" t="s">
        <v>196</v>
      </c>
      <c r="AE5" s="121">
        <f t="shared" si="4"/>
        <v>0.23859467455621261</v>
      </c>
      <c r="AF5" s="111">
        <f t="shared" si="5"/>
        <v>-6.9198787202899581</v>
      </c>
      <c r="AG5" s="131" t="s">
        <v>150</v>
      </c>
      <c r="AH5" s="130">
        <f ca="1">MAX(INDIRECT(CONCATENATE(AH3,":",AH3)))</f>
        <v>16.883682179918729</v>
      </c>
      <c r="AI5" s="130"/>
      <c r="AJ5" s="130"/>
    </row>
    <row r="6" spans="1:37" ht="17" thickBot="1">
      <c r="A6" s="159">
        <v>5.4</v>
      </c>
      <c r="B6" s="160">
        <v>76.7</v>
      </c>
      <c r="C6" s="5"/>
      <c r="D6" s="7"/>
      <c r="E6" s="7"/>
      <c r="F6" s="177"/>
      <c r="G6" s="177"/>
      <c r="H6" s="177"/>
      <c r="I6" s="183"/>
      <c r="J6" s="177"/>
      <c r="K6" s="177"/>
      <c r="L6" s="7"/>
      <c r="M6" s="7"/>
      <c r="N6" s="80" t="s">
        <v>37</v>
      </c>
      <c r="O6" s="38" t="s">
        <v>138</v>
      </c>
      <c r="P6" s="11" t="s">
        <v>10</v>
      </c>
      <c r="Q6" s="114">
        <v>0</v>
      </c>
      <c r="R6" s="7"/>
      <c r="S6" s="7"/>
      <c r="T6" s="7"/>
      <c r="U6" s="7"/>
      <c r="V6" s="7"/>
      <c r="W6" s="7"/>
      <c r="X6" s="164">
        <f t="shared" si="0"/>
        <v>5.4</v>
      </c>
      <c r="Y6" s="164">
        <f t="shared" si="1"/>
        <v>-8.655745616013192</v>
      </c>
      <c r="AB6" s="156">
        <f t="shared" si="2"/>
        <v>1</v>
      </c>
      <c r="AC6" s="121">
        <f t="shared" si="3"/>
        <v>74.921932169131594</v>
      </c>
      <c r="AD6" s="111">
        <f>SQRT((AD2/P9)/AD4)</f>
        <v>3.2987954138884175</v>
      </c>
      <c r="AE6" s="121">
        <f t="shared" si="4"/>
        <v>1.1268639053254452</v>
      </c>
      <c r="AF6" s="111">
        <f t="shared" si="5"/>
        <v>-12.934131546254811</v>
      </c>
      <c r="AG6" s="131" t="s">
        <v>151</v>
      </c>
      <c r="AH6" s="132">
        <f ca="1">(AH5-AH4)/AH7</f>
        <v>7.3811873767420124</v>
      </c>
      <c r="AI6" s="130"/>
      <c r="AJ6" s="130"/>
    </row>
    <row r="7" spans="1:37">
      <c r="A7" s="159">
        <v>4.03</v>
      </c>
      <c r="B7" s="160">
        <v>73.3</v>
      </c>
      <c r="C7" s="5"/>
      <c r="D7" s="115"/>
      <c r="E7" s="115"/>
      <c r="F7" s="16">
        <f>SUM(AB:AB)</f>
        <v>13</v>
      </c>
      <c r="G7" s="11">
        <f>CORREL(A:A,B:B)</f>
        <v>0.79756664765801977</v>
      </c>
      <c r="H7" s="11">
        <f>INTERCEPT(B:B,A:A)</f>
        <v>7.2417353084678524</v>
      </c>
      <c r="I7" s="11">
        <f>SLOPE(B:B,A:A)</f>
        <v>14.465557464360248</v>
      </c>
      <c r="J7" s="11">
        <f>_xlfn.STDEV.S(A:A)</f>
        <v>1.1183756535994971</v>
      </c>
      <c r="K7" s="11">
        <f>_xlfn.STDEV.S(B:B)</f>
        <v>20.28410707918886</v>
      </c>
      <c r="L7" s="7"/>
      <c r="M7" s="7"/>
      <c r="N7" s="176" t="s">
        <v>129</v>
      </c>
      <c r="O7" s="176" t="s">
        <v>130</v>
      </c>
      <c r="P7" s="176" t="s">
        <v>60</v>
      </c>
      <c r="Q7" s="176" t="s">
        <v>14</v>
      </c>
      <c r="R7" s="7"/>
      <c r="S7" s="7"/>
      <c r="T7" s="7"/>
      <c r="U7" s="7"/>
      <c r="V7" s="7"/>
      <c r="W7" s="7"/>
      <c r="X7" s="164">
        <f t="shared" si="0"/>
        <v>4.03</v>
      </c>
      <c r="Y7" s="164">
        <f t="shared" si="1"/>
        <v>7.7620681101603424</v>
      </c>
      <c r="AB7" s="156">
        <f t="shared" si="2"/>
        <v>1</v>
      </c>
      <c r="AC7" s="121">
        <f t="shared" si="3"/>
        <v>60.249701346768148</v>
      </c>
      <c r="AE7" s="121">
        <f t="shared" si="4"/>
        <v>9.5148520710058818E-2</v>
      </c>
      <c r="AF7" s="111">
        <f t="shared" si="5"/>
        <v>-8.655745616013192</v>
      </c>
      <c r="AG7" s="131" t="s">
        <v>154</v>
      </c>
      <c r="AH7" s="132">
        <f>T32</f>
        <v>5</v>
      </c>
      <c r="AI7" s="130"/>
      <c r="AJ7" s="130"/>
    </row>
    <row r="8" spans="1:37">
      <c r="A8" s="159">
        <v>5.3</v>
      </c>
      <c r="B8" s="160">
        <v>100</v>
      </c>
      <c r="C8" s="5"/>
      <c r="D8" s="7"/>
      <c r="E8" s="7"/>
      <c r="F8" s="7"/>
      <c r="G8" s="7"/>
      <c r="H8" s="7"/>
      <c r="I8" s="7"/>
      <c r="J8" s="7"/>
      <c r="K8" s="7"/>
      <c r="L8" s="7"/>
      <c r="M8" s="7"/>
      <c r="N8" s="177"/>
      <c r="O8" s="177"/>
      <c r="P8" s="177"/>
      <c r="Q8" s="177"/>
      <c r="R8" s="7"/>
      <c r="S8" s="7"/>
      <c r="T8" s="7"/>
      <c r="U8" s="7"/>
      <c r="V8" s="7"/>
      <c r="W8" s="7"/>
      <c r="X8" s="164">
        <f t="shared" si="0"/>
        <v>5.3</v>
      </c>
      <c r="Y8" s="164">
        <f t="shared" si="1"/>
        <v>16.090810130422838</v>
      </c>
      <c r="AB8" s="156">
        <f t="shared" si="2"/>
        <v>1</v>
      </c>
      <c r="AC8" s="121">
        <f t="shared" si="3"/>
        <v>258.91417065331825</v>
      </c>
      <c r="AE8" s="121">
        <f t="shared" si="4"/>
        <v>0.9245562130177517</v>
      </c>
      <c r="AF8" s="111">
        <f t="shared" si="5"/>
        <v>7.7620681101603424</v>
      </c>
      <c r="AG8" s="130"/>
      <c r="AH8" s="133"/>
      <c r="AI8" s="133"/>
      <c r="AJ8" s="133" t="s">
        <v>147</v>
      </c>
      <c r="AK8" s="130" t="s">
        <v>148</v>
      </c>
    </row>
    <row r="9" spans="1:37" ht="17" thickBot="1">
      <c r="A9" s="159">
        <v>5.93</v>
      </c>
      <c r="B9" s="160">
        <v>96.7</v>
      </c>
      <c r="C9" s="5"/>
      <c r="D9" s="7"/>
      <c r="E9" s="7"/>
      <c r="F9" s="8" t="s">
        <v>15</v>
      </c>
      <c r="G9" s="87"/>
      <c r="H9" s="88"/>
      <c r="I9" s="89"/>
      <c r="J9" s="7"/>
      <c r="K9" s="7"/>
      <c r="L9" s="7"/>
      <c r="M9" s="7"/>
      <c r="N9" s="11">
        <f>I7</f>
        <v>14.465557464360248</v>
      </c>
      <c r="O9" s="11">
        <f>N9/SQRT((AD2/(F7-2))/(J7^2*(F7-1)))</f>
        <v>4.3851029389267691</v>
      </c>
      <c r="P9" s="11">
        <f>F7-2</f>
        <v>11</v>
      </c>
      <c r="Q9" s="11">
        <f>TDIST(ABS(P9),F7-2,2)</f>
        <v>2.8300281340979165E-7</v>
      </c>
      <c r="R9" s="7"/>
      <c r="S9" s="7"/>
      <c r="T9" s="7"/>
      <c r="U9" s="7"/>
      <c r="V9" s="7"/>
      <c r="W9" s="7"/>
      <c r="X9" s="164">
        <f t="shared" si="0"/>
        <v>5.93</v>
      </c>
      <c r="Y9" s="164">
        <f t="shared" si="1"/>
        <v>3.677508927875877</v>
      </c>
      <c r="AB9" s="156">
        <f t="shared" si="2"/>
        <v>1</v>
      </c>
      <c r="AC9" s="121">
        <f t="shared" si="3"/>
        <v>13.524071914606782</v>
      </c>
      <c r="AE9" s="121">
        <f t="shared" si="4"/>
        <v>2.5329946745562131</v>
      </c>
      <c r="AF9" s="111">
        <f t="shared" si="5"/>
        <v>16.090810130422838</v>
      </c>
      <c r="AG9" s="130"/>
      <c r="AH9" s="134" t="s">
        <v>146</v>
      </c>
      <c r="AI9" s="134" t="s">
        <v>145</v>
      </c>
      <c r="AJ9" s="133">
        <f ca="1">AJ10</f>
        <v>-20.022254703791333</v>
      </c>
      <c r="AK9" s="130">
        <v>0</v>
      </c>
    </row>
    <row r="10" spans="1:37">
      <c r="A10" s="159">
        <v>3.89</v>
      </c>
      <c r="B10" s="160">
        <v>50</v>
      </c>
      <c r="C10" s="5"/>
      <c r="D10" s="7"/>
      <c r="E10" s="7"/>
      <c r="F10" s="7"/>
      <c r="G10" s="7"/>
      <c r="H10" s="7"/>
      <c r="I10" s="7"/>
      <c r="J10" s="7"/>
      <c r="K10" s="7"/>
      <c r="L10" s="7"/>
      <c r="M10" s="7"/>
      <c r="N10" s="23"/>
      <c r="O10" s="24"/>
      <c r="P10" s="116"/>
      <c r="Q10" s="24"/>
      <c r="R10" s="7"/>
      <c r="S10" s="7"/>
      <c r="T10" s="7"/>
      <c r="U10" s="7"/>
      <c r="V10" s="7"/>
      <c r="W10" s="7"/>
      <c r="X10" s="164">
        <f t="shared" si="0"/>
        <v>3.89</v>
      </c>
      <c r="Y10" s="164">
        <f t="shared" si="1"/>
        <v>-13.51275384482922</v>
      </c>
      <c r="AB10" s="156">
        <f t="shared" si="2"/>
        <v>1</v>
      </c>
      <c r="AC10" s="121">
        <f t="shared" si="3"/>
        <v>182.59451647094687</v>
      </c>
      <c r="AE10" s="121">
        <f t="shared" si="4"/>
        <v>0.20111775147928954</v>
      </c>
      <c r="AF10" s="111">
        <f t="shared" si="5"/>
        <v>3.677508927875877</v>
      </c>
      <c r="AG10" s="130" t="s">
        <v>142</v>
      </c>
      <c r="AH10" s="134">
        <v>1</v>
      </c>
      <c r="AI10" s="134">
        <f ca="1">COUNTIF(INDIRECT(CONCATENATE($AH$3,":",$AH$3)),"&lt;="&amp;AJ11)</f>
        <v>3</v>
      </c>
      <c r="AJ10" s="133">
        <f ca="1">AH4</f>
        <v>-20.022254703791333</v>
      </c>
      <c r="AK10" s="130">
        <f ca="1">AI10</f>
        <v>3</v>
      </c>
    </row>
    <row r="11" spans="1:37">
      <c r="A11" s="159">
        <v>2.48</v>
      </c>
      <c r="B11" s="160">
        <v>60</v>
      </c>
      <c r="C11" s="5"/>
      <c r="D11" s="7"/>
      <c r="E11" s="7"/>
      <c r="F11" s="7"/>
      <c r="G11" s="7"/>
      <c r="H11" s="7"/>
      <c r="I11" s="7"/>
      <c r="J11" s="7"/>
      <c r="K11" s="7"/>
      <c r="L11" s="7"/>
      <c r="M11" s="7"/>
      <c r="N11" s="7"/>
      <c r="O11" s="7"/>
      <c r="P11" s="7"/>
      <c r="Q11" s="7"/>
      <c r="R11" s="7"/>
      <c r="S11" s="117"/>
      <c r="T11" s="117"/>
      <c r="U11" s="117"/>
      <c r="V11" s="117"/>
      <c r="W11" s="7"/>
      <c r="X11" s="164">
        <f t="shared" si="0"/>
        <v>2.48</v>
      </c>
      <c r="Y11" s="164">
        <f t="shared" si="1"/>
        <v>16.883682179918729</v>
      </c>
      <c r="AB11" s="156">
        <f t="shared" si="2"/>
        <v>1</v>
      </c>
      <c r="AC11" s="121">
        <f t="shared" si="3"/>
        <v>285.05872395250526</v>
      </c>
      <c r="AE11" s="121">
        <f t="shared" si="4"/>
        <v>3.4538792899408275</v>
      </c>
      <c r="AF11" s="111">
        <f t="shared" si="5"/>
        <v>-13.51275384482922</v>
      </c>
      <c r="AG11" s="130"/>
      <c r="AH11" s="134"/>
      <c r="AI11" s="134"/>
      <c r="AJ11" s="135">
        <f ca="1">AJ10+$AH$6</f>
        <v>-12.641067327049321</v>
      </c>
      <c r="AK11" s="130">
        <f ca="1">AK10</f>
        <v>3</v>
      </c>
    </row>
    <row r="12" spans="1:37" ht="17" thickBot="1">
      <c r="A12" s="159">
        <v>3.53</v>
      </c>
      <c r="B12" s="160">
        <v>70</v>
      </c>
      <c r="C12" s="5"/>
      <c r="D12" s="7"/>
      <c r="E12" s="7"/>
      <c r="F12" s="7"/>
      <c r="G12" s="7"/>
      <c r="H12" s="7"/>
      <c r="I12" s="7"/>
      <c r="J12" s="7"/>
      <c r="K12" s="7"/>
      <c r="L12" s="7"/>
      <c r="M12" s="7"/>
      <c r="N12" s="21">
        <v>0.95</v>
      </c>
      <c r="O12" s="9" t="s">
        <v>189</v>
      </c>
      <c r="P12" s="24"/>
      <c r="Q12" s="10"/>
      <c r="R12" s="7"/>
      <c r="S12" s="7"/>
      <c r="T12" s="7"/>
      <c r="U12" s="7"/>
      <c r="V12" s="7"/>
      <c r="W12" s="7"/>
      <c r="X12" s="164">
        <f t="shared" si="0"/>
        <v>3.53</v>
      </c>
      <c r="Y12" s="164">
        <f t="shared" si="1"/>
        <v>11.694846842340475</v>
      </c>
      <c r="AB12" s="156">
        <f t="shared" si="2"/>
        <v>1</v>
      </c>
      <c r="AC12" s="121">
        <f t="shared" si="3"/>
        <v>136.76944266580097</v>
      </c>
      <c r="AE12" s="121">
        <f t="shared" si="4"/>
        <v>0.65361005917159742</v>
      </c>
      <c r="AF12" s="111">
        <f t="shared" si="5"/>
        <v>16.883682179918729</v>
      </c>
      <c r="AG12" s="130"/>
      <c r="AH12" s="134"/>
      <c r="AI12" s="134"/>
      <c r="AJ12" s="133">
        <f ca="1">IF(AH10&gt;$AH$7,"",AJ11)</f>
        <v>-12.641067327049321</v>
      </c>
      <c r="AK12" s="130">
        <f>IF(AH10&gt;$AH$7,"",0)</f>
        <v>0</v>
      </c>
    </row>
    <row r="13" spans="1:37">
      <c r="A13" s="159">
        <v>5.27</v>
      </c>
      <c r="B13" s="160">
        <v>90</v>
      </c>
      <c r="C13" s="5"/>
      <c r="D13" s="7"/>
      <c r="E13" s="7"/>
      <c r="F13" s="7"/>
      <c r="G13" s="7"/>
      <c r="H13" s="7"/>
      <c r="I13" s="7"/>
      <c r="J13" s="7"/>
      <c r="K13" s="7"/>
      <c r="L13" s="7"/>
      <c r="M13" s="7"/>
      <c r="N13" s="176" t="s">
        <v>129</v>
      </c>
      <c r="O13" s="176" t="s">
        <v>87</v>
      </c>
      <c r="P13" s="249" t="s">
        <v>16</v>
      </c>
      <c r="Q13" s="250"/>
      <c r="R13" s="7"/>
      <c r="S13" s="6"/>
      <c r="T13" s="6"/>
      <c r="U13" s="6"/>
      <c r="V13" s="6"/>
      <c r="W13" s="7"/>
      <c r="X13" s="164">
        <f t="shared" si="0"/>
        <v>5.27</v>
      </c>
      <c r="Y13" s="164">
        <f t="shared" si="1"/>
        <v>6.5247768543536466</v>
      </c>
      <c r="AB13" s="156">
        <f t="shared" si="2"/>
        <v>1</v>
      </c>
      <c r="AC13" s="121">
        <f t="shared" si="3"/>
        <v>42.572712999109065</v>
      </c>
      <c r="AE13" s="121">
        <f t="shared" si="4"/>
        <v>0.86776390532544356</v>
      </c>
      <c r="AF13" s="111">
        <f t="shared" si="5"/>
        <v>11.694846842340475</v>
      </c>
      <c r="AG13" s="130" t="s">
        <v>144</v>
      </c>
      <c r="AH13" s="134">
        <v>2</v>
      </c>
      <c r="AI13" s="134">
        <f ca="1">COUNTIF(INDIRECT(CONCATENATE($AH$3,":",$AH$3)),"&lt;="&amp;AJ14)</f>
        <v>6</v>
      </c>
      <c r="AJ13" s="133">
        <f ca="1">IF(AH13&gt;$AH$7,AJ12,AJ11)</f>
        <v>-12.641067327049321</v>
      </c>
      <c r="AK13" s="130">
        <f ca="1">IF(AH13&gt;$AH$7,AK12,AK14)</f>
        <v>3</v>
      </c>
    </row>
    <row r="14" spans="1:37">
      <c r="A14" s="159">
        <v>2.37</v>
      </c>
      <c r="B14" s="160">
        <v>33.299999999999997</v>
      </c>
      <c r="C14" s="5"/>
      <c r="D14" s="7"/>
      <c r="E14" s="7"/>
      <c r="F14" s="7"/>
      <c r="G14" s="7"/>
      <c r="H14" s="7"/>
      <c r="I14" s="7"/>
      <c r="J14" s="7"/>
      <c r="K14" s="7"/>
      <c r="L14" s="7"/>
      <c r="M14" s="7"/>
      <c r="N14" s="177"/>
      <c r="O14" s="177"/>
      <c r="P14" s="58" t="s">
        <v>19</v>
      </c>
      <c r="Q14" s="58" t="s">
        <v>20</v>
      </c>
      <c r="R14" s="7"/>
      <c r="S14" s="6"/>
      <c r="T14" s="6"/>
      <c r="U14" s="6"/>
      <c r="V14" s="6"/>
      <c r="W14" s="7"/>
      <c r="X14" s="164">
        <f t="shared" si="0"/>
        <v>2.37</v>
      </c>
      <c r="Y14" s="164">
        <f t="shared" si="1"/>
        <v>-8.2251064990016474</v>
      </c>
      <c r="AB14" s="156">
        <f t="shared" si="2"/>
        <v>1</v>
      </c>
      <c r="AC14" s="121">
        <f t="shared" si="3"/>
        <v>67.652376919919135</v>
      </c>
      <c r="AE14" s="121">
        <f t="shared" si="4"/>
        <v>3.8748408284023652</v>
      </c>
      <c r="AF14" s="111">
        <f t="shared" si="5"/>
        <v>6.5247768543536466</v>
      </c>
      <c r="AG14" s="130"/>
      <c r="AH14" s="134"/>
      <c r="AI14" s="134"/>
      <c r="AJ14" s="133">
        <f ca="1">IF(AH13&gt;$AH$7,AJ13,AJ13+$AH$6)</f>
        <v>-5.2598799503073081</v>
      </c>
      <c r="AK14" s="130">
        <f ca="1">IF(AH13&gt;$AH$7,AK13,AI13-AI10)</f>
        <v>3</v>
      </c>
    </row>
    <row r="15" spans="1:37" ht="17" thickBot="1">
      <c r="A15" s="159"/>
      <c r="B15" s="160"/>
      <c r="C15" s="5"/>
      <c r="D15" s="7"/>
      <c r="E15" s="7"/>
      <c r="F15" s="7"/>
      <c r="G15" s="7"/>
      <c r="H15" s="7"/>
      <c r="I15" s="7"/>
      <c r="J15" s="257" t="s">
        <v>131</v>
      </c>
      <c r="K15" s="258"/>
      <c r="L15" s="7"/>
      <c r="M15" s="7"/>
      <c r="N15" s="11">
        <f>N9</f>
        <v>14.465557464360248</v>
      </c>
      <c r="O15" s="11">
        <f>AD6*ROUND(_xlfn.T.INV.2T(1-N12,P9),3)</f>
        <v>7.2606487059684071</v>
      </c>
      <c r="P15" s="71">
        <f>N15-O15</f>
        <v>7.2049087583918414</v>
      </c>
      <c r="Q15" s="11">
        <f>N15+O15</f>
        <v>21.726206170328656</v>
      </c>
      <c r="R15" s="7"/>
      <c r="S15" s="119"/>
      <c r="T15" s="119"/>
      <c r="U15" s="119"/>
      <c r="V15" s="119"/>
      <c r="W15" s="7"/>
      <c r="X15" s="164" t="e">
        <f t="shared" si="0"/>
        <v>#N/A</v>
      </c>
      <c r="Y15" s="164" t="e">
        <f t="shared" si="1"/>
        <v>#N/A</v>
      </c>
      <c r="AB15" s="156">
        <f t="shared" si="2"/>
        <v>0</v>
      </c>
      <c r="AC15" s="121" t="str">
        <f t="shared" si="3"/>
        <v/>
      </c>
      <c r="AE15" s="121" t="str">
        <f t="shared" si="4"/>
        <v/>
      </c>
      <c r="AF15" s="111">
        <f t="shared" si="5"/>
        <v>-8.2251064990016474</v>
      </c>
      <c r="AG15" s="130"/>
      <c r="AH15" s="134"/>
      <c r="AI15" s="134"/>
      <c r="AJ15" s="133">
        <f ca="1">IF(AH13&gt;$AH$7,AJ14,AJ14)</f>
        <v>-5.2598799503073081</v>
      </c>
      <c r="AK15" s="130">
        <f>IF(AH13&gt;$AH$7,AK14,0)</f>
        <v>0</v>
      </c>
    </row>
    <row r="16" spans="1:37">
      <c r="A16" s="159"/>
      <c r="B16" s="160"/>
      <c r="C16" s="5"/>
      <c r="D16" s="7"/>
      <c r="E16" s="7"/>
      <c r="F16" s="7"/>
      <c r="G16" s="7"/>
      <c r="H16" s="7"/>
      <c r="I16" s="7"/>
      <c r="J16" s="254" t="s">
        <v>132</v>
      </c>
      <c r="K16" s="172" t="s">
        <v>133</v>
      </c>
      <c r="L16" s="7"/>
      <c r="M16" s="7"/>
      <c r="N16" s="24"/>
      <c r="O16" s="151" t="str">
        <f>"t*=±"&amp;ROUND(_xlfn.T.INV.2T(1-N12,F7-2),3)</f>
        <v>t*=±2.201</v>
      </c>
      <c r="P16" s="24"/>
      <c r="Q16" s="25"/>
      <c r="R16" s="7"/>
      <c r="S16" s="7"/>
      <c r="T16" s="7"/>
      <c r="U16" s="7"/>
      <c r="V16" s="7"/>
      <c r="W16" s="7"/>
      <c r="X16" s="164" t="e">
        <f t="shared" si="0"/>
        <v>#N/A</v>
      </c>
      <c r="Y16" s="164" t="e">
        <f t="shared" si="1"/>
        <v>#N/A</v>
      </c>
      <c r="AB16" s="156">
        <f t="shared" si="2"/>
        <v>0</v>
      </c>
      <c r="AC16" s="121" t="str">
        <f t="shared" si="3"/>
        <v/>
      </c>
      <c r="AE16" s="121" t="str">
        <f t="shared" si="4"/>
        <v/>
      </c>
      <c r="AF16" s="111" t="str">
        <f t="shared" si="5"/>
        <v/>
      </c>
      <c r="AG16" s="130" t="s">
        <v>143</v>
      </c>
      <c r="AH16" s="134">
        <v>3</v>
      </c>
      <c r="AI16" s="134">
        <f ca="1">COUNTIF(INDIRECT(CONCATENATE($AH$3,":",$AH$3)),"&lt;="&amp;AJ17)</f>
        <v>6</v>
      </c>
      <c r="AJ16" s="133">
        <f t="shared" ref="AJ16" ca="1" si="6">IF(AH16&gt;$AH$7,AJ15,AJ14)</f>
        <v>-5.2598799503073081</v>
      </c>
      <c r="AK16" s="130">
        <f ca="1">IF(AH16&gt;$AH$7,AK15,AK17)</f>
        <v>0</v>
      </c>
    </row>
    <row r="17" spans="1:37">
      <c r="A17" s="159"/>
      <c r="B17" s="160"/>
      <c r="C17" s="5"/>
      <c r="D17" s="7"/>
      <c r="E17" s="7"/>
      <c r="F17" s="7"/>
      <c r="G17" s="7"/>
      <c r="H17" s="7"/>
      <c r="I17" s="7"/>
      <c r="J17" s="255"/>
      <c r="K17" s="171"/>
      <c r="L17" s="7"/>
      <c r="M17" s="7"/>
      <c r="N17" s="7"/>
      <c r="O17" s="7"/>
      <c r="P17" s="7"/>
      <c r="Q17" s="7"/>
      <c r="R17" s="7"/>
      <c r="S17" s="7"/>
      <c r="T17" s="7"/>
      <c r="U17" s="7"/>
      <c r="V17" s="7"/>
      <c r="W17" s="7"/>
      <c r="X17" s="164" t="e">
        <f t="shared" si="0"/>
        <v>#N/A</v>
      </c>
      <c r="Y17" s="164" t="e">
        <f t="shared" si="1"/>
        <v>#N/A</v>
      </c>
      <c r="AB17" s="156">
        <f t="shared" si="2"/>
        <v>0</v>
      </c>
      <c r="AC17" s="121" t="str">
        <f t="shared" si="3"/>
        <v/>
      </c>
      <c r="AE17" s="121" t="str">
        <f t="shared" si="4"/>
        <v/>
      </c>
      <c r="AF17" s="111" t="str">
        <f t="shared" si="5"/>
        <v/>
      </c>
      <c r="AG17" s="130"/>
      <c r="AH17" s="134"/>
      <c r="AI17" s="134"/>
      <c r="AJ17" s="133">
        <f t="shared" ref="AJ17" ca="1" si="7">IF(AH16&gt;$AH$7,AJ16,AJ16+$AH$6)</f>
        <v>2.1213074264347043</v>
      </c>
      <c r="AK17" s="130">
        <f t="shared" ref="AK17" ca="1" si="8">IF(AH16&gt;$AH$7,AK16,AI16-AI13)</f>
        <v>0</v>
      </c>
    </row>
    <row r="18" spans="1:37">
      <c r="A18" s="159"/>
      <c r="B18" s="160"/>
      <c r="C18" s="5"/>
      <c r="D18" s="7"/>
      <c r="E18" s="7"/>
      <c r="F18" s="7"/>
      <c r="G18" s="7"/>
      <c r="H18" s="7"/>
      <c r="I18" s="7"/>
      <c r="J18" s="118"/>
      <c r="K18" s="11" t="str">
        <f>IF(ISNUMBER(J18),FORECAST(J18,B:B,A:A),"&lt;-- Type an X-value")</f>
        <v>&lt;-- Type an X-value</v>
      </c>
      <c r="L18" s="7"/>
      <c r="M18" s="7"/>
      <c r="N18" s="7"/>
      <c r="O18" s="7"/>
      <c r="P18" s="7"/>
      <c r="Q18" s="7"/>
      <c r="R18" s="7"/>
      <c r="S18" s="7"/>
      <c r="T18" s="7"/>
      <c r="U18" s="7"/>
      <c r="V18" s="7"/>
      <c r="W18" s="7"/>
      <c r="X18" s="164" t="e">
        <f t="shared" si="0"/>
        <v>#N/A</v>
      </c>
      <c r="Y18" s="164" t="e">
        <f t="shared" si="1"/>
        <v>#N/A</v>
      </c>
      <c r="AB18" s="156">
        <f t="shared" si="2"/>
        <v>0</v>
      </c>
      <c r="AC18" s="121" t="str">
        <f t="shared" si="3"/>
        <v/>
      </c>
      <c r="AE18" s="121" t="str">
        <f t="shared" si="4"/>
        <v/>
      </c>
      <c r="AF18" s="111" t="str">
        <f t="shared" si="5"/>
        <v/>
      </c>
      <c r="AG18" s="130"/>
      <c r="AH18" s="134"/>
      <c r="AI18" s="134"/>
      <c r="AJ18" s="133">
        <f t="shared" ref="AJ18" ca="1" si="9">IF(AH16&gt;$AH$7,AJ17,AJ17)</f>
        <v>2.1213074264347043</v>
      </c>
      <c r="AK18" s="130">
        <f t="shared" ref="AK18" si="10">IF(AH16&gt;$AH$7,AK17,0)</f>
        <v>0</v>
      </c>
    </row>
    <row r="19" spans="1:37">
      <c r="A19" s="159"/>
      <c r="B19" s="160"/>
      <c r="C19" s="5"/>
      <c r="D19" s="7"/>
      <c r="E19" s="7"/>
      <c r="F19" s="7"/>
      <c r="G19" s="7"/>
      <c r="H19" s="7"/>
      <c r="I19" s="7"/>
      <c r="J19" s="7"/>
      <c r="K19" s="7"/>
      <c r="L19" s="7"/>
      <c r="M19" s="7"/>
      <c r="N19" s="7"/>
      <c r="O19" s="7"/>
      <c r="P19" s="7"/>
      <c r="Q19" s="7"/>
      <c r="R19" s="7"/>
      <c r="S19" s="7"/>
      <c r="T19" s="7"/>
      <c r="U19" s="7"/>
      <c r="V19" s="7"/>
      <c r="W19" s="7"/>
      <c r="X19" s="164" t="e">
        <f t="shared" si="0"/>
        <v>#N/A</v>
      </c>
      <c r="Y19" s="164" t="e">
        <f t="shared" si="1"/>
        <v>#N/A</v>
      </c>
      <c r="AB19" s="156">
        <f t="shared" si="2"/>
        <v>0</v>
      </c>
      <c r="AC19" s="121" t="str">
        <f t="shared" si="3"/>
        <v/>
      </c>
      <c r="AE19" s="121" t="str">
        <f t="shared" si="4"/>
        <v/>
      </c>
      <c r="AF19" s="111" t="str">
        <f t="shared" si="5"/>
        <v/>
      </c>
      <c r="AG19" s="130"/>
      <c r="AH19" s="134">
        <v>4</v>
      </c>
      <c r="AI19" s="134">
        <f ca="1">COUNTIF(INDIRECT(CONCATENATE($AH$3,":",$AH$3)),"&lt;="&amp;AJ20)</f>
        <v>10</v>
      </c>
      <c r="AJ19" s="133">
        <f t="shared" ref="AJ19" ca="1" si="11">IF(AH19&gt;$AH$7,AJ18,AJ17)</f>
        <v>2.1213074264347043</v>
      </c>
      <c r="AK19" s="130">
        <f t="shared" ref="AK19" ca="1" si="12">IF(AH19&gt;$AH$7,AK18,AK20)</f>
        <v>4</v>
      </c>
    </row>
    <row r="20" spans="1:37">
      <c r="A20" s="159"/>
      <c r="B20" s="160"/>
      <c r="C20" s="5"/>
      <c r="D20" s="7"/>
      <c r="E20" s="7"/>
      <c r="F20" s="7"/>
      <c r="G20" s="7"/>
      <c r="H20" s="7"/>
      <c r="I20" s="7"/>
      <c r="J20" s="7"/>
      <c r="K20" s="7"/>
      <c r="L20" s="7"/>
      <c r="M20" s="7"/>
      <c r="N20" s="7"/>
      <c r="O20" s="7"/>
      <c r="P20" s="7"/>
      <c r="Q20" s="7"/>
      <c r="R20" s="7"/>
      <c r="S20" s="248" t="s">
        <v>165</v>
      </c>
      <c r="T20" s="248"/>
      <c r="U20" s="248"/>
      <c r="V20" s="248"/>
      <c r="W20" s="7"/>
      <c r="X20" s="164" t="e">
        <f t="shared" si="0"/>
        <v>#N/A</v>
      </c>
      <c r="Y20" s="164" t="e">
        <f t="shared" si="1"/>
        <v>#N/A</v>
      </c>
      <c r="AB20" s="156">
        <f t="shared" si="2"/>
        <v>0</v>
      </c>
      <c r="AC20" s="121" t="str">
        <f t="shared" si="3"/>
        <v/>
      </c>
      <c r="AE20" s="121" t="str">
        <f t="shared" si="4"/>
        <v/>
      </c>
      <c r="AF20" s="111" t="str">
        <f t="shared" si="5"/>
        <v/>
      </c>
      <c r="AG20" s="130"/>
      <c r="AH20" s="134"/>
      <c r="AI20" s="134"/>
      <c r="AJ20" s="133">
        <f t="shared" ref="AJ20" ca="1" si="13">IF(AH19&gt;$AH$7,AJ19,AJ19+$AH$6)</f>
        <v>9.5024948031767167</v>
      </c>
      <c r="AK20" s="130">
        <f t="shared" ref="AK20" ca="1" si="14">IF(AH19&gt;$AH$7,AK19,AI19-AI16)</f>
        <v>4</v>
      </c>
    </row>
    <row r="21" spans="1:37">
      <c r="A21" s="159"/>
      <c r="B21" s="160"/>
      <c r="C21" s="5"/>
      <c r="D21" s="7"/>
      <c r="E21" s="7"/>
      <c r="F21" s="7"/>
      <c r="G21" s="7"/>
      <c r="H21" s="7"/>
      <c r="I21" s="7"/>
      <c r="J21" s="7"/>
      <c r="K21" s="7"/>
      <c r="L21" s="7"/>
      <c r="M21" s="7"/>
      <c r="N21" s="7"/>
      <c r="O21" s="7"/>
      <c r="P21" s="7"/>
      <c r="Q21" s="7"/>
      <c r="R21" s="7"/>
      <c r="S21" s="7"/>
      <c r="T21" s="7"/>
      <c r="U21" s="7"/>
      <c r="V21" s="7"/>
      <c r="W21" s="7"/>
      <c r="X21" s="164" t="e">
        <f t="shared" si="0"/>
        <v>#N/A</v>
      </c>
      <c r="Y21" s="164" t="e">
        <f t="shared" si="1"/>
        <v>#N/A</v>
      </c>
      <c r="AB21" s="156">
        <f t="shared" si="2"/>
        <v>0</v>
      </c>
      <c r="AC21" s="121" t="str">
        <f t="shared" si="3"/>
        <v/>
      </c>
      <c r="AE21" s="121" t="str">
        <f t="shared" si="4"/>
        <v/>
      </c>
      <c r="AF21" s="111" t="str">
        <f t="shared" si="5"/>
        <v/>
      </c>
      <c r="AG21" s="130"/>
      <c r="AH21" s="134"/>
      <c r="AI21" s="134"/>
      <c r="AJ21" s="133">
        <f t="shared" ref="AJ21" ca="1" si="15">IF(AH19&gt;$AH$7,AJ20,AJ20)</f>
        <v>9.5024948031767167</v>
      </c>
      <c r="AK21" s="130">
        <f t="shared" ref="AK21" si="16">IF(AH19&gt;$AH$7,AK20,0)</f>
        <v>0</v>
      </c>
    </row>
    <row r="22" spans="1:37">
      <c r="A22" s="159"/>
      <c r="B22" s="160"/>
      <c r="C22" s="5"/>
      <c r="D22" s="7"/>
      <c r="E22" s="7"/>
      <c r="F22" s="7"/>
      <c r="G22" s="7"/>
      <c r="H22" s="7"/>
      <c r="I22" s="7"/>
      <c r="J22" s="7"/>
      <c r="K22" s="7"/>
      <c r="L22" s="7"/>
      <c r="M22" s="7"/>
      <c r="N22" s="7"/>
      <c r="O22" s="7"/>
      <c r="P22" s="7"/>
      <c r="Q22" s="7"/>
      <c r="R22" s="7"/>
      <c r="S22" s="7"/>
      <c r="T22" s="7"/>
      <c r="U22" s="7"/>
      <c r="V22" s="7"/>
      <c r="W22" s="7"/>
      <c r="X22" s="164" t="e">
        <f t="shared" si="0"/>
        <v>#N/A</v>
      </c>
      <c r="Y22" s="164" t="e">
        <f t="shared" si="1"/>
        <v>#N/A</v>
      </c>
      <c r="AB22" s="156">
        <f t="shared" si="2"/>
        <v>0</v>
      </c>
      <c r="AC22" s="121" t="str">
        <f t="shared" si="3"/>
        <v/>
      </c>
      <c r="AE22" s="121" t="str">
        <f t="shared" si="4"/>
        <v/>
      </c>
      <c r="AF22" s="111" t="str">
        <f t="shared" si="5"/>
        <v/>
      </c>
      <c r="AG22" s="130"/>
      <c r="AH22" s="134">
        <v>5</v>
      </c>
      <c r="AI22" s="134">
        <f ca="1">COUNTIF(INDIRECT(CONCATENATE($AH$3,":",$AH$3)),"&lt;="&amp;AJ23)</f>
        <v>13</v>
      </c>
      <c r="AJ22" s="133">
        <f t="shared" ref="AJ22" ca="1" si="17">IF(AH22&gt;$AH$7,AJ21,AJ20)</f>
        <v>9.5024948031767167</v>
      </c>
      <c r="AK22" s="130">
        <f t="shared" ref="AK22" ca="1" si="18">IF(AH22&gt;$AH$7,AK21,AK23)</f>
        <v>3</v>
      </c>
    </row>
    <row r="23" spans="1:37">
      <c r="A23" s="159"/>
      <c r="B23" s="160"/>
      <c r="C23" s="5"/>
      <c r="D23" s="7"/>
      <c r="E23" s="7"/>
      <c r="F23" s="7"/>
      <c r="G23" s="7"/>
      <c r="H23" s="7"/>
      <c r="I23" s="7"/>
      <c r="J23" s="7"/>
      <c r="K23" s="7"/>
      <c r="L23" s="7"/>
      <c r="M23" s="7"/>
      <c r="N23" s="7"/>
      <c r="O23" s="7"/>
      <c r="P23" s="7"/>
      <c r="Q23" s="7"/>
      <c r="R23" s="7"/>
      <c r="S23" s="7"/>
      <c r="T23" s="7"/>
      <c r="U23" s="7"/>
      <c r="V23" s="7"/>
      <c r="W23" s="7"/>
      <c r="X23" s="164" t="e">
        <f t="shared" si="0"/>
        <v>#N/A</v>
      </c>
      <c r="Y23" s="164" t="e">
        <f t="shared" si="1"/>
        <v>#N/A</v>
      </c>
      <c r="AB23" s="156">
        <f t="shared" si="2"/>
        <v>0</v>
      </c>
      <c r="AC23" s="121" t="str">
        <f t="shared" si="3"/>
        <v/>
      </c>
      <c r="AE23" s="121" t="str">
        <f t="shared" si="4"/>
        <v/>
      </c>
      <c r="AF23" s="111" t="str">
        <f t="shared" si="5"/>
        <v/>
      </c>
      <c r="AG23" s="130"/>
      <c r="AH23" s="134"/>
      <c r="AI23" s="134"/>
      <c r="AJ23" s="133">
        <f t="shared" ref="AJ23" ca="1" si="19">IF(AH22&gt;$AH$7,AJ22,AJ22+$AH$6)</f>
        <v>16.883682179918729</v>
      </c>
      <c r="AK23" s="130">
        <f t="shared" ref="AK23" ca="1" si="20">IF(AH22&gt;$AH$7,AK22,AI22-AI19)</f>
        <v>3</v>
      </c>
    </row>
    <row r="24" spans="1:37">
      <c r="A24" s="159"/>
      <c r="B24" s="160"/>
      <c r="C24" s="5"/>
      <c r="D24" s="7"/>
      <c r="E24" s="7"/>
      <c r="F24" s="7"/>
      <c r="G24" s="7"/>
      <c r="H24" s="7"/>
      <c r="I24" s="7"/>
      <c r="J24" s="7"/>
      <c r="K24" s="7"/>
      <c r="L24" s="7"/>
      <c r="M24" s="7"/>
      <c r="N24" s="7"/>
      <c r="O24" s="7"/>
      <c r="P24" s="7"/>
      <c r="Q24" s="7"/>
      <c r="R24" s="7"/>
      <c r="S24" s="7"/>
      <c r="T24" s="7"/>
      <c r="U24" s="7"/>
      <c r="V24" s="7"/>
      <c r="W24" s="7"/>
      <c r="X24" s="164" t="e">
        <f t="shared" si="0"/>
        <v>#N/A</v>
      </c>
      <c r="Y24" s="164" t="e">
        <f t="shared" si="1"/>
        <v>#N/A</v>
      </c>
      <c r="AB24" s="156">
        <f t="shared" si="2"/>
        <v>0</v>
      </c>
      <c r="AC24" s="121" t="str">
        <f t="shared" si="3"/>
        <v/>
      </c>
      <c r="AE24" s="121" t="str">
        <f t="shared" si="4"/>
        <v/>
      </c>
      <c r="AF24" s="111" t="str">
        <f t="shared" si="5"/>
        <v/>
      </c>
      <c r="AG24" s="130"/>
      <c r="AH24" s="134"/>
      <c r="AI24" s="134"/>
      <c r="AJ24" s="133">
        <f t="shared" ref="AJ24" ca="1" si="21">IF(AH22&gt;$AH$7,AJ23,AJ23)</f>
        <v>16.883682179918729</v>
      </c>
      <c r="AK24" s="130">
        <f t="shared" ref="AK24" si="22">IF(AH22&gt;$AH$7,AK23,0)</f>
        <v>0</v>
      </c>
    </row>
    <row r="25" spans="1:37">
      <c r="A25" s="159"/>
      <c r="B25" s="160"/>
      <c r="C25" s="5"/>
      <c r="D25" s="7"/>
      <c r="E25" s="7"/>
      <c r="F25" s="7"/>
      <c r="G25" s="7"/>
      <c r="H25" s="7"/>
      <c r="I25" s="7"/>
      <c r="J25" s="7"/>
      <c r="K25" s="7"/>
      <c r="L25" s="7"/>
      <c r="M25" s="7"/>
      <c r="N25" s="7"/>
      <c r="O25" s="7"/>
      <c r="P25" s="7"/>
      <c r="Q25" s="7"/>
      <c r="R25" s="7"/>
      <c r="S25" s="7"/>
      <c r="T25" s="7"/>
      <c r="U25" s="7"/>
      <c r="V25" s="7"/>
      <c r="W25" s="7"/>
      <c r="X25" s="164" t="e">
        <f t="shared" si="0"/>
        <v>#N/A</v>
      </c>
      <c r="Y25" s="164" t="e">
        <f t="shared" si="1"/>
        <v>#N/A</v>
      </c>
      <c r="AB25" s="156">
        <f t="shared" si="2"/>
        <v>0</v>
      </c>
      <c r="AC25" s="121" t="str">
        <f t="shared" si="3"/>
        <v/>
      </c>
      <c r="AE25" s="121" t="str">
        <f t="shared" si="4"/>
        <v/>
      </c>
      <c r="AF25" s="111" t="str">
        <f t="shared" si="5"/>
        <v/>
      </c>
      <c r="AG25" s="130"/>
      <c r="AH25" s="134">
        <v>6</v>
      </c>
      <c r="AI25" s="134">
        <f ca="1">COUNTIF(INDIRECT(CONCATENATE($AH$3,":",$AH$3)),"&lt;="&amp;AJ26)</f>
        <v>13</v>
      </c>
      <c r="AJ25" s="133">
        <f t="shared" ref="AJ25" ca="1" si="23">IF(AH25&gt;$AH$7,AJ24,AJ23)</f>
        <v>16.883682179918729</v>
      </c>
      <c r="AK25" s="130">
        <f t="shared" ref="AK25" si="24">IF(AH25&gt;$AH$7,AK24,AK26)</f>
        <v>0</v>
      </c>
    </row>
    <row r="26" spans="1:37">
      <c r="A26" s="159"/>
      <c r="B26" s="160"/>
      <c r="C26" s="5"/>
      <c r="D26" s="7"/>
      <c r="E26" s="7"/>
      <c r="F26" s="73"/>
      <c r="G26" s="74"/>
      <c r="H26" s="90"/>
      <c r="I26" s="75"/>
      <c r="J26" s="7"/>
      <c r="K26" s="7"/>
      <c r="L26" s="7"/>
      <c r="M26" s="7"/>
      <c r="N26" s="7"/>
      <c r="O26" s="7"/>
      <c r="P26" s="7"/>
      <c r="Q26" s="7"/>
      <c r="R26" s="7"/>
      <c r="S26" s="7"/>
      <c r="T26" s="7"/>
      <c r="U26" s="7"/>
      <c r="V26" s="7"/>
      <c r="W26" s="7"/>
      <c r="X26" s="164" t="e">
        <f t="shared" si="0"/>
        <v>#N/A</v>
      </c>
      <c r="Y26" s="164" t="e">
        <f t="shared" si="1"/>
        <v>#N/A</v>
      </c>
      <c r="AB26" s="156">
        <f t="shared" si="2"/>
        <v>0</v>
      </c>
      <c r="AC26" s="121" t="str">
        <f t="shared" si="3"/>
        <v/>
      </c>
      <c r="AE26" s="121" t="str">
        <f t="shared" si="4"/>
        <v/>
      </c>
      <c r="AF26" s="111" t="str">
        <f t="shared" si="5"/>
        <v/>
      </c>
      <c r="AG26" s="130"/>
      <c r="AH26" s="134"/>
      <c r="AI26" s="134"/>
      <c r="AJ26" s="133">
        <f t="shared" ref="AJ26" ca="1" si="25">IF(AH25&gt;$AH$7,AJ25,AJ25+$AH$6)</f>
        <v>16.883682179918729</v>
      </c>
      <c r="AK26" s="130">
        <f t="shared" ref="AK26" si="26">IF(AH25&gt;$AH$7,AK25,AI25-AI22)</f>
        <v>0</v>
      </c>
    </row>
    <row r="27" spans="1:37">
      <c r="A27" s="159"/>
      <c r="B27" s="160"/>
      <c r="C27" s="5"/>
      <c r="D27" s="7"/>
      <c r="E27" s="7"/>
      <c r="F27" s="7"/>
      <c r="G27" s="7"/>
      <c r="H27" s="7"/>
      <c r="I27" s="7"/>
      <c r="J27" s="7"/>
      <c r="K27" s="7"/>
      <c r="L27" s="7"/>
      <c r="M27" s="7"/>
      <c r="N27" s="7"/>
      <c r="O27" s="7"/>
      <c r="P27" s="7"/>
      <c r="Q27" s="7"/>
      <c r="R27" s="7"/>
      <c r="S27" s="7"/>
      <c r="T27" s="7"/>
      <c r="U27" s="7"/>
      <c r="V27" s="7"/>
      <c r="W27" s="7"/>
      <c r="X27" s="164" t="e">
        <f t="shared" si="0"/>
        <v>#N/A</v>
      </c>
      <c r="Y27" s="164" t="e">
        <f t="shared" si="1"/>
        <v>#N/A</v>
      </c>
      <c r="AB27" s="156">
        <f t="shared" si="2"/>
        <v>0</v>
      </c>
      <c r="AC27" s="121" t="str">
        <f t="shared" si="3"/>
        <v/>
      </c>
      <c r="AE27" s="121" t="str">
        <f t="shared" si="4"/>
        <v/>
      </c>
      <c r="AF27" s="111" t="str">
        <f t="shared" si="5"/>
        <v/>
      </c>
      <c r="AG27" s="130"/>
      <c r="AH27" s="134"/>
      <c r="AI27" s="134"/>
      <c r="AJ27" s="133">
        <f t="shared" ref="AJ27" ca="1" si="27">IF(AH25&gt;$AH$7,AJ26,AJ26)</f>
        <v>16.883682179918729</v>
      </c>
      <c r="AK27" s="130">
        <f t="shared" ref="AK27" si="28">IF(AH25&gt;$AH$7,AK26,0)</f>
        <v>0</v>
      </c>
    </row>
    <row r="28" spans="1:37">
      <c r="A28" s="159"/>
      <c r="B28" s="160"/>
      <c r="C28" s="5"/>
      <c r="D28" s="7"/>
      <c r="E28" s="7"/>
      <c r="F28" s="7"/>
      <c r="G28" s="7"/>
      <c r="H28" s="7"/>
      <c r="I28" s="7"/>
      <c r="J28" s="7"/>
      <c r="K28" s="7"/>
      <c r="L28" s="7"/>
      <c r="M28" s="7"/>
      <c r="N28" s="7"/>
      <c r="O28" s="7"/>
      <c r="P28" s="7"/>
      <c r="Q28" s="7"/>
      <c r="R28" s="7"/>
      <c r="S28" s="7"/>
      <c r="T28" s="7"/>
      <c r="U28" s="7"/>
      <c r="V28" s="7"/>
      <c r="W28" s="7"/>
      <c r="X28" s="164" t="e">
        <f t="shared" si="0"/>
        <v>#N/A</v>
      </c>
      <c r="Y28" s="164" t="e">
        <f t="shared" si="1"/>
        <v>#N/A</v>
      </c>
      <c r="AB28" s="156">
        <f t="shared" si="2"/>
        <v>0</v>
      </c>
      <c r="AC28" s="121" t="str">
        <f t="shared" si="3"/>
        <v/>
      </c>
      <c r="AE28" s="121" t="str">
        <f t="shared" si="4"/>
        <v/>
      </c>
      <c r="AF28" s="111" t="str">
        <f t="shared" si="5"/>
        <v/>
      </c>
      <c r="AG28" s="130"/>
      <c r="AH28" s="134">
        <v>7</v>
      </c>
      <c r="AI28" s="134">
        <f ca="1">COUNTIF(INDIRECT(CONCATENATE($AH$3,":",$AH$3)),"&lt;="&amp;AJ29)</f>
        <v>13</v>
      </c>
      <c r="AJ28" s="133">
        <f t="shared" ref="AJ28" ca="1" si="29">IF(AH28&gt;$AH$7,AJ27,AJ26)</f>
        <v>16.883682179918729</v>
      </c>
      <c r="AK28" s="130">
        <f t="shared" ref="AK28" si="30">IF(AH28&gt;$AH$7,AK27,AK29)</f>
        <v>0</v>
      </c>
    </row>
    <row r="29" spans="1:37">
      <c r="A29" s="159"/>
      <c r="B29" s="160"/>
      <c r="C29" s="5"/>
      <c r="D29" s="7"/>
      <c r="E29" s="7"/>
      <c r="F29" s="7"/>
      <c r="G29" s="7"/>
      <c r="H29" s="7"/>
      <c r="I29" s="7"/>
      <c r="J29" s="7"/>
      <c r="K29" s="7"/>
      <c r="L29" s="7"/>
      <c r="M29" s="7"/>
      <c r="N29" s="7"/>
      <c r="O29" s="7"/>
      <c r="P29" s="7"/>
      <c r="Q29" s="7"/>
      <c r="R29" s="7"/>
      <c r="S29" s="7"/>
      <c r="T29" s="7"/>
      <c r="U29" s="7"/>
      <c r="V29" s="7"/>
      <c r="W29" s="7"/>
      <c r="X29" s="164" t="e">
        <f t="shared" si="0"/>
        <v>#N/A</v>
      </c>
      <c r="Y29" s="164" t="e">
        <f t="shared" si="1"/>
        <v>#N/A</v>
      </c>
      <c r="AB29" s="156">
        <f t="shared" si="2"/>
        <v>0</v>
      </c>
      <c r="AC29" s="121" t="str">
        <f t="shared" si="3"/>
        <v/>
      </c>
      <c r="AE29" s="121" t="str">
        <f t="shared" si="4"/>
        <v/>
      </c>
      <c r="AF29" s="111" t="str">
        <f t="shared" si="5"/>
        <v/>
      </c>
      <c r="AG29" s="130"/>
      <c r="AH29" s="134"/>
      <c r="AI29" s="134"/>
      <c r="AJ29" s="133">
        <f t="shared" ref="AJ29" ca="1" si="31">IF(AH28&gt;$AH$7,AJ28,AJ28+$AH$6)</f>
        <v>16.883682179918729</v>
      </c>
      <c r="AK29" s="130">
        <f t="shared" ref="AK29" si="32">IF(AH28&gt;$AH$7,AK28,AI28-AI25)</f>
        <v>0</v>
      </c>
    </row>
    <row r="30" spans="1:37">
      <c r="A30" s="159"/>
      <c r="B30" s="160"/>
      <c r="C30" s="5"/>
      <c r="D30" s="7"/>
      <c r="E30" s="7"/>
      <c r="F30" s="7"/>
      <c r="G30" s="7"/>
      <c r="H30" s="7"/>
      <c r="I30" s="7"/>
      <c r="J30" s="7"/>
      <c r="K30" s="7"/>
      <c r="L30" s="7"/>
      <c r="M30" s="7"/>
      <c r="N30" s="7"/>
      <c r="O30" s="7"/>
      <c r="P30" s="7"/>
      <c r="Q30" s="7"/>
      <c r="R30" s="7"/>
      <c r="S30" s="7"/>
      <c r="T30" s="7"/>
      <c r="U30" s="7"/>
      <c r="V30" s="7"/>
      <c r="W30" s="7"/>
      <c r="X30" s="164" t="e">
        <f t="shared" si="0"/>
        <v>#N/A</v>
      </c>
      <c r="Y30" s="164" t="e">
        <f t="shared" si="1"/>
        <v>#N/A</v>
      </c>
      <c r="AB30" s="156">
        <f t="shared" si="2"/>
        <v>0</v>
      </c>
      <c r="AC30" s="121" t="str">
        <f t="shared" si="3"/>
        <v/>
      </c>
      <c r="AE30" s="121" t="str">
        <f t="shared" si="4"/>
        <v/>
      </c>
      <c r="AF30" s="111" t="str">
        <f t="shared" si="5"/>
        <v/>
      </c>
      <c r="AG30" s="130"/>
      <c r="AH30" s="134"/>
      <c r="AI30" s="134"/>
      <c r="AJ30" s="133">
        <f t="shared" ref="AJ30" ca="1" si="33">IF(AH28&gt;$AH$7,AJ29,AJ29)</f>
        <v>16.883682179918729</v>
      </c>
      <c r="AK30" s="130">
        <f t="shared" ref="AK30" si="34">IF(AH28&gt;$AH$7,AK29,0)</f>
        <v>0</v>
      </c>
    </row>
    <row r="31" spans="1:37">
      <c r="A31" s="159"/>
      <c r="B31" s="160"/>
      <c r="C31" s="5"/>
      <c r="D31" s="7"/>
      <c r="E31" s="7"/>
      <c r="F31" s="7"/>
      <c r="G31" s="7"/>
      <c r="H31" s="7"/>
      <c r="I31" s="7"/>
      <c r="J31" s="7"/>
      <c r="K31" s="7"/>
      <c r="L31" s="7"/>
      <c r="M31" s="7"/>
      <c r="N31" s="7"/>
      <c r="O31" s="7"/>
      <c r="P31" s="7"/>
      <c r="Q31" s="7"/>
      <c r="R31" s="7"/>
      <c r="S31" s="7"/>
      <c r="T31" s="7"/>
      <c r="U31" s="7"/>
      <c r="V31" s="7"/>
      <c r="W31" s="7"/>
      <c r="X31" s="164" t="e">
        <f t="shared" si="0"/>
        <v>#N/A</v>
      </c>
      <c r="Y31" s="164" t="e">
        <f t="shared" si="1"/>
        <v>#N/A</v>
      </c>
      <c r="AB31" s="156">
        <f t="shared" si="2"/>
        <v>0</v>
      </c>
      <c r="AC31" s="121" t="str">
        <f t="shared" si="3"/>
        <v/>
      </c>
      <c r="AE31" s="121" t="str">
        <f t="shared" si="4"/>
        <v/>
      </c>
      <c r="AF31" s="111" t="str">
        <f t="shared" si="5"/>
        <v/>
      </c>
      <c r="AG31" s="130"/>
      <c r="AH31" s="134">
        <v>8</v>
      </c>
      <c r="AI31" s="134">
        <f ca="1">COUNTIF(INDIRECT(CONCATENATE($AH$3,":",$AH$3)),"&lt;="&amp;AJ32)</f>
        <v>13</v>
      </c>
      <c r="AJ31" s="133">
        <f t="shared" ref="AJ31" ca="1" si="35">IF(AH31&gt;$AH$7,AJ30,AJ29)</f>
        <v>16.883682179918729</v>
      </c>
      <c r="AK31" s="130">
        <f t="shared" ref="AK31" si="36">IF(AH31&gt;$AH$7,AK30,AK32)</f>
        <v>0</v>
      </c>
    </row>
    <row r="32" spans="1:37">
      <c r="A32" s="159"/>
      <c r="B32" s="160"/>
      <c r="C32" s="5"/>
      <c r="D32" s="7"/>
      <c r="E32" s="7"/>
      <c r="F32" s="7"/>
      <c r="G32" s="7"/>
      <c r="H32" s="7"/>
      <c r="I32" s="7"/>
      <c r="J32" s="7"/>
      <c r="K32" s="7"/>
      <c r="L32" s="7"/>
      <c r="M32" s="7"/>
      <c r="N32" s="7"/>
      <c r="O32" s="7"/>
      <c r="P32" s="7"/>
      <c r="Q32" s="7"/>
      <c r="R32" s="7"/>
      <c r="S32" s="127" t="s">
        <v>140</v>
      </c>
      <c r="T32" s="129">
        <v>5</v>
      </c>
      <c r="U32" s="137"/>
      <c r="V32" s="128"/>
      <c r="W32" s="7"/>
      <c r="X32" s="164" t="e">
        <f t="shared" si="0"/>
        <v>#N/A</v>
      </c>
      <c r="Y32" s="164" t="e">
        <f t="shared" si="1"/>
        <v>#N/A</v>
      </c>
      <c r="AB32" s="156">
        <f t="shared" si="2"/>
        <v>0</v>
      </c>
      <c r="AC32" s="121" t="str">
        <f t="shared" si="3"/>
        <v/>
      </c>
      <c r="AE32" s="121" t="str">
        <f t="shared" si="4"/>
        <v/>
      </c>
      <c r="AF32" s="111" t="str">
        <f t="shared" si="5"/>
        <v/>
      </c>
      <c r="AG32" s="130"/>
      <c r="AH32" s="134"/>
      <c r="AI32" s="134"/>
      <c r="AJ32" s="133">
        <f t="shared" ref="AJ32" ca="1" si="37">IF(AH31&gt;$AH$7,AJ31,AJ31+$AH$6)</f>
        <v>16.883682179918729</v>
      </c>
      <c r="AK32" s="130">
        <f t="shared" ref="AK32" si="38">IF(AH31&gt;$AH$7,AK31,AI31-AI28)</f>
        <v>0</v>
      </c>
    </row>
    <row r="33" spans="1:37">
      <c r="A33" s="159"/>
      <c r="B33" s="160"/>
      <c r="C33" s="5"/>
      <c r="D33" s="7"/>
      <c r="E33" s="7"/>
      <c r="F33" s="7"/>
      <c r="G33" s="7"/>
      <c r="H33" s="7"/>
      <c r="I33" s="7"/>
      <c r="J33" s="7"/>
      <c r="K33" s="7"/>
      <c r="L33" s="7"/>
      <c r="M33" s="7"/>
      <c r="N33" s="7"/>
      <c r="O33" s="7"/>
      <c r="P33" s="7"/>
      <c r="Q33" s="7"/>
      <c r="R33" s="7"/>
      <c r="S33" s="7"/>
      <c r="T33" s="7"/>
      <c r="U33" s="7"/>
      <c r="V33" s="7"/>
      <c r="W33" s="7"/>
      <c r="X33" s="164" t="e">
        <f t="shared" si="0"/>
        <v>#N/A</v>
      </c>
      <c r="Y33" s="164" t="e">
        <f t="shared" si="1"/>
        <v>#N/A</v>
      </c>
      <c r="AB33" s="156">
        <f t="shared" si="2"/>
        <v>0</v>
      </c>
      <c r="AC33" s="121" t="str">
        <f t="shared" si="3"/>
        <v/>
      </c>
      <c r="AE33" s="121" t="str">
        <f t="shared" si="4"/>
        <v/>
      </c>
      <c r="AF33" s="111" t="str">
        <f t="shared" si="5"/>
        <v/>
      </c>
      <c r="AG33" s="130"/>
      <c r="AH33" s="134"/>
      <c r="AI33" s="134"/>
      <c r="AJ33" s="133">
        <f t="shared" ref="AJ33" ca="1" si="39">IF(AH31&gt;$AH$7,AJ32,AJ32)</f>
        <v>16.883682179918729</v>
      </c>
      <c r="AK33" s="130">
        <f t="shared" ref="AK33" si="40">IF(AH31&gt;$AH$7,AK32,0)</f>
        <v>0</v>
      </c>
    </row>
    <row r="34" spans="1:37">
      <c r="A34" s="159"/>
      <c r="B34" s="160"/>
      <c r="C34" s="5"/>
      <c r="D34" s="7"/>
      <c r="E34" s="7"/>
      <c r="F34" s="7"/>
      <c r="G34" s="7"/>
      <c r="H34" s="7"/>
      <c r="I34" s="7"/>
      <c r="J34" s="7"/>
      <c r="K34" s="7"/>
      <c r="L34" s="7"/>
      <c r="M34" s="7"/>
      <c r="N34" s="7"/>
      <c r="O34" s="7"/>
      <c r="P34" s="7"/>
      <c r="Q34" s="7"/>
      <c r="R34" s="7"/>
      <c r="S34" s="7"/>
      <c r="T34" s="7"/>
      <c r="U34" s="7"/>
      <c r="V34" s="7"/>
      <c r="W34" s="7"/>
      <c r="X34" s="164" t="e">
        <f t="shared" si="0"/>
        <v>#N/A</v>
      </c>
      <c r="Y34" s="164" t="e">
        <f t="shared" si="1"/>
        <v>#N/A</v>
      </c>
      <c r="AB34" s="156">
        <f t="shared" si="2"/>
        <v>0</v>
      </c>
      <c r="AC34" s="121" t="str">
        <f t="shared" si="3"/>
        <v/>
      </c>
      <c r="AE34" s="121" t="str">
        <f t="shared" si="4"/>
        <v/>
      </c>
      <c r="AF34" s="111" t="str">
        <f t="shared" si="5"/>
        <v/>
      </c>
      <c r="AG34" s="130"/>
      <c r="AH34" s="134">
        <v>9</v>
      </c>
      <c r="AI34" s="134">
        <f ca="1">COUNTIF(INDIRECT(CONCATENATE($AH$3,":",$AH$3)),"&lt;="&amp;AJ35)</f>
        <v>13</v>
      </c>
      <c r="AJ34" s="133">
        <f t="shared" ref="AJ34" ca="1" si="41">IF(AH34&gt;$AH$7,AJ33,AJ32)</f>
        <v>16.883682179918729</v>
      </c>
      <c r="AK34" s="130">
        <f t="shared" ref="AK34" si="42">IF(AH34&gt;$AH$7,AK33,AK35)</f>
        <v>0</v>
      </c>
    </row>
    <row r="35" spans="1:37">
      <c r="A35" s="159"/>
      <c r="B35" s="160"/>
      <c r="C35" s="5"/>
      <c r="D35" s="7"/>
      <c r="E35" s="7"/>
      <c r="F35" s="7"/>
      <c r="G35" s="7"/>
      <c r="H35" s="7"/>
      <c r="I35" s="7"/>
      <c r="J35" s="7"/>
      <c r="K35" s="7"/>
      <c r="L35" s="7"/>
      <c r="M35" s="7"/>
      <c r="N35" s="7"/>
      <c r="O35" s="7"/>
      <c r="P35" s="7"/>
      <c r="Q35" s="7"/>
      <c r="R35" s="7"/>
      <c r="S35" s="7"/>
      <c r="T35" s="7"/>
      <c r="U35" s="7"/>
      <c r="V35" s="7"/>
      <c r="W35" s="7"/>
      <c r="X35" s="164" t="e">
        <f t="shared" si="0"/>
        <v>#N/A</v>
      </c>
      <c r="Y35" s="164" t="e">
        <f t="shared" si="1"/>
        <v>#N/A</v>
      </c>
      <c r="AB35" s="156">
        <f t="shared" si="2"/>
        <v>0</v>
      </c>
      <c r="AC35" s="121" t="str">
        <f t="shared" si="3"/>
        <v/>
      </c>
      <c r="AE35" s="121" t="str">
        <f t="shared" si="4"/>
        <v/>
      </c>
      <c r="AF35" s="111" t="str">
        <f t="shared" si="5"/>
        <v/>
      </c>
      <c r="AG35" s="130"/>
      <c r="AH35" s="134"/>
      <c r="AI35" s="134"/>
      <c r="AJ35" s="133">
        <f t="shared" ref="AJ35" ca="1" si="43">IF(AH34&gt;$AH$7,AJ34,AJ34+$AH$6)</f>
        <v>16.883682179918729</v>
      </c>
      <c r="AK35" s="130">
        <f t="shared" ref="AK35" si="44">IF(AH34&gt;$AH$7,AK34,AI34-AI31)</f>
        <v>0</v>
      </c>
    </row>
    <row r="36" spans="1:37">
      <c r="A36" s="159"/>
      <c r="B36" s="160"/>
      <c r="C36" s="5"/>
      <c r="D36" s="7"/>
      <c r="E36" s="7"/>
      <c r="F36" s="7"/>
      <c r="G36" s="7"/>
      <c r="H36" s="7"/>
      <c r="I36" s="7"/>
      <c r="J36" s="7"/>
      <c r="K36" s="7"/>
      <c r="L36" s="7"/>
      <c r="M36" s="7"/>
      <c r="N36" s="7"/>
      <c r="O36" s="7"/>
      <c r="P36" s="7"/>
      <c r="Q36" s="7"/>
      <c r="R36" s="7"/>
      <c r="S36" s="7"/>
      <c r="T36" s="7"/>
      <c r="U36" s="7"/>
      <c r="V36" s="7"/>
      <c r="W36" s="7"/>
      <c r="X36" s="164" t="e">
        <f t="shared" si="0"/>
        <v>#N/A</v>
      </c>
      <c r="Y36" s="164" t="e">
        <f t="shared" si="1"/>
        <v>#N/A</v>
      </c>
      <c r="AB36" s="156">
        <f t="shared" si="2"/>
        <v>0</v>
      </c>
      <c r="AC36" s="121" t="str">
        <f t="shared" si="3"/>
        <v/>
      </c>
      <c r="AE36" s="121" t="str">
        <f t="shared" si="4"/>
        <v/>
      </c>
      <c r="AF36" s="111" t="str">
        <f t="shared" si="5"/>
        <v/>
      </c>
      <c r="AG36" s="130"/>
      <c r="AH36" s="134"/>
      <c r="AI36" s="134"/>
      <c r="AJ36" s="133">
        <f t="shared" ref="AJ36" ca="1" si="45">IF(AH34&gt;$AH$7,AJ35,AJ35)</f>
        <v>16.883682179918729</v>
      </c>
      <c r="AK36" s="130">
        <f t="shared" ref="AK36" si="46">IF(AH34&gt;$AH$7,AK35,0)</f>
        <v>0</v>
      </c>
    </row>
    <row r="37" spans="1:37">
      <c r="A37" s="159"/>
      <c r="B37" s="160"/>
      <c r="C37" s="5"/>
      <c r="D37" s="7"/>
      <c r="E37" s="7"/>
      <c r="F37" s="7"/>
      <c r="G37" s="7"/>
      <c r="H37" s="7"/>
      <c r="I37" s="7"/>
      <c r="J37" s="7"/>
      <c r="K37" s="7"/>
      <c r="L37" s="7"/>
      <c r="M37" s="7"/>
      <c r="N37" s="7"/>
      <c r="O37" s="7"/>
      <c r="P37" s="7"/>
      <c r="Q37" s="7"/>
      <c r="R37" s="7"/>
      <c r="S37" s="7"/>
      <c r="T37" s="7"/>
      <c r="U37" s="7"/>
      <c r="V37" s="7"/>
      <c r="W37" s="7"/>
      <c r="X37" s="164" t="e">
        <f t="shared" si="0"/>
        <v>#N/A</v>
      </c>
      <c r="Y37" s="164" t="e">
        <f t="shared" si="1"/>
        <v>#N/A</v>
      </c>
      <c r="AB37" s="156">
        <f t="shared" si="2"/>
        <v>0</v>
      </c>
      <c r="AC37" s="121" t="str">
        <f t="shared" si="3"/>
        <v/>
      </c>
      <c r="AE37" s="121" t="str">
        <f t="shared" si="4"/>
        <v/>
      </c>
      <c r="AF37" s="111" t="str">
        <f t="shared" si="5"/>
        <v/>
      </c>
      <c r="AG37" s="130"/>
      <c r="AH37" s="134">
        <v>10</v>
      </c>
      <c r="AI37" s="134">
        <f ca="1">COUNTIF(INDIRECT(CONCATENATE($AH$3,":",$AH$3)),"&lt;="&amp;AJ38)</f>
        <v>13</v>
      </c>
      <c r="AJ37" s="133">
        <f t="shared" ref="AJ37" ca="1" si="47">IF(AH37&gt;$AH$7,AJ36,AJ35)</f>
        <v>16.883682179918729</v>
      </c>
      <c r="AK37" s="130">
        <f t="shared" ref="AK37" si="48">IF(AH37&gt;$AH$7,AK36,AK38)</f>
        <v>0</v>
      </c>
    </row>
    <row r="38" spans="1:37">
      <c r="A38" s="159"/>
      <c r="B38" s="160"/>
      <c r="C38" s="5"/>
      <c r="D38" s="7"/>
      <c r="E38" s="7"/>
      <c r="F38" s="7"/>
      <c r="G38" s="7"/>
      <c r="H38" s="7"/>
      <c r="I38" s="7"/>
      <c r="J38" s="7"/>
      <c r="K38" s="7"/>
      <c r="L38" s="7"/>
      <c r="M38" s="7"/>
      <c r="N38" s="7"/>
      <c r="O38" s="7"/>
      <c r="P38" s="7"/>
      <c r="Q38" s="7"/>
      <c r="R38" s="7"/>
      <c r="S38" s="7"/>
      <c r="T38" s="7"/>
      <c r="U38" s="7"/>
      <c r="V38" s="7"/>
      <c r="W38" s="7"/>
      <c r="X38" s="164" t="e">
        <f t="shared" si="0"/>
        <v>#N/A</v>
      </c>
      <c r="Y38" s="164" t="e">
        <f t="shared" si="1"/>
        <v>#N/A</v>
      </c>
      <c r="AB38" s="156">
        <f t="shared" si="2"/>
        <v>0</v>
      </c>
      <c r="AC38" s="121" t="str">
        <f t="shared" si="3"/>
        <v/>
      </c>
      <c r="AE38" s="121" t="str">
        <f t="shared" si="4"/>
        <v/>
      </c>
      <c r="AF38" s="111" t="str">
        <f t="shared" si="5"/>
        <v/>
      </c>
      <c r="AG38" s="130"/>
      <c r="AH38" s="134"/>
      <c r="AI38" s="134"/>
      <c r="AJ38" s="133">
        <f t="shared" ref="AJ38" ca="1" si="49">IF(AH37&gt;$AH$7,AJ37,AJ37+$AH$6)</f>
        <v>16.883682179918729</v>
      </c>
      <c r="AK38" s="130">
        <f t="shared" ref="AK38" si="50">IF(AH37&gt;$AH$7,AK37,AI37-AI34)</f>
        <v>0</v>
      </c>
    </row>
    <row r="39" spans="1:37">
      <c r="A39" s="159"/>
      <c r="B39" s="160"/>
      <c r="C39" s="5"/>
      <c r="D39" s="7"/>
      <c r="E39" s="7"/>
      <c r="F39" s="7"/>
      <c r="G39" s="7"/>
      <c r="H39" s="7"/>
      <c r="I39" s="7"/>
      <c r="J39" s="7"/>
      <c r="K39" s="7"/>
      <c r="L39" s="7"/>
      <c r="M39" s="7"/>
      <c r="N39" s="7"/>
      <c r="O39" s="7"/>
      <c r="P39" s="7"/>
      <c r="Q39" s="7"/>
      <c r="R39" s="7"/>
      <c r="S39" s="7"/>
      <c r="T39" s="7"/>
      <c r="U39" s="7"/>
      <c r="V39" s="7"/>
      <c r="W39" s="7"/>
      <c r="X39" s="164" t="e">
        <f t="shared" si="0"/>
        <v>#N/A</v>
      </c>
      <c r="Y39" s="164" t="e">
        <f t="shared" si="1"/>
        <v>#N/A</v>
      </c>
      <c r="AB39" s="156">
        <f t="shared" si="2"/>
        <v>0</v>
      </c>
      <c r="AC39" s="121" t="str">
        <f t="shared" si="3"/>
        <v/>
      </c>
      <c r="AE39" s="121" t="str">
        <f t="shared" si="4"/>
        <v/>
      </c>
      <c r="AF39" s="111" t="str">
        <f t="shared" si="5"/>
        <v/>
      </c>
      <c r="AG39" s="130"/>
      <c r="AH39" s="134"/>
      <c r="AI39" s="134"/>
      <c r="AJ39" s="133">
        <f t="shared" ref="AJ39" ca="1" si="51">IF(AH37&gt;$AH$7,AJ38,AJ38)</f>
        <v>16.883682179918729</v>
      </c>
      <c r="AK39" s="130">
        <f t="shared" ref="AK39" si="52">IF(AH37&gt;$AH$7,AK38,0)</f>
        <v>0</v>
      </c>
    </row>
    <row r="40" spans="1:37">
      <c r="A40" s="159"/>
      <c r="B40" s="160"/>
      <c r="C40" s="5"/>
      <c r="D40" s="7"/>
      <c r="E40" s="7"/>
      <c r="F40" s="7"/>
      <c r="G40" s="7"/>
      <c r="H40" s="7"/>
      <c r="I40" s="7"/>
      <c r="J40" s="7"/>
      <c r="K40" s="7"/>
      <c r="L40" s="7"/>
      <c r="M40" s="7"/>
      <c r="N40" s="7"/>
      <c r="O40" s="7"/>
      <c r="P40" s="7"/>
      <c r="Q40" s="7"/>
      <c r="R40" s="7"/>
      <c r="S40" s="7"/>
      <c r="T40" s="7"/>
      <c r="U40" s="7"/>
      <c r="V40" s="7"/>
      <c r="W40" s="7"/>
      <c r="X40" s="164" t="e">
        <f t="shared" si="0"/>
        <v>#N/A</v>
      </c>
      <c r="Y40" s="164" t="e">
        <f t="shared" si="1"/>
        <v>#N/A</v>
      </c>
      <c r="AB40" s="156">
        <f t="shared" si="2"/>
        <v>0</v>
      </c>
      <c r="AC40" s="121" t="str">
        <f t="shared" si="3"/>
        <v/>
      </c>
      <c r="AE40" s="121" t="str">
        <f t="shared" si="4"/>
        <v/>
      </c>
      <c r="AF40" s="111" t="str">
        <f t="shared" si="5"/>
        <v/>
      </c>
      <c r="AG40" s="130"/>
      <c r="AH40" s="134">
        <v>11</v>
      </c>
      <c r="AI40" s="134">
        <f ca="1">COUNTIF(INDIRECT(CONCATENATE($AH$3,":",$AH$3)),"&lt;="&amp;AJ41)</f>
        <v>13</v>
      </c>
      <c r="AJ40" s="133">
        <f t="shared" ref="AJ40" ca="1" si="53">IF(AH40&gt;$AH$7,AJ39,AJ38)</f>
        <v>16.883682179918729</v>
      </c>
      <c r="AK40" s="130">
        <f t="shared" ref="AK40" si="54">IF(AH40&gt;$AH$7,AK39,AK41)</f>
        <v>0</v>
      </c>
    </row>
    <row r="41" spans="1:37">
      <c r="A41" s="159"/>
      <c r="B41" s="160"/>
      <c r="C41" s="5"/>
      <c r="D41" s="7"/>
      <c r="E41" s="7"/>
      <c r="F41" s="7"/>
      <c r="G41" s="7"/>
      <c r="H41" s="7"/>
      <c r="I41" s="7"/>
      <c r="J41" s="7"/>
      <c r="K41" s="7"/>
      <c r="L41" s="7"/>
      <c r="M41" s="7"/>
      <c r="N41" s="7"/>
      <c r="O41" s="7"/>
      <c r="P41" s="7"/>
      <c r="Q41" s="7"/>
      <c r="R41" s="7"/>
      <c r="S41" s="7"/>
      <c r="T41" s="7"/>
      <c r="U41" s="7"/>
      <c r="V41" s="7"/>
      <c r="W41" s="7"/>
      <c r="X41" s="164" t="e">
        <f t="shared" si="0"/>
        <v>#N/A</v>
      </c>
      <c r="Y41" s="164" t="e">
        <f t="shared" si="1"/>
        <v>#N/A</v>
      </c>
      <c r="AB41" s="156">
        <f t="shared" si="2"/>
        <v>0</v>
      </c>
      <c r="AC41" s="121" t="str">
        <f t="shared" si="3"/>
        <v/>
      </c>
      <c r="AE41" s="121" t="str">
        <f t="shared" si="4"/>
        <v/>
      </c>
      <c r="AF41" s="111" t="str">
        <f t="shared" si="5"/>
        <v/>
      </c>
      <c r="AG41" s="130"/>
      <c r="AH41" s="134"/>
      <c r="AI41" s="134"/>
      <c r="AJ41" s="133">
        <f t="shared" ref="AJ41" ca="1" si="55">IF(AH40&gt;$AH$7,AJ40,AJ40+$AH$6)</f>
        <v>16.883682179918729</v>
      </c>
      <c r="AK41" s="130">
        <f t="shared" ref="AK41" si="56">IF(AH40&gt;$AH$7,AK40,AI40-AI37)</f>
        <v>0</v>
      </c>
    </row>
    <row r="42" spans="1:37">
      <c r="A42" s="159"/>
      <c r="B42" s="160"/>
      <c r="C42" s="5"/>
      <c r="D42" s="5"/>
      <c r="E42" s="5"/>
      <c r="F42" s="5"/>
      <c r="G42" s="5"/>
      <c r="H42" s="5"/>
      <c r="I42" s="5"/>
      <c r="J42" s="5"/>
      <c r="K42" s="5"/>
      <c r="L42" s="5"/>
      <c r="M42" s="5"/>
      <c r="N42" s="5"/>
      <c r="O42" s="5"/>
      <c r="P42" s="5"/>
      <c r="Q42" s="5"/>
      <c r="R42" s="5"/>
      <c r="S42" s="5"/>
      <c r="T42" s="5"/>
      <c r="U42" s="5"/>
      <c r="V42" s="7"/>
      <c r="W42" s="7"/>
      <c r="X42" s="164" t="e">
        <f t="shared" si="0"/>
        <v>#N/A</v>
      </c>
      <c r="Y42" s="164" t="e">
        <f t="shared" si="1"/>
        <v>#N/A</v>
      </c>
      <c r="AB42" s="156">
        <f t="shared" si="2"/>
        <v>0</v>
      </c>
      <c r="AC42" s="121" t="str">
        <f t="shared" si="3"/>
        <v/>
      </c>
      <c r="AE42" s="121" t="str">
        <f t="shared" si="4"/>
        <v/>
      </c>
      <c r="AF42" s="111" t="str">
        <f t="shared" si="5"/>
        <v/>
      </c>
      <c r="AG42" s="130"/>
      <c r="AH42" s="134"/>
      <c r="AI42" s="134"/>
      <c r="AJ42" s="133">
        <f t="shared" ref="AJ42" ca="1" si="57">IF(AH40&gt;$AH$7,AJ41,AJ41)</f>
        <v>16.883682179918729</v>
      </c>
      <c r="AK42" s="130">
        <f t="shared" ref="AK42" si="58">IF(AH40&gt;$AH$7,AK41,0)</f>
        <v>0</v>
      </c>
    </row>
    <row r="43" spans="1:37">
      <c r="A43" s="159"/>
      <c r="B43" s="160"/>
      <c r="C43" s="5"/>
      <c r="D43" s="5"/>
      <c r="E43" s="5"/>
      <c r="F43" s="5"/>
      <c r="G43" s="5"/>
      <c r="H43" s="5"/>
      <c r="I43" s="5"/>
      <c r="J43" s="5"/>
      <c r="K43" s="5"/>
      <c r="L43" s="5"/>
      <c r="M43" s="5"/>
      <c r="N43" s="5"/>
      <c r="O43" s="5"/>
      <c r="P43" s="5"/>
      <c r="Q43" s="5"/>
      <c r="R43" s="5"/>
      <c r="S43" s="5"/>
      <c r="T43" s="5"/>
      <c r="U43" s="5"/>
      <c r="V43" s="7"/>
      <c r="W43" s="7"/>
      <c r="X43" s="164" t="e">
        <f t="shared" si="0"/>
        <v>#N/A</v>
      </c>
      <c r="Y43" s="164" t="e">
        <f t="shared" si="1"/>
        <v>#N/A</v>
      </c>
      <c r="AB43" s="156">
        <f t="shared" si="2"/>
        <v>0</v>
      </c>
      <c r="AC43" s="121" t="str">
        <f t="shared" si="3"/>
        <v/>
      </c>
      <c r="AE43" s="121" t="str">
        <f t="shared" si="4"/>
        <v/>
      </c>
      <c r="AF43" s="111" t="str">
        <f t="shared" si="5"/>
        <v/>
      </c>
      <c r="AG43" s="130"/>
      <c r="AH43" s="134">
        <v>12</v>
      </c>
      <c r="AI43" s="134">
        <f ca="1">COUNTIF(INDIRECT(CONCATENATE($AH$3,":",$AH$3)),"&lt;="&amp;AJ44)</f>
        <v>13</v>
      </c>
      <c r="AJ43" s="133">
        <f t="shared" ref="AJ43" ca="1" si="59">IF(AH43&gt;$AH$7,AJ42,AJ41)</f>
        <v>16.883682179918729</v>
      </c>
      <c r="AK43" s="130">
        <f t="shared" ref="AK43" si="60">IF(AH43&gt;$AH$7,AK42,AK44)</f>
        <v>0</v>
      </c>
    </row>
    <row r="44" spans="1:37">
      <c r="A44" s="159"/>
      <c r="B44" s="160"/>
      <c r="C44" s="5"/>
      <c r="D44" s="5"/>
      <c r="E44" s="5"/>
      <c r="F44" s="5"/>
      <c r="G44" s="5"/>
      <c r="H44" s="5"/>
      <c r="I44" s="5"/>
      <c r="J44" s="5"/>
      <c r="K44" s="5"/>
      <c r="L44" s="5"/>
      <c r="M44" s="5"/>
      <c r="N44" s="5"/>
      <c r="O44" s="5"/>
      <c r="P44" s="5"/>
      <c r="Q44" s="5"/>
      <c r="R44" s="5"/>
      <c r="S44" s="5"/>
      <c r="T44" s="5"/>
      <c r="U44" s="5"/>
      <c r="V44" s="7"/>
      <c r="W44" s="7"/>
      <c r="X44" s="164" t="e">
        <f t="shared" si="0"/>
        <v>#N/A</v>
      </c>
      <c r="Y44" s="164" t="e">
        <f t="shared" si="1"/>
        <v>#N/A</v>
      </c>
      <c r="AB44" s="156">
        <f t="shared" si="2"/>
        <v>0</v>
      </c>
      <c r="AC44" s="121" t="str">
        <f t="shared" si="3"/>
        <v/>
      </c>
      <c r="AE44" s="121" t="str">
        <f t="shared" si="4"/>
        <v/>
      </c>
      <c r="AF44" s="111" t="str">
        <f t="shared" si="5"/>
        <v/>
      </c>
      <c r="AG44" s="130"/>
      <c r="AH44" s="134"/>
      <c r="AI44" s="134"/>
      <c r="AJ44" s="133">
        <f t="shared" ref="AJ44" ca="1" si="61">IF(AH43&gt;$AH$7,AJ43,AJ43+$AH$6)</f>
        <v>16.883682179918729</v>
      </c>
      <c r="AK44" s="130">
        <f t="shared" ref="AK44" si="62">IF(AH43&gt;$AH$7,AK43,AI43-AI40)</f>
        <v>0</v>
      </c>
    </row>
    <row r="45" spans="1:37">
      <c r="A45" s="159"/>
      <c r="B45" s="160"/>
      <c r="C45" s="5"/>
      <c r="D45" s="5"/>
      <c r="E45" s="5"/>
      <c r="F45" s="5"/>
      <c r="G45" s="5"/>
      <c r="H45" s="5"/>
      <c r="I45" s="5"/>
      <c r="J45" s="5"/>
      <c r="K45" s="5"/>
      <c r="L45" s="5"/>
      <c r="M45" s="5"/>
      <c r="N45" s="5"/>
      <c r="O45" s="5"/>
      <c r="P45" s="5"/>
      <c r="Q45" s="5"/>
      <c r="R45" s="5"/>
      <c r="S45" s="5"/>
      <c r="T45" s="5"/>
      <c r="U45" s="5"/>
      <c r="V45" s="7"/>
      <c r="W45" s="7"/>
      <c r="X45" s="164" t="e">
        <f t="shared" si="0"/>
        <v>#N/A</v>
      </c>
      <c r="Y45" s="164" t="e">
        <f t="shared" si="1"/>
        <v>#N/A</v>
      </c>
      <c r="AB45" s="156">
        <f t="shared" si="2"/>
        <v>0</v>
      </c>
      <c r="AC45" s="121" t="str">
        <f t="shared" si="3"/>
        <v/>
      </c>
      <c r="AE45" s="121" t="str">
        <f t="shared" si="4"/>
        <v/>
      </c>
      <c r="AF45" s="111" t="str">
        <f t="shared" si="5"/>
        <v/>
      </c>
      <c r="AG45" s="130"/>
      <c r="AH45" s="134"/>
      <c r="AI45" s="134"/>
      <c r="AJ45" s="133">
        <f t="shared" ref="AJ45" ca="1" si="63">IF(AH43&gt;$AH$7,AJ44,AJ44)</f>
        <v>16.883682179918729</v>
      </c>
      <c r="AK45" s="130">
        <f t="shared" ref="AK45" si="64">IF(AH43&gt;$AH$7,AK44,0)</f>
        <v>0</v>
      </c>
    </row>
    <row r="46" spans="1:37">
      <c r="A46" s="159"/>
      <c r="B46" s="160"/>
      <c r="C46" s="5"/>
      <c r="D46" s="5"/>
      <c r="E46" s="5"/>
      <c r="F46" s="5"/>
      <c r="G46" s="5"/>
      <c r="H46" s="5"/>
      <c r="I46" s="5"/>
      <c r="J46" s="5"/>
      <c r="K46" s="5"/>
      <c r="L46" s="5"/>
      <c r="M46" s="5"/>
      <c r="N46" s="5"/>
      <c r="O46" s="5"/>
      <c r="P46" s="5"/>
      <c r="Q46" s="5"/>
      <c r="R46" s="5"/>
      <c r="S46" s="5"/>
      <c r="T46" s="5"/>
      <c r="U46" s="5"/>
      <c r="V46" s="7"/>
      <c r="W46" s="7"/>
      <c r="X46" s="164" t="e">
        <f t="shared" si="0"/>
        <v>#N/A</v>
      </c>
      <c r="Y46" s="164" t="e">
        <f t="shared" si="1"/>
        <v>#N/A</v>
      </c>
      <c r="AB46" s="156">
        <f t="shared" si="2"/>
        <v>0</v>
      </c>
      <c r="AC46" s="121" t="str">
        <f t="shared" si="3"/>
        <v/>
      </c>
      <c r="AE46" s="121" t="str">
        <f t="shared" si="4"/>
        <v/>
      </c>
      <c r="AF46" s="111" t="str">
        <f t="shared" si="5"/>
        <v/>
      </c>
      <c r="AG46" s="130"/>
      <c r="AH46" s="134">
        <v>13</v>
      </c>
      <c r="AI46" s="134">
        <f ca="1">COUNTIF(INDIRECT(CONCATENATE($AH$3,":",$AH$3)),"&lt;="&amp;AJ47)</f>
        <v>13</v>
      </c>
      <c r="AJ46" s="133">
        <f t="shared" ref="AJ46" ca="1" si="65">IF(AH46&gt;$AH$7,AJ45,AJ44)</f>
        <v>16.883682179918729</v>
      </c>
      <c r="AK46" s="130">
        <f t="shared" ref="AK46" si="66">IF(AH46&gt;$AH$7,AK45,AK47)</f>
        <v>0</v>
      </c>
    </row>
    <row r="47" spans="1:37">
      <c r="A47" s="159"/>
      <c r="B47" s="160"/>
      <c r="C47" s="5"/>
      <c r="D47" s="5"/>
      <c r="E47" s="5"/>
      <c r="F47" s="5"/>
      <c r="G47" s="5"/>
      <c r="H47" s="5"/>
      <c r="I47" s="5"/>
      <c r="J47" s="5"/>
      <c r="K47" s="5"/>
      <c r="L47" s="5"/>
      <c r="M47" s="5"/>
      <c r="N47" s="5"/>
      <c r="O47" s="5"/>
      <c r="P47" s="5"/>
      <c r="Q47" s="5"/>
      <c r="R47" s="5"/>
      <c r="S47" s="5"/>
      <c r="T47" s="5"/>
      <c r="U47" s="5"/>
      <c r="V47" s="7"/>
      <c r="W47" s="7"/>
      <c r="X47" s="164" t="e">
        <f t="shared" si="0"/>
        <v>#N/A</v>
      </c>
      <c r="Y47" s="164" t="e">
        <f t="shared" si="1"/>
        <v>#N/A</v>
      </c>
      <c r="AB47" s="156">
        <f t="shared" si="2"/>
        <v>0</v>
      </c>
      <c r="AC47" s="121" t="str">
        <f t="shared" si="3"/>
        <v/>
      </c>
      <c r="AE47" s="121" t="str">
        <f t="shared" si="4"/>
        <v/>
      </c>
      <c r="AF47" s="111" t="str">
        <f t="shared" si="5"/>
        <v/>
      </c>
      <c r="AG47" s="130"/>
      <c r="AH47" s="134"/>
      <c r="AI47" s="134"/>
      <c r="AJ47" s="133">
        <f t="shared" ref="AJ47" ca="1" si="67">IF(AH46&gt;$AH$7,AJ46,AJ46+$AH$6)</f>
        <v>16.883682179918729</v>
      </c>
      <c r="AK47" s="130">
        <f t="shared" ref="AK47" si="68">IF(AH46&gt;$AH$7,AK46,AI46-AI43)</f>
        <v>0</v>
      </c>
    </row>
    <row r="48" spans="1:37">
      <c r="A48" s="159"/>
      <c r="B48" s="160"/>
      <c r="C48" s="5"/>
      <c r="D48" s="5"/>
      <c r="E48" s="5"/>
      <c r="F48" s="5"/>
      <c r="G48" s="5"/>
      <c r="H48" s="5"/>
      <c r="I48" s="5"/>
      <c r="J48" s="5"/>
      <c r="K48" s="5"/>
      <c r="L48" s="5"/>
      <c r="M48" s="5"/>
      <c r="N48" s="5"/>
      <c r="O48" s="5"/>
      <c r="P48" s="5"/>
      <c r="Q48" s="5"/>
      <c r="R48" s="5"/>
      <c r="S48" s="5"/>
      <c r="T48" s="5"/>
      <c r="U48" s="5"/>
      <c r="V48" s="7"/>
      <c r="W48" s="7"/>
      <c r="X48" s="164" t="e">
        <f t="shared" si="0"/>
        <v>#N/A</v>
      </c>
      <c r="Y48" s="164" t="e">
        <f t="shared" si="1"/>
        <v>#N/A</v>
      </c>
      <c r="AB48" s="156">
        <f t="shared" si="2"/>
        <v>0</v>
      </c>
      <c r="AC48" s="121" t="str">
        <f t="shared" si="3"/>
        <v/>
      </c>
      <c r="AE48" s="121" t="str">
        <f t="shared" si="4"/>
        <v/>
      </c>
      <c r="AF48" s="111" t="str">
        <f t="shared" si="5"/>
        <v/>
      </c>
      <c r="AG48" s="130"/>
      <c r="AH48" s="134"/>
      <c r="AI48" s="134"/>
      <c r="AJ48" s="133">
        <f t="shared" ref="AJ48" ca="1" si="69">IF(AH46&gt;$AH$7,AJ47,AJ47)</f>
        <v>16.883682179918729</v>
      </c>
      <c r="AK48" s="130">
        <f t="shared" ref="AK48" si="70">IF(AH46&gt;$AH$7,AK47,0)</f>
        <v>0</v>
      </c>
    </row>
    <row r="49" spans="1:37">
      <c r="A49" s="159"/>
      <c r="B49" s="160"/>
      <c r="C49" s="5"/>
      <c r="D49" s="5"/>
      <c r="E49" s="5"/>
      <c r="F49" s="5"/>
      <c r="G49" s="5"/>
      <c r="H49" s="5"/>
      <c r="I49" s="5"/>
      <c r="J49" s="5"/>
      <c r="K49" s="5"/>
      <c r="L49" s="5"/>
      <c r="M49" s="5"/>
      <c r="N49" s="5"/>
      <c r="O49" s="5"/>
      <c r="P49" s="5"/>
      <c r="Q49" s="5"/>
      <c r="R49" s="5"/>
      <c r="S49" s="5"/>
      <c r="T49" s="5"/>
      <c r="U49" s="5"/>
      <c r="V49" s="7"/>
      <c r="W49" s="7"/>
      <c r="X49" s="164" t="e">
        <f t="shared" si="0"/>
        <v>#N/A</v>
      </c>
      <c r="Y49" s="164" t="e">
        <f t="shared" si="1"/>
        <v>#N/A</v>
      </c>
      <c r="AB49" s="156">
        <f t="shared" si="2"/>
        <v>0</v>
      </c>
      <c r="AC49" s="121" t="str">
        <f t="shared" si="3"/>
        <v/>
      </c>
      <c r="AE49" s="121" t="str">
        <f t="shared" si="4"/>
        <v/>
      </c>
      <c r="AF49" s="111" t="str">
        <f t="shared" si="5"/>
        <v/>
      </c>
      <c r="AG49" s="130"/>
      <c r="AH49" s="134">
        <v>14</v>
      </c>
      <c r="AI49" s="134">
        <f ca="1">COUNTIF(INDIRECT(CONCATENATE($AH$3,":",$AH$3)),"&lt;="&amp;AJ50)</f>
        <v>13</v>
      </c>
      <c r="AJ49" s="133">
        <f t="shared" ref="AJ49" ca="1" si="71">IF(AH49&gt;$AH$7,AJ48,AJ47)</f>
        <v>16.883682179918729</v>
      </c>
      <c r="AK49" s="130">
        <f t="shared" ref="AK49" si="72">IF(AH49&gt;$AH$7,AK48,AK50)</f>
        <v>0</v>
      </c>
    </row>
    <row r="50" spans="1:37">
      <c r="A50" s="159"/>
      <c r="B50" s="160"/>
      <c r="C50" s="5"/>
      <c r="D50" s="5"/>
      <c r="E50" s="5"/>
      <c r="F50" s="5"/>
      <c r="G50" s="5"/>
      <c r="H50" s="5"/>
      <c r="I50" s="5"/>
      <c r="J50" s="5"/>
      <c r="K50" s="5"/>
      <c r="L50" s="5"/>
      <c r="M50" s="5"/>
      <c r="N50" s="5"/>
      <c r="O50" s="5"/>
      <c r="P50" s="5"/>
      <c r="Q50" s="5"/>
      <c r="R50" s="5"/>
      <c r="S50" s="5"/>
      <c r="T50" s="5"/>
      <c r="U50" s="5"/>
      <c r="V50" s="7"/>
      <c r="W50" s="7"/>
      <c r="X50" s="164" t="e">
        <f t="shared" si="0"/>
        <v>#N/A</v>
      </c>
      <c r="Y50" s="164" t="e">
        <f t="shared" si="1"/>
        <v>#N/A</v>
      </c>
      <c r="AB50" s="156">
        <f t="shared" si="2"/>
        <v>0</v>
      </c>
      <c r="AC50" s="121" t="str">
        <f t="shared" si="3"/>
        <v/>
      </c>
      <c r="AE50" s="121" t="str">
        <f t="shared" si="4"/>
        <v/>
      </c>
      <c r="AF50" s="111" t="str">
        <f t="shared" si="5"/>
        <v/>
      </c>
      <c r="AG50" s="130"/>
      <c r="AH50" s="134"/>
      <c r="AI50" s="134"/>
      <c r="AJ50" s="133">
        <f t="shared" ref="AJ50" ca="1" si="73">IF(AH49&gt;$AH$7,AJ49,AJ49+$AH$6)</f>
        <v>16.883682179918729</v>
      </c>
      <c r="AK50" s="130">
        <f t="shared" ref="AK50" si="74">IF(AH49&gt;$AH$7,AK49,AI49-AI46)</f>
        <v>0</v>
      </c>
    </row>
    <row r="51" spans="1:37">
      <c r="A51" s="159"/>
      <c r="B51" s="160"/>
      <c r="C51" s="5"/>
      <c r="D51" s="5"/>
      <c r="E51" s="5"/>
      <c r="F51" s="5"/>
      <c r="G51" s="5"/>
      <c r="H51" s="5"/>
      <c r="I51" s="5"/>
      <c r="J51" s="5"/>
      <c r="K51" s="5"/>
      <c r="L51" s="5"/>
      <c r="M51" s="5"/>
      <c r="N51" s="5"/>
      <c r="O51" s="5"/>
      <c r="P51" s="5"/>
      <c r="Q51" s="5"/>
      <c r="R51" s="5"/>
      <c r="S51" s="5"/>
      <c r="T51" s="5"/>
      <c r="U51" s="5"/>
      <c r="V51" s="7"/>
      <c r="W51" s="7"/>
      <c r="X51" s="164" t="e">
        <f t="shared" si="0"/>
        <v>#N/A</v>
      </c>
      <c r="Y51" s="164" t="e">
        <f t="shared" si="1"/>
        <v>#N/A</v>
      </c>
      <c r="AB51" s="156">
        <f t="shared" si="2"/>
        <v>0</v>
      </c>
      <c r="AC51" s="121" t="str">
        <f t="shared" si="3"/>
        <v/>
      </c>
      <c r="AE51" s="121" t="str">
        <f t="shared" si="4"/>
        <v/>
      </c>
      <c r="AF51" s="111" t="str">
        <f t="shared" si="5"/>
        <v/>
      </c>
      <c r="AG51" s="130"/>
      <c r="AH51" s="134"/>
      <c r="AI51" s="134"/>
      <c r="AJ51" s="133">
        <f t="shared" ref="AJ51" ca="1" si="75">IF(AH49&gt;$AH$7,AJ50,AJ50)</f>
        <v>16.883682179918729</v>
      </c>
      <c r="AK51" s="130">
        <f t="shared" ref="AK51" si="76">IF(AH49&gt;$AH$7,AK50,0)</f>
        <v>0</v>
      </c>
    </row>
    <row r="52" spans="1:37">
      <c r="A52" s="159"/>
      <c r="B52" s="160"/>
      <c r="C52" s="5"/>
      <c r="D52" s="5"/>
      <c r="E52" s="5"/>
      <c r="F52" s="5"/>
      <c r="G52" s="5"/>
      <c r="H52" s="5"/>
      <c r="I52" s="5"/>
      <c r="J52" s="5"/>
      <c r="K52" s="5"/>
      <c r="L52" s="5"/>
      <c r="M52" s="5"/>
      <c r="N52" s="5"/>
      <c r="O52" s="5"/>
      <c r="P52" s="5"/>
      <c r="Q52" s="5"/>
      <c r="R52" s="5"/>
      <c r="S52" s="5"/>
      <c r="T52" s="5"/>
      <c r="U52" s="5"/>
      <c r="V52" s="7"/>
      <c r="W52" s="7"/>
      <c r="X52" s="164" t="e">
        <f t="shared" si="0"/>
        <v>#N/A</v>
      </c>
      <c r="Y52" s="164" t="e">
        <f t="shared" si="1"/>
        <v>#N/A</v>
      </c>
      <c r="AB52" s="156">
        <f t="shared" si="2"/>
        <v>0</v>
      </c>
      <c r="AC52" s="121" t="str">
        <f t="shared" si="3"/>
        <v/>
      </c>
      <c r="AE52" s="121" t="str">
        <f t="shared" si="4"/>
        <v/>
      </c>
      <c r="AF52" s="111" t="str">
        <f t="shared" si="5"/>
        <v/>
      </c>
      <c r="AG52" s="130"/>
      <c r="AH52" s="134">
        <v>15</v>
      </c>
      <c r="AI52" s="134">
        <f ca="1">COUNTIF(INDIRECT(CONCATENATE($AH$3,":",$AH$3)),"&lt;="&amp;AJ53)</f>
        <v>13</v>
      </c>
      <c r="AJ52" s="133">
        <f t="shared" ref="AJ52" ca="1" si="77">IF(AH52&gt;$AH$7,AJ51,AJ50)</f>
        <v>16.883682179918729</v>
      </c>
      <c r="AK52" s="130">
        <f t="shared" ref="AK52" si="78">IF(AH52&gt;$AH$7,AK51,AK53)</f>
        <v>0</v>
      </c>
    </row>
    <row r="53" spans="1:37">
      <c r="A53" s="159"/>
      <c r="B53" s="160"/>
      <c r="C53" s="5"/>
      <c r="D53" s="5"/>
      <c r="E53" s="5"/>
      <c r="F53" s="5"/>
      <c r="G53" s="5"/>
      <c r="H53" s="5"/>
      <c r="I53" s="5"/>
      <c r="J53" s="5"/>
      <c r="K53" s="5"/>
      <c r="L53" s="5"/>
      <c r="M53" s="5"/>
      <c r="N53" s="5"/>
      <c r="O53" s="5"/>
      <c r="P53" s="5"/>
      <c r="Q53" s="5"/>
      <c r="R53" s="5"/>
      <c r="S53" s="5"/>
      <c r="T53" s="5"/>
      <c r="U53" s="5"/>
      <c r="V53" s="7"/>
      <c r="W53" s="7"/>
      <c r="X53" s="164" t="e">
        <f t="shared" si="0"/>
        <v>#N/A</v>
      </c>
      <c r="Y53" s="164" t="e">
        <f t="shared" si="1"/>
        <v>#N/A</v>
      </c>
      <c r="AB53" s="156">
        <f t="shared" si="2"/>
        <v>0</v>
      </c>
      <c r="AC53" s="121" t="str">
        <f t="shared" si="3"/>
        <v/>
      </c>
      <c r="AE53" s="121" t="str">
        <f t="shared" si="4"/>
        <v/>
      </c>
      <c r="AF53" s="111" t="str">
        <f t="shared" si="5"/>
        <v/>
      </c>
      <c r="AG53" s="130"/>
      <c r="AH53" s="134"/>
      <c r="AI53" s="134"/>
      <c r="AJ53" s="133">
        <f t="shared" ref="AJ53" ca="1" si="79">IF(AH52&gt;$AH$7,AJ52,AJ52+$AH$6)</f>
        <v>16.883682179918729</v>
      </c>
      <c r="AK53" s="130">
        <f t="shared" ref="AK53" si="80">IF(AH52&gt;$AH$7,AK52,AI52-AI49)</f>
        <v>0</v>
      </c>
    </row>
    <row r="54" spans="1:37">
      <c r="A54" s="159"/>
      <c r="B54" s="160"/>
      <c r="C54" s="5"/>
      <c r="D54" s="5"/>
      <c r="E54" s="5"/>
      <c r="F54" s="5"/>
      <c r="G54" s="5"/>
      <c r="H54" s="5"/>
      <c r="I54" s="5"/>
      <c r="J54" s="5"/>
      <c r="K54" s="5"/>
      <c r="L54" s="5"/>
      <c r="M54" s="5"/>
      <c r="N54" s="5"/>
      <c r="O54" s="5"/>
      <c r="P54" s="5"/>
      <c r="Q54" s="5"/>
      <c r="R54" s="5"/>
      <c r="S54" s="5"/>
      <c r="T54" s="5"/>
      <c r="U54" s="5"/>
      <c r="V54" s="7"/>
      <c r="W54" s="7"/>
      <c r="X54" s="164" t="e">
        <f t="shared" si="0"/>
        <v>#N/A</v>
      </c>
      <c r="Y54" s="164" t="e">
        <f t="shared" si="1"/>
        <v>#N/A</v>
      </c>
      <c r="AB54" s="156">
        <f t="shared" si="2"/>
        <v>0</v>
      </c>
      <c r="AC54" s="121" t="str">
        <f t="shared" si="3"/>
        <v/>
      </c>
      <c r="AE54" s="121" t="str">
        <f t="shared" si="4"/>
        <v/>
      </c>
      <c r="AF54" s="111" t="str">
        <f t="shared" si="5"/>
        <v/>
      </c>
      <c r="AG54" s="130"/>
      <c r="AH54" s="134"/>
      <c r="AI54" s="134"/>
      <c r="AJ54" s="133">
        <f t="shared" ref="AJ54" ca="1" si="81">IF(AH52&gt;$AH$7,AJ53,AJ53)</f>
        <v>16.883682179918729</v>
      </c>
      <c r="AK54" s="130">
        <f t="shared" ref="AK54" si="82">IF(AH52&gt;$AH$7,AK53,0)</f>
        <v>0</v>
      </c>
    </row>
    <row r="55" spans="1:37">
      <c r="A55" s="159"/>
      <c r="B55" s="160"/>
      <c r="C55" s="5"/>
      <c r="D55" s="5"/>
      <c r="E55" s="5"/>
      <c r="F55" s="5"/>
      <c r="G55" s="5"/>
      <c r="H55" s="5"/>
      <c r="I55" s="5"/>
      <c r="J55" s="5"/>
      <c r="K55" s="5"/>
      <c r="L55" s="5"/>
      <c r="M55" s="5"/>
      <c r="N55" s="5"/>
      <c r="O55" s="5"/>
      <c r="P55" s="5"/>
      <c r="Q55" s="5"/>
      <c r="R55" s="5"/>
      <c r="S55" s="5"/>
      <c r="T55" s="5"/>
      <c r="U55" s="5"/>
      <c r="V55" s="7"/>
      <c r="W55" s="7"/>
      <c r="X55" s="164" t="e">
        <f t="shared" si="0"/>
        <v>#N/A</v>
      </c>
      <c r="Y55" s="164" t="e">
        <f t="shared" si="1"/>
        <v>#N/A</v>
      </c>
      <c r="AB55" s="156">
        <f t="shared" si="2"/>
        <v>0</v>
      </c>
      <c r="AC55" s="121" t="str">
        <f t="shared" si="3"/>
        <v/>
      </c>
      <c r="AE55" s="121" t="str">
        <f t="shared" si="4"/>
        <v/>
      </c>
      <c r="AF55" s="111" t="str">
        <f t="shared" si="5"/>
        <v/>
      </c>
      <c r="AG55" s="130"/>
      <c r="AH55" s="134"/>
      <c r="AI55" s="134"/>
      <c r="AJ55" s="133"/>
    </row>
    <row r="56" spans="1:37">
      <c r="A56" s="159"/>
      <c r="B56" s="160"/>
      <c r="C56" s="5"/>
      <c r="D56" s="5"/>
      <c r="E56" s="5"/>
      <c r="F56" s="5"/>
      <c r="G56" s="5"/>
      <c r="H56" s="5"/>
      <c r="I56" s="5"/>
      <c r="J56" s="5"/>
      <c r="K56" s="5"/>
      <c r="L56" s="5"/>
      <c r="M56" s="5"/>
      <c r="N56" s="5"/>
      <c r="O56" s="5"/>
      <c r="P56" s="5"/>
      <c r="Q56" s="5"/>
      <c r="R56" s="5"/>
      <c r="S56" s="5"/>
      <c r="T56" s="5"/>
      <c r="U56" s="5"/>
      <c r="V56" s="7"/>
      <c r="W56" s="7"/>
      <c r="X56" s="164" t="e">
        <f t="shared" si="0"/>
        <v>#N/A</v>
      </c>
      <c r="Y56" s="164" t="e">
        <f t="shared" si="1"/>
        <v>#N/A</v>
      </c>
      <c r="AB56" s="156">
        <f t="shared" si="2"/>
        <v>0</v>
      </c>
      <c r="AC56" s="121" t="str">
        <f t="shared" si="3"/>
        <v/>
      </c>
      <c r="AE56" s="121" t="str">
        <f t="shared" si="4"/>
        <v/>
      </c>
      <c r="AF56" s="111" t="str">
        <f t="shared" si="5"/>
        <v/>
      </c>
    </row>
    <row r="57" spans="1:37">
      <c r="A57" s="159"/>
      <c r="B57" s="160"/>
      <c r="C57" s="5"/>
      <c r="D57" s="5"/>
      <c r="E57" s="5"/>
      <c r="F57" s="5"/>
      <c r="G57" s="5"/>
      <c r="H57" s="5"/>
      <c r="I57" s="5"/>
      <c r="J57" s="5"/>
      <c r="K57" s="5"/>
      <c r="L57" s="5"/>
      <c r="M57" s="5"/>
      <c r="N57" s="5"/>
      <c r="O57" s="5"/>
      <c r="P57" s="5"/>
      <c r="Q57" s="5"/>
      <c r="R57" s="5"/>
      <c r="S57" s="5"/>
      <c r="T57" s="5"/>
      <c r="U57" s="5"/>
      <c r="V57" s="7"/>
      <c r="W57" s="7"/>
      <c r="X57" s="164" t="e">
        <f t="shared" si="0"/>
        <v>#N/A</v>
      </c>
      <c r="Y57" s="164" t="e">
        <f t="shared" si="1"/>
        <v>#N/A</v>
      </c>
      <c r="AB57" s="156">
        <f t="shared" si="2"/>
        <v>0</v>
      </c>
      <c r="AC57" s="121" t="str">
        <f t="shared" si="3"/>
        <v/>
      </c>
      <c r="AE57" s="121" t="str">
        <f t="shared" si="4"/>
        <v/>
      </c>
      <c r="AF57" s="111" t="str">
        <f t="shared" si="5"/>
        <v/>
      </c>
    </row>
    <row r="58" spans="1:37">
      <c r="A58" s="159"/>
      <c r="B58" s="160"/>
      <c r="C58" s="5"/>
      <c r="D58" s="5"/>
      <c r="E58" s="5"/>
      <c r="F58" s="5"/>
      <c r="G58" s="5"/>
      <c r="H58" s="5"/>
      <c r="I58" s="5"/>
      <c r="J58" s="5"/>
      <c r="K58" s="5"/>
      <c r="L58" s="5"/>
      <c r="M58" s="5"/>
      <c r="N58" s="5"/>
      <c r="O58" s="5"/>
      <c r="P58" s="5"/>
      <c r="Q58" s="5"/>
      <c r="R58" s="5"/>
      <c r="S58" s="5"/>
      <c r="T58" s="5"/>
      <c r="U58" s="5"/>
      <c r="V58" s="7"/>
      <c r="W58" s="7"/>
      <c r="X58" s="164" t="e">
        <f t="shared" si="0"/>
        <v>#N/A</v>
      </c>
      <c r="Y58" s="164" t="e">
        <f t="shared" si="1"/>
        <v>#N/A</v>
      </c>
      <c r="AB58" s="156">
        <f t="shared" si="2"/>
        <v>0</v>
      </c>
      <c r="AC58" s="121" t="str">
        <f t="shared" si="3"/>
        <v/>
      </c>
      <c r="AE58" s="121" t="str">
        <f t="shared" si="4"/>
        <v/>
      </c>
      <c r="AF58" s="111" t="str">
        <f t="shared" si="5"/>
        <v/>
      </c>
    </row>
    <row r="59" spans="1:37">
      <c r="A59" s="159"/>
      <c r="B59" s="160"/>
      <c r="C59" s="5"/>
      <c r="D59" s="5"/>
      <c r="E59" s="5"/>
      <c r="F59" s="5"/>
      <c r="G59" s="5"/>
      <c r="H59" s="5"/>
      <c r="I59" s="5"/>
      <c r="J59" s="5"/>
      <c r="K59" s="5"/>
      <c r="L59" s="5"/>
      <c r="M59" s="5"/>
      <c r="N59" s="5"/>
      <c r="O59" s="5"/>
      <c r="P59" s="5"/>
      <c r="Q59" s="5"/>
      <c r="R59" s="5"/>
      <c r="S59" s="5"/>
      <c r="T59" s="5"/>
      <c r="U59" s="5"/>
      <c r="V59" s="7"/>
      <c r="W59" s="7"/>
      <c r="X59" s="164" t="e">
        <f t="shared" si="0"/>
        <v>#N/A</v>
      </c>
      <c r="Y59" s="164" t="e">
        <f t="shared" si="1"/>
        <v>#N/A</v>
      </c>
      <c r="AB59" s="156">
        <f t="shared" si="2"/>
        <v>0</v>
      </c>
      <c r="AC59" s="121" t="str">
        <f t="shared" si="3"/>
        <v/>
      </c>
      <c r="AE59" s="121" t="str">
        <f t="shared" si="4"/>
        <v/>
      </c>
      <c r="AF59" s="111" t="str">
        <f t="shared" si="5"/>
        <v/>
      </c>
    </row>
    <row r="60" spans="1:37">
      <c r="A60" s="159"/>
      <c r="B60" s="160"/>
      <c r="C60" s="5"/>
      <c r="D60" s="5"/>
      <c r="E60" s="5"/>
      <c r="F60" s="5"/>
      <c r="G60" s="5"/>
      <c r="H60" s="5"/>
      <c r="I60" s="5"/>
      <c r="J60" s="5"/>
      <c r="K60" s="5"/>
      <c r="L60" s="5"/>
      <c r="M60" s="5"/>
      <c r="N60" s="5"/>
      <c r="O60" s="5"/>
      <c r="P60" s="5"/>
      <c r="Q60" s="5"/>
      <c r="R60" s="5"/>
      <c r="S60" s="5"/>
      <c r="T60" s="5"/>
      <c r="U60" s="5"/>
      <c r="V60" s="7"/>
      <c r="W60" s="7"/>
      <c r="X60" s="164" t="e">
        <f t="shared" si="0"/>
        <v>#N/A</v>
      </c>
      <c r="Y60" s="164" t="e">
        <f t="shared" si="1"/>
        <v>#N/A</v>
      </c>
      <c r="AB60" s="156">
        <f t="shared" si="2"/>
        <v>0</v>
      </c>
      <c r="AC60" s="121" t="str">
        <f t="shared" si="3"/>
        <v/>
      </c>
      <c r="AE60" s="121" t="str">
        <f t="shared" si="4"/>
        <v/>
      </c>
      <c r="AF60" s="111" t="str">
        <f t="shared" si="5"/>
        <v/>
      </c>
    </row>
    <row r="61" spans="1:37">
      <c r="A61" s="159"/>
      <c r="B61" s="160"/>
      <c r="C61" s="5"/>
      <c r="D61" s="5"/>
      <c r="E61" s="5"/>
      <c r="F61" s="5"/>
      <c r="G61" s="5"/>
      <c r="H61" s="5"/>
      <c r="I61" s="5"/>
      <c r="J61" s="5"/>
      <c r="K61" s="5"/>
      <c r="L61" s="5"/>
      <c r="M61" s="5"/>
      <c r="N61" s="5"/>
      <c r="O61" s="5"/>
      <c r="P61" s="5"/>
      <c r="Q61" s="5"/>
      <c r="R61" s="5"/>
      <c r="S61" s="5"/>
      <c r="T61" s="5"/>
      <c r="U61" s="5"/>
      <c r="V61" s="7"/>
      <c r="W61" s="7"/>
      <c r="X61" s="164" t="e">
        <f t="shared" si="0"/>
        <v>#N/A</v>
      </c>
      <c r="Y61" s="164" t="e">
        <f t="shared" si="1"/>
        <v>#N/A</v>
      </c>
      <c r="AB61" s="156">
        <f t="shared" si="2"/>
        <v>0</v>
      </c>
      <c r="AC61" s="121" t="str">
        <f t="shared" si="3"/>
        <v/>
      </c>
      <c r="AE61" s="121" t="str">
        <f t="shared" si="4"/>
        <v/>
      </c>
      <c r="AF61" s="111" t="str">
        <f t="shared" si="5"/>
        <v/>
      </c>
    </row>
    <row r="62" spans="1:37">
      <c r="A62" s="159"/>
      <c r="B62" s="160"/>
      <c r="C62" s="5"/>
      <c r="D62" s="5"/>
      <c r="E62" s="5"/>
      <c r="F62" s="5"/>
      <c r="G62" s="5"/>
      <c r="H62" s="5"/>
      <c r="I62" s="5"/>
      <c r="J62" s="5"/>
      <c r="K62" s="5"/>
      <c r="L62" s="5"/>
      <c r="M62" s="5"/>
      <c r="N62" s="5"/>
      <c r="O62" s="5"/>
      <c r="P62" s="5"/>
      <c r="Q62" s="5"/>
      <c r="R62" s="5"/>
      <c r="S62" s="5"/>
      <c r="T62" s="5"/>
      <c r="U62" s="5"/>
      <c r="V62" s="7"/>
      <c r="W62" s="7"/>
      <c r="X62" s="164" t="e">
        <f t="shared" si="0"/>
        <v>#N/A</v>
      </c>
      <c r="Y62" s="164" t="e">
        <f t="shared" si="1"/>
        <v>#N/A</v>
      </c>
      <c r="AB62" s="156">
        <f t="shared" si="2"/>
        <v>0</v>
      </c>
      <c r="AC62" s="121" t="str">
        <f t="shared" si="3"/>
        <v/>
      </c>
      <c r="AE62" s="121" t="str">
        <f t="shared" si="4"/>
        <v/>
      </c>
      <c r="AF62" s="111" t="str">
        <f t="shared" si="5"/>
        <v/>
      </c>
    </row>
    <row r="63" spans="1:37">
      <c r="A63" s="159"/>
      <c r="B63" s="160"/>
      <c r="C63" s="5"/>
      <c r="D63" s="5"/>
      <c r="E63" s="5"/>
      <c r="F63" s="5"/>
      <c r="G63" s="5"/>
      <c r="H63" s="5"/>
      <c r="I63" s="5"/>
      <c r="J63" s="5"/>
      <c r="K63" s="5"/>
      <c r="L63" s="5"/>
      <c r="M63" s="5"/>
      <c r="N63" s="5"/>
      <c r="O63" s="5"/>
      <c r="P63" s="5"/>
      <c r="Q63" s="5"/>
      <c r="R63" s="5"/>
      <c r="S63" s="5"/>
      <c r="T63" s="5"/>
      <c r="U63" s="5"/>
      <c r="V63" s="7"/>
      <c r="W63" s="7"/>
      <c r="X63" s="164" t="e">
        <f t="shared" si="0"/>
        <v>#N/A</v>
      </c>
      <c r="Y63" s="164" t="e">
        <f t="shared" si="1"/>
        <v>#N/A</v>
      </c>
      <c r="AB63" s="156">
        <f t="shared" si="2"/>
        <v>0</v>
      </c>
      <c r="AC63" s="121" t="str">
        <f t="shared" si="3"/>
        <v/>
      </c>
      <c r="AE63" s="121" t="str">
        <f t="shared" si="4"/>
        <v/>
      </c>
      <c r="AF63" s="111" t="str">
        <f t="shared" si="5"/>
        <v/>
      </c>
    </row>
    <row r="64" spans="1:37">
      <c r="A64" s="159"/>
      <c r="B64" s="160"/>
      <c r="C64" s="5"/>
      <c r="D64" s="5"/>
      <c r="E64" s="5"/>
      <c r="F64" s="5"/>
      <c r="G64" s="5"/>
      <c r="H64" s="5"/>
      <c r="I64" s="5"/>
      <c r="J64" s="5"/>
      <c r="K64" s="5"/>
      <c r="L64" s="5"/>
      <c r="M64" s="5"/>
      <c r="N64" s="5"/>
      <c r="O64" s="5"/>
      <c r="P64" s="5"/>
      <c r="Q64" s="5"/>
      <c r="R64" s="5"/>
      <c r="S64" s="5"/>
      <c r="T64" s="5"/>
      <c r="U64" s="5"/>
      <c r="V64" s="7"/>
      <c r="W64" s="7"/>
      <c r="X64" s="164" t="e">
        <f t="shared" si="0"/>
        <v>#N/A</v>
      </c>
      <c r="Y64" s="164" t="e">
        <f t="shared" si="1"/>
        <v>#N/A</v>
      </c>
      <c r="AB64" s="156">
        <f t="shared" si="2"/>
        <v>0</v>
      </c>
      <c r="AC64" s="121" t="str">
        <f t="shared" si="3"/>
        <v/>
      </c>
      <c r="AE64" s="121" t="str">
        <f t="shared" si="4"/>
        <v/>
      </c>
      <c r="AF64" s="111" t="str">
        <f t="shared" si="5"/>
        <v/>
      </c>
    </row>
    <row r="65" spans="1:32">
      <c r="A65" s="159"/>
      <c r="B65" s="160"/>
      <c r="C65" s="5"/>
      <c r="D65" s="5"/>
      <c r="E65" s="5"/>
      <c r="F65" s="5"/>
      <c r="G65" s="5"/>
      <c r="H65" s="5"/>
      <c r="I65" s="5"/>
      <c r="J65" s="5"/>
      <c r="K65" s="5"/>
      <c r="L65" s="5"/>
      <c r="M65" s="5"/>
      <c r="N65" s="5"/>
      <c r="O65" s="5"/>
      <c r="P65" s="5"/>
      <c r="Q65" s="5"/>
      <c r="R65" s="5"/>
      <c r="S65" s="5"/>
      <c r="T65" s="5"/>
      <c r="U65" s="5"/>
      <c r="V65" s="7"/>
      <c r="W65" s="7"/>
      <c r="X65" s="164" t="e">
        <f t="shared" si="0"/>
        <v>#N/A</v>
      </c>
      <c r="Y65" s="164" t="e">
        <f t="shared" si="1"/>
        <v>#N/A</v>
      </c>
      <c r="AB65" s="156">
        <f t="shared" si="2"/>
        <v>0</v>
      </c>
      <c r="AC65" s="121" t="str">
        <f t="shared" si="3"/>
        <v/>
      </c>
      <c r="AE65" s="121" t="str">
        <f t="shared" si="4"/>
        <v/>
      </c>
      <c r="AF65" s="111" t="str">
        <f t="shared" si="5"/>
        <v/>
      </c>
    </row>
    <row r="66" spans="1:32">
      <c r="A66" s="159"/>
      <c r="B66" s="160"/>
      <c r="C66" s="5"/>
      <c r="D66" s="5"/>
      <c r="E66" s="5"/>
      <c r="F66" s="5"/>
      <c r="G66" s="5"/>
      <c r="H66" s="5"/>
      <c r="I66" s="5"/>
      <c r="J66" s="5"/>
      <c r="K66" s="5"/>
      <c r="L66" s="5"/>
      <c r="M66" s="5"/>
      <c r="N66" s="5"/>
      <c r="O66" s="5"/>
      <c r="P66" s="5"/>
      <c r="Q66" s="5"/>
      <c r="R66" s="5"/>
      <c r="S66" s="5"/>
      <c r="T66" s="5"/>
      <c r="U66" s="5"/>
      <c r="V66" s="7"/>
      <c r="W66" s="7"/>
      <c r="X66" s="164" t="e">
        <f t="shared" ref="X66:X129" si="83">IF(AB66=1, A66,NA())</f>
        <v>#N/A</v>
      </c>
      <c r="Y66" s="164" t="e">
        <f t="shared" ref="Y66:Y129" si="84">IF(AB66=1,B66-($H$7+$I$7*X66),NA())</f>
        <v>#N/A</v>
      </c>
      <c r="AB66" s="156">
        <f t="shared" si="2"/>
        <v>0</v>
      </c>
      <c r="AC66" s="121" t="str">
        <f t="shared" ref="AC66:AC129" si="85">IF(ISBLANK(A66), "", Y66^2)</f>
        <v/>
      </c>
      <c r="AE66" s="121" t="str">
        <f t="shared" si="4"/>
        <v/>
      </c>
      <c r="AF66" s="111" t="str">
        <f t="shared" si="5"/>
        <v/>
      </c>
    </row>
    <row r="67" spans="1:32">
      <c r="A67" s="159"/>
      <c r="B67" s="160"/>
      <c r="C67" s="5"/>
      <c r="D67" s="5"/>
      <c r="E67" s="5"/>
      <c r="F67" s="5"/>
      <c r="G67" s="5"/>
      <c r="H67" s="5"/>
      <c r="I67" s="5"/>
      <c r="J67" s="5"/>
      <c r="K67" s="5"/>
      <c r="L67" s="5"/>
      <c r="M67" s="5"/>
      <c r="N67" s="5"/>
      <c r="O67" s="5"/>
      <c r="P67" s="5"/>
      <c r="Q67" s="5"/>
      <c r="R67" s="5"/>
      <c r="S67" s="5"/>
      <c r="T67" s="5"/>
      <c r="U67" s="5"/>
      <c r="V67" s="7"/>
      <c r="W67" s="7"/>
      <c r="X67" s="164" t="e">
        <f t="shared" si="83"/>
        <v>#N/A</v>
      </c>
      <c r="Y67" s="164" t="e">
        <f t="shared" si="84"/>
        <v>#N/A</v>
      </c>
      <c r="AB67" s="156">
        <f t="shared" ref="AB67:AB130" si="86">IF(ISBLANK(A67),0,1)</f>
        <v>0</v>
      </c>
      <c r="AC67" s="121" t="str">
        <f t="shared" si="85"/>
        <v/>
      </c>
      <c r="AE67" s="121" t="str">
        <f t="shared" ref="AE67:AE130" si="87">IF(AB67=1,(A67-$AA$2)^2, "")</f>
        <v/>
      </c>
      <c r="AF67" s="111" t="str">
        <f t="shared" si="5"/>
        <v/>
      </c>
    </row>
    <row r="68" spans="1:32">
      <c r="A68" s="159"/>
      <c r="B68" s="160"/>
      <c r="C68" s="5"/>
      <c r="D68" s="5"/>
      <c r="E68" s="5"/>
      <c r="F68" s="5"/>
      <c r="G68" s="5"/>
      <c r="H68" s="5"/>
      <c r="I68" s="5"/>
      <c r="J68" s="5"/>
      <c r="K68" s="5"/>
      <c r="L68" s="5"/>
      <c r="M68" s="5"/>
      <c r="N68" s="5"/>
      <c r="O68" s="5"/>
      <c r="P68" s="5"/>
      <c r="Q68" s="5"/>
      <c r="R68" s="5"/>
      <c r="S68" s="5"/>
      <c r="T68" s="5"/>
      <c r="U68" s="5"/>
      <c r="V68" s="7"/>
      <c r="W68" s="7"/>
      <c r="X68" s="164" t="e">
        <f t="shared" si="83"/>
        <v>#N/A</v>
      </c>
      <c r="Y68" s="164" t="e">
        <f t="shared" si="84"/>
        <v>#N/A</v>
      </c>
      <c r="AB68" s="156">
        <f t="shared" si="86"/>
        <v>0</v>
      </c>
      <c r="AC68" s="121" t="str">
        <f t="shared" si="85"/>
        <v/>
      </c>
      <c r="AE68" s="121" t="str">
        <f t="shared" si="87"/>
        <v/>
      </c>
      <c r="AF68" s="111" t="str">
        <f t="shared" ref="AF68:AF131" si="88">IFERROR(Y67, "")</f>
        <v/>
      </c>
    </row>
    <row r="69" spans="1:32">
      <c r="A69" s="159"/>
      <c r="B69" s="160"/>
      <c r="C69" s="5"/>
      <c r="D69" s="5"/>
      <c r="E69" s="5"/>
      <c r="F69" s="5"/>
      <c r="G69" s="5"/>
      <c r="H69" s="5"/>
      <c r="I69" s="5"/>
      <c r="J69" s="5"/>
      <c r="K69" s="5"/>
      <c r="L69" s="5"/>
      <c r="M69" s="5"/>
      <c r="N69" s="5"/>
      <c r="O69" s="5"/>
      <c r="P69" s="5"/>
      <c r="Q69" s="5"/>
      <c r="R69" s="5"/>
      <c r="S69" s="5"/>
      <c r="T69" s="5"/>
      <c r="U69" s="5"/>
      <c r="V69" s="7"/>
      <c r="W69" s="7"/>
      <c r="X69" s="164" t="e">
        <f t="shared" si="83"/>
        <v>#N/A</v>
      </c>
      <c r="Y69" s="164" t="e">
        <f t="shared" si="84"/>
        <v>#N/A</v>
      </c>
      <c r="AB69" s="156">
        <f t="shared" si="86"/>
        <v>0</v>
      </c>
      <c r="AC69" s="121" t="str">
        <f t="shared" si="85"/>
        <v/>
      </c>
      <c r="AE69" s="121" t="str">
        <f t="shared" si="87"/>
        <v/>
      </c>
      <c r="AF69" s="111" t="str">
        <f t="shared" si="88"/>
        <v/>
      </c>
    </row>
    <row r="70" spans="1:32">
      <c r="A70" s="159"/>
      <c r="B70" s="160"/>
      <c r="C70" s="5"/>
      <c r="D70" s="5"/>
      <c r="E70" s="5"/>
      <c r="F70" s="5"/>
      <c r="G70" s="5"/>
      <c r="H70" s="5"/>
      <c r="I70" s="5"/>
      <c r="J70" s="5"/>
      <c r="K70" s="5"/>
      <c r="L70" s="5"/>
      <c r="M70" s="5"/>
      <c r="N70" s="5"/>
      <c r="O70" s="5"/>
      <c r="P70" s="5"/>
      <c r="Q70" s="5"/>
      <c r="R70" s="5"/>
      <c r="S70" s="5"/>
      <c r="T70" s="5"/>
      <c r="U70" s="5"/>
      <c r="V70" s="7"/>
      <c r="W70" s="7"/>
      <c r="X70" s="164" t="e">
        <f t="shared" si="83"/>
        <v>#N/A</v>
      </c>
      <c r="Y70" s="164" t="e">
        <f t="shared" si="84"/>
        <v>#N/A</v>
      </c>
      <c r="AB70" s="156">
        <f t="shared" si="86"/>
        <v>0</v>
      </c>
      <c r="AC70" s="121" t="str">
        <f t="shared" si="85"/>
        <v/>
      </c>
      <c r="AE70" s="121" t="str">
        <f t="shared" si="87"/>
        <v/>
      </c>
      <c r="AF70" s="111" t="str">
        <f t="shared" si="88"/>
        <v/>
      </c>
    </row>
    <row r="71" spans="1:32">
      <c r="A71" s="159"/>
      <c r="B71" s="160"/>
      <c r="C71" s="5"/>
      <c r="D71" s="5"/>
      <c r="E71" s="5"/>
      <c r="F71" s="5"/>
      <c r="G71" s="5"/>
      <c r="H71" s="5"/>
      <c r="I71" s="5"/>
      <c r="J71" s="5"/>
      <c r="K71" s="5"/>
      <c r="L71" s="5"/>
      <c r="M71" s="5"/>
      <c r="N71" s="5"/>
      <c r="O71" s="5"/>
      <c r="P71" s="5"/>
      <c r="Q71" s="5"/>
      <c r="R71" s="5"/>
      <c r="S71" s="5"/>
      <c r="T71" s="5"/>
      <c r="U71" s="5"/>
      <c r="V71" s="7"/>
      <c r="W71" s="7"/>
      <c r="X71" s="164" t="e">
        <f t="shared" si="83"/>
        <v>#N/A</v>
      </c>
      <c r="Y71" s="164" t="e">
        <f t="shared" si="84"/>
        <v>#N/A</v>
      </c>
      <c r="AB71" s="156">
        <f t="shared" si="86"/>
        <v>0</v>
      </c>
      <c r="AC71" s="121" t="str">
        <f t="shared" si="85"/>
        <v/>
      </c>
      <c r="AE71" s="121" t="str">
        <f t="shared" si="87"/>
        <v/>
      </c>
      <c r="AF71" s="111" t="str">
        <f t="shared" si="88"/>
        <v/>
      </c>
    </row>
    <row r="72" spans="1:32">
      <c r="A72" s="159"/>
      <c r="B72" s="160"/>
      <c r="C72" s="5"/>
      <c r="D72" s="5"/>
      <c r="E72" s="5"/>
      <c r="F72" s="5"/>
      <c r="G72" s="5"/>
      <c r="H72" s="5"/>
      <c r="I72" s="5"/>
      <c r="J72" s="5"/>
      <c r="K72" s="5"/>
      <c r="L72" s="5"/>
      <c r="M72" s="5"/>
      <c r="N72" s="5"/>
      <c r="O72" s="5"/>
      <c r="P72" s="5"/>
      <c r="Q72" s="5"/>
      <c r="R72" s="5"/>
      <c r="S72" s="5"/>
      <c r="T72" s="5"/>
      <c r="U72" s="5"/>
      <c r="V72" s="7"/>
      <c r="W72" s="7"/>
      <c r="X72" s="164" t="e">
        <f t="shared" si="83"/>
        <v>#N/A</v>
      </c>
      <c r="Y72" s="164" t="e">
        <f t="shared" si="84"/>
        <v>#N/A</v>
      </c>
      <c r="AB72" s="156">
        <f t="shared" si="86"/>
        <v>0</v>
      </c>
      <c r="AC72" s="121" t="str">
        <f t="shared" si="85"/>
        <v/>
      </c>
      <c r="AE72" s="121" t="str">
        <f t="shared" si="87"/>
        <v/>
      </c>
      <c r="AF72" s="111" t="str">
        <f t="shared" si="88"/>
        <v/>
      </c>
    </row>
    <row r="73" spans="1:32">
      <c r="A73" s="159"/>
      <c r="B73" s="160"/>
      <c r="C73" s="5"/>
      <c r="D73" s="5"/>
      <c r="E73" s="5"/>
      <c r="F73" s="5"/>
      <c r="G73" s="5"/>
      <c r="H73" s="5"/>
      <c r="I73" s="5"/>
      <c r="J73" s="5"/>
      <c r="K73" s="5"/>
      <c r="L73" s="5"/>
      <c r="M73" s="5"/>
      <c r="N73" s="5"/>
      <c r="O73" s="5"/>
      <c r="P73" s="5"/>
      <c r="Q73" s="5"/>
      <c r="R73" s="5"/>
      <c r="S73" s="5"/>
      <c r="T73" s="5"/>
      <c r="U73" s="5"/>
      <c r="V73" s="7"/>
      <c r="W73" s="7"/>
      <c r="X73" s="164" t="e">
        <f t="shared" si="83"/>
        <v>#N/A</v>
      </c>
      <c r="Y73" s="164" t="e">
        <f t="shared" si="84"/>
        <v>#N/A</v>
      </c>
      <c r="AB73" s="156">
        <f t="shared" si="86"/>
        <v>0</v>
      </c>
      <c r="AC73" s="121" t="str">
        <f t="shared" si="85"/>
        <v/>
      </c>
      <c r="AE73" s="121" t="str">
        <f t="shared" si="87"/>
        <v/>
      </c>
      <c r="AF73" s="111" t="str">
        <f t="shared" si="88"/>
        <v/>
      </c>
    </row>
    <row r="74" spans="1:32">
      <c r="A74" s="159"/>
      <c r="B74" s="160"/>
      <c r="C74" s="5"/>
      <c r="D74" s="5"/>
      <c r="E74" s="5"/>
      <c r="F74" s="5"/>
      <c r="G74" s="5"/>
      <c r="H74" s="5"/>
      <c r="I74" s="5"/>
      <c r="J74" s="5"/>
      <c r="K74" s="5"/>
      <c r="L74" s="5"/>
      <c r="M74" s="5"/>
      <c r="N74" s="5"/>
      <c r="O74" s="5"/>
      <c r="P74" s="5"/>
      <c r="Q74" s="5"/>
      <c r="R74" s="5"/>
      <c r="S74" s="5"/>
      <c r="T74" s="5"/>
      <c r="U74" s="5"/>
      <c r="V74" s="7"/>
      <c r="W74" s="7"/>
      <c r="X74" s="164" t="e">
        <f t="shared" si="83"/>
        <v>#N/A</v>
      </c>
      <c r="Y74" s="164" t="e">
        <f t="shared" si="84"/>
        <v>#N/A</v>
      </c>
      <c r="AB74" s="156">
        <f t="shared" si="86"/>
        <v>0</v>
      </c>
      <c r="AC74" s="121" t="str">
        <f t="shared" si="85"/>
        <v/>
      </c>
      <c r="AE74" s="121" t="str">
        <f t="shared" si="87"/>
        <v/>
      </c>
      <c r="AF74" s="111" t="str">
        <f t="shared" si="88"/>
        <v/>
      </c>
    </row>
    <row r="75" spans="1:32">
      <c r="A75" s="159"/>
      <c r="B75" s="160"/>
      <c r="C75" s="5"/>
      <c r="D75" s="5"/>
      <c r="E75" s="5"/>
      <c r="F75" s="5"/>
      <c r="G75" s="5"/>
      <c r="H75" s="5"/>
      <c r="I75" s="5"/>
      <c r="J75" s="5"/>
      <c r="K75" s="5"/>
      <c r="L75" s="5"/>
      <c r="M75" s="5"/>
      <c r="N75" s="5"/>
      <c r="O75" s="5"/>
      <c r="P75" s="5"/>
      <c r="Q75" s="5"/>
      <c r="R75" s="5"/>
      <c r="S75" s="5"/>
      <c r="T75" s="5"/>
      <c r="U75" s="5"/>
      <c r="V75" s="7"/>
      <c r="W75" s="7"/>
      <c r="X75" s="164" t="e">
        <f t="shared" si="83"/>
        <v>#N/A</v>
      </c>
      <c r="Y75" s="164" t="e">
        <f t="shared" si="84"/>
        <v>#N/A</v>
      </c>
      <c r="AB75" s="156">
        <f t="shared" si="86"/>
        <v>0</v>
      </c>
      <c r="AC75" s="121" t="str">
        <f t="shared" si="85"/>
        <v/>
      </c>
      <c r="AE75" s="121" t="str">
        <f t="shared" si="87"/>
        <v/>
      </c>
      <c r="AF75" s="111" t="str">
        <f t="shared" si="88"/>
        <v/>
      </c>
    </row>
    <row r="76" spans="1:32">
      <c r="A76" s="159"/>
      <c r="B76" s="160"/>
      <c r="C76" s="5"/>
      <c r="D76" s="5"/>
      <c r="E76" s="5"/>
      <c r="F76" s="5"/>
      <c r="G76" s="5"/>
      <c r="H76" s="5"/>
      <c r="I76" s="5"/>
      <c r="J76" s="5"/>
      <c r="K76" s="5"/>
      <c r="L76" s="5"/>
      <c r="M76" s="5"/>
      <c r="N76" s="5"/>
      <c r="O76" s="5"/>
      <c r="P76" s="5"/>
      <c r="Q76" s="5"/>
      <c r="R76" s="5"/>
      <c r="S76" s="5"/>
      <c r="T76" s="5"/>
      <c r="U76" s="5"/>
      <c r="V76" s="7"/>
      <c r="W76" s="7"/>
      <c r="X76" s="164" t="e">
        <f t="shared" si="83"/>
        <v>#N/A</v>
      </c>
      <c r="Y76" s="164" t="e">
        <f t="shared" si="84"/>
        <v>#N/A</v>
      </c>
      <c r="AB76" s="156">
        <f t="shared" si="86"/>
        <v>0</v>
      </c>
      <c r="AC76" s="121" t="str">
        <f t="shared" si="85"/>
        <v/>
      </c>
      <c r="AE76" s="121" t="str">
        <f t="shared" si="87"/>
        <v/>
      </c>
      <c r="AF76" s="111" t="str">
        <f t="shared" si="88"/>
        <v/>
      </c>
    </row>
    <row r="77" spans="1:32">
      <c r="A77" s="159"/>
      <c r="B77" s="160"/>
      <c r="C77" s="5"/>
      <c r="D77" s="5"/>
      <c r="E77" s="5"/>
      <c r="F77" s="5"/>
      <c r="G77" s="5"/>
      <c r="H77" s="5"/>
      <c r="I77" s="5"/>
      <c r="J77" s="5"/>
      <c r="K77" s="5"/>
      <c r="L77" s="5"/>
      <c r="M77" s="5"/>
      <c r="N77" s="5"/>
      <c r="O77" s="5"/>
      <c r="P77" s="5"/>
      <c r="Q77" s="5"/>
      <c r="R77" s="5"/>
      <c r="S77" s="5"/>
      <c r="T77" s="5"/>
      <c r="U77" s="5"/>
      <c r="V77" s="7"/>
      <c r="W77" s="7"/>
      <c r="X77" s="164" t="e">
        <f t="shared" si="83"/>
        <v>#N/A</v>
      </c>
      <c r="Y77" s="164" t="e">
        <f t="shared" si="84"/>
        <v>#N/A</v>
      </c>
      <c r="AB77" s="156">
        <f t="shared" si="86"/>
        <v>0</v>
      </c>
      <c r="AC77" s="121" t="str">
        <f t="shared" si="85"/>
        <v/>
      </c>
      <c r="AE77" s="121" t="str">
        <f t="shared" si="87"/>
        <v/>
      </c>
      <c r="AF77" s="111" t="str">
        <f t="shared" si="88"/>
        <v/>
      </c>
    </row>
    <row r="78" spans="1:32">
      <c r="A78" s="159"/>
      <c r="B78" s="160"/>
      <c r="C78" s="5"/>
      <c r="D78" s="5"/>
      <c r="E78" s="5"/>
      <c r="F78" s="5"/>
      <c r="G78" s="5"/>
      <c r="H78" s="5"/>
      <c r="I78" s="5"/>
      <c r="J78" s="5"/>
      <c r="K78" s="5"/>
      <c r="L78" s="5"/>
      <c r="M78" s="5"/>
      <c r="N78" s="5"/>
      <c r="O78" s="5"/>
      <c r="P78" s="5"/>
      <c r="Q78" s="5"/>
      <c r="R78" s="5"/>
      <c r="S78" s="5"/>
      <c r="T78" s="5"/>
      <c r="U78" s="5"/>
      <c r="V78" s="7"/>
      <c r="W78" s="7"/>
      <c r="X78" s="164" t="e">
        <f t="shared" si="83"/>
        <v>#N/A</v>
      </c>
      <c r="Y78" s="164" t="e">
        <f t="shared" si="84"/>
        <v>#N/A</v>
      </c>
      <c r="AB78" s="156">
        <f t="shared" si="86"/>
        <v>0</v>
      </c>
      <c r="AC78" s="121" t="str">
        <f t="shared" si="85"/>
        <v/>
      </c>
      <c r="AE78" s="121" t="str">
        <f t="shared" si="87"/>
        <v/>
      </c>
      <c r="AF78" s="111" t="str">
        <f t="shared" si="88"/>
        <v/>
      </c>
    </row>
    <row r="79" spans="1:32">
      <c r="A79" s="159"/>
      <c r="B79" s="160"/>
      <c r="C79" s="5"/>
      <c r="D79" s="5"/>
      <c r="E79" s="5"/>
      <c r="F79" s="5"/>
      <c r="G79" s="5"/>
      <c r="H79" s="5"/>
      <c r="I79" s="5"/>
      <c r="J79" s="5"/>
      <c r="K79" s="5"/>
      <c r="L79" s="5"/>
      <c r="M79" s="5"/>
      <c r="N79" s="5"/>
      <c r="O79" s="5"/>
      <c r="P79" s="5"/>
      <c r="Q79" s="5"/>
      <c r="R79" s="5"/>
      <c r="S79" s="5"/>
      <c r="T79" s="5"/>
      <c r="U79" s="5"/>
      <c r="V79" s="7"/>
      <c r="W79" s="7"/>
      <c r="X79" s="164" t="e">
        <f t="shared" si="83"/>
        <v>#N/A</v>
      </c>
      <c r="Y79" s="164" t="e">
        <f t="shared" si="84"/>
        <v>#N/A</v>
      </c>
      <c r="AB79" s="156">
        <f t="shared" si="86"/>
        <v>0</v>
      </c>
      <c r="AC79" s="121" t="str">
        <f t="shared" si="85"/>
        <v/>
      </c>
      <c r="AE79" s="121" t="str">
        <f t="shared" si="87"/>
        <v/>
      </c>
      <c r="AF79" s="111" t="str">
        <f t="shared" si="88"/>
        <v/>
      </c>
    </row>
    <row r="80" spans="1:32">
      <c r="A80" s="159"/>
      <c r="B80" s="160"/>
      <c r="C80" s="5"/>
      <c r="D80" s="5"/>
      <c r="E80" s="5"/>
      <c r="F80" s="5"/>
      <c r="G80" s="5"/>
      <c r="H80" s="5"/>
      <c r="I80" s="5"/>
      <c r="J80" s="5"/>
      <c r="K80" s="5"/>
      <c r="L80" s="5"/>
      <c r="M80" s="5"/>
      <c r="N80" s="5"/>
      <c r="O80" s="5"/>
      <c r="P80" s="5"/>
      <c r="Q80" s="5"/>
      <c r="R80" s="5"/>
      <c r="S80" s="5"/>
      <c r="T80" s="5"/>
      <c r="U80" s="5"/>
      <c r="V80" s="7"/>
      <c r="W80" s="7"/>
      <c r="X80" s="164" t="e">
        <f t="shared" si="83"/>
        <v>#N/A</v>
      </c>
      <c r="Y80" s="164" t="e">
        <f t="shared" si="84"/>
        <v>#N/A</v>
      </c>
      <c r="AB80" s="156">
        <f t="shared" si="86"/>
        <v>0</v>
      </c>
      <c r="AC80" s="121" t="str">
        <f t="shared" si="85"/>
        <v/>
      </c>
      <c r="AE80" s="121" t="str">
        <f t="shared" si="87"/>
        <v/>
      </c>
      <c r="AF80" s="111" t="str">
        <f t="shared" si="88"/>
        <v/>
      </c>
    </row>
    <row r="81" spans="1:32">
      <c r="A81" s="159"/>
      <c r="B81" s="160"/>
      <c r="C81" s="5"/>
      <c r="D81" s="5"/>
      <c r="E81" s="5"/>
      <c r="F81" s="5"/>
      <c r="G81" s="5"/>
      <c r="H81" s="5"/>
      <c r="I81" s="5"/>
      <c r="J81" s="5"/>
      <c r="K81" s="5"/>
      <c r="L81" s="5"/>
      <c r="M81" s="5"/>
      <c r="N81" s="5"/>
      <c r="O81" s="5"/>
      <c r="P81" s="5"/>
      <c r="Q81" s="5"/>
      <c r="R81" s="5"/>
      <c r="S81" s="5"/>
      <c r="T81" s="5"/>
      <c r="U81" s="5"/>
      <c r="V81" s="7"/>
      <c r="W81" s="7"/>
      <c r="X81" s="164" t="e">
        <f t="shared" si="83"/>
        <v>#N/A</v>
      </c>
      <c r="Y81" s="164" t="e">
        <f t="shared" si="84"/>
        <v>#N/A</v>
      </c>
      <c r="AB81" s="156">
        <f t="shared" si="86"/>
        <v>0</v>
      </c>
      <c r="AC81" s="121" t="str">
        <f t="shared" si="85"/>
        <v/>
      </c>
      <c r="AE81" s="121" t="str">
        <f t="shared" si="87"/>
        <v/>
      </c>
      <c r="AF81" s="111" t="str">
        <f t="shared" si="88"/>
        <v/>
      </c>
    </row>
    <row r="82" spans="1:32">
      <c r="A82" s="159"/>
      <c r="B82" s="160"/>
      <c r="C82" s="5"/>
      <c r="D82" s="5"/>
      <c r="E82" s="5"/>
      <c r="F82" s="5"/>
      <c r="G82" s="5"/>
      <c r="H82" s="5"/>
      <c r="I82" s="5"/>
      <c r="J82" s="5"/>
      <c r="K82" s="5"/>
      <c r="L82" s="5"/>
      <c r="M82" s="5"/>
      <c r="N82" s="5"/>
      <c r="O82" s="5"/>
      <c r="P82" s="5"/>
      <c r="Q82" s="5"/>
      <c r="R82" s="5"/>
      <c r="S82" s="5"/>
      <c r="T82" s="5"/>
      <c r="U82" s="5"/>
      <c r="V82" s="7"/>
      <c r="W82" s="7"/>
      <c r="X82" s="164" t="e">
        <f t="shared" si="83"/>
        <v>#N/A</v>
      </c>
      <c r="Y82" s="164" t="e">
        <f t="shared" si="84"/>
        <v>#N/A</v>
      </c>
      <c r="AB82" s="156">
        <f t="shared" si="86"/>
        <v>0</v>
      </c>
      <c r="AC82" s="121" t="str">
        <f t="shared" si="85"/>
        <v/>
      </c>
      <c r="AE82" s="121" t="str">
        <f t="shared" si="87"/>
        <v/>
      </c>
      <c r="AF82" s="111" t="str">
        <f t="shared" si="88"/>
        <v/>
      </c>
    </row>
    <row r="83" spans="1:32">
      <c r="A83" s="159"/>
      <c r="B83" s="160"/>
      <c r="C83" s="5"/>
      <c r="D83" s="5"/>
      <c r="E83" s="5"/>
      <c r="F83" s="5"/>
      <c r="G83" s="5"/>
      <c r="H83" s="5"/>
      <c r="I83" s="5"/>
      <c r="J83" s="5"/>
      <c r="K83" s="5"/>
      <c r="L83" s="5"/>
      <c r="M83" s="5"/>
      <c r="N83" s="5"/>
      <c r="O83" s="5"/>
      <c r="P83" s="5"/>
      <c r="Q83" s="5"/>
      <c r="R83" s="5"/>
      <c r="S83" s="5"/>
      <c r="T83" s="5"/>
      <c r="U83" s="5"/>
      <c r="V83" s="7"/>
      <c r="W83" s="7"/>
      <c r="X83" s="164" t="e">
        <f t="shared" si="83"/>
        <v>#N/A</v>
      </c>
      <c r="Y83" s="164" t="e">
        <f t="shared" si="84"/>
        <v>#N/A</v>
      </c>
      <c r="AB83" s="156">
        <f t="shared" si="86"/>
        <v>0</v>
      </c>
      <c r="AC83" s="121" t="str">
        <f t="shared" si="85"/>
        <v/>
      </c>
      <c r="AE83" s="121" t="str">
        <f t="shared" si="87"/>
        <v/>
      </c>
      <c r="AF83" s="111" t="str">
        <f t="shared" si="88"/>
        <v/>
      </c>
    </row>
    <row r="84" spans="1:32">
      <c r="A84" s="159"/>
      <c r="B84" s="160"/>
      <c r="C84" s="5"/>
      <c r="D84" s="5"/>
      <c r="E84" s="5"/>
      <c r="F84" s="5"/>
      <c r="G84" s="5"/>
      <c r="H84" s="5"/>
      <c r="I84" s="5"/>
      <c r="J84" s="5"/>
      <c r="K84" s="5"/>
      <c r="L84" s="5"/>
      <c r="M84" s="5"/>
      <c r="N84" s="5"/>
      <c r="O84" s="5"/>
      <c r="P84" s="5"/>
      <c r="Q84" s="5"/>
      <c r="R84" s="5"/>
      <c r="S84" s="5"/>
      <c r="T84" s="5"/>
      <c r="U84" s="5"/>
      <c r="V84" s="7"/>
      <c r="W84" s="7"/>
      <c r="X84" s="164" t="e">
        <f t="shared" si="83"/>
        <v>#N/A</v>
      </c>
      <c r="Y84" s="164" t="e">
        <f t="shared" si="84"/>
        <v>#N/A</v>
      </c>
      <c r="AB84" s="156">
        <f t="shared" si="86"/>
        <v>0</v>
      </c>
      <c r="AC84" s="121" t="str">
        <f t="shared" si="85"/>
        <v/>
      </c>
      <c r="AE84" s="121" t="str">
        <f t="shared" si="87"/>
        <v/>
      </c>
      <c r="AF84" s="111" t="str">
        <f t="shared" si="88"/>
        <v/>
      </c>
    </row>
    <row r="85" spans="1:32">
      <c r="A85" s="159"/>
      <c r="B85" s="160"/>
      <c r="C85" s="5"/>
      <c r="D85" s="5"/>
      <c r="E85" s="5"/>
      <c r="F85" s="5"/>
      <c r="G85" s="5"/>
      <c r="H85" s="5"/>
      <c r="I85" s="5"/>
      <c r="J85" s="5"/>
      <c r="K85" s="5"/>
      <c r="L85" s="5"/>
      <c r="M85" s="5"/>
      <c r="N85" s="5"/>
      <c r="O85" s="5"/>
      <c r="P85" s="5"/>
      <c r="Q85" s="5"/>
      <c r="R85" s="5"/>
      <c r="S85" s="5"/>
      <c r="T85" s="5"/>
      <c r="U85" s="5"/>
      <c r="V85" s="7"/>
      <c r="W85" s="7"/>
      <c r="X85" s="164" t="e">
        <f t="shared" si="83"/>
        <v>#N/A</v>
      </c>
      <c r="Y85" s="164" t="e">
        <f t="shared" si="84"/>
        <v>#N/A</v>
      </c>
      <c r="AB85" s="156">
        <f t="shared" si="86"/>
        <v>0</v>
      </c>
      <c r="AC85" s="121" t="str">
        <f t="shared" si="85"/>
        <v/>
      </c>
      <c r="AE85" s="121" t="str">
        <f t="shared" si="87"/>
        <v/>
      </c>
      <c r="AF85" s="111" t="str">
        <f t="shared" si="88"/>
        <v/>
      </c>
    </row>
    <row r="86" spans="1:32">
      <c r="A86" s="159"/>
      <c r="B86" s="160"/>
      <c r="C86" s="5"/>
      <c r="D86" s="5"/>
      <c r="E86" s="5"/>
      <c r="F86" s="5"/>
      <c r="G86" s="5"/>
      <c r="H86" s="5"/>
      <c r="I86" s="5"/>
      <c r="J86" s="5"/>
      <c r="K86" s="5"/>
      <c r="L86" s="5"/>
      <c r="M86" s="5"/>
      <c r="N86" s="5"/>
      <c r="O86" s="5"/>
      <c r="P86" s="5"/>
      <c r="Q86" s="5"/>
      <c r="R86" s="5"/>
      <c r="S86" s="5"/>
      <c r="T86" s="5"/>
      <c r="U86" s="5"/>
      <c r="V86" s="7"/>
      <c r="W86" s="7"/>
      <c r="X86" s="164" t="e">
        <f t="shared" si="83"/>
        <v>#N/A</v>
      </c>
      <c r="Y86" s="164" t="e">
        <f t="shared" si="84"/>
        <v>#N/A</v>
      </c>
      <c r="AB86" s="156">
        <f t="shared" si="86"/>
        <v>0</v>
      </c>
      <c r="AC86" s="121" t="str">
        <f t="shared" si="85"/>
        <v/>
      </c>
      <c r="AE86" s="121" t="str">
        <f t="shared" si="87"/>
        <v/>
      </c>
      <c r="AF86" s="111" t="str">
        <f t="shared" si="88"/>
        <v/>
      </c>
    </row>
    <row r="87" spans="1:32">
      <c r="A87" s="159"/>
      <c r="B87" s="160"/>
      <c r="C87" s="5"/>
      <c r="D87" s="5"/>
      <c r="E87" s="5"/>
      <c r="F87" s="5"/>
      <c r="G87" s="5"/>
      <c r="H87" s="5"/>
      <c r="I87" s="5"/>
      <c r="J87" s="5"/>
      <c r="K87" s="5"/>
      <c r="L87" s="5"/>
      <c r="M87" s="5"/>
      <c r="N87" s="5"/>
      <c r="O87" s="5"/>
      <c r="P87" s="5"/>
      <c r="Q87" s="5"/>
      <c r="R87" s="5"/>
      <c r="S87" s="5"/>
      <c r="T87" s="5"/>
      <c r="U87" s="5"/>
      <c r="V87" s="7"/>
      <c r="W87" s="7"/>
      <c r="X87" s="164" t="e">
        <f t="shared" si="83"/>
        <v>#N/A</v>
      </c>
      <c r="Y87" s="164" t="e">
        <f t="shared" si="84"/>
        <v>#N/A</v>
      </c>
      <c r="AB87" s="156">
        <f t="shared" si="86"/>
        <v>0</v>
      </c>
      <c r="AC87" s="121" t="str">
        <f t="shared" si="85"/>
        <v/>
      </c>
      <c r="AE87" s="121" t="str">
        <f t="shared" si="87"/>
        <v/>
      </c>
      <c r="AF87" s="111" t="str">
        <f t="shared" si="88"/>
        <v/>
      </c>
    </row>
    <row r="88" spans="1:32">
      <c r="A88" s="159"/>
      <c r="B88" s="160"/>
      <c r="C88" s="5"/>
      <c r="D88" s="5"/>
      <c r="E88" s="5"/>
      <c r="F88" s="5"/>
      <c r="G88" s="5"/>
      <c r="H88" s="5"/>
      <c r="I88" s="5"/>
      <c r="J88" s="5"/>
      <c r="K88" s="5"/>
      <c r="L88" s="5"/>
      <c r="M88" s="5"/>
      <c r="N88" s="5"/>
      <c r="O88" s="5"/>
      <c r="P88" s="5"/>
      <c r="Q88" s="5"/>
      <c r="R88" s="5"/>
      <c r="S88" s="5"/>
      <c r="T88" s="5"/>
      <c r="U88" s="5"/>
      <c r="V88" s="7"/>
      <c r="W88" s="7"/>
      <c r="X88" s="164" t="e">
        <f t="shared" si="83"/>
        <v>#N/A</v>
      </c>
      <c r="Y88" s="164" t="e">
        <f t="shared" si="84"/>
        <v>#N/A</v>
      </c>
      <c r="AB88" s="156">
        <f t="shared" si="86"/>
        <v>0</v>
      </c>
      <c r="AC88" s="121" t="str">
        <f t="shared" si="85"/>
        <v/>
      </c>
      <c r="AE88" s="121" t="str">
        <f t="shared" si="87"/>
        <v/>
      </c>
      <c r="AF88" s="111" t="str">
        <f t="shared" si="88"/>
        <v/>
      </c>
    </row>
    <row r="89" spans="1:32">
      <c r="A89" s="159"/>
      <c r="B89" s="160"/>
      <c r="C89" s="5"/>
      <c r="D89" s="5"/>
      <c r="E89" s="5"/>
      <c r="F89" s="5"/>
      <c r="G89" s="5"/>
      <c r="H89" s="5"/>
      <c r="I89" s="5"/>
      <c r="J89" s="5"/>
      <c r="K89" s="5"/>
      <c r="L89" s="5"/>
      <c r="M89" s="5"/>
      <c r="N89" s="5"/>
      <c r="O89" s="5"/>
      <c r="P89" s="5"/>
      <c r="Q89" s="5"/>
      <c r="R89" s="5"/>
      <c r="S89" s="5"/>
      <c r="T89" s="5"/>
      <c r="U89" s="5"/>
      <c r="V89" s="7"/>
      <c r="W89" s="7"/>
      <c r="X89" s="164" t="e">
        <f t="shared" si="83"/>
        <v>#N/A</v>
      </c>
      <c r="Y89" s="164" t="e">
        <f t="shared" si="84"/>
        <v>#N/A</v>
      </c>
      <c r="AB89" s="156">
        <f t="shared" si="86"/>
        <v>0</v>
      </c>
      <c r="AC89" s="121" t="str">
        <f t="shared" si="85"/>
        <v/>
      </c>
      <c r="AE89" s="121" t="str">
        <f t="shared" si="87"/>
        <v/>
      </c>
      <c r="AF89" s="111" t="str">
        <f t="shared" si="88"/>
        <v/>
      </c>
    </row>
    <row r="90" spans="1:32">
      <c r="A90" s="159"/>
      <c r="B90" s="160"/>
      <c r="C90" s="5"/>
      <c r="D90" s="5"/>
      <c r="E90" s="5"/>
      <c r="F90" s="5"/>
      <c r="G90" s="5"/>
      <c r="H90" s="5"/>
      <c r="I90" s="5"/>
      <c r="J90" s="5"/>
      <c r="K90" s="5"/>
      <c r="L90" s="5"/>
      <c r="M90" s="5"/>
      <c r="N90" s="5"/>
      <c r="O90" s="5"/>
      <c r="P90" s="5"/>
      <c r="Q90" s="5"/>
      <c r="R90" s="5"/>
      <c r="S90" s="5"/>
      <c r="T90" s="5"/>
      <c r="U90" s="5"/>
      <c r="V90" s="7"/>
      <c r="W90" s="7"/>
      <c r="X90" s="164" t="e">
        <f t="shared" si="83"/>
        <v>#N/A</v>
      </c>
      <c r="Y90" s="164" t="e">
        <f t="shared" si="84"/>
        <v>#N/A</v>
      </c>
      <c r="AB90" s="156">
        <f t="shared" si="86"/>
        <v>0</v>
      </c>
      <c r="AC90" s="121" t="str">
        <f t="shared" si="85"/>
        <v/>
      </c>
      <c r="AE90" s="121" t="str">
        <f t="shared" si="87"/>
        <v/>
      </c>
      <c r="AF90" s="111" t="str">
        <f t="shared" si="88"/>
        <v/>
      </c>
    </row>
    <row r="91" spans="1:32">
      <c r="A91" s="159"/>
      <c r="B91" s="160"/>
      <c r="C91" s="5"/>
      <c r="D91" s="5"/>
      <c r="E91" s="5"/>
      <c r="F91" s="5"/>
      <c r="G91" s="5"/>
      <c r="H91" s="5"/>
      <c r="I91" s="5"/>
      <c r="J91" s="5"/>
      <c r="K91" s="5"/>
      <c r="L91" s="5"/>
      <c r="M91" s="5"/>
      <c r="N91" s="5"/>
      <c r="O91" s="5"/>
      <c r="P91" s="5"/>
      <c r="Q91" s="5"/>
      <c r="R91" s="5"/>
      <c r="S91" s="5"/>
      <c r="T91" s="5"/>
      <c r="U91" s="5"/>
      <c r="V91" s="7"/>
      <c r="W91" s="7"/>
      <c r="X91" s="164" t="e">
        <f t="shared" si="83"/>
        <v>#N/A</v>
      </c>
      <c r="Y91" s="164" t="e">
        <f t="shared" si="84"/>
        <v>#N/A</v>
      </c>
      <c r="AB91" s="156">
        <f t="shared" si="86"/>
        <v>0</v>
      </c>
      <c r="AC91" s="121" t="str">
        <f t="shared" si="85"/>
        <v/>
      </c>
      <c r="AE91" s="121" t="str">
        <f t="shared" si="87"/>
        <v/>
      </c>
      <c r="AF91" s="111" t="str">
        <f t="shared" si="88"/>
        <v/>
      </c>
    </row>
    <row r="92" spans="1:32">
      <c r="A92" s="159"/>
      <c r="B92" s="160"/>
      <c r="C92" s="5"/>
      <c r="D92" s="5"/>
      <c r="E92" s="5"/>
      <c r="F92" s="5"/>
      <c r="G92" s="5"/>
      <c r="H92" s="5"/>
      <c r="I92" s="5"/>
      <c r="J92" s="5"/>
      <c r="K92" s="5"/>
      <c r="L92" s="5"/>
      <c r="M92" s="5"/>
      <c r="N92" s="5"/>
      <c r="O92" s="5"/>
      <c r="P92" s="5"/>
      <c r="Q92" s="5"/>
      <c r="R92" s="5"/>
      <c r="S92" s="5"/>
      <c r="T92" s="5"/>
      <c r="U92" s="5"/>
      <c r="V92" s="7"/>
      <c r="W92" s="7"/>
      <c r="X92" s="164" t="e">
        <f t="shared" si="83"/>
        <v>#N/A</v>
      </c>
      <c r="Y92" s="164" t="e">
        <f t="shared" si="84"/>
        <v>#N/A</v>
      </c>
      <c r="AB92" s="156">
        <f t="shared" si="86"/>
        <v>0</v>
      </c>
      <c r="AC92" s="121" t="str">
        <f t="shared" si="85"/>
        <v/>
      </c>
      <c r="AE92" s="121" t="str">
        <f t="shared" si="87"/>
        <v/>
      </c>
      <c r="AF92" s="111" t="str">
        <f t="shared" si="88"/>
        <v/>
      </c>
    </row>
    <row r="93" spans="1:32">
      <c r="A93" s="159"/>
      <c r="B93" s="160"/>
      <c r="C93" s="5"/>
      <c r="D93" s="5"/>
      <c r="E93" s="5"/>
      <c r="F93" s="5"/>
      <c r="G93" s="5"/>
      <c r="H93" s="5"/>
      <c r="I93" s="5"/>
      <c r="J93" s="5"/>
      <c r="K93" s="5"/>
      <c r="L93" s="5"/>
      <c r="M93" s="5"/>
      <c r="N93" s="5"/>
      <c r="O93" s="5"/>
      <c r="P93" s="5"/>
      <c r="Q93" s="5"/>
      <c r="R93" s="5"/>
      <c r="S93" s="5"/>
      <c r="T93" s="5"/>
      <c r="U93" s="5"/>
      <c r="V93" s="7"/>
      <c r="W93" s="7"/>
      <c r="X93" s="164" t="e">
        <f t="shared" si="83"/>
        <v>#N/A</v>
      </c>
      <c r="Y93" s="164" t="e">
        <f t="shared" si="84"/>
        <v>#N/A</v>
      </c>
      <c r="AB93" s="156">
        <f t="shared" si="86"/>
        <v>0</v>
      </c>
      <c r="AC93" s="121" t="str">
        <f t="shared" si="85"/>
        <v/>
      </c>
      <c r="AE93" s="121" t="str">
        <f t="shared" si="87"/>
        <v/>
      </c>
      <c r="AF93" s="111" t="str">
        <f t="shared" si="88"/>
        <v/>
      </c>
    </row>
    <row r="94" spans="1:32">
      <c r="A94" s="159"/>
      <c r="B94" s="160"/>
      <c r="C94" s="5"/>
      <c r="D94" s="5"/>
      <c r="E94" s="5"/>
      <c r="F94" s="5"/>
      <c r="G94" s="5"/>
      <c r="H94" s="5"/>
      <c r="I94" s="5"/>
      <c r="J94" s="5"/>
      <c r="K94" s="5"/>
      <c r="L94" s="5"/>
      <c r="M94" s="5"/>
      <c r="N94" s="5"/>
      <c r="O94" s="5"/>
      <c r="P94" s="5"/>
      <c r="Q94" s="5"/>
      <c r="R94" s="5"/>
      <c r="S94" s="5"/>
      <c r="T94" s="5"/>
      <c r="U94" s="5"/>
      <c r="V94" s="7"/>
      <c r="W94" s="7"/>
      <c r="X94" s="164" t="e">
        <f t="shared" si="83"/>
        <v>#N/A</v>
      </c>
      <c r="Y94" s="164" t="e">
        <f t="shared" si="84"/>
        <v>#N/A</v>
      </c>
      <c r="AB94" s="156">
        <f t="shared" si="86"/>
        <v>0</v>
      </c>
      <c r="AC94" s="121" t="str">
        <f t="shared" si="85"/>
        <v/>
      </c>
      <c r="AE94" s="121" t="str">
        <f t="shared" si="87"/>
        <v/>
      </c>
      <c r="AF94" s="111" t="str">
        <f t="shared" si="88"/>
        <v/>
      </c>
    </row>
    <row r="95" spans="1:32">
      <c r="A95" s="159"/>
      <c r="B95" s="160"/>
      <c r="C95" s="5"/>
      <c r="D95" s="5"/>
      <c r="E95" s="5"/>
      <c r="F95" s="5"/>
      <c r="G95" s="5"/>
      <c r="H95" s="5"/>
      <c r="I95" s="5"/>
      <c r="J95" s="5"/>
      <c r="K95" s="5"/>
      <c r="L95" s="5"/>
      <c r="M95" s="5"/>
      <c r="N95" s="5"/>
      <c r="O95" s="5"/>
      <c r="P95" s="5"/>
      <c r="Q95" s="5"/>
      <c r="R95" s="5"/>
      <c r="S95" s="5"/>
      <c r="T95" s="5"/>
      <c r="U95" s="5"/>
      <c r="V95" s="7"/>
      <c r="W95" s="7"/>
      <c r="X95" s="164" t="e">
        <f t="shared" si="83"/>
        <v>#N/A</v>
      </c>
      <c r="Y95" s="164" t="e">
        <f t="shared" si="84"/>
        <v>#N/A</v>
      </c>
      <c r="AB95" s="156">
        <f t="shared" si="86"/>
        <v>0</v>
      </c>
      <c r="AC95" s="121" t="str">
        <f t="shared" si="85"/>
        <v/>
      </c>
      <c r="AE95" s="121" t="str">
        <f t="shared" si="87"/>
        <v/>
      </c>
      <c r="AF95" s="111" t="str">
        <f t="shared" si="88"/>
        <v/>
      </c>
    </row>
    <row r="96" spans="1:32">
      <c r="A96" s="159"/>
      <c r="B96" s="160"/>
      <c r="C96" s="5"/>
      <c r="D96" s="5"/>
      <c r="E96" s="5"/>
      <c r="F96" s="5"/>
      <c r="G96" s="5"/>
      <c r="H96" s="5"/>
      <c r="I96" s="5"/>
      <c r="J96" s="5"/>
      <c r="K96" s="5"/>
      <c r="L96" s="5"/>
      <c r="M96" s="5"/>
      <c r="N96" s="5"/>
      <c r="O96" s="5"/>
      <c r="P96" s="5"/>
      <c r="Q96" s="5"/>
      <c r="R96" s="5"/>
      <c r="S96" s="5"/>
      <c r="T96" s="5"/>
      <c r="U96" s="5"/>
      <c r="V96" s="7"/>
      <c r="W96" s="7"/>
      <c r="X96" s="164" t="e">
        <f t="shared" si="83"/>
        <v>#N/A</v>
      </c>
      <c r="Y96" s="164" t="e">
        <f t="shared" si="84"/>
        <v>#N/A</v>
      </c>
      <c r="AB96" s="156">
        <f t="shared" si="86"/>
        <v>0</v>
      </c>
      <c r="AC96" s="121" t="str">
        <f t="shared" si="85"/>
        <v/>
      </c>
      <c r="AE96" s="121" t="str">
        <f t="shared" si="87"/>
        <v/>
      </c>
      <c r="AF96" s="111" t="str">
        <f t="shared" si="88"/>
        <v/>
      </c>
    </row>
    <row r="97" spans="1:32">
      <c r="A97" s="159"/>
      <c r="B97" s="160"/>
      <c r="C97" s="5"/>
      <c r="D97" s="5"/>
      <c r="E97" s="5"/>
      <c r="F97" s="5"/>
      <c r="G97" s="5"/>
      <c r="H97" s="5"/>
      <c r="I97" s="5"/>
      <c r="J97" s="5"/>
      <c r="K97" s="5"/>
      <c r="L97" s="5"/>
      <c r="M97" s="5"/>
      <c r="N97" s="5"/>
      <c r="O97" s="5"/>
      <c r="P97" s="5"/>
      <c r="Q97" s="5"/>
      <c r="R97" s="5"/>
      <c r="S97" s="5"/>
      <c r="T97" s="5"/>
      <c r="U97" s="5"/>
      <c r="V97" s="7"/>
      <c r="W97" s="7"/>
      <c r="X97" s="164" t="e">
        <f t="shared" si="83"/>
        <v>#N/A</v>
      </c>
      <c r="Y97" s="164" t="e">
        <f t="shared" si="84"/>
        <v>#N/A</v>
      </c>
      <c r="AB97" s="156">
        <f t="shared" si="86"/>
        <v>0</v>
      </c>
      <c r="AC97" s="121" t="str">
        <f t="shared" si="85"/>
        <v/>
      </c>
      <c r="AE97" s="121" t="str">
        <f t="shared" si="87"/>
        <v/>
      </c>
      <c r="AF97" s="111" t="str">
        <f t="shared" si="88"/>
        <v/>
      </c>
    </row>
    <row r="98" spans="1:32">
      <c r="A98" s="159"/>
      <c r="B98" s="160"/>
      <c r="C98" s="5"/>
      <c r="D98" s="5"/>
      <c r="E98" s="5"/>
      <c r="F98" s="5"/>
      <c r="G98" s="5"/>
      <c r="H98" s="5"/>
      <c r="I98" s="5"/>
      <c r="J98" s="5"/>
      <c r="K98" s="5"/>
      <c r="L98" s="5"/>
      <c r="M98" s="5"/>
      <c r="N98" s="5"/>
      <c r="O98" s="5"/>
      <c r="P98" s="5"/>
      <c r="Q98" s="5"/>
      <c r="R98" s="5"/>
      <c r="S98" s="5"/>
      <c r="T98" s="5"/>
      <c r="U98" s="5"/>
      <c r="V98" s="7"/>
      <c r="W98" s="7"/>
      <c r="X98" s="164" t="e">
        <f t="shared" si="83"/>
        <v>#N/A</v>
      </c>
      <c r="Y98" s="164" t="e">
        <f t="shared" si="84"/>
        <v>#N/A</v>
      </c>
      <c r="AB98" s="156">
        <f t="shared" si="86"/>
        <v>0</v>
      </c>
      <c r="AC98" s="121" t="str">
        <f t="shared" si="85"/>
        <v/>
      </c>
      <c r="AE98" s="121" t="str">
        <f t="shared" si="87"/>
        <v/>
      </c>
      <c r="AF98" s="111" t="str">
        <f t="shared" si="88"/>
        <v/>
      </c>
    </row>
    <row r="99" spans="1:32">
      <c r="A99" s="159"/>
      <c r="B99" s="160"/>
      <c r="C99" s="5"/>
      <c r="D99" s="5"/>
      <c r="E99" s="5"/>
      <c r="F99" s="5"/>
      <c r="G99" s="5"/>
      <c r="H99" s="5"/>
      <c r="I99" s="5"/>
      <c r="J99" s="5"/>
      <c r="K99" s="5"/>
      <c r="L99" s="5"/>
      <c r="M99" s="5"/>
      <c r="N99" s="5"/>
      <c r="O99" s="5"/>
      <c r="P99" s="5"/>
      <c r="Q99" s="5"/>
      <c r="R99" s="5"/>
      <c r="S99" s="5"/>
      <c r="T99" s="5"/>
      <c r="U99" s="5"/>
      <c r="V99" s="7"/>
      <c r="W99" s="7"/>
      <c r="X99" s="164" t="e">
        <f t="shared" si="83"/>
        <v>#N/A</v>
      </c>
      <c r="Y99" s="164" t="e">
        <f t="shared" si="84"/>
        <v>#N/A</v>
      </c>
      <c r="AB99" s="156">
        <f t="shared" si="86"/>
        <v>0</v>
      </c>
      <c r="AC99" s="121" t="str">
        <f t="shared" si="85"/>
        <v/>
      </c>
      <c r="AE99" s="121" t="str">
        <f t="shared" si="87"/>
        <v/>
      </c>
      <c r="AF99" s="111" t="str">
        <f t="shared" si="88"/>
        <v/>
      </c>
    </row>
    <row r="100" spans="1:32">
      <c r="A100" s="159"/>
      <c r="B100" s="160"/>
      <c r="C100" s="5"/>
      <c r="D100" s="5"/>
      <c r="E100" s="5"/>
      <c r="F100" s="5"/>
      <c r="G100" s="5"/>
      <c r="H100" s="5"/>
      <c r="I100" s="5"/>
      <c r="J100" s="5"/>
      <c r="K100" s="5"/>
      <c r="L100" s="5"/>
      <c r="M100" s="5"/>
      <c r="N100" s="5"/>
      <c r="O100" s="5"/>
      <c r="P100" s="5"/>
      <c r="Q100" s="5"/>
      <c r="R100" s="5"/>
      <c r="S100" s="5"/>
      <c r="T100" s="5"/>
      <c r="U100" s="5"/>
      <c r="V100" s="7"/>
      <c r="W100" s="7"/>
      <c r="X100" s="164" t="e">
        <f t="shared" si="83"/>
        <v>#N/A</v>
      </c>
      <c r="Y100" s="164" t="e">
        <f t="shared" si="84"/>
        <v>#N/A</v>
      </c>
      <c r="AB100" s="156">
        <f t="shared" si="86"/>
        <v>0</v>
      </c>
      <c r="AC100" s="121" t="str">
        <f t="shared" si="85"/>
        <v/>
      </c>
      <c r="AE100" s="121" t="str">
        <f t="shared" si="87"/>
        <v/>
      </c>
      <c r="AF100" s="111" t="str">
        <f t="shared" si="88"/>
        <v/>
      </c>
    </row>
    <row r="101" spans="1:32">
      <c r="A101" s="159"/>
      <c r="B101" s="160"/>
      <c r="C101" s="5"/>
      <c r="D101" s="5"/>
      <c r="E101" s="5"/>
      <c r="F101" s="5"/>
      <c r="G101" s="5"/>
      <c r="H101" s="5"/>
      <c r="I101" s="5"/>
      <c r="J101" s="5"/>
      <c r="K101" s="5"/>
      <c r="L101" s="5"/>
      <c r="M101" s="5"/>
      <c r="N101" s="5"/>
      <c r="O101" s="5"/>
      <c r="P101" s="5"/>
      <c r="Q101" s="5"/>
      <c r="R101" s="5"/>
      <c r="S101" s="5"/>
      <c r="T101" s="5"/>
      <c r="U101" s="5"/>
      <c r="V101" s="7"/>
      <c r="W101" s="7"/>
      <c r="X101" s="164" t="e">
        <f t="shared" si="83"/>
        <v>#N/A</v>
      </c>
      <c r="Y101" s="164" t="e">
        <f t="shared" si="84"/>
        <v>#N/A</v>
      </c>
      <c r="AB101" s="156">
        <f t="shared" si="86"/>
        <v>0</v>
      </c>
      <c r="AC101" s="121" t="str">
        <f t="shared" si="85"/>
        <v/>
      </c>
      <c r="AE101" s="121" t="str">
        <f t="shared" si="87"/>
        <v/>
      </c>
      <c r="AF101" s="111" t="str">
        <f t="shared" si="88"/>
        <v/>
      </c>
    </row>
    <row r="102" spans="1:32">
      <c r="A102" s="159"/>
      <c r="B102" s="160"/>
      <c r="C102" s="5"/>
      <c r="D102" s="5"/>
      <c r="E102" s="5"/>
      <c r="F102" s="5"/>
      <c r="G102" s="5"/>
      <c r="H102" s="5"/>
      <c r="I102" s="5"/>
      <c r="J102" s="5"/>
      <c r="K102" s="5"/>
      <c r="L102" s="5"/>
      <c r="M102" s="5"/>
      <c r="N102" s="5"/>
      <c r="O102" s="5"/>
      <c r="P102" s="5"/>
      <c r="Q102" s="5"/>
      <c r="R102" s="5"/>
      <c r="S102" s="5"/>
      <c r="T102" s="5"/>
      <c r="U102" s="5"/>
      <c r="V102" s="7"/>
      <c r="W102" s="7"/>
      <c r="X102" s="164" t="e">
        <f t="shared" si="83"/>
        <v>#N/A</v>
      </c>
      <c r="Y102" s="164" t="e">
        <f t="shared" si="84"/>
        <v>#N/A</v>
      </c>
      <c r="AB102" s="156">
        <f t="shared" si="86"/>
        <v>0</v>
      </c>
      <c r="AC102" s="121" t="str">
        <f t="shared" si="85"/>
        <v/>
      </c>
      <c r="AE102" s="121" t="str">
        <f t="shared" si="87"/>
        <v/>
      </c>
      <c r="AF102" s="111" t="str">
        <f t="shared" si="88"/>
        <v/>
      </c>
    </row>
    <row r="103" spans="1:32">
      <c r="A103" s="159"/>
      <c r="B103" s="160"/>
      <c r="C103" s="5"/>
      <c r="D103" s="5"/>
      <c r="E103" s="5"/>
      <c r="F103" s="5"/>
      <c r="G103" s="5"/>
      <c r="H103" s="5"/>
      <c r="I103" s="5"/>
      <c r="J103" s="5"/>
      <c r="K103" s="5"/>
      <c r="L103" s="5"/>
      <c r="M103" s="5"/>
      <c r="N103" s="5"/>
      <c r="O103" s="5"/>
      <c r="P103" s="5"/>
      <c r="Q103" s="5"/>
      <c r="R103" s="5"/>
      <c r="S103" s="5"/>
      <c r="T103" s="5"/>
      <c r="U103" s="5"/>
      <c r="V103" s="7"/>
      <c r="W103" s="7"/>
      <c r="X103" s="164" t="e">
        <f t="shared" si="83"/>
        <v>#N/A</v>
      </c>
      <c r="Y103" s="164" t="e">
        <f t="shared" si="84"/>
        <v>#N/A</v>
      </c>
      <c r="AB103" s="156">
        <f t="shared" si="86"/>
        <v>0</v>
      </c>
      <c r="AC103" s="121" t="str">
        <f t="shared" si="85"/>
        <v/>
      </c>
      <c r="AE103" s="121" t="str">
        <f t="shared" si="87"/>
        <v/>
      </c>
      <c r="AF103" s="111" t="str">
        <f t="shared" si="88"/>
        <v/>
      </c>
    </row>
    <row r="104" spans="1:32">
      <c r="A104" s="159"/>
      <c r="B104" s="160"/>
      <c r="C104" s="5"/>
      <c r="D104" s="5"/>
      <c r="E104" s="5"/>
      <c r="F104" s="5"/>
      <c r="G104" s="5"/>
      <c r="H104" s="5"/>
      <c r="I104" s="5"/>
      <c r="J104" s="5"/>
      <c r="K104" s="5"/>
      <c r="L104" s="5"/>
      <c r="M104" s="5"/>
      <c r="N104" s="5"/>
      <c r="O104" s="5"/>
      <c r="P104" s="5"/>
      <c r="Q104" s="5"/>
      <c r="R104" s="5"/>
      <c r="S104" s="5"/>
      <c r="T104" s="5"/>
      <c r="U104" s="5"/>
      <c r="V104" s="7"/>
      <c r="W104" s="7"/>
      <c r="X104" s="164" t="e">
        <f t="shared" si="83"/>
        <v>#N/A</v>
      </c>
      <c r="Y104" s="164" t="e">
        <f t="shared" si="84"/>
        <v>#N/A</v>
      </c>
      <c r="AB104" s="156">
        <f t="shared" si="86"/>
        <v>0</v>
      </c>
      <c r="AC104" s="121" t="str">
        <f t="shared" si="85"/>
        <v/>
      </c>
      <c r="AE104" s="121" t="str">
        <f t="shared" si="87"/>
        <v/>
      </c>
      <c r="AF104" s="111" t="str">
        <f t="shared" si="88"/>
        <v/>
      </c>
    </row>
    <row r="105" spans="1:32">
      <c r="A105" s="159"/>
      <c r="B105" s="160"/>
      <c r="C105" s="5"/>
      <c r="D105" s="5"/>
      <c r="E105" s="5"/>
      <c r="F105" s="5"/>
      <c r="G105" s="5"/>
      <c r="H105" s="5"/>
      <c r="I105" s="5"/>
      <c r="J105" s="5"/>
      <c r="K105" s="5"/>
      <c r="L105" s="5"/>
      <c r="M105" s="5"/>
      <c r="N105" s="5"/>
      <c r="O105" s="5"/>
      <c r="P105" s="5"/>
      <c r="Q105" s="5"/>
      <c r="R105" s="5"/>
      <c r="S105" s="5"/>
      <c r="T105" s="5"/>
      <c r="U105" s="5"/>
      <c r="V105" s="7"/>
      <c r="W105" s="7"/>
      <c r="X105" s="164" t="e">
        <f t="shared" si="83"/>
        <v>#N/A</v>
      </c>
      <c r="Y105" s="164" t="e">
        <f t="shared" si="84"/>
        <v>#N/A</v>
      </c>
      <c r="AB105" s="156">
        <f t="shared" si="86"/>
        <v>0</v>
      </c>
      <c r="AC105" s="121" t="str">
        <f t="shared" si="85"/>
        <v/>
      </c>
      <c r="AE105" s="121" t="str">
        <f t="shared" si="87"/>
        <v/>
      </c>
      <c r="AF105" s="111" t="str">
        <f t="shared" si="88"/>
        <v/>
      </c>
    </row>
    <row r="106" spans="1:32">
      <c r="A106" s="159"/>
      <c r="B106" s="160"/>
      <c r="C106" s="5"/>
      <c r="D106" s="5"/>
      <c r="E106" s="5"/>
      <c r="F106" s="5"/>
      <c r="G106" s="5"/>
      <c r="H106" s="5"/>
      <c r="I106" s="5"/>
      <c r="J106" s="5"/>
      <c r="K106" s="5"/>
      <c r="L106" s="5"/>
      <c r="M106" s="5"/>
      <c r="N106" s="5"/>
      <c r="O106" s="5"/>
      <c r="P106" s="5"/>
      <c r="Q106" s="5"/>
      <c r="R106" s="5"/>
      <c r="S106" s="5"/>
      <c r="T106" s="5"/>
      <c r="U106" s="5"/>
      <c r="V106" s="7"/>
      <c r="W106" s="7"/>
      <c r="X106" s="164" t="e">
        <f t="shared" si="83"/>
        <v>#N/A</v>
      </c>
      <c r="Y106" s="164" t="e">
        <f t="shared" si="84"/>
        <v>#N/A</v>
      </c>
      <c r="AB106" s="156">
        <f t="shared" si="86"/>
        <v>0</v>
      </c>
      <c r="AC106" s="121" t="str">
        <f t="shared" si="85"/>
        <v/>
      </c>
      <c r="AE106" s="121" t="str">
        <f t="shared" si="87"/>
        <v/>
      </c>
      <c r="AF106" s="111" t="str">
        <f t="shared" si="88"/>
        <v/>
      </c>
    </row>
    <row r="107" spans="1:32">
      <c r="A107" s="159"/>
      <c r="B107" s="160"/>
      <c r="C107" s="5"/>
      <c r="D107" s="5"/>
      <c r="E107" s="5"/>
      <c r="F107" s="5"/>
      <c r="G107" s="5"/>
      <c r="H107" s="5"/>
      <c r="I107" s="5"/>
      <c r="J107" s="5"/>
      <c r="K107" s="5"/>
      <c r="L107" s="5"/>
      <c r="M107" s="5"/>
      <c r="N107" s="5"/>
      <c r="O107" s="5"/>
      <c r="P107" s="5"/>
      <c r="Q107" s="5"/>
      <c r="R107" s="5"/>
      <c r="S107" s="5"/>
      <c r="T107" s="5"/>
      <c r="U107" s="5"/>
      <c r="V107" s="7"/>
      <c r="W107" s="7"/>
      <c r="X107" s="164" t="e">
        <f t="shared" si="83"/>
        <v>#N/A</v>
      </c>
      <c r="Y107" s="164" t="e">
        <f t="shared" si="84"/>
        <v>#N/A</v>
      </c>
      <c r="AB107" s="156">
        <f t="shared" si="86"/>
        <v>0</v>
      </c>
      <c r="AC107" s="121" t="str">
        <f t="shared" si="85"/>
        <v/>
      </c>
      <c r="AE107" s="121" t="str">
        <f t="shared" si="87"/>
        <v/>
      </c>
      <c r="AF107" s="111" t="str">
        <f t="shared" si="88"/>
        <v/>
      </c>
    </row>
    <row r="108" spans="1:32">
      <c r="A108" s="159"/>
      <c r="B108" s="160"/>
      <c r="C108" s="5"/>
      <c r="D108" s="5"/>
      <c r="E108" s="5"/>
      <c r="F108" s="5"/>
      <c r="G108" s="5"/>
      <c r="H108" s="5"/>
      <c r="I108" s="5"/>
      <c r="J108" s="5"/>
      <c r="K108" s="5"/>
      <c r="L108" s="5"/>
      <c r="M108" s="5"/>
      <c r="N108" s="5"/>
      <c r="O108" s="5"/>
      <c r="P108" s="5"/>
      <c r="Q108" s="5"/>
      <c r="R108" s="5"/>
      <c r="S108" s="5"/>
      <c r="T108" s="5"/>
      <c r="U108" s="5"/>
      <c r="V108" s="7"/>
      <c r="W108" s="7"/>
      <c r="X108" s="164" t="e">
        <f t="shared" si="83"/>
        <v>#N/A</v>
      </c>
      <c r="Y108" s="164" t="e">
        <f t="shared" si="84"/>
        <v>#N/A</v>
      </c>
      <c r="AB108" s="156">
        <f t="shared" si="86"/>
        <v>0</v>
      </c>
      <c r="AC108" s="121" t="str">
        <f t="shared" si="85"/>
        <v/>
      </c>
      <c r="AE108" s="121" t="str">
        <f t="shared" si="87"/>
        <v/>
      </c>
      <c r="AF108" s="111" t="str">
        <f t="shared" si="88"/>
        <v/>
      </c>
    </row>
    <row r="109" spans="1:32">
      <c r="A109" s="159"/>
      <c r="B109" s="160"/>
      <c r="C109" s="5"/>
      <c r="D109" s="5"/>
      <c r="E109" s="5"/>
      <c r="F109" s="5"/>
      <c r="G109" s="5"/>
      <c r="H109" s="5"/>
      <c r="I109" s="5"/>
      <c r="J109" s="5"/>
      <c r="K109" s="5"/>
      <c r="L109" s="5"/>
      <c r="M109" s="5"/>
      <c r="N109" s="5"/>
      <c r="O109" s="5"/>
      <c r="P109" s="5"/>
      <c r="Q109" s="5"/>
      <c r="R109" s="5"/>
      <c r="S109" s="5"/>
      <c r="T109" s="5"/>
      <c r="U109" s="5"/>
      <c r="V109" s="7"/>
      <c r="W109" s="7"/>
      <c r="X109" s="164" t="e">
        <f t="shared" si="83"/>
        <v>#N/A</v>
      </c>
      <c r="Y109" s="164" t="e">
        <f t="shared" si="84"/>
        <v>#N/A</v>
      </c>
      <c r="AB109" s="156">
        <f t="shared" si="86"/>
        <v>0</v>
      </c>
      <c r="AC109" s="121" t="str">
        <f t="shared" si="85"/>
        <v/>
      </c>
      <c r="AE109" s="121" t="str">
        <f t="shared" si="87"/>
        <v/>
      </c>
      <c r="AF109" s="111" t="str">
        <f t="shared" si="88"/>
        <v/>
      </c>
    </row>
    <row r="110" spans="1:32">
      <c r="A110" s="159"/>
      <c r="B110" s="160"/>
      <c r="C110" s="5"/>
      <c r="D110" s="5"/>
      <c r="E110" s="5"/>
      <c r="F110" s="5"/>
      <c r="G110" s="5"/>
      <c r="H110" s="5"/>
      <c r="I110" s="5"/>
      <c r="J110" s="5"/>
      <c r="K110" s="5"/>
      <c r="L110" s="5"/>
      <c r="M110" s="5"/>
      <c r="N110" s="5"/>
      <c r="O110" s="5"/>
      <c r="P110" s="5"/>
      <c r="Q110" s="5"/>
      <c r="R110" s="5"/>
      <c r="S110" s="5"/>
      <c r="T110" s="5"/>
      <c r="U110" s="5"/>
      <c r="V110" s="7"/>
      <c r="W110" s="7"/>
      <c r="X110" s="164" t="e">
        <f t="shared" si="83"/>
        <v>#N/A</v>
      </c>
      <c r="Y110" s="164" t="e">
        <f t="shared" si="84"/>
        <v>#N/A</v>
      </c>
      <c r="AB110" s="156">
        <f t="shared" si="86"/>
        <v>0</v>
      </c>
      <c r="AC110" s="121" t="str">
        <f t="shared" si="85"/>
        <v/>
      </c>
      <c r="AE110" s="121" t="str">
        <f t="shared" si="87"/>
        <v/>
      </c>
      <c r="AF110" s="111" t="str">
        <f t="shared" si="88"/>
        <v/>
      </c>
    </row>
    <row r="111" spans="1:32">
      <c r="A111" s="159"/>
      <c r="B111" s="160"/>
      <c r="C111" s="5"/>
      <c r="D111" s="5"/>
      <c r="E111" s="5"/>
      <c r="F111" s="5"/>
      <c r="G111" s="5"/>
      <c r="H111" s="5"/>
      <c r="I111" s="5"/>
      <c r="J111" s="5"/>
      <c r="K111" s="5"/>
      <c r="L111" s="5"/>
      <c r="M111" s="5"/>
      <c r="N111" s="5"/>
      <c r="O111" s="5"/>
      <c r="P111" s="5"/>
      <c r="Q111" s="5"/>
      <c r="R111" s="5"/>
      <c r="S111" s="5"/>
      <c r="T111" s="5"/>
      <c r="U111" s="5"/>
      <c r="V111" s="7"/>
      <c r="W111" s="7"/>
      <c r="X111" s="164" t="e">
        <f t="shared" si="83"/>
        <v>#N/A</v>
      </c>
      <c r="Y111" s="164" t="e">
        <f t="shared" si="84"/>
        <v>#N/A</v>
      </c>
      <c r="AB111" s="156">
        <f t="shared" si="86"/>
        <v>0</v>
      </c>
      <c r="AC111" s="121" t="str">
        <f t="shared" si="85"/>
        <v/>
      </c>
      <c r="AE111" s="121" t="str">
        <f t="shared" si="87"/>
        <v/>
      </c>
      <c r="AF111" s="111" t="str">
        <f t="shared" si="88"/>
        <v/>
      </c>
    </row>
    <row r="112" spans="1:32">
      <c r="A112" s="159"/>
      <c r="B112" s="160"/>
      <c r="C112" s="5"/>
      <c r="D112" s="5"/>
      <c r="E112" s="5"/>
      <c r="F112" s="5"/>
      <c r="G112" s="5"/>
      <c r="H112" s="5"/>
      <c r="I112" s="5"/>
      <c r="J112" s="5"/>
      <c r="K112" s="5"/>
      <c r="L112" s="5"/>
      <c r="M112" s="5"/>
      <c r="N112" s="5"/>
      <c r="O112" s="5"/>
      <c r="P112" s="5"/>
      <c r="Q112" s="5"/>
      <c r="R112" s="5"/>
      <c r="S112" s="5"/>
      <c r="T112" s="5"/>
      <c r="U112" s="5"/>
      <c r="V112" s="7"/>
      <c r="W112" s="7"/>
      <c r="X112" s="164" t="e">
        <f t="shared" si="83"/>
        <v>#N/A</v>
      </c>
      <c r="Y112" s="164" t="e">
        <f t="shared" si="84"/>
        <v>#N/A</v>
      </c>
      <c r="AB112" s="156">
        <f t="shared" si="86"/>
        <v>0</v>
      </c>
      <c r="AC112" s="121" t="str">
        <f t="shared" si="85"/>
        <v/>
      </c>
      <c r="AE112" s="121" t="str">
        <f t="shared" si="87"/>
        <v/>
      </c>
      <c r="AF112" s="111" t="str">
        <f t="shared" si="88"/>
        <v/>
      </c>
    </row>
    <row r="113" spans="1:32">
      <c r="A113" s="159"/>
      <c r="B113" s="160"/>
      <c r="C113" s="5"/>
      <c r="D113" s="5"/>
      <c r="E113" s="5"/>
      <c r="F113" s="5"/>
      <c r="G113" s="5"/>
      <c r="H113" s="5"/>
      <c r="I113" s="5"/>
      <c r="J113" s="5"/>
      <c r="K113" s="5"/>
      <c r="L113" s="5"/>
      <c r="M113" s="5"/>
      <c r="N113" s="5"/>
      <c r="O113" s="5"/>
      <c r="P113" s="5"/>
      <c r="Q113" s="5"/>
      <c r="R113" s="5"/>
      <c r="S113" s="5"/>
      <c r="T113" s="5"/>
      <c r="U113" s="5"/>
      <c r="V113" s="7"/>
      <c r="W113" s="7"/>
      <c r="X113" s="164" t="e">
        <f t="shared" si="83"/>
        <v>#N/A</v>
      </c>
      <c r="Y113" s="164" t="e">
        <f t="shared" si="84"/>
        <v>#N/A</v>
      </c>
      <c r="AB113" s="156">
        <f t="shared" si="86"/>
        <v>0</v>
      </c>
      <c r="AC113" s="121" t="str">
        <f t="shared" si="85"/>
        <v/>
      </c>
      <c r="AE113" s="121" t="str">
        <f t="shared" si="87"/>
        <v/>
      </c>
      <c r="AF113" s="111" t="str">
        <f t="shared" si="88"/>
        <v/>
      </c>
    </row>
    <row r="114" spans="1:32">
      <c r="A114" s="159"/>
      <c r="B114" s="160"/>
      <c r="C114" s="5"/>
      <c r="D114" s="5"/>
      <c r="E114" s="5"/>
      <c r="F114" s="5"/>
      <c r="G114" s="5"/>
      <c r="H114" s="5"/>
      <c r="I114" s="5"/>
      <c r="J114" s="5"/>
      <c r="K114" s="5"/>
      <c r="L114" s="5"/>
      <c r="M114" s="5"/>
      <c r="N114" s="5"/>
      <c r="O114" s="5"/>
      <c r="P114" s="5"/>
      <c r="Q114" s="5"/>
      <c r="R114" s="5"/>
      <c r="S114" s="5"/>
      <c r="T114" s="5"/>
      <c r="U114" s="5"/>
      <c r="V114" s="7"/>
      <c r="W114" s="7"/>
      <c r="X114" s="164" t="e">
        <f t="shared" si="83"/>
        <v>#N/A</v>
      </c>
      <c r="Y114" s="164" t="e">
        <f t="shared" si="84"/>
        <v>#N/A</v>
      </c>
      <c r="AB114" s="156">
        <f t="shared" si="86"/>
        <v>0</v>
      </c>
      <c r="AC114" s="121" t="str">
        <f t="shared" si="85"/>
        <v/>
      </c>
      <c r="AE114" s="121" t="str">
        <f t="shared" si="87"/>
        <v/>
      </c>
      <c r="AF114" s="111" t="str">
        <f t="shared" si="88"/>
        <v/>
      </c>
    </row>
    <row r="115" spans="1:32">
      <c r="A115" s="159"/>
      <c r="B115" s="160"/>
      <c r="C115" s="5"/>
      <c r="D115" s="5"/>
      <c r="E115" s="5"/>
      <c r="F115" s="5"/>
      <c r="G115" s="5"/>
      <c r="H115" s="5"/>
      <c r="I115" s="5"/>
      <c r="J115" s="5"/>
      <c r="K115" s="5"/>
      <c r="L115" s="5"/>
      <c r="M115" s="5"/>
      <c r="N115" s="5"/>
      <c r="O115" s="5"/>
      <c r="P115" s="5"/>
      <c r="Q115" s="5"/>
      <c r="R115" s="5"/>
      <c r="S115" s="5"/>
      <c r="T115" s="5"/>
      <c r="U115" s="5"/>
      <c r="V115" s="7"/>
      <c r="W115" s="7"/>
      <c r="X115" s="164" t="e">
        <f t="shared" si="83"/>
        <v>#N/A</v>
      </c>
      <c r="Y115" s="164" t="e">
        <f t="shared" si="84"/>
        <v>#N/A</v>
      </c>
      <c r="AB115" s="156">
        <f t="shared" si="86"/>
        <v>0</v>
      </c>
      <c r="AC115" s="121" t="str">
        <f t="shared" si="85"/>
        <v/>
      </c>
      <c r="AE115" s="121" t="str">
        <f t="shared" si="87"/>
        <v/>
      </c>
      <c r="AF115" s="111" t="str">
        <f t="shared" si="88"/>
        <v/>
      </c>
    </row>
    <row r="116" spans="1:32">
      <c r="A116" s="159"/>
      <c r="B116" s="160"/>
      <c r="C116" s="5"/>
      <c r="D116" s="5"/>
      <c r="E116" s="5"/>
      <c r="F116" s="5"/>
      <c r="G116" s="5"/>
      <c r="H116" s="5"/>
      <c r="I116" s="5"/>
      <c r="J116" s="5"/>
      <c r="K116" s="5"/>
      <c r="L116" s="5"/>
      <c r="M116" s="5"/>
      <c r="N116" s="5"/>
      <c r="O116" s="5"/>
      <c r="P116" s="5"/>
      <c r="Q116" s="5"/>
      <c r="R116" s="5"/>
      <c r="S116" s="5"/>
      <c r="T116" s="5"/>
      <c r="U116" s="5"/>
      <c r="V116" s="7"/>
      <c r="W116" s="7"/>
      <c r="X116" s="164" t="e">
        <f t="shared" si="83"/>
        <v>#N/A</v>
      </c>
      <c r="Y116" s="164" t="e">
        <f t="shared" si="84"/>
        <v>#N/A</v>
      </c>
      <c r="AB116" s="156">
        <f t="shared" si="86"/>
        <v>0</v>
      </c>
      <c r="AC116" s="121" t="str">
        <f t="shared" si="85"/>
        <v/>
      </c>
      <c r="AE116" s="121" t="str">
        <f t="shared" si="87"/>
        <v/>
      </c>
      <c r="AF116" s="111" t="str">
        <f t="shared" si="88"/>
        <v/>
      </c>
    </row>
    <row r="117" spans="1:32">
      <c r="A117" s="159"/>
      <c r="B117" s="160"/>
      <c r="C117" s="5"/>
      <c r="D117" s="5"/>
      <c r="E117" s="5"/>
      <c r="F117" s="5"/>
      <c r="G117" s="5"/>
      <c r="H117" s="5"/>
      <c r="I117" s="5"/>
      <c r="J117" s="5"/>
      <c r="K117" s="5"/>
      <c r="L117" s="5"/>
      <c r="M117" s="5"/>
      <c r="N117" s="5"/>
      <c r="O117" s="5"/>
      <c r="P117" s="5"/>
      <c r="Q117" s="5"/>
      <c r="R117" s="5"/>
      <c r="S117" s="5"/>
      <c r="T117" s="5"/>
      <c r="U117" s="5"/>
      <c r="V117" s="7"/>
      <c r="W117" s="7"/>
      <c r="X117" s="164" t="e">
        <f t="shared" si="83"/>
        <v>#N/A</v>
      </c>
      <c r="Y117" s="164" t="e">
        <f t="shared" si="84"/>
        <v>#N/A</v>
      </c>
      <c r="AB117" s="156">
        <f t="shared" si="86"/>
        <v>0</v>
      </c>
      <c r="AC117" s="121" t="str">
        <f t="shared" si="85"/>
        <v/>
      </c>
      <c r="AE117" s="121" t="str">
        <f t="shared" si="87"/>
        <v/>
      </c>
      <c r="AF117" s="111" t="str">
        <f t="shared" si="88"/>
        <v/>
      </c>
    </row>
    <row r="118" spans="1:32">
      <c r="A118" s="159"/>
      <c r="B118" s="160"/>
      <c r="C118" s="5"/>
      <c r="D118" s="5"/>
      <c r="E118" s="5"/>
      <c r="F118" s="5"/>
      <c r="G118" s="5"/>
      <c r="H118" s="5"/>
      <c r="I118" s="5"/>
      <c r="J118" s="5"/>
      <c r="K118" s="5"/>
      <c r="L118" s="5"/>
      <c r="M118" s="5"/>
      <c r="N118" s="5"/>
      <c r="O118" s="5"/>
      <c r="P118" s="5"/>
      <c r="Q118" s="5"/>
      <c r="R118" s="5"/>
      <c r="S118" s="5"/>
      <c r="T118" s="5"/>
      <c r="U118" s="5"/>
      <c r="V118" s="7"/>
      <c r="W118" s="7"/>
      <c r="X118" s="164" t="e">
        <f t="shared" si="83"/>
        <v>#N/A</v>
      </c>
      <c r="Y118" s="164" t="e">
        <f t="shared" si="84"/>
        <v>#N/A</v>
      </c>
      <c r="AB118" s="156">
        <f t="shared" si="86"/>
        <v>0</v>
      </c>
      <c r="AC118" s="121" t="str">
        <f t="shared" si="85"/>
        <v/>
      </c>
      <c r="AE118" s="121" t="str">
        <f t="shared" si="87"/>
        <v/>
      </c>
      <c r="AF118" s="111" t="str">
        <f t="shared" si="88"/>
        <v/>
      </c>
    </row>
    <row r="119" spans="1:32">
      <c r="A119" s="159"/>
      <c r="B119" s="160"/>
      <c r="C119" s="5"/>
      <c r="D119" s="5"/>
      <c r="E119" s="5"/>
      <c r="F119" s="5"/>
      <c r="G119" s="5"/>
      <c r="H119" s="5"/>
      <c r="I119" s="5"/>
      <c r="J119" s="5"/>
      <c r="K119" s="5"/>
      <c r="L119" s="5"/>
      <c r="M119" s="5"/>
      <c r="N119" s="5"/>
      <c r="O119" s="5"/>
      <c r="P119" s="5"/>
      <c r="Q119" s="5"/>
      <c r="R119" s="5"/>
      <c r="S119" s="5"/>
      <c r="T119" s="5"/>
      <c r="U119" s="5"/>
      <c r="V119" s="7"/>
      <c r="W119" s="7"/>
      <c r="X119" s="164" t="e">
        <f t="shared" si="83"/>
        <v>#N/A</v>
      </c>
      <c r="Y119" s="164" t="e">
        <f t="shared" si="84"/>
        <v>#N/A</v>
      </c>
      <c r="AB119" s="156">
        <f t="shared" si="86"/>
        <v>0</v>
      </c>
      <c r="AC119" s="121" t="str">
        <f t="shared" si="85"/>
        <v/>
      </c>
      <c r="AE119" s="121" t="str">
        <f t="shared" si="87"/>
        <v/>
      </c>
      <c r="AF119" s="111" t="str">
        <f t="shared" si="88"/>
        <v/>
      </c>
    </row>
    <row r="120" spans="1:32">
      <c r="A120" s="159"/>
      <c r="B120" s="160"/>
      <c r="C120" s="5"/>
      <c r="D120" s="5"/>
      <c r="E120" s="5"/>
      <c r="F120" s="5"/>
      <c r="G120" s="5"/>
      <c r="H120" s="5"/>
      <c r="I120" s="5"/>
      <c r="J120" s="5"/>
      <c r="K120" s="5"/>
      <c r="L120" s="5"/>
      <c r="M120" s="5"/>
      <c r="N120" s="5"/>
      <c r="O120" s="5"/>
      <c r="P120" s="5"/>
      <c r="Q120" s="5"/>
      <c r="R120" s="5"/>
      <c r="S120" s="5"/>
      <c r="T120" s="5"/>
      <c r="U120" s="5"/>
      <c r="V120" s="7"/>
      <c r="W120" s="7"/>
      <c r="X120" s="164" t="e">
        <f t="shared" si="83"/>
        <v>#N/A</v>
      </c>
      <c r="Y120" s="164" t="e">
        <f t="shared" si="84"/>
        <v>#N/A</v>
      </c>
      <c r="AB120" s="156">
        <f t="shared" si="86"/>
        <v>0</v>
      </c>
      <c r="AC120" s="121" t="str">
        <f t="shared" si="85"/>
        <v/>
      </c>
      <c r="AE120" s="121" t="str">
        <f t="shared" si="87"/>
        <v/>
      </c>
      <c r="AF120" s="111" t="str">
        <f t="shared" si="88"/>
        <v/>
      </c>
    </row>
    <row r="121" spans="1:32">
      <c r="A121" s="159"/>
      <c r="B121" s="160"/>
      <c r="C121" s="5"/>
      <c r="D121" s="5"/>
      <c r="E121" s="5"/>
      <c r="F121" s="5"/>
      <c r="G121" s="5"/>
      <c r="H121" s="5"/>
      <c r="I121" s="5"/>
      <c r="J121" s="5"/>
      <c r="K121" s="5"/>
      <c r="L121" s="5"/>
      <c r="M121" s="5"/>
      <c r="N121" s="5"/>
      <c r="O121" s="5"/>
      <c r="P121" s="5"/>
      <c r="Q121" s="5"/>
      <c r="R121" s="5"/>
      <c r="S121" s="5"/>
      <c r="T121" s="5"/>
      <c r="U121" s="5"/>
      <c r="V121" s="7"/>
      <c r="W121" s="7"/>
      <c r="X121" s="164" t="e">
        <f t="shared" si="83"/>
        <v>#N/A</v>
      </c>
      <c r="Y121" s="164" t="e">
        <f t="shared" si="84"/>
        <v>#N/A</v>
      </c>
      <c r="AB121" s="156">
        <f t="shared" si="86"/>
        <v>0</v>
      </c>
      <c r="AC121" s="121" t="str">
        <f t="shared" si="85"/>
        <v/>
      </c>
      <c r="AE121" s="121" t="str">
        <f t="shared" si="87"/>
        <v/>
      </c>
      <c r="AF121" s="111" t="str">
        <f t="shared" si="88"/>
        <v/>
      </c>
    </row>
    <row r="122" spans="1:32">
      <c r="A122" s="159"/>
      <c r="B122" s="160"/>
      <c r="C122" s="5"/>
      <c r="D122" s="5"/>
      <c r="E122" s="5"/>
      <c r="F122" s="5"/>
      <c r="G122" s="5"/>
      <c r="H122" s="5"/>
      <c r="I122" s="5"/>
      <c r="J122" s="5"/>
      <c r="K122" s="5"/>
      <c r="L122" s="5"/>
      <c r="M122" s="5"/>
      <c r="N122" s="5"/>
      <c r="O122" s="5"/>
      <c r="P122" s="5"/>
      <c r="Q122" s="5"/>
      <c r="R122" s="5"/>
      <c r="S122" s="5"/>
      <c r="T122" s="5"/>
      <c r="U122" s="5"/>
      <c r="V122" s="7"/>
      <c r="W122" s="7"/>
      <c r="X122" s="164" t="e">
        <f t="shared" si="83"/>
        <v>#N/A</v>
      </c>
      <c r="Y122" s="164" t="e">
        <f t="shared" si="84"/>
        <v>#N/A</v>
      </c>
      <c r="AB122" s="156">
        <f t="shared" si="86"/>
        <v>0</v>
      </c>
      <c r="AC122" s="121" t="str">
        <f t="shared" si="85"/>
        <v/>
      </c>
      <c r="AE122" s="121" t="str">
        <f t="shared" si="87"/>
        <v/>
      </c>
      <c r="AF122" s="111" t="str">
        <f t="shared" si="88"/>
        <v/>
      </c>
    </row>
    <row r="123" spans="1:32">
      <c r="A123" s="159"/>
      <c r="B123" s="160"/>
      <c r="C123" s="5"/>
      <c r="D123" s="5"/>
      <c r="E123" s="5"/>
      <c r="F123" s="5"/>
      <c r="G123" s="5"/>
      <c r="H123" s="5"/>
      <c r="I123" s="5"/>
      <c r="J123" s="5"/>
      <c r="K123" s="5"/>
      <c r="L123" s="5"/>
      <c r="M123" s="5"/>
      <c r="N123" s="5"/>
      <c r="O123" s="5"/>
      <c r="P123" s="5"/>
      <c r="Q123" s="5"/>
      <c r="R123" s="5"/>
      <c r="S123" s="5"/>
      <c r="T123" s="5"/>
      <c r="U123" s="5"/>
      <c r="V123" s="7"/>
      <c r="W123" s="7"/>
      <c r="X123" s="164" t="e">
        <f t="shared" si="83"/>
        <v>#N/A</v>
      </c>
      <c r="Y123" s="164" t="e">
        <f t="shared" si="84"/>
        <v>#N/A</v>
      </c>
      <c r="AB123" s="156">
        <f t="shared" si="86"/>
        <v>0</v>
      </c>
      <c r="AC123" s="121" t="str">
        <f t="shared" si="85"/>
        <v/>
      </c>
      <c r="AE123" s="121" t="str">
        <f t="shared" si="87"/>
        <v/>
      </c>
      <c r="AF123" s="111" t="str">
        <f t="shared" si="88"/>
        <v/>
      </c>
    </row>
    <row r="124" spans="1:32">
      <c r="A124" s="159"/>
      <c r="B124" s="160"/>
      <c r="C124" s="5"/>
      <c r="D124" s="5"/>
      <c r="E124" s="5"/>
      <c r="F124" s="5"/>
      <c r="G124" s="5"/>
      <c r="H124" s="5"/>
      <c r="I124" s="5"/>
      <c r="J124" s="5"/>
      <c r="K124" s="5"/>
      <c r="L124" s="5"/>
      <c r="M124" s="5"/>
      <c r="N124" s="5"/>
      <c r="O124" s="5"/>
      <c r="P124" s="5"/>
      <c r="Q124" s="5"/>
      <c r="R124" s="5"/>
      <c r="S124" s="5"/>
      <c r="T124" s="5"/>
      <c r="U124" s="5"/>
      <c r="V124" s="7"/>
      <c r="W124" s="7"/>
      <c r="X124" s="164" t="e">
        <f t="shared" si="83"/>
        <v>#N/A</v>
      </c>
      <c r="Y124" s="164" t="e">
        <f t="shared" si="84"/>
        <v>#N/A</v>
      </c>
      <c r="AB124" s="156">
        <f t="shared" si="86"/>
        <v>0</v>
      </c>
      <c r="AC124" s="121" t="str">
        <f t="shared" si="85"/>
        <v/>
      </c>
      <c r="AE124" s="121" t="str">
        <f t="shared" si="87"/>
        <v/>
      </c>
      <c r="AF124" s="111" t="str">
        <f t="shared" si="88"/>
        <v/>
      </c>
    </row>
    <row r="125" spans="1:32">
      <c r="A125" s="159"/>
      <c r="B125" s="160"/>
      <c r="C125" s="5"/>
      <c r="D125" s="5"/>
      <c r="E125" s="5"/>
      <c r="F125" s="5"/>
      <c r="G125" s="5"/>
      <c r="H125" s="5"/>
      <c r="I125" s="5"/>
      <c r="J125" s="5"/>
      <c r="K125" s="5"/>
      <c r="L125" s="5"/>
      <c r="M125" s="5"/>
      <c r="N125" s="5"/>
      <c r="O125" s="5"/>
      <c r="P125" s="5"/>
      <c r="Q125" s="5"/>
      <c r="R125" s="5"/>
      <c r="S125" s="5"/>
      <c r="T125" s="5"/>
      <c r="U125" s="5"/>
      <c r="V125" s="7"/>
      <c r="W125" s="7"/>
      <c r="X125" s="164" t="e">
        <f t="shared" si="83"/>
        <v>#N/A</v>
      </c>
      <c r="Y125" s="164" t="e">
        <f t="shared" si="84"/>
        <v>#N/A</v>
      </c>
      <c r="AB125" s="156">
        <f t="shared" si="86"/>
        <v>0</v>
      </c>
      <c r="AC125" s="121" t="str">
        <f t="shared" si="85"/>
        <v/>
      </c>
      <c r="AE125" s="121" t="str">
        <f t="shared" si="87"/>
        <v/>
      </c>
      <c r="AF125" s="111" t="str">
        <f t="shared" si="88"/>
        <v/>
      </c>
    </row>
    <row r="126" spans="1:32">
      <c r="A126" s="159"/>
      <c r="B126" s="160"/>
      <c r="C126" s="5"/>
      <c r="D126" s="5"/>
      <c r="E126" s="5"/>
      <c r="F126" s="5"/>
      <c r="G126" s="5"/>
      <c r="H126" s="5"/>
      <c r="I126" s="5"/>
      <c r="J126" s="5"/>
      <c r="K126" s="5"/>
      <c r="L126" s="5"/>
      <c r="M126" s="5"/>
      <c r="N126" s="5"/>
      <c r="O126" s="5"/>
      <c r="P126" s="5"/>
      <c r="Q126" s="5"/>
      <c r="R126" s="5"/>
      <c r="S126" s="5"/>
      <c r="T126" s="5"/>
      <c r="U126" s="5"/>
      <c r="V126" s="7"/>
      <c r="W126" s="7"/>
      <c r="X126" s="164" t="e">
        <f t="shared" si="83"/>
        <v>#N/A</v>
      </c>
      <c r="Y126" s="164" t="e">
        <f t="shared" si="84"/>
        <v>#N/A</v>
      </c>
      <c r="AB126" s="156">
        <f t="shared" si="86"/>
        <v>0</v>
      </c>
      <c r="AC126" s="121" t="str">
        <f t="shared" si="85"/>
        <v/>
      </c>
      <c r="AE126" s="121" t="str">
        <f t="shared" si="87"/>
        <v/>
      </c>
      <c r="AF126" s="111" t="str">
        <f t="shared" si="88"/>
        <v/>
      </c>
    </row>
    <row r="127" spans="1:32">
      <c r="A127" s="159"/>
      <c r="B127" s="160"/>
      <c r="C127" s="5"/>
      <c r="D127" s="5"/>
      <c r="E127" s="5"/>
      <c r="F127" s="5"/>
      <c r="G127" s="5"/>
      <c r="H127" s="5"/>
      <c r="I127" s="5"/>
      <c r="J127" s="5"/>
      <c r="K127" s="5"/>
      <c r="L127" s="5"/>
      <c r="M127" s="5"/>
      <c r="N127" s="5"/>
      <c r="O127" s="5"/>
      <c r="P127" s="5"/>
      <c r="Q127" s="5"/>
      <c r="R127" s="5"/>
      <c r="S127" s="5"/>
      <c r="T127" s="5"/>
      <c r="U127" s="5"/>
      <c r="V127" s="7"/>
      <c r="W127" s="7"/>
      <c r="X127" s="164" t="e">
        <f t="shared" si="83"/>
        <v>#N/A</v>
      </c>
      <c r="Y127" s="164" t="e">
        <f t="shared" si="84"/>
        <v>#N/A</v>
      </c>
      <c r="AB127" s="156">
        <f t="shared" si="86"/>
        <v>0</v>
      </c>
      <c r="AC127" s="121" t="str">
        <f t="shared" si="85"/>
        <v/>
      </c>
      <c r="AE127" s="121" t="str">
        <f t="shared" si="87"/>
        <v/>
      </c>
      <c r="AF127" s="111" t="str">
        <f t="shared" si="88"/>
        <v/>
      </c>
    </row>
    <row r="128" spans="1:32">
      <c r="A128" s="159"/>
      <c r="B128" s="160"/>
      <c r="C128" s="5"/>
      <c r="D128" s="5"/>
      <c r="E128" s="5"/>
      <c r="F128" s="5"/>
      <c r="G128" s="5"/>
      <c r="H128" s="5"/>
      <c r="I128" s="5"/>
      <c r="J128" s="5"/>
      <c r="K128" s="5"/>
      <c r="L128" s="5"/>
      <c r="M128" s="5"/>
      <c r="N128" s="5"/>
      <c r="O128" s="5"/>
      <c r="P128" s="5"/>
      <c r="Q128" s="5"/>
      <c r="R128" s="5"/>
      <c r="S128" s="5"/>
      <c r="T128" s="5"/>
      <c r="U128" s="5"/>
      <c r="V128" s="7"/>
      <c r="W128" s="7"/>
      <c r="X128" s="164" t="e">
        <f t="shared" si="83"/>
        <v>#N/A</v>
      </c>
      <c r="Y128" s="164" t="e">
        <f t="shared" si="84"/>
        <v>#N/A</v>
      </c>
      <c r="AB128" s="156">
        <f t="shared" si="86"/>
        <v>0</v>
      </c>
      <c r="AC128" s="121" t="str">
        <f t="shared" si="85"/>
        <v/>
      </c>
      <c r="AE128" s="121" t="str">
        <f t="shared" si="87"/>
        <v/>
      </c>
      <c r="AF128" s="111" t="str">
        <f t="shared" si="88"/>
        <v/>
      </c>
    </row>
    <row r="129" spans="1:32">
      <c r="A129" s="159"/>
      <c r="B129" s="160"/>
      <c r="C129" s="5"/>
      <c r="D129" s="5"/>
      <c r="E129" s="5"/>
      <c r="F129" s="5"/>
      <c r="G129" s="5"/>
      <c r="H129" s="5"/>
      <c r="I129" s="5"/>
      <c r="J129" s="5"/>
      <c r="K129" s="5"/>
      <c r="L129" s="5"/>
      <c r="M129" s="5"/>
      <c r="N129" s="5"/>
      <c r="O129" s="5"/>
      <c r="P129" s="5"/>
      <c r="Q129" s="5"/>
      <c r="R129" s="5"/>
      <c r="S129" s="5"/>
      <c r="T129" s="5"/>
      <c r="U129" s="5"/>
      <c r="V129" s="7"/>
      <c r="W129" s="7"/>
      <c r="X129" s="164" t="e">
        <f t="shared" si="83"/>
        <v>#N/A</v>
      </c>
      <c r="Y129" s="164" t="e">
        <f t="shared" si="84"/>
        <v>#N/A</v>
      </c>
      <c r="AB129" s="156">
        <f t="shared" si="86"/>
        <v>0</v>
      </c>
      <c r="AC129" s="121" t="str">
        <f t="shared" si="85"/>
        <v/>
      </c>
      <c r="AE129" s="121" t="str">
        <f t="shared" si="87"/>
        <v/>
      </c>
      <c r="AF129" s="111" t="str">
        <f t="shared" si="88"/>
        <v/>
      </c>
    </row>
    <row r="130" spans="1:32">
      <c r="A130" s="159"/>
      <c r="B130" s="160"/>
      <c r="C130" s="5"/>
      <c r="D130" s="5"/>
      <c r="E130" s="5"/>
      <c r="F130" s="5"/>
      <c r="G130" s="5"/>
      <c r="H130" s="5"/>
      <c r="I130" s="5"/>
      <c r="J130" s="5"/>
      <c r="K130" s="5"/>
      <c r="L130" s="5"/>
      <c r="M130" s="5"/>
      <c r="N130" s="5"/>
      <c r="O130" s="5"/>
      <c r="P130" s="5"/>
      <c r="Q130" s="5"/>
      <c r="R130" s="5"/>
      <c r="S130" s="5"/>
      <c r="T130" s="5"/>
      <c r="U130" s="5"/>
      <c r="V130" s="7"/>
      <c r="W130" s="7"/>
      <c r="X130" s="164" t="e">
        <f t="shared" ref="X130:X193" si="89">IF(AB130=1, A130,NA())</f>
        <v>#N/A</v>
      </c>
      <c r="Y130" s="164" t="e">
        <f t="shared" ref="Y130:Y193" si="90">IF(AB130=1,B130-($H$7+$I$7*X130),NA())</f>
        <v>#N/A</v>
      </c>
      <c r="AB130" s="156">
        <f t="shared" si="86"/>
        <v>0</v>
      </c>
      <c r="AC130" s="121" t="str">
        <f t="shared" ref="AC130:AC193" si="91">IF(ISBLANK(A130), "", Y130^2)</f>
        <v/>
      </c>
      <c r="AE130" s="121" t="str">
        <f t="shared" si="87"/>
        <v/>
      </c>
      <c r="AF130" s="111" t="str">
        <f t="shared" si="88"/>
        <v/>
      </c>
    </row>
    <row r="131" spans="1:32">
      <c r="A131" s="159"/>
      <c r="B131" s="160"/>
      <c r="C131" s="5"/>
      <c r="D131" s="5"/>
      <c r="E131" s="5"/>
      <c r="F131" s="5"/>
      <c r="G131" s="5"/>
      <c r="H131" s="5"/>
      <c r="I131" s="5"/>
      <c r="J131" s="5"/>
      <c r="K131" s="5"/>
      <c r="L131" s="5"/>
      <c r="M131" s="5"/>
      <c r="N131" s="5"/>
      <c r="O131" s="5"/>
      <c r="P131" s="5"/>
      <c r="Q131" s="5"/>
      <c r="R131" s="5"/>
      <c r="S131" s="5"/>
      <c r="T131" s="5"/>
      <c r="U131" s="5"/>
      <c r="V131" s="7"/>
      <c r="W131" s="7"/>
      <c r="X131" s="164" t="e">
        <f t="shared" si="89"/>
        <v>#N/A</v>
      </c>
      <c r="Y131" s="164" t="e">
        <f t="shared" si="90"/>
        <v>#N/A</v>
      </c>
      <c r="AB131" s="156">
        <f t="shared" ref="AB131:AB194" si="92">IF(ISBLANK(A131),0,1)</f>
        <v>0</v>
      </c>
      <c r="AC131" s="121" t="str">
        <f t="shared" si="91"/>
        <v/>
      </c>
      <c r="AE131" s="121" t="str">
        <f t="shared" ref="AE131:AE194" si="93">IF(AB131=1,(A131-$AA$2)^2, "")</f>
        <v/>
      </c>
      <c r="AF131" s="111" t="str">
        <f t="shared" si="88"/>
        <v/>
      </c>
    </row>
    <row r="132" spans="1:32">
      <c r="A132" s="159"/>
      <c r="B132" s="160"/>
      <c r="C132" s="5"/>
      <c r="D132" s="5"/>
      <c r="E132" s="5"/>
      <c r="F132" s="5"/>
      <c r="G132" s="5"/>
      <c r="H132" s="5"/>
      <c r="I132" s="5"/>
      <c r="J132" s="5"/>
      <c r="K132" s="5"/>
      <c r="L132" s="5"/>
      <c r="M132" s="5"/>
      <c r="N132" s="5"/>
      <c r="O132" s="5"/>
      <c r="P132" s="5"/>
      <c r="Q132" s="5"/>
      <c r="R132" s="5"/>
      <c r="S132" s="5"/>
      <c r="T132" s="5"/>
      <c r="U132" s="5"/>
      <c r="V132" s="7"/>
      <c r="W132" s="7"/>
      <c r="X132" s="164" t="e">
        <f t="shared" si="89"/>
        <v>#N/A</v>
      </c>
      <c r="Y132" s="164" t="e">
        <f t="shared" si="90"/>
        <v>#N/A</v>
      </c>
      <c r="AB132" s="156">
        <f t="shared" si="92"/>
        <v>0</v>
      </c>
      <c r="AC132" s="121" t="str">
        <f t="shared" si="91"/>
        <v/>
      </c>
      <c r="AE132" s="121" t="str">
        <f t="shared" si="93"/>
        <v/>
      </c>
      <c r="AF132" s="111" t="str">
        <f t="shared" ref="AF132:AF195" si="94">IFERROR(Y131, "")</f>
        <v/>
      </c>
    </row>
    <row r="133" spans="1:32">
      <c r="A133" s="159"/>
      <c r="B133" s="160"/>
      <c r="C133" s="5"/>
      <c r="D133" s="5"/>
      <c r="E133" s="5"/>
      <c r="F133" s="5"/>
      <c r="G133" s="5"/>
      <c r="H133" s="5"/>
      <c r="I133" s="5"/>
      <c r="J133" s="5"/>
      <c r="K133" s="5"/>
      <c r="L133" s="5"/>
      <c r="M133" s="5"/>
      <c r="N133" s="5"/>
      <c r="O133" s="5"/>
      <c r="P133" s="5"/>
      <c r="Q133" s="5"/>
      <c r="R133" s="5"/>
      <c r="S133" s="5"/>
      <c r="T133" s="5"/>
      <c r="U133" s="5"/>
      <c r="V133" s="7"/>
      <c r="W133" s="7"/>
      <c r="X133" s="164" t="e">
        <f t="shared" si="89"/>
        <v>#N/A</v>
      </c>
      <c r="Y133" s="164" t="e">
        <f t="shared" si="90"/>
        <v>#N/A</v>
      </c>
      <c r="AB133" s="156">
        <f t="shared" si="92"/>
        <v>0</v>
      </c>
      <c r="AC133" s="121" t="str">
        <f t="shared" si="91"/>
        <v/>
      </c>
      <c r="AE133" s="121" t="str">
        <f t="shared" si="93"/>
        <v/>
      </c>
      <c r="AF133" s="111" t="str">
        <f t="shared" si="94"/>
        <v/>
      </c>
    </row>
    <row r="134" spans="1:32">
      <c r="A134" s="159"/>
      <c r="B134" s="160"/>
      <c r="C134" s="5"/>
      <c r="D134" s="5"/>
      <c r="E134" s="5"/>
      <c r="F134" s="5"/>
      <c r="G134" s="5"/>
      <c r="H134" s="5"/>
      <c r="I134" s="5"/>
      <c r="J134" s="5"/>
      <c r="K134" s="5"/>
      <c r="L134" s="5"/>
      <c r="M134" s="5"/>
      <c r="N134" s="5"/>
      <c r="O134" s="5"/>
      <c r="P134" s="5"/>
      <c r="Q134" s="5"/>
      <c r="R134" s="5"/>
      <c r="S134" s="5"/>
      <c r="T134" s="5"/>
      <c r="U134" s="5"/>
      <c r="V134" s="7"/>
      <c r="W134" s="7"/>
      <c r="X134" s="164" t="e">
        <f t="shared" si="89"/>
        <v>#N/A</v>
      </c>
      <c r="Y134" s="164" t="e">
        <f t="shared" si="90"/>
        <v>#N/A</v>
      </c>
      <c r="AB134" s="156">
        <f t="shared" si="92"/>
        <v>0</v>
      </c>
      <c r="AC134" s="121" t="str">
        <f t="shared" si="91"/>
        <v/>
      </c>
      <c r="AE134" s="121" t="str">
        <f t="shared" si="93"/>
        <v/>
      </c>
      <c r="AF134" s="111" t="str">
        <f t="shared" si="94"/>
        <v/>
      </c>
    </row>
    <row r="135" spans="1:32">
      <c r="A135" s="159"/>
      <c r="B135" s="160"/>
      <c r="C135" s="5"/>
      <c r="D135" s="5"/>
      <c r="E135" s="5"/>
      <c r="F135" s="5"/>
      <c r="G135" s="5"/>
      <c r="H135" s="5"/>
      <c r="I135" s="5"/>
      <c r="J135" s="5"/>
      <c r="K135" s="5"/>
      <c r="L135" s="5"/>
      <c r="M135" s="5"/>
      <c r="N135" s="5"/>
      <c r="O135" s="5"/>
      <c r="P135" s="5"/>
      <c r="Q135" s="5"/>
      <c r="R135" s="5"/>
      <c r="S135" s="5"/>
      <c r="T135" s="5"/>
      <c r="U135" s="5"/>
      <c r="V135" s="7"/>
      <c r="W135" s="7"/>
      <c r="X135" s="164" t="e">
        <f t="shared" si="89"/>
        <v>#N/A</v>
      </c>
      <c r="Y135" s="164" t="e">
        <f t="shared" si="90"/>
        <v>#N/A</v>
      </c>
      <c r="AB135" s="156">
        <f t="shared" si="92"/>
        <v>0</v>
      </c>
      <c r="AC135" s="121" t="str">
        <f t="shared" si="91"/>
        <v/>
      </c>
      <c r="AE135" s="121" t="str">
        <f t="shared" si="93"/>
        <v/>
      </c>
      <c r="AF135" s="111" t="str">
        <f t="shared" si="94"/>
        <v/>
      </c>
    </row>
    <row r="136" spans="1:32">
      <c r="A136" s="159"/>
      <c r="B136" s="160"/>
      <c r="C136" s="5"/>
      <c r="D136" s="5"/>
      <c r="E136" s="5"/>
      <c r="F136" s="5"/>
      <c r="G136" s="5"/>
      <c r="H136" s="5"/>
      <c r="I136" s="5"/>
      <c r="J136" s="5"/>
      <c r="K136" s="5"/>
      <c r="L136" s="5"/>
      <c r="M136" s="5"/>
      <c r="N136" s="5"/>
      <c r="O136" s="5"/>
      <c r="P136" s="5"/>
      <c r="Q136" s="5"/>
      <c r="R136" s="5"/>
      <c r="S136" s="5"/>
      <c r="T136" s="5"/>
      <c r="U136" s="5"/>
      <c r="V136" s="7"/>
      <c r="W136" s="7"/>
      <c r="X136" s="164" t="e">
        <f t="shared" si="89"/>
        <v>#N/A</v>
      </c>
      <c r="Y136" s="164" t="e">
        <f t="shared" si="90"/>
        <v>#N/A</v>
      </c>
      <c r="AB136" s="156">
        <f t="shared" si="92"/>
        <v>0</v>
      </c>
      <c r="AC136" s="121" t="str">
        <f t="shared" si="91"/>
        <v/>
      </c>
      <c r="AE136" s="121" t="str">
        <f t="shared" si="93"/>
        <v/>
      </c>
      <c r="AF136" s="111" t="str">
        <f t="shared" si="94"/>
        <v/>
      </c>
    </row>
    <row r="137" spans="1:32">
      <c r="A137" s="159"/>
      <c r="B137" s="160"/>
      <c r="C137" s="5"/>
      <c r="D137" s="5"/>
      <c r="E137" s="5"/>
      <c r="F137" s="5"/>
      <c r="G137" s="5"/>
      <c r="H137" s="5"/>
      <c r="I137" s="5"/>
      <c r="J137" s="5"/>
      <c r="K137" s="5"/>
      <c r="L137" s="5"/>
      <c r="M137" s="5"/>
      <c r="N137" s="5"/>
      <c r="O137" s="5"/>
      <c r="P137" s="5"/>
      <c r="Q137" s="5"/>
      <c r="R137" s="5"/>
      <c r="S137" s="5"/>
      <c r="T137" s="5"/>
      <c r="U137" s="5"/>
      <c r="V137" s="7"/>
      <c r="W137" s="7"/>
      <c r="X137" s="164" t="e">
        <f t="shared" si="89"/>
        <v>#N/A</v>
      </c>
      <c r="Y137" s="164" t="e">
        <f t="shared" si="90"/>
        <v>#N/A</v>
      </c>
      <c r="AB137" s="156">
        <f t="shared" si="92"/>
        <v>0</v>
      </c>
      <c r="AC137" s="121" t="str">
        <f t="shared" si="91"/>
        <v/>
      </c>
      <c r="AE137" s="121" t="str">
        <f t="shared" si="93"/>
        <v/>
      </c>
      <c r="AF137" s="111" t="str">
        <f t="shared" si="94"/>
        <v/>
      </c>
    </row>
    <row r="138" spans="1:32">
      <c r="A138" s="159"/>
      <c r="B138" s="160"/>
      <c r="C138" s="5"/>
      <c r="D138" s="5"/>
      <c r="E138" s="5"/>
      <c r="F138" s="5"/>
      <c r="G138" s="5"/>
      <c r="H138" s="5"/>
      <c r="I138" s="5"/>
      <c r="J138" s="5"/>
      <c r="K138" s="5"/>
      <c r="L138" s="5"/>
      <c r="M138" s="5"/>
      <c r="N138" s="5"/>
      <c r="O138" s="5"/>
      <c r="P138" s="5"/>
      <c r="Q138" s="5"/>
      <c r="R138" s="5"/>
      <c r="S138" s="5"/>
      <c r="T138" s="5"/>
      <c r="U138" s="5"/>
      <c r="V138" s="7"/>
      <c r="W138" s="7"/>
      <c r="X138" s="164" t="e">
        <f t="shared" si="89"/>
        <v>#N/A</v>
      </c>
      <c r="Y138" s="164" t="e">
        <f t="shared" si="90"/>
        <v>#N/A</v>
      </c>
      <c r="AB138" s="156">
        <f t="shared" si="92"/>
        <v>0</v>
      </c>
      <c r="AC138" s="121" t="str">
        <f t="shared" si="91"/>
        <v/>
      </c>
      <c r="AE138" s="121" t="str">
        <f t="shared" si="93"/>
        <v/>
      </c>
      <c r="AF138" s="111" t="str">
        <f t="shared" si="94"/>
        <v/>
      </c>
    </row>
    <row r="139" spans="1:32">
      <c r="A139" s="159"/>
      <c r="B139" s="160"/>
      <c r="C139" s="5"/>
      <c r="D139" s="5"/>
      <c r="E139" s="5"/>
      <c r="F139" s="5"/>
      <c r="G139" s="5"/>
      <c r="H139" s="5"/>
      <c r="I139" s="5"/>
      <c r="J139" s="5"/>
      <c r="K139" s="5"/>
      <c r="L139" s="5"/>
      <c r="M139" s="5"/>
      <c r="N139" s="5"/>
      <c r="O139" s="5"/>
      <c r="P139" s="5"/>
      <c r="Q139" s="5"/>
      <c r="R139" s="5"/>
      <c r="S139" s="5"/>
      <c r="T139" s="5"/>
      <c r="U139" s="5"/>
      <c r="V139" s="7"/>
      <c r="W139" s="7"/>
      <c r="X139" s="164" t="e">
        <f t="shared" si="89"/>
        <v>#N/A</v>
      </c>
      <c r="Y139" s="164" t="e">
        <f t="shared" si="90"/>
        <v>#N/A</v>
      </c>
      <c r="AB139" s="156">
        <f t="shared" si="92"/>
        <v>0</v>
      </c>
      <c r="AC139" s="121" t="str">
        <f t="shared" si="91"/>
        <v/>
      </c>
      <c r="AE139" s="121" t="str">
        <f t="shared" si="93"/>
        <v/>
      </c>
      <c r="AF139" s="111" t="str">
        <f t="shared" si="94"/>
        <v/>
      </c>
    </row>
    <row r="140" spans="1:32">
      <c r="A140" s="159"/>
      <c r="B140" s="160"/>
      <c r="C140" s="5"/>
      <c r="D140" s="5"/>
      <c r="E140" s="5"/>
      <c r="F140" s="5"/>
      <c r="G140" s="5"/>
      <c r="H140" s="5"/>
      <c r="I140" s="5"/>
      <c r="J140" s="5"/>
      <c r="K140" s="5"/>
      <c r="L140" s="5"/>
      <c r="M140" s="5"/>
      <c r="N140" s="5"/>
      <c r="O140" s="5"/>
      <c r="P140" s="5"/>
      <c r="Q140" s="5"/>
      <c r="R140" s="5"/>
      <c r="S140" s="5"/>
      <c r="T140" s="5"/>
      <c r="U140" s="5"/>
      <c r="V140" s="7"/>
      <c r="W140" s="7"/>
      <c r="X140" s="164" t="e">
        <f t="shared" si="89"/>
        <v>#N/A</v>
      </c>
      <c r="Y140" s="164" t="e">
        <f t="shared" si="90"/>
        <v>#N/A</v>
      </c>
      <c r="AB140" s="156">
        <f t="shared" si="92"/>
        <v>0</v>
      </c>
      <c r="AC140" s="121" t="str">
        <f t="shared" si="91"/>
        <v/>
      </c>
      <c r="AE140" s="121" t="str">
        <f t="shared" si="93"/>
        <v/>
      </c>
      <c r="AF140" s="111" t="str">
        <f t="shared" si="94"/>
        <v/>
      </c>
    </row>
    <row r="141" spans="1:32">
      <c r="A141" s="159"/>
      <c r="B141" s="160"/>
      <c r="C141" s="5"/>
      <c r="D141" s="5"/>
      <c r="E141" s="5"/>
      <c r="F141" s="5"/>
      <c r="G141" s="5"/>
      <c r="H141" s="5"/>
      <c r="I141" s="5"/>
      <c r="J141" s="5"/>
      <c r="K141" s="5"/>
      <c r="L141" s="5"/>
      <c r="M141" s="5"/>
      <c r="N141" s="5"/>
      <c r="O141" s="5"/>
      <c r="P141" s="5"/>
      <c r="Q141" s="5"/>
      <c r="R141" s="5"/>
      <c r="S141" s="5"/>
      <c r="T141" s="5"/>
      <c r="U141" s="5"/>
      <c r="V141" s="7"/>
      <c r="W141" s="7"/>
      <c r="X141" s="164" t="e">
        <f t="shared" si="89"/>
        <v>#N/A</v>
      </c>
      <c r="Y141" s="164" t="e">
        <f t="shared" si="90"/>
        <v>#N/A</v>
      </c>
      <c r="AB141" s="156">
        <f t="shared" si="92"/>
        <v>0</v>
      </c>
      <c r="AC141" s="121" t="str">
        <f t="shared" si="91"/>
        <v/>
      </c>
      <c r="AE141" s="121" t="str">
        <f t="shared" si="93"/>
        <v/>
      </c>
      <c r="AF141" s="111" t="str">
        <f t="shared" si="94"/>
        <v/>
      </c>
    </row>
    <row r="142" spans="1:32">
      <c r="A142" s="159"/>
      <c r="B142" s="160"/>
      <c r="C142" s="5"/>
      <c r="D142" s="5"/>
      <c r="E142" s="5"/>
      <c r="F142" s="5"/>
      <c r="G142" s="5"/>
      <c r="H142" s="5"/>
      <c r="I142" s="5"/>
      <c r="J142" s="5"/>
      <c r="K142" s="5"/>
      <c r="L142" s="5"/>
      <c r="M142" s="5"/>
      <c r="N142" s="5"/>
      <c r="O142" s="5"/>
      <c r="P142" s="5"/>
      <c r="Q142" s="5"/>
      <c r="R142" s="5"/>
      <c r="S142" s="5"/>
      <c r="T142" s="5"/>
      <c r="U142" s="5"/>
      <c r="V142" s="7"/>
      <c r="W142" s="7"/>
      <c r="X142" s="164" t="e">
        <f t="shared" si="89"/>
        <v>#N/A</v>
      </c>
      <c r="Y142" s="164" t="e">
        <f t="shared" si="90"/>
        <v>#N/A</v>
      </c>
      <c r="AB142" s="156">
        <f t="shared" si="92"/>
        <v>0</v>
      </c>
      <c r="AC142" s="121" t="str">
        <f t="shared" si="91"/>
        <v/>
      </c>
      <c r="AE142" s="121" t="str">
        <f t="shared" si="93"/>
        <v/>
      </c>
      <c r="AF142" s="111" t="str">
        <f t="shared" si="94"/>
        <v/>
      </c>
    </row>
    <row r="143" spans="1:32">
      <c r="A143" s="159"/>
      <c r="B143" s="160"/>
      <c r="C143" s="5"/>
      <c r="D143" s="5"/>
      <c r="E143" s="5"/>
      <c r="F143" s="5"/>
      <c r="G143" s="5"/>
      <c r="H143" s="5"/>
      <c r="I143" s="5"/>
      <c r="J143" s="5"/>
      <c r="K143" s="5"/>
      <c r="L143" s="5"/>
      <c r="M143" s="5"/>
      <c r="N143" s="5"/>
      <c r="O143" s="5"/>
      <c r="P143" s="5"/>
      <c r="Q143" s="5"/>
      <c r="R143" s="5"/>
      <c r="S143" s="5"/>
      <c r="T143" s="5"/>
      <c r="U143" s="5"/>
      <c r="V143" s="7"/>
      <c r="W143" s="7"/>
      <c r="X143" s="164" t="e">
        <f t="shared" si="89"/>
        <v>#N/A</v>
      </c>
      <c r="Y143" s="164" t="e">
        <f t="shared" si="90"/>
        <v>#N/A</v>
      </c>
      <c r="AB143" s="156">
        <f t="shared" si="92"/>
        <v>0</v>
      </c>
      <c r="AC143" s="121" t="str">
        <f t="shared" si="91"/>
        <v/>
      </c>
      <c r="AE143" s="121" t="str">
        <f t="shared" si="93"/>
        <v/>
      </c>
      <c r="AF143" s="111" t="str">
        <f t="shared" si="94"/>
        <v/>
      </c>
    </row>
    <row r="144" spans="1:32">
      <c r="A144" s="159"/>
      <c r="B144" s="160"/>
      <c r="C144" s="5"/>
      <c r="D144" s="5"/>
      <c r="E144" s="5"/>
      <c r="F144" s="5"/>
      <c r="G144" s="5"/>
      <c r="H144" s="5"/>
      <c r="I144" s="5"/>
      <c r="J144" s="5"/>
      <c r="K144" s="5"/>
      <c r="L144" s="5"/>
      <c r="M144" s="5"/>
      <c r="N144" s="5"/>
      <c r="O144" s="5"/>
      <c r="P144" s="5"/>
      <c r="Q144" s="5"/>
      <c r="R144" s="5"/>
      <c r="S144" s="5"/>
      <c r="T144" s="5"/>
      <c r="U144" s="5"/>
      <c r="V144" s="7"/>
      <c r="W144" s="7"/>
      <c r="X144" s="164" t="e">
        <f t="shared" si="89"/>
        <v>#N/A</v>
      </c>
      <c r="Y144" s="164" t="e">
        <f t="shared" si="90"/>
        <v>#N/A</v>
      </c>
      <c r="AB144" s="156">
        <f t="shared" si="92"/>
        <v>0</v>
      </c>
      <c r="AC144" s="121" t="str">
        <f t="shared" si="91"/>
        <v/>
      </c>
      <c r="AE144" s="121" t="str">
        <f t="shared" si="93"/>
        <v/>
      </c>
      <c r="AF144" s="111" t="str">
        <f t="shared" si="94"/>
        <v/>
      </c>
    </row>
    <row r="145" spans="1:32">
      <c r="A145" s="159"/>
      <c r="B145" s="160"/>
      <c r="C145" s="5"/>
      <c r="D145" s="5"/>
      <c r="E145" s="5"/>
      <c r="F145" s="5"/>
      <c r="G145" s="5"/>
      <c r="H145" s="5"/>
      <c r="I145" s="5"/>
      <c r="J145" s="5"/>
      <c r="K145" s="5"/>
      <c r="L145" s="5"/>
      <c r="M145" s="5"/>
      <c r="N145" s="5"/>
      <c r="O145" s="5"/>
      <c r="P145" s="5"/>
      <c r="Q145" s="5"/>
      <c r="R145" s="5"/>
      <c r="S145" s="5"/>
      <c r="T145" s="5"/>
      <c r="U145" s="5"/>
      <c r="V145" s="7"/>
      <c r="W145" s="7"/>
      <c r="X145" s="164" t="e">
        <f t="shared" si="89"/>
        <v>#N/A</v>
      </c>
      <c r="Y145" s="164" t="e">
        <f t="shared" si="90"/>
        <v>#N/A</v>
      </c>
      <c r="AB145" s="156">
        <f t="shared" si="92"/>
        <v>0</v>
      </c>
      <c r="AC145" s="121" t="str">
        <f t="shared" si="91"/>
        <v/>
      </c>
      <c r="AE145" s="121" t="str">
        <f t="shared" si="93"/>
        <v/>
      </c>
      <c r="AF145" s="111" t="str">
        <f t="shared" si="94"/>
        <v/>
      </c>
    </row>
    <row r="146" spans="1:32">
      <c r="A146" s="159"/>
      <c r="B146" s="160"/>
      <c r="C146" s="5"/>
      <c r="D146" s="5"/>
      <c r="E146" s="5"/>
      <c r="F146" s="5"/>
      <c r="G146" s="5"/>
      <c r="H146" s="5"/>
      <c r="I146" s="5"/>
      <c r="J146" s="5"/>
      <c r="K146" s="5"/>
      <c r="L146" s="5"/>
      <c r="M146" s="5"/>
      <c r="N146" s="5"/>
      <c r="O146" s="5"/>
      <c r="P146" s="5"/>
      <c r="Q146" s="5"/>
      <c r="R146" s="5"/>
      <c r="S146" s="5"/>
      <c r="T146" s="5"/>
      <c r="U146" s="5"/>
      <c r="V146" s="7"/>
      <c r="W146" s="7"/>
      <c r="X146" s="164" t="e">
        <f t="shared" si="89"/>
        <v>#N/A</v>
      </c>
      <c r="Y146" s="164" t="e">
        <f t="shared" si="90"/>
        <v>#N/A</v>
      </c>
      <c r="AB146" s="156">
        <f t="shared" si="92"/>
        <v>0</v>
      </c>
      <c r="AC146" s="121" t="str">
        <f t="shared" si="91"/>
        <v/>
      </c>
      <c r="AE146" s="121" t="str">
        <f t="shared" si="93"/>
        <v/>
      </c>
      <c r="AF146" s="111" t="str">
        <f t="shared" si="94"/>
        <v/>
      </c>
    </row>
    <row r="147" spans="1:32">
      <c r="A147" s="159"/>
      <c r="B147" s="160"/>
      <c r="C147" s="5"/>
      <c r="D147" s="5"/>
      <c r="E147" s="5"/>
      <c r="F147" s="5"/>
      <c r="G147" s="5"/>
      <c r="H147" s="5"/>
      <c r="I147" s="5"/>
      <c r="J147" s="5"/>
      <c r="K147" s="5"/>
      <c r="L147" s="5"/>
      <c r="M147" s="5"/>
      <c r="N147" s="5"/>
      <c r="O147" s="5"/>
      <c r="P147" s="5"/>
      <c r="Q147" s="5"/>
      <c r="R147" s="5"/>
      <c r="S147" s="5"/>
      <c r="T147" s="5"/>
      <c r="U147" s="5"/>
      <c r="V147" s="7"/>
      <c r="W147" s="7"/>
      <c r="X147" s="164" t="e">
        <f t="shared" si="89"/>
        <v>#N/A</v>
      </c>
      <c r="Y147" s="164" t="e">
        <f t="shared" si="90"/>
        <v>#N/A</v>
      </c>
      <c r="AB147" s="156">
        <f t="shared" si="92"/>
        <v>0</v>
      </c>
      <c r="AC147" s="121" t="str">
        <f t="shared" si="91"/>
        <v/>
      </c>
      <c r="AE147" s="121" t="str">
        <f t="shared" si="93"/>
        <v/>
      </c>
      <c r="AF147" s="111" t="str">
        <f t="shared" si="94"/>
        <v/>
      </c>
    </row>
    <row r="148" spans="1:32">
      <c r="A148" s="159"/>
      <c r="B148" s="160"/>
      <c r="C148" s="5"/>
      <c r="D148" s="5"/>
      <c r="E148" s="5"/>
      <c r="F148" s="5"/>
      <c r="G148" s="5"/>
      <c r="H148" s="5"/>
      <c r="I148" s="5"/>
      <c r="J148" s="5"/>
      <c r="K148" s="5"/>
      <c r="L148" s="5"/>
      <c r="M148" s="5"/>
      <c r="N148" s="5"/>
      <c r="O148" s="5"/>
      <c r="P148" s="5"/>
      <c r="Q148" s="5"/>
      <c r="R148" s="5"/>
      <c r="S148" s="5"/>
      <c r="T148" s="5"/>
      <c r="U148" s="5"/>
      <c r="V148" s="7"/>
      <c r="W148" s="7"/>
      <c r="X148" s="164" t="e">
        <f t="shared" si="89"/>
        <v>#N/A</v>
      </c>
      <c r="Y148" s="164" t="e">
        <f t="shared" si="90"/>
        <v>#N/A</v>
      </c>
      <c r="AB148" s="156">
        <f t="shared" si="92"/>
        <v>0</v>
      </c>
      <c r="AC148" s="121" t="str">
        <f t="shared" si="91"/>
        <v/>
      </c>
      <c r="AE148" s="121" t="str">
        <f t="shared" si="93"/>
        <v/>
      </c>
      <c r="AF148" s="111" t="str">
        <f t="shared" si="94"/>
        <v/>
      </c>
    </row>
    <row r="149" spans="1:32">
      <c r="A149" s="159"/>
      <c r="B149" s="160"/>
      <c r="C149" s="5"/>
      <c r="D149" s="5"/>
      <c r="E149" s="5"/>
      <c r="F149" s="5"/>
      <c r="G149" s="5"/>
      <c r="H149" s="5"/>
      <c r="I149" s="5"/>
      <c r="J149" s="5"/>
      <c r="K149" s="5"/>
      <c r="L149" s="5"/>
      <c r="M149" s="5"/>
      <c r="N149" s="5"/>
      <c r="O149" s="5"/>
      <c r="P149" s="5"/>
      <c r="Q149" s="5"/>
      <c r="R149" s="5"/>
      <c r="S149" s="5"/>
      <c r="T149" s="5"/>
      <c r="U149" s="5"/>
      <c r="V149" s="7"/>
      <c r="W149" s="7"/>
      <c r="X149" s="164" t="e">
        <f t="shared" si="89"/>
        <v>#N/A</v>
      </c>
      <c r="Y149" s="164" t="e">
        <f t="shared" si="90"/>
        <v>#N/A</v>
      </c>
      <c r="AB149" s="156">
        <f t="shared" si="92"/>
        <v>0</v>
      </c>
      <c r="AC149" s="121" t="str">
        <f t="shared" si="91"/>
        <v/>
      </c>
      <c r="AE149" s="121" t="str">
        <f t="shared" si="93"/>
        <v/>
      </c>
      <c r="AF149" s="111" t="str">
        <f t="shared" si="94"/>
        <v/>
      </c>
    </row>
    <row r="150" spans="1:32">
      <c r="A150" s="159"/>
      <c r="B150" s="160"/>
      <c r="C150" s="5"/>
      <c r="D150" s="5"/>
      <c r="E150" s="5"/>
      <c r="F150" s="5"/>
      <c r="G150" s="5"/>
      <c r="H150" s="5"/>
      <c r="I150" s="5"/>
      <c r="J150" s="5"/>
      <c r="K150" s="5"/>
      <c r="L150" s="5"/>
      <c r="M150" s="5"/>
      <c r="N150" s="5"/>
      <c r="O150" s="5"/>
      <c r="P150" s="5"/>
      <c r="Q150" s="5"/>
      <c r="R150" s="5"/>
      <c r="S150" s="5"/>
      <c r="T150" s="5"/>
      <c r="U150" s="5"/>
      <c r="V150" s="7"/>
      <c r="W150" s="7"/>
      <c r="X150" s="164" t="e">
        <f t="shared" si="89"/>
        <v>#N/A</v>
      </c>
      <c r="Y150" s="164" t="e">
        <f t="shared" si="90"/>
        <v>#N/A</v>
      </c>
      <c r="AB150" s="156">
        <f t="shared" si="92"/>
        <v>0</v>
      </c>
      <c r="AC150" s="121" t="str">
        <f t="shared" si="91"/>
        <v/>
      </c>
      <c r="AE150" s="121" t="str">
        <f t="shared" si="93"/>
        <v/>
      </c>
      <c r="AF150" s="111" t="str">
        <f t="shared" si="94"/>
        <v/>
      </c>
    </row>
    <row r="151" spans="1:32">
      <c r="A151" s="159"/>
      <c r="B151" s="160"/>
      <c r="C151" s="5"/>
      <c r="D151" s="5"/>
      <c r="E151" s="5"/>
      <c r="F151" s="5"/>
      <c r="G151" s="5"/>
      <c r="H151" s="5"/>
      <c r="I151" s="5"/>
      <c r="J151" s="5"/>
      <c r="K151" s="5"/>
      <c r="L151" s="5"/>
      <c r="M151" s="5"/>
      <c r="N151" s="5"/>
      <c r="O151" s="5"/>
      <c r="P151" s="5"/>
      <c r="Q151" s="5"/>
      <c r="R151" s="5"/>
      <c r="S151" s="5"/>
      <c r="T151" s="5"/>
      <c r="U151" s="5"/>
      <c r="V151" s="7"/>
      <c r="W151" s="7"/>
      <c r="X151" s="164" t="e">
        <f t="shared" si="89"/>
        <v>#N/A</v>
      </c>
      <c r="Y151" s="164" t="e">
        <f t="shared" si="90"/>
        <v>#N/A</v>
      </c>
      <c r="AB151" s="156">
        <f t="shared" si="92"/>
        <v>0</v>
      </c>
      <c r="AC151" s="121" t="str">
        <f t="shared" si="91"/>
        <v/>
      </c>
      <c r="AE151" s="121" t="str">
        <f t="shared" si="93"/>
        <v/>
      </c>
      <c r="AF151" s="111" t="str">
        <f t="shared" si="94"/>
        <v/>
      </c>
    </row>
    <row r="152" spans="1:32">
      <c r="A152" s="159"/>
      <c r="B152" s="160"/>
      <c r="C152" s="5"/>
      <c r="D152" s="5"/>
      <c r="E152" s="5"/>
      <c r="F152" s="5"/>
      <c r="G152" s="5"/>
      <c r="H152" s="5"/>
      <c r="I152" s="5"/>
      <c r="J152" s="5"/>
      <c r="K152" s="5"/>
      <c r="L152" s="5"/>
      <c r="M152" s="5"/>
      <c r="N152" s="5"/>
      <c r="O152" s="5"/>
      <c r="P152" s="5"/>
      <c r="Q152" s="5"/>
      <c r="R152" s="5"/>
      <c r="S152" s="5"/>
      <c r="T152" s="5"/>
      <c r="U152" s="5"/>
      <c r="V152" s="7"/>
      <c r="W152" s="7"/>
      <c r="X152" s="164" t="e">
        <f t="shared" si="89"/>
        <v>#N/A</v>
      </c>
      <c r="Y152" s="164" t="e">
        <f t="shared" si="90"/>
        <v>#N/A</v>
      </c>
      <c r="AB152" s="156">
        <f t="shared" si="92"/>
        <v>0</v>
      </c>
      <c r="AC152" s="121" t="str">
        <f t="shared" si="91"/>
        <v/>
      </c>
      <c r="AE152" s="121" t="str">
        <f t="shared" si="93"/>
        <v/>
      </c>
      <c r="AF152" s="111" t="str">
        <f t="shared" si="94"/>
        <v/>
      </c>
    </row>
    <row r="153" spans="1:32">
      <c r="A153" s="159"/>
      <c r="B153" s="160"/>
      <c r="C153" s="5"/>
      <c r="D153" s="5"/>
      <c r="E153" s="5"/>
      <c r="F153" s="5"/>
      <c r="G153" s="5"/>
      <c r="H153" s="5"/>
      <c r="I153" s="5"/>
      <c r="J153" s="5"/>
      <c r="K153" s="5"/>
      <c r="L153" s="5"/>
      <c r="M153" s="5"/>
      <c r="N153" s="5"/>
      <c r="O153" s="5"/>
      <c r="P153" s="5"/>
      <c r="Q153" s="5"/>
      <c r="R153" s="5"/>
      <c r="S153" s="5"/>
      <c r="T153" s="5"/>
      <c r="U153" s="5"/>
      <c r="V153" s="7"/>
      <c r="W153" s="7"/>
      <c r="X153" s="164" t="e">
        <f t="shared" si="89"/>
        <v>#N/A</v>
      </c>
      <c r="Y153" s="164" t="e">
        <f t="shared" si="90"/>
        <v>#N/A</v>
      </c>
      <c r="AB153" s="156">
        <f t="shared" si="92"/>
        <v>0</v>
      </c>
      <c r="AC153" s="121" t="str">
        <f t="shared" si="91"/>
        <v/>
      </c>
      <c r="AE153" s="121" t="str">
        <f t="shared" si="93"/>
        <v/>
      </c>
      <c r="AF153" s="111" t="str">
        <f t="shared" si="94"/>
        <v/>
      </c>
    </row>
    <row r="154" spans="1:32">
      <c r="A154" s="159"/>
      <c r="B154" s="160"/>
      <c r="C154" s="5"/>
      <c r="D154" s="5"/>
      <c r="E154" s="5"/>
      <c r="F154" s="5"/>
      <c r="G154" s="5"/>
      <c r="H154" s="5"/>
      <c r="I154" s="5"/>
      <c r="J154" s="5"/>
      <c r="K154" s="5"/>
      <c r="L154" s="5"/>
      <c r="M154" s="5"/>
      <c r="N154" s="5"/>
      <c r="O154" s="5"/>
      <c r="P154" s="5"/>
      <c r="Q154" s="5"/>
      <c r="R154" s="5"/>
      <c r="S154" s="5"/>
      <c r="T154" s="5"/>
      <c r="U154" s="5"/>
      <c r="V154" s="7"/>
      <c r="W154" s="7"/>
      <c r="X154" s="164" t="e">
        <f t="shared" si="89"/>
        <v>#N/A</v>
      </c>
      <c r="Y154" s="164" t="e">
        <f t="shared" si="90"/>
        <v>#N/A</v>
      </c>
      <c r="AB154" s="156">
        <f t="shared" si="92"/>
        <v>0</v>
      </c>
      <c r="AC154" s="121" t="str">
        <f t="shared" si="91"/>
        <v/>
      </c>
      <c r="AE154" s="121" t="str">
        <f t="shared" si="93"/>
        <v/>
      </c>
      <c r="AF154" s="111" t="str">
        <f t="shared" si="94"/>
        <v/>
      </c>
    </row>
    <row r="155" spans="1:32">
      <c r="A155" s="159"/>
      <c r="B155" s="160"/>
      <c r="C155" s="5"/>
      <c r="D155" s="5"/>
      <c r="E155" s="5"/>
      <c r="F155" s="5"/>
      <c r="G155" s="5"/>
      <c r="H155" s="5"/>
      <c r="I155" s="5"/>
      <c r="J155" s="5"/>
      <c r="K155" s="5"/>
      <c r="L155" s="5"/>
      <c r="M155" s="5"/>
      <c r="N155" s="5"/>
      <c r="O155" s="5"/>
      <c r="P155" s="5"/>
      <c r="Q155" s="5"/>
      <c r="R155" s="5"/>
      <c r="S155" s="5"/>
      <c r="T155" s="5"/>
      <c r="U155" s="5"/>
      <c r="V155" s="7"/>
      <c r="W155" s="7"/>
      <c r="X155" s="164" t="e">
        <f t="shared" si="89"/>
        <v>#N/A</v>
      </c>
      <c r="Y155" s="164" t="e">
        <f t="shared" si="90"/>
        <v>#N/A</v>
      </c>
      <c r="AB155" s="156">
        <f t="shared" si="92"/>
        <v>0</v>
      </c>
      <c r="AC155" s="121" t="str">
        <f t="shared" si="91"/>
        <v/>
      </c>
      <c r="AE155" s="121" t="str">
        <f t="shared" si="93"/>
        <v/>
      </c>
      <c r="AF155" s="111" t="str">
        <f t="shared" si="94"/>
        <v/>
      </c>
    </row>
    <row r="156" spans="1:32">
      <c r="A156" s="159"/>
      <c r="B156" s="160"/>
      <c r="C156" s="5"/>
      <c r="D156" s="5"/>
      <c r="E156" s="5"/>
      <c r="F156" s="5"/>
      <c r="G156" s="5"/>
      <c r="H156" s="5"/>
      <c r="I156" s="5"/>
      <c r="J156" s="5"/>
      <c r="K156" s="5"/>
      <c r="L156" s="5"/>
      <c r="M156" s="5"/>
      <c r="N156" s="5"/>
      <c r="O156" s="5"/>
      <c r="P156" s="5"/>
      <c r="Q156" s="5"/>
      <c r="R156" s="5"/>
      <c r="S156" s="5"/>
      <c r="T156" s="5"/>
      <c r="U156" s="5"/>
      <c r="V156" s="7"/>
      <c r="W156" s="7"/>
      <c r="X156" s="164" t="e">
        <f t="shared" si="89"/>
        <v>#N/A</v>
      </c>
      <c r="Y156" s="164" t="e">
        <f t="shared" si="90"/>
        <v>#N/A</v>
      </c>
      <c r="AB156" s="156">
        <f t="shared" si="92"/>
        <v>0</v>
      </c>
      <c r="AC156" s="121" t="str">
        <f t="shared" si="91"/>
        <v/>
      </c>
      <c r="AE156" s="121" t="str">
        <f t="shared" si="93"/>
        <v/>
      </c>
      <c r="AF156" s="111" t="str">
        <f t="shared" si="94"/>
        <v/>
      </c>
    </row>
    <row r="157" spans="1:32">
      <c r="A157" s="159"/>
      <c r="B157" s="160"/>
      <c r="C157" s="5"/>
      <c r="D157" s="5"/>
      <c r="E157" s="5"/>
      <c r="F157" s="5"/>
      <c r="G157" s="5"/>
      <c r="H157" s="5"/>
      <c r="I157" s="5"/>
      <c r="J157" s="5"/>
      <c r="K157" s="5"/>
      <c r="L157" s="5"/>
      <c r="M157" s="5"/>
      <c r="N157" s="5"/>
      <c r="O157" s="5"/>
      <c r="P157" s="5"/>
      <c r="Q157" s="5"/>
      <c r="R157" s="5"/>
      <c r="S157" s="5"/>
      <c r="T157" s="5"/>
      <c r="U157" s="5"/>
      <c r="V157" s="7"/>
      <c r="W157" s="7"/>
      <c r="X157" s="164" t="e">
        <f t="shared" si="89"/>
        <v>#N/A</v>
      </c>
      <c r="Y157" s="164" t="e">
        <f t="shared" si="90"/>
        <v>#N/A</v>
      </c>
      <c r="AB157" s="156">
        <f t="shared" si="92"/>
        <v>0</v>
      </c>
      <c r="AC157" s="121" t="str">
        <f t="shared" si="91"/>
        <v/>
      </c>
      <c r="AE157" s="121" t="str">
        <f t="shared" si="93"/>
        <v/>
      </c>
      <c r="AF157" s="111" t="str">
        <f t="shared" si="94"/>
        <v/>
      </c>
    </row>
    <row r="158" spans="1:32">
      <c r="A158" s="159"/>
      <c r="B158" s="160"/>
      <c r="C158" s="5"/>
      <c r="D158" s="5"/>
      <c r="E158" s="5"/>
      <c r="F158" s="5"/>
      <c r="G158" s="5"/>
      <c r="H158" s="5"/>
      <c r="I158" s="5"/>
      <c r="J158" s="5"/>
      <c r="K158" s="5"/>
      <c r="L158" s="5"/>
      <c r="M158" s="5"/>
      <c r="N158" s="5"/>
      <c r="O158" s="5"/>
      <c r="P158" s="5"/>
      <c r="Q158" s="5"/>
      <c r="R158" s="5"/>
      <c r="S158" s="5"/>
      <c r="T158" s="5"/>
      <c r="U158" s="5"/>
      <c r="V158" s="7"/>
      <c r="W158" s="7"/>
      <c r="X158" s="164" t="e">
        <f t="shared" si="89"/>
        <v>#N/A</v>
      </c>
      <c r="Y158" s="164" t="e">
        <f t="shared" si="90"/>
        <v>#N/A</v>
      </c>
      <c r="AB158" s="156">
        <f t="shared" si="92"/>
        <v>0</v>
      </c>
      <c r="AC158" s="121" t="str">
        <f t="shared" si="91"/>
        <v/>
      </c>
      <c r="AE158" s="121" t="str">
        <f t="shared" si="93"/>
        <v/>
      </c>
      <c r="AF158" s="111" t="str">
        <f t="shared" si="94"/>
        <v/>
      </c>
    </row>
    <row r="159" spans="1:32">
      <c r="A159" s="159"/>
      <c r="B159" s="160"/>
      <c r="C159" s="5"/>
      <c r="D159" s="5"/>
      <c r="E159" s="5"/>
      <c r="F159" s="5"/>
      <c r="G159" s="5"/>
      <c r="H159" s="5"/>
      <c r="I159" s="5"/>
      <c r="J159" s="5"/>
      <c r="K159" s="5"/>
      <c r="L159" s="5"/>
      <c r="M159" s="5"/>
      <c r="N159" s="5"/>
      <c r="O159" s="5"/>
      <c r="P159" s="5"/>
      <c r="Q159" s="5"/>
      <c r="R159" s="5"/>
      <c r="S159" s="5"/>
      <c r="T159" s="5"/>
      <c r="U159" s="5"/>
      <c r="V159" s="7"/>
      <c r="W159" s="7"/>
      <c r="X159" s="164" t="e">
        <f t="shared" si="89"/>
        <v>#N/A</v>
      </c>
      <c r="Y159" s="164" t="e">
        <f t="shared" si="90"/>
        <v>#N/A</v>
      </c>
      <c r="AB159" s="156">
        <f t="shared" si="92"/>
        <v>0</v>
      </c>
      <c r="AC159" s="121" t="str">
        <f t="shared" si="91"/>
        <v/>
      </c>
      <c r="AE159" s="121" t="str">
        <f t="shared" si="93"/>
        <v/>
      </c>
      <c r="AF159" s="111" t="str">
        <f t="shared" si="94"/>
        <v/>
      </c>
    </row>
    <row r="160" spans="1:32">
      <c r="A160" s="159"/>
      <c r="B160" s="160"/>
      <c r="C160" s="5"/>
      <c r="D160" s="5"/>
      <c r="E160" s="5"/>
      <c r="F160" s="5"/>
      <c r="G160" s="5"/>
      <c r="H160" s="5"/>
      <c r="I160" s="5"/>
      <c r="J160" s="5"/>
      <c r="K160" s="5"/>
      <c r="L160" s="5"/>
      <c r="M160" s="5"/>
      <c r="N160" s="5"/>
      <c r="O160" s="5"/>
      <c r="P160" s="5"/>
      <c r="Q160" s="5"/>
      <c r="R160" s="5"/>
      <c r="S160" s="5"/>
      <c r="T160" s="5"/>
      <c r="U160" s="5"/>
      <c r="V160" s="7"/>
      <c r="W160" s="7"/>
      <c r="X160" s="164" t="e">
        <f t="shared" si="89"/>
        <v>#N/A</v>
      </c>
      <c r="Y160" s="164" t="e">
        <f t="shared" si="90"/>
        <v>#N/A</v>
      </c>
      <c r="AB160" s="156">
        <f t="shared" si="92"/>
        <v>0</v>
      </c>
      <c r="AC160" s="121" t="str">
        <f t="shared" si="91"/>
        <v/>
      </c>
      <c r="AE160" s="121" t="str">
        <f t="shared" si="93"/>
        <v/>
      </c>
      <c r="AF160" s="111" t="str">
        <f t="shared" si="94"/>
        <v/>
      </c>
    </row>
    <row r="161" spans="1:32">
      <c r="A161" s="159"/>
      <c r="B161" s="160"/>
      <c r="C161" s="5"/>
      <c r="D161" s="5"/>
      <c r="E161" s="5"/>
      <c r="F161" s="5"/>
      <c r="G161" s="5"/>
      <c r="H161" s="5"/>
      <c r="I161" s="5"/>
      <c r="J161" s="5"/>
      <c r="K161" s="5"/>
      <c r="L161" s="5"/>
      <c r="M161" s="5"/>
      <c r="N161" s="5"/>
      <c r="O161" s="5"/>
      <c r="P161" s="5"/>
      <c r="Q161" s="5"/>
      <c r="R161" s="5"/>
      <c r="S161" s="5"/>
      <c r="T161" s="5"/>
      <c r="U161" s="5"/>
      <c r="V161" s="7"/>
      <c r="W161" s="7"/>
      <c r="X161" s="164" t="e">
        <f t="shared" si="89"/>
        <v>#N/A</v>
      </c>
      <c r="Y161" s="164" t="e">
        <f t="shared" si="90"/>
        <v>#N/A</v>
      </c>
      <c r="AB161" s="156">
        <f t="shared" si="92"/>
        <v>0</v>
      </c>
      <c r="AC161" s="121" t="str">
        <f t="shared" si="91"/>
        <v/>
      </c>
      <c r="AE161" s="121" t="str">
        <f t="shared" si="93"/>
        <v/>
      </c>
      <c r="AF161" s="111" t="str">
        <f t="shared" si="94"/>
        <v/>
      </c>
    </row>
    <row r="162" spans="1:32">
      <c r="A162" s="159"/>
      <c r="B162" s="160"/>
      <c r="C162" s="5"/>
      <c r="D162" s="5"/>
      <c r="E162" s="5"/>
      <c r="F162" s="5"/>
      <c r="G162" s="5"/>
      <c r="H162" s="5"/>
      <c r="I162" s="5"/>
      <c r="J162" s="5"/>
      <c r="K162" s="5"/>
      <c r="L162" s="5"/>
      <c r="M162" s="5"/>
      <c r="N162" s="5"/>
      <c r="O162" s="5"/>
      <c r="P162" s="5"/>
      <c r="Q162" s="5"/>
      <c r="R162" s="5"/>
      <c r="S162" s="5"/>
      <c r="T162" s="5"/>
      <c r="U162" s="5"/>
      <c r="V162" s="7"/>
      <c r="W162" s="7"/>
      <c r="X162" s="164" t="e">
        <f t="shared" si="89"/>
        <v>#N/A</v>
      </c>
      <c r="Y162" s="164" t="e">
        <f t="shared" si="90"/>
        <v>#N/A</v>
      </c>
      <c r="AB162" s="156">
        <f t="shared" si="92"/>
        <v>0</v>
      </c>
      <c r="AC162" s="121" t="str">
        <f t="shared" si="91"/>
        <v/>
      </c>
      <c r="AE162" s="121" t="str">
        <f t="shared" si="93"/>
        <v/>
      </c>
      <c r="AF162" s="111" t="str">
        <f t="shared" si="94"/>
        <v/>
      </c>
    </row>
    <row r="163" spans="1:32">
      <c r="A163" s="159"/>
      <c r="B163" s="160"/>
      <c r="C163" s="5"/>
      <c r="D163" s="5"/>
      <c r="E163" s="5"/>
      <c r="F163" s="5"/>
      <c r="G163" s="5"/>
      <c r="H163" s="5"/>
      <c r="I163" s="5"/>
      <c r="J163" s="5"/>
      <c r="K163" s="5"/>
      <c r="L163" s="5"/>
      <c r="M163" s="5"/>
      <c r="N163" s="5"/>
      <c r="O163" s="5"/>
      <c r="P163" s="5"/>
      <c r="Q163" s="5"/>
      <c r="R163" s="5"/>
      <c r="S163" s="5"/>
      <c r="T163" s="5"/>
      <c r="U163" s="5"/>
      <c r="V163" s="7"/>
      <c r="W163" s="7"/>
      <c r="X163" s="164" t="e">
        <f t="shared" si="89"/>
        <v>#N/A</v>
      </c>
      <c r="Y163" s="164" t="e">
        <f t="shared" si="90"/>
        <v>#N/A</v>
      </c>
      <c r="AB163" s="156">
        <f t="shared" si="92"/>
        <v>0</v>
      </c>
      <c r="AC163" s="121" t="str">
        <f t="shared" si="91"/>
        <v/>
      </c>
      <c r="AE163" s="121" t="str">
        <f t="shared" si="93"/>
        <v/>
      </c>
      <c r="AF163" s="111" t="str">
        <f t="shared" si="94"/>
        <v/>
      </c>
    </row>
    <row r="164" spans="1:32">
      <c r="A164" s="159"/>
      <c r="B164" s="160"/>
      <c r="C164" s="5"/>
      <c r="D164" s="5"/>
      <c r="E164" s="5"/>
      <c r="F164" s="5"/>
      <c r="G164" s="5"/>
      <c r="H164" s="5"/>
      <c r="I164" s="5"/>
      <c r="J164" s="5"/>
      <c r="K164" s="5"/>
      <c r="L164" s="5"/>
      <c r="M164" s="5"/>
      <c r="N164" s="5"/>
      <c r="O164" s="5"/>
      <c r="P164" s="5"/>
      <c r="Q164" s="5"/>
      <c r="R164" s="5"/>
      <c r="S164" s="5"/>
      <c r="T164" s="5"/>
      <c r="U164" s="5"/>
      <c r="V164" s="7"/>
      <c r="W164" s="7"/>
      <c r="X164" s="164" t="e">
        <f t="shared" si="89"/>
        <v>#N/A</v>
      </c>
      <c r="Y164" s="164" t="e">
        <f t="shared" si="90"/>
        <v>#N/A</v>
      </c>
      <c r="AB164" s="156">
        <f t="shared" si="92"/>
        <v>0</v>
      </c>
      <c r="AC164" s="121" t="str">
        <f t="shared" si="91"/>
        <v/>
      </c>
      <c r="AE164" s="121" t="str">
        <f t="shared" si="93"/>
        <v/>
      </c>
      <c r="AF164" s="111" t="str">
        <f t="shared" si="94"/>
        <v/>
      </c>
    </row>
    <row r="165" spans="1:32">
      <c r="A165" s="159"/>
      <c r="B165" s="160"/>
      <c r="C165" s="5"/>
      <c r="D165" s="5"/>
      <c r="E165" s="5"/>
      <c r="F165" s="5"/>
      <c r="G165" s="5"/>
      <c r="H165" s="5"/>
      <c r="I165" s="5"/>
      <c r="J165" s="5"/>
      <c r="K165" s="5"/>
      <c r="L165" s="5"/>
      <c r="M165" s="5"/>
      <c r="N165" s="5"/>
      <c r="O165" s="5"/>
      <c r="P165" s="5"/>
      <c r="Q165" s="5"/>
      <c r="R165" s="5"/>
      <c r="S165" s="5"/>
      <c r="T165" s="5"/>
      <c r="U165" s="5"/>
      <c r="V165" s="7"/>
      <c r="W165" s="7"/>
      <c r="X165" s="164" t="e">
        <f t="shared" si="89"/>
        <v>#N/A</v>
      </c>
      <c r="Y165" s="164" t="e">
        <f t="shared" si="90"/>
        <v>#N/A</v>
      </c>
      <c r="AB165" s="156">
        <f t="shared" si="92"/>
        <v>0</v>
      </c>
      <c r="AC165" s="121" t="str">
        <f t="shared" si="91"/>
        <v/>
      </c>
      <c r="AE165" s="121" t="str">
        <f t="shared" si="93"/>
        <v/>
      </c>
      <c r="AF165" s="111" t="str">
        <f t="shared" si="94"/>
        <v/>
      </c>
    </row>
    <row r="166" spans="1:32">
      <c r="A166" s="159"/>
      <c r="B166" s="160"/>
      <c r="C166" s="5"/>
      <c r="D166" s="5"/>
      <c r="E166" s="5"/>
      <c r="F166" s="5"/>
      <c r="G166" s="5"/>
      <c r="H166" s="5"/>
      <c r="I166" s="5"/>
      <c r="J166" s="5"/>
      <c r="K166" s="5"/>
      <c r="L166" s="5"/>
      <c r="M166" s="5"/>
      <c r="N166" s="5"/>
      <c r="O166" s="5"/>
      <c r="P166" s="5"/>
      <c r="Q166" s="5"/>
      <c r="R166" s="5"/>
      <c r="S166" s="5"/>
      <c r="T166" s="5"/>
      <c r="U166" s="5"/>
      <c r="V166" s="7"/>
      <c r="W166" s="7"/>
      <c r="X166" s="164" t="e">
        <f t="shared" si="89"/>
        <v>#N/A</v>
      </c>
      <c r="Y166" s="164" t="e">
        <f t="shared" si="90"/>
        <v>#N/A</v>
      </c>
      <c r="AB166" s="156">
        <f t="shared" si="92"/>
        <v>0</v>
      </c>
      <c r="AC166" s="121" t="str">
        <f t="shared" si="91"/>
        <v/>
      </c>
      <c r="AE166" s="121" t="str">
        <f t="shared" si="93"/>
        <v/>
      </c>
      <c r="AF166" s="111" t="str">
        <f t="shared" si="94"/>
        <v/>
      </c>
    </row>
    <row r="167" spans="1:32">
      <c r="A167" s="159"/>
      <c r="B167" s="160"/>
      <c r="C167" s="5"/>
      <c r="D167" s="5"/>
      <c r="E167" s="5"/>
      <c r="F167" s="5"/>
      <c r="G167" s="5"/>
      <c r="H167" s="5"/>
      <c r="I167" s="5"/>
      <c r="J167" s="5"/>
      <c r="K167" s="5"/>
      <c r="L167" s="5"/>
      <c r="M167" s="5"/>
      <c r="N167" s="5"/>
      <c r="O167" s="5"/>
      <c r="P167" s="5"/>
      <c r="Q167" s="5"/>
      <c r="R167" s="5"/>
      <c r="S167" s="5"/>
      <c r="T167" s="5"/>
      <c r="U167" s="5"/>
      <c r="V167" s="7"/>
      <c r="W167" s="7"/>
      <c r="X167" s="164" t="e">
        <f t="shared" si="89"/>
        <v>#N/A</v>
      </c>
      <c r="Y167" s="164" t="e">
        <f t="shared" si="90"/>
        <v>#N/A</v>
      </c>
      <c r="AB167" s="156">
        <f t="shared" si="92"/>
        <v>0</v>
      </c>
      <c r="AC167" s="121" t="str">
        <f t="shared" si="91"/>
        <v/>
      </c>
      <c r="AE167" s="121" t="str">
        <f t="shared" si="93"/>
        <v/>
      </c>
      <c r="AF167" s="111" t="str">
        <f t="shared" si="94"/>
        <v/>
      </c>
    </row>
    <row r="168" spans="1:32">
      <c r="A168" s="159"/>
      <c r="B168" s="160"/>
      <c r="C168" s="5"/>
      <c r="D168" s="5"/>
      <c r="E168" s="5"/>
      <c r="F168" s="5"/>
      <c r="G168" s="5"/>
      <c r="H168" s="5"/>
      <c r="I168" s="5"/>
      <c r="J168" s="5"/>
      <c r="K168" s="5"/>
      <c r="L168" s="5"/>
      <c r="M168" s="5"/>
      <c r="N168" s="5"/>
      <c r="O168" s="5"/>
      <c r="P168" s="5"/>
      <c r="Q168" s="5"/>
      <c r="R168" s="5"/>
      <c r="S168" s="5"/>
      <c r="T168" s="5"/>
      <c r="U168" s="5"/>
      <c r="V168" s="7"/>
      <c r="W168" s="7"/>
      <c r="X168" s="164" t="e">
        <f t="shared" si="89"/>
        <v>#N/A</v>
      </c>
      <c r="Y168" s="164" t="e">
        <f t="shared" si="90"/>
        <v>#N/A</v>
      </c>
      <c r="AB168" s="156">
        <f t="shared" si="92"/>
        <v>0</v>
      </c>
      <c r="AC168" s="121" t="str">
        <f t="shared" si="91"/>
        <v/>
      </c>
      <c r="AE168" s="121" t="str">
        <f t="shared" si="93"/>
        <v/>
      </c>
      <c r="AF168" s="111" t="str">
        <f t="shared" si="94"/>
        <v/>
      </c>
    </row>
    <row r="169" spans="1:32">
      <c r="A169" s="159"/>
      <c r="B169" s="160"/>
      <c r="C169" s="5"/>
      <c r="D169" s="5"/>
      <c r="E169" s="5"/>
      <c r="F169" s="5"/>
      <c r="G169" s="5"/>
      <c r="H169" s="5"/>
      <c r="I169" s="5"/>
      <c r="J169" s="5"/>
      <c r="K169" s="5"/>
      <c r="L169" s="5"/>
      <c r="M169" s="5"/>
      <c r="N169" s="5"/>
      <c r="O169" s="5"/>
      <c r="P169" s="5"/>
      <c r="Q169" s="5"/>
      <c r="R169" s="5"/>
      <c r="S169" s="5"/>
      <c r="T169" s="5"/>
      <c r="U169" s="5"/>
      <c r="V169" s="7"/>
      <c r="W169" s="7"/>
      <c r="X169" s="164" t="e">
        <f t="shared" si="89"/>
        <v>#N/A</v>
      </c>
      <c r="Y169" s="164" t="e">
        <f t="shared" si="90"/>
        <v>#N/A</v>
      </c>
      <c r="AB169" s="156">
        <f t="shared" si="92"/>
        <v>0</v>
      </c>
      <c r="AC169" s="121" t="str">
        <f t="shared" si="91"/>
        <v/>
      </c>
      <c r="AE169" s="121" t="str">
        <f t="shared" si="93"/>
        <v/>
      </c>
      <c r="AF169" s="111" t="str">
        <f t="shared" si="94"/>
        <v/>
      </c>
    </row>
    <row r="170" spans="1:32">
      <c r="A170" s="159"/>
      <c r="B170" s="160"/>
      <c r="C170" s="5"/>
      <c r="D170" s="5"/>
      <c r="E170" s="5"/>
      <c r="F170" s="5"/>
      <c r="G170" s="5"/>
      <c r="H170" s="5"/>
      <c r="I170" s="5"/>
      <c r="J170" s="5"/>
      <c r="K170" s="5"/>
      <c r="L170" s="5"/>
      <c r="M170" s="5"/>
      <c r="N170" s="5"/>
      <c r="O170" s="5"/>
      <c r="P170" s="5"/>
      <c r="Q170" s="5"/>
      <c r="R170" s="5"/>
      <c r="S170" s="5"/>
      <c r="T170" s="5"/>
      <c r="U170" s="5"/>
      <c r="V170" s="7"/>
      <c r="W170" s="7"/>
      <c r="X170" s="164" t="e">
        <f t="shared" si="89"/>
        <v>#N/A</v>
      </c>
      <c r="Y170" s="164" t="e">
        <f t="shared" si="90"/>
        <v>#N/A</v>
      </c>
      <c r="AB170" s="156">
        <f t="shared" si="92"/>
        <v>0</v>
      </c>
      <c r="AC170" s="121" t="str">
        <f t="shared" si="91"/>
        <v/>
      </c>
      <c r="AE170" s="121" t="str">
        <f t="shared" si="93"/>
        <v/>
      </c>
      <c r="AF170" s="111" t="str">
        <f t="shared" si="94"/>
        <v/>
      </c>
    </row>
    <row r="171" spans="1:32">
      <c r="A171" s="159"/>
      <c r="B171" s="160"/>
      <c r="C171" s="5"/>
      <c r="D171" s="5"/>
      <c r="E171" s="5"/>
      <c r="F171" s="5"/>
      <c r="G171" s="5"/>
      <c r="H171" s="5"/>
      <c r="I171" s="5"/>
      <c r="J171" s="5"/>
      <c r="K171" s="5"/>
      <c r="L171" s="5"/>
      <c r="M171" s="5"/>
      <c r="N171" s="5"/>
      <c r="O171" s="5"/>
      <c r="P171" s="5"/>
      <c r="Q171" s="5"/>
      <c r="R171" s="5"/>
      <c r="S171" s="5"/>
      <c r="T171" s="5"/>
      <c r="U171" s="5"/>
      <c r="V171" s="7"/>
      <c r="W171" s="7"/>
      <c r="X171" s="164" t="e">
        <f t="shared" si="89"/>
        <v>#N/A</v>
      </c>
      <c r="Y171" s="164" t="e">
        <f t="shared" si="90"/>
        <v>#N/A</v>
      </c>
      <c r="AB171" s="156">
        <f t="shared" si="92"/>
        <v>0</v>
      </c>
      <c r="AC171" s="121" t="str">
        <f t="shared" si="91"/>
        <v/>
      </c>
      <c r="AE171" s="121" t="str">
        <f t="shared" si="93"/>
        <v/>
      </c>
      <c r="AF171" s="111" t="str">
        <f t="shared" si="94"/>
        <v/>
      </c>
    </row>
    <row r="172" spans="1:32">
      <c r="A172" s="159"/>
      <c r="B172" s="160"/>
      <c r="C172" s="5"/>
      <c r="D172" s="5"/>
      <c r="E172" s="5"/>
      <c r="F172" s="5"/>
      <c r="G172" s="5"/>
      <c r="H172" s="5"/>
      <c r="I172" s="5"/>
      <c r="J172" s="5"/>
      <c r="K172" s="5"/>
      <c r="L172" s="5"/>
      <c r="M172" s="5"/>
      <c r="N172" s="5"/>
      <c r="O172" s="5"/>
      <c r="P172" s="5"/>
      <c r="Q172" s="5"/>
      <c r="R172" s="5"/>
      <c r="S172" s="5"/>
      <c r="T172" s="5"/>
      <c r="U172" s="5"/>
      <c r="V172" s="7"/>
      <c r="W172" s="7"/>
      <c r="X172" s="164" t="e">
        <f t="shared" si="89"/>
        <v>#N/A</v>
      </c>
      <c r="Y172" s="164" t="e">
        <f t="shared" si="90"/>
        <v>#N/A</v>
      </c>
      <c r="AB172" s="156">
        <f t="shared" si="92"/>
        <v>0</v>
      </c>
      <c r="AC172" s="121" t="str">
        <f t="shared" si="91"/>
        <v/>
      </c>
      <c r="AE172" s="121" t="str">
        <f t="shared" si="93"/>
        <v/>
      </c>
      <c r="AF172" s="111" t="str">
        <f t="shared" si="94"/>
        <v/>
      </c>
    </row>
    <row r="173" spans="1:32">
      <c r="A173" s="159"/>
      <c r="B173" s="160"/>
      <c r="C173" s="5"/>
      <c r="D173" s="5"/>
      <c r="E173" s="5"/>
      <c r="F173" s="5"/>
      <c r="G173" s="5"/>
      <c r="H173" s="5"/>
      <c r="I173" s="5"/>
      <c r="J173" s="5"/>
      <c r="K173" s="5"/>
      <c r="L173" s="5"/>
      <c r="M173" s="5"/>
      <c r="N173" s="5"/>
      <c r="O173" s="5"/>
      <c r="P173" s="5"/>
      <c r="Q173" s="5"/>
      <c r="R173" s="5"/>
      <c r="S173" s="5"/>
      <c r="T173" s="5"/>
      <c r="U173" s="5"/>
      <c r="V173" s="7"/>
      <c r="W173" s="7"/>
      <c r="X173" s="164" t="e">
        <f t="shared" si="89"/>
        <v>#N/A</v>
      </c>
      <c r="Y173" s="164" t="e">
        <f t="shared" si="90"/>
        <v>#N/A</v>
      </c>
      <c r="AB173" s="156">
        <f t="shared" si="92"/>
        <v>0</v>
      </c>
      <c r="AC173" s="121" t="str">
        <f t="shared" si="91"/>
        <v/>
      </c>
      <c r="AE173" s="121" t="str">
        <f t="shared" si="93"/>
        <v/>
      </c>
      <c r="AF173" s="111" t="str">
        <f t="shared" si="94"/>
        <v/>
      </c>
    </row>
    <row r="174" spans="1:32">
      <c r="A174" s="159"/>
      <c r="B174" s="160"/>
      <c r="C174" s="5"/>
      <c r="D174" s="5"/>
      <c r="E174" s="5"/>
      <c r="F174" s="5"/>
      <c r="G174" s="5"/>
      <c r="H174" s="5"/>
      <c r="I174" s="5"/>
      <c r="J174" s="5"/>
      <c r="K174" s="5"/>
      <c r="L174" s="5"/>
      <c r="M174" s="5"/>
      <c r="N174" s="5"/>
      <c r="O174" s="5"/>
      <c r="P174" s="5"/>
      <c r="Q174" s="5"/>
      <c r="R174" s="5"/>
      <c r="S174" s="5"/>
      <c r="T174" s="5"/>
      <c r="U174" s="5"/>
      <c r="V174" s="7"/>
      <c r="W174" s="7"/>
      <c r="X174" s="164" t="e">
        <f t="shared" si="89"/>
        <v>#N/A</v>
      </c>
      <c r="Y174" s="164" t="e">
        <f t="shared" si="90"/>
        <v>#N/A</v>
      </c>
      <c r="AB174" s="156">
        <f t="shared" si="92"/>
        <v>0</v>
      </c>
      <c r="AC174" s="121" t="str">
        <f t="shared" si="91"/>
        <v/>
      </c>
      <c r="AE174" s="121" t="str">
        <f t="shared" si="93"/>
        <v/>
      </c>
      <c r="AF174" s="111" t="str">
        <f t="shared" si="94"/>
        <v/>
      </c>
    </row>
    <row r="175" spans="1:32">
      <c r="A175" s="159"/>
      <c r="B175" s="160"/>
      <c r="C175" s="5"/>
      <c r="D175" s="5"/>
      <c r="E175" s="5"/>
      <c r="F175" s="5"/>
      <c r="G175" s="5"/>
      <c r="H175" s="5"/>
      <c r="I175" s="5"/>
      <c r="J175" s="5"/>
      <c r="K175" s="5"/>
      <c r="L175" s="5"/>
      <c r="M175" s="5"/>
      <c r="N175" s="5"/>
      <c r="O175" s="5"/>
      <c r="P175" s="5"/>
      <c r="Q175" s="5"/>
      <c r="R175" s="5"/>
      <c r="S175" s="5"/>
      <c r="T175" s="5"/>
      <c r="U175" s="5"/>
      <c r="V175" s="7"/>
      <c r="W175" s="7"/>
      <c r="X175" s="164" t="e">
        <f t="shared" si="89"/>
        <v>#N/A</v>
      </c>
      <c r="Y175" s="164" t="e">
        <f t="shared" si="90"/>
        <v>#N/A</v>
      </c>
      <c r="AB175" s="156">
        <f t="shared" si="92"/>
        <v>0</v>
      </c>
      <c r="AC175" s="121" t="str">
        <f t="shared" si="91"/>
        <v/>
      </c>
      <c r="AE175" s="121" t="str">
        <f t="shared" si="93"/>
        <v/>
      </c>
      <c r="AF175" s="111" t="str">
        <f t="shared" si="94"/>
        <v/>
      </c>
    </row>
    <row r="176" spans="1:32">
      <c r="A176" s="159"/>
      <c r="B176" s="160"/>
      <c r="C176" s="5"/>
      <c r="D176" s="5"/>
      <c r="E176" s="5"/>
      <c r="F176" s="5"/>
      <c r="G176" s="5"/>
      <c r="H176" s="5"/>
      <c r="I176" s="5"/>
      <c r="J176" s="5"/>
      <c r="K176" s="5"/>
      <c r="L176" s="5"/>
      <c r="M176" s="5"/>
      <c r="N176" s="5"/>
      <c r="O176" s="5"/>
      <c r="P176" s="5"/>
      <c r="Q176" s="5"/>
      <c r="R176" s="5"/>
      <c r="S176" s="5"/>
      <c r="T176" s="5"/>
      <c r="U176" s="5"/>
      <c r="V176" s="7"/>
      <c r="W176" s="7"/>
      <c r="X176" s="164" t="e">
        <f t="shared" si="89"/>
        <v>#N/A</v>
      </c>
      <c r="Y176" s="164" t="e">
        <f t="shared" si="90"/>
        <v>#N/A</v>
      </c>
      <c r="AB176" s="156">
        <f t="shared" si="92"/>
        <v>0</v>
      </c>
      <c r="AC176" s="121" t="str">
        <f t="shared" si="91"/>
        <v/>
      </c>
      <c r="AE176" s="121" t="str">
        <f t="shared" si="93"/>
        <v/>
      </c>
      <c r="AF176" s="111" t="str">
        <f t="shared" si="94"/>
        <v/>
      </c>
    </row>
    <row r="177" spans="1:32">
      <c r="A177" s="159"/>
      <c r="B177" s="160"/>
      <c r="C177" s="5"/>
      <c r="D177" s="5"/>
      <c r="E177" s="5"/>
      <c r="F177" s="5"/>
      <c r="G177" s="5"/>
      <c r="H177" s="5"/>
      <c r="I177" s="5"/>
      <c r="J177" s="5"/>
      <c r="K177" s="5"/>
      <c r="L177" s="5"/>
      <c r="M177" s="5"/>
      <c r="N177" s="5"/>
      <c r="O177" s="5"/>
      <c r="P177" s="5"/>
      <c r="Q177" s="5"/>
      <c r="R177" s="5"/>
      <c r="S177" s="5"/>
      <c r="T177" s="5"/>
      <c r="U177" s="5"/>
      <c r="V177" s="7"/>
      <c r="W177" s="7"/>
      <c r="X177" s="164" t="e">
        <f t="shared" si="89"/>
        <v>#N/A</v>
      </c>
      <c r="Y177" s="164" t="e">
        <f t="shared" si="90"/>
        <v>#N/A</v>
      </c>
      <c r="AB177" s="156">
        <f t="shared" si="92"/>
        <v>0</v>
      </c>
      <c r="AC177" s="121" t="str">
        <f t="shared" si="91"/>
        <v/>
      </c>
      <c r="AE177" s="121" t="str">
        <f t="shared" si="93"/>
        <v/>
      </c>
      <c r="AF177" s="111" t="str">
        <f t="shared" si="94"/>
        <v/>
      </c>
    </row>
    <row r="178" spans="1:32">
      <c r="A178" s="159"/>
      <c r="B178" s="160"/>
      <c r="C178" s="5"/>
      <c r="D178" s="5"/>
      <c r="E178" s="5"/>
      <c r="F178" s="5"/>
      <c r="G178" s="5"/>
      <c r="H178" s="5"/>
      <c r="I178" s="5"/>
      <c r="J178" s="5"/>
      <c r="K178" s="5"/>
      <c r="L178" s="5"/>
      <c r="M178" s="5"/>
      <c r="N178" s="5"/>
      <c r="O178" s="5"/>
      <c r="P178" s="5"/>
      <c r="Q178" s="5"/>
      <c r="R178" s="5"/>
      <c r="S178" s="5"/>
      <c r="T178" s="5"/>
      <c r="U178" s="5"/>
      <c r="V178" s="7"/>
      <c r="W178" s="7"/>
      <c r="X178" s="164" t="e">
        <f t="shared" si="89"/>
        <v>#N/A</v>
      </c>
      <c r="Y178" s="164" t="e">
        <f t="shared" si="90"/>
        <v>#N/A</v>
      </c>
      <c r="AB178" s="156">
        <f t="shared" si="92"/>
        <v>0</v>
      </c>
      <c r="AC178" s="121" t="str">
        <f t="shared" si="91"/>
        <v/>
      </c>
      <c r="AE178" s="121" t="str">
        <f t="shared" si="93"/>
        <v/>
      </c>
      <c r="AF178" s="111" t="str">
        <f t="shared" si="94"/>
        <v/>
      </c>
    </row>
    <row r="179" spans="1:32">
      <c r="A179" s="159"/>
      <c r="B179" s="160"/>
      <c r="C179" s="5"/>
      <c r="D179" s="5"/>
      <c r="E179" s="5"/>
      <c r="F179" s="5"/>
      <c r="G179" s="5"/>
      <c r="H179" s="5"/>
      <c r="I179" s="5"/>
      <c r="J179" s="5"/>
      <c r="K179" s="5"/>
      <c r="L179" s="5"/>
      <c r="M179" s="5"/>
      <c r="N179" s="5"/>
      <c r="O179" s="5"/>
      <c r="P179" s="5"/>
      <c r="Q179" s="5"/>
      <c r="R179" s="5"/>
      <c r="S179" s="5"/>
      <c r="T179" s="5"/>
      <c r="U179" s="5"/>
      <c r="V179" s="7"/>
      <c r="W179" s="7"/>
      <c r="X179" s="164" t="e">
        <f t="shared" si="89"/>
        <v>#N/A</v>
      </c>
      <c r="Y179" s="164" t="e">
        <f t="shared" si="90"/>
        <v>#N/A</v>
      </c>
      <c r="AB179" s="156">
        <f t="shared" si="92"/>
        <v>0</v>
      </c>
      <c r="AC179" s="121" t="str">
        <f t="shared" si="91"/>
        <v/>
      </c>
      <c r="AE179" s="121" t="str">
        <f t="shared" si="93"/>
        <v/>
      </c>
      <c r="AF179" s="111" t="str">
        <f t="shared" si="94"/>
        <v/>
      </c>
    </row>
    <row r="180" spans="1:32">
      <c r="A180" s="159"/>
      <c r="B180" s="160"/>
      <c r="C180" s="5"/>
      <c r="D180" s="5"/>
      <c r="E180" s="5"/>
      <c r="F180" s="5"/>
      <c r="G180" s="5"/>
      <c r="H180" s="5"/>
      <c r="I180" s="5"/>
      <c r="J180" s="5"/>
      <c r="K180" s="5"/>
      <c r="L180" s="5"/>
      <c r="M180" s="5"/>
      <c r="N180" s="5"/>
      <c r="O180" s="5"/>
      <c r="P180" s="5"/>
      <c r="Q180" s="5"/>
      <c r="R180" s="5"/>
      <c r="S180" s="5"/>
      <c r="T180" s="5"/>
      <c r="U180" s="5"/>
      <c r="V180" s="7"/>
      <c r="W180" s="7"/>
      <c r="X180" s="164" t="e">
        <f t="shared" si="89"/>
        <v>#N/A</v>
      </c>
      <c r="Y180" s="164" t="e">
        <f t="shared" si="90"/>
        <v>#N/A</v>
      </c>
      <c r="AB180" s="156">
        <f t="shared" si="92"/>
        <v>0</v>
      </c>
      <c r="AC180" s="121" t="str">
        <f t="shared" si="91"/>
        <v/>
      </c>
      <c r="AE180" s="121" t="str">
        <f t="shared" si="93"/>
        <v/>
      </c>
      <c r="AF180" s="111" t="str">
        <f t="shared" si="94"/>
        <v/>
      </c>
    </row>
    <row r="181" spans="1:32">
      <c r="A181" s="159"/>
      <c r="B181" s="160"/>
      <c r="C181" s="5"/>
      <c r="D181" s="5"/>
      <c r="E181" s="5"/>
      <c r="F181" s="5"/>
      <c r="G181" s="5"/>
      <c r="H181" s="5"/>
      <c r="I181" s="5"/>
      <c r="J181" s="5"/>
      <c r="K181" s="5"/>
      <c r="L181" s="5"/>
      <c r="M181" s="5"/>
      <c r="N181" s="5"/>
      <c r="O181" s="5"/>
      <c r="P181" s="5"/>
      <c r="Q181" s="5"/>
      <c r="R181" s="5"/>
      <c r="S181" s="5"/>
      <c r="T181" s="5"/>
      <c r="U181" s="5"/>
      <c r="V181" s="7"/>
      <c r="W181" s="7"/>
      <c r="X181" s="164" t="e">
        <f t="shared" si="89"/>
        <v>#N/A</v>
      </c>
      <c r="Y181" s="164" t="e">
        <f t="shared" si="90"/>
        <v>#N/A</v>
      </c>
      <c r="AB181" s="156">
        <f t="shared" si="92"/>
        <v>0</v>
      </c>
      <c r="AC181" s="121" t="str">
        <f t="shared" si="91"/>
        <v/>
      </c>
      <c r="AE181" s="121" t="str">
        <f t="shared" si="93"/>
        <v/>
      </c>
      <c r="AF181" s="111" t="str">
        <f t="shared" si="94"/>
        <v/>
      </c>
    </row>
    <row r="182" spans="1:32">
      <c r="A182" s="159"/>
      <c r="B182" s="160"/>
      <c r="C182" s="5"/>
      <c r="D182" s="5"/>
      <c r="E182" s="5"/>
      <c r="F182" s="5"/>
      <c r="G182" s="5"/>
      <c r="H182" s="5"/>
      <c r="I182" s="5"/>
      <c r="J182" s="5"/>
      <c r="K182" s="5"/>
      <c r="L182" s="5"/>
      <c r="M182" s="5"/>
      <c r="N182" s="5"/>
      <c r="O182" s="5"/>
      <c r="P182" s="5"/>
      <c r="Q182" s="5"/>
      <c r="R182" s="5"/>
      <c r="S182" s="5"/>
      <c r="T182" s="5"/>
      <c r="U182" s="5"/>
      <c r="V182" s="7"/>
      <c r="W182" s="7"/>
      <c r="X182" s="164" t="e">
        <f t="shared" si="89"/>
        <v>#N/A</v>
      </c>
      <c r="Y182" s="164" t="e">
        <f t="shared" si="90"/>
        <v>#N/A</v>
      </c>
      <c r="AB182" s="156">
        <f t="shared" si="92"/>
        <v>0</v>
      </c>
      <c r="AC182" s="121" t="str">
        <f t="shared" si="91"/>
        <v/>
      </c>
      <c r="AE182" s="121" t="str">
        <f t="shared" si="93"/>
        <v/>
      </c>
      <c r="AF182" s="111" t="str">
        <f t="shared" si="94"/>
        <v/>
      </c>
    </row>
    <row r="183" spans="1:32">
      <c r="A183" s="159"/>
      <c r="B183" s="160"/>
      <c r="C183" s="5"/>
      <c r="D183" s="5"/>
      <c r="E183" s="5"/>
      <c r="F183" s="5"/>
      <c r="G183" s="5"/>
      <c r="H183" s="5"/>
      <c r="I183" s="5"/>
      <c r="J183" s="5"/>
      <c r="K183" s="5"/>
      <c r="L183" s="5"/>
      <c r="M183" s="5"/>
      <c r="N183" s="5"/>
      <c r="O183" s="5"/>
      <c r="P183" s="5"/>
      <c r="Q183" s="5"/>
      <c r="R183" s="5"/>
      <c r="S183" s="5"/>
      <c r="T183" s="5"/>
      <c r="U183" s="5"/>
      <c r="V183" s="7"/>
      <c r="W183" s="7"/>
      <c r="X183" s="164" t="e">
        <f t="shared" si="89"/>
        <v>#N/A</v>
      </c>
      <c r="Y183" s="164" t="e">
        <f t="shared" si="90"/>
        <v>#N/A</v>
      </c>
      <c r="AB183" s="156">
        <f t="shared" si="92"/>
        <v>0</v>
      </c>
      <c r="AC183" s="121" t="str">
        <f t="shared" si="91"/>
        <v/>
      </c>
      <c r="AE183" s="121" t="str">
        <f t="shared" si="93"/>
        <v/>
      </c>
      <c r="AF183" s="111" t="str">
        <f t="shared" si="94"/>
        <v/>
      </c>
    </row>
    <row r="184" spans="1:32">
      <c r="A184" s="159"/>
      <c r="B184" s="160"/>
      <c r="C184" s="5"/>
      <c r="D184" s="5"/>
      <c r="E184" s="5"/>
      <c r="F184" s="5"/>
      <c r="G184" s="5"/>
      <c r="H184" s="5"/>
      <c r="I184" s="5"/>
      <c r="J184" s="5"/>
      <c r="K184" s="5"/>
      <c r="L184" s="5"/>
      <c r="M184" s="5"/>
      <c r="N184" s="5"/>
      <c r="O184" s="5"/>
      <c r="P184" s="5"/>
      <c r="Q184" s="5"/>
      <c r="R184" s="5"/>
      <c r="S184" s="5"/>
      <c r="T184" s="5"/>
      <c r="U184" s="5"/>
      <c r="V184" s="7"/>
      <c r="W184" s="7"/>
      <c r="X184" s="164" t="e">
        <f t="shared" si="89"/>
        <v>#N/A</v>
      </c>
      <c r="Y184" s="164" t="e">
        <f t="shared" si="90"/>
        <v>#N/A</v>
      </c>
      <c r="AB184" s="156">
        <f t="shared" si="92"/>
        <v>0</v>
      </c>
      <c r="AC184" s="121" t="str">
        <f t="shared" si="91"/>
        <v/>
      </c>
      <c r="AE184" s="121" t="str">
        <f t="shared" si="93"/>
        <v/>
      </c>
      <c r="AF184" s="111" t="str">
        <f t="shared" si="94"/>
        <v/>
      </c>
    </row>
    <row r="185" spans="1:32">
      <c r="A185" s="159"/>
      <c r="B185" s="160"/>
      <c r="C185" s="5"/>
      <c r="D185" s="5"/>
      <c r="E185" s="5"/>
      <c r="F185" s="5"/>
      <c r="G185" s="5"/>
      <c r="H185" s="5"/>
      <c r="I185" s="5"/>
      <c r="J185" s="5"/>
      <c r="K185" s="5"/>
      <c r="L185" s="5"/>
      <c r="M185" s="5"/>
      <c r="N185" s="5"/>
      <c r="O185" s="5"/>
      <c r="P185" s="5"/>
      <c r="Q185" s="5"/>
      <c r="R185" s="5"/>
      <c r="S185" s="5"/>
      <c r="T185" s="5"/>
      <c r="U185" s="5"/>
      <c r="V185" s="7"/>
      <c r="W185" s="7"/>
      <c r="X185" s="164" t="e">
        <f t="shared" si="89"/>
        <v>#N/A</v>
      </c>
      <c r="Y185" s="164" t="e">
        <f t="shared" si="90"/>
        <v>#N/A</v>
      </c>
      <c r="AB185" s="156">
        <f t="shared" si="92"/>
        <v>0</v>
      </c>
      <c r="AC185" s="121" t="str">
        <f t="shared" si="91"/>
        <v/>
      </c>
      <c r="AE185" s="121" t="str">
        <f t="shared" si="93"/>
        <v/>
      </c>
      <c r="AF185" s="111" t="str">
        <f t="shared" si="94"/>
        <v/>
      </c>
    </row>
    <row r="186" spans="1:32">
      <c r="A186" s="159"/>
      <c r="B186" s="160"/>
      <c r="C186" s="5"/>
      <c r="D186" s="5"/>
      <c r="E186" s="5"/>
      <c r="F186" s="5"/>
      <c r="G186" s="5"/>
      <c r="H186" s="5"/>
      <c r="I186" s="5"/>
      <c r="J186" s="5"/>
      <c r="K186" s="5"/>
      <c r="L186" s="5"/>
      <c r="M186" s="5"/>
      <c r="N186" s="5"/>
      <c r="O186" s="5"/>
      <c r="P186" s="5"/>
      <c r="Q186" s="5"/>
      <c r="R186" s="5"/>
      <c r="S186" s="5"/>
      <c r="T186" s="5"/>
      <c r="U186" s="5"/>
      <c r="V186" s="7"/>
      <c r="W186" s="7"/>
      <c r="X186" s="164" t="e">
        <f t="shared" si="89"/>
        <v>#N/A</v>
      </c>
      <c r="Y186" s="164" t="e">
        <f t="shared" si="90"/>
        <v>#N/A</v>
      </c>
      <c r="AB186" s="156">
        <f t="shared" si="92"/>
        <v>0</v>
      </c>
      <c r="AC186" s="121" t="str">
        <f t="shared" si="91"/>
        <v/>
      </c>
      <c r="AE186" s="121" t="str">
        <f t="shared" si="93"/>
        <v/>
      </c>
      <c r="AF186" s="111" t="str">
        <f t="shared" si="94"/>
        <v/>
      </c>
    </row>
    <row r="187" spans="1:32">
      <c r="A187" s="159"/>
      <c r="B187" s="160"/>
      <c r="C187" s="5"/>
      <c r="D187" s="5"/>
      <c r="E187" s="5"/>
      <c r="F187" s="5"/>
      <c r="G187" s="5"/>
      <c r="H187" s="5"/>
      <c r="I187" s="5"/>
      <c r="J187" s="5"/>
      <c r="K187" s="5"/>
      <c r="L187" s="5"/>
      <c r="M187" s="5"/>
      <c r="N187" s="5"/>
      <c r="O187" s="5"/>
      <c r="P187" s="5"/>
      <c r="Q187" s="5"/>
      <c r="R187" s="5"/>
      <c r="S187" s="5"/>
      <c r="T187" s="5"/>
      <c r="U187" s="5"/>
      <c r="V187" s="7"/>
      <c r="W187" s="7"/>
      <c r="X187" s="164" t="e">
        <f t="shared" si="89"/>
        <v>#N/A</v>
      </c>
      <c r="Y187" s="164" t="e">
        <f t="shared" si="90"/>
        <v>#N/A</v>
      </c>
      <c r="AB187" s="156">
        <f t="shared" si="92"/>
        <v>0</v>
      </c>
      <c r="AC187" s="121" t="str">
        <f t="shared" si="91"/>
        <v/>
      </c>
      <c r="AE187" s="121" t="str">
        <f t="shared" si="93"/>
        <v/>
      </c>
      <c r="AF187" s="111" t="str">
        <f t="shared" si="94"/>
        <v/>
      </c>
    </row>
    <row r="188" spans="1:32">
      <c r="A188" s="159"/>
      <c r="B188" s="160"/>
      <c r="C188" s="5"/>
      <c r="D188" s="5"/>
      <c r="E188" s="5"/>
      <c r="F188" s="5"/>
      <c r="G188" s="5"/>
      <c r="H188" s="5"/>
      <c r="I188" s="5"/>
      <c r="J188" s="5"/>
      <c r="K188" s="5"/>
      <c r="L188" s="5"/>
      <c r="M188" s="5"/>
      <c r="N188" s="5"/>
      <c r="O188" s="5"/>
      <c r="P188" s="5"/>
      <c r="Q188" s="5"/>
      <c r="R188" s="5"/>
      <c r="S188" s="5"/>
      <c r="T188" s="5"/>
      <c r="U188" s="5"/>
      <c r="V188" s="7"/>
      <c r="W188" s="7"/>
      <c r="X188" s="164" t="e">
        <f t="shared" si="89"/>
        <v>#N/A</v>
      </c>
      <c r="Y188" s="164" t="e">
        <f t="shared" si="90"/>
        <v>#N/A</v>
      </c>
      <c r="AB188" s="156">
        <f t="shared" si="92"/>
        <v>0</v>
      </c>
      <c r="AC188" s="121" t="str">
        <f t="shared" si="91"/>
        <v/>
      </c>
      <c r="AE188" s="121" t="str">
        <f t="shared" si="93"/>
        <v/>
      </c>
      <c r="AF188" s="111" t="str">
        <f t="shared" si="94"/>
        <v/>
      </c>
    </row>
    <row r="189" spans="1:32">
      <c r="A189" s="159"/>
      <c r="B189" s="160"/>
      <c r="C189" s="5"/>
      <c r="D189" s="5"/>
      <c r="E189" s="5"/>
      <c r="F189" s="5"/>
      <c r="G189" s="5"/>
      <c r="H189" s="5"/>
      <c r="I189" s="5"/>
      <c r="J189" s="5"/>
      <c r="K189" s="5"/>
      <c r="L189" s="5"/>
      <c r="M189" s="5"/>
      <c r="N189" s="5"/>
      <c r="O189" s="5"/>
      <c r="P189" s="5"/>
      <c r="Q189" s="5"/>
      <c r="R189" s="5"/>
      <c r="S189" s="5"/>
      <c r="T189" s="5"/>
      <c r="U189" s="5"/>
      <c r="V189" s="7"/>
      <c r="W189" s="7"/>
      <c r="X189" s="164" t="e">
        <f t="shared" si="89"/>
        <v>#N/A</v>
      </c>
      <c r="Y189" s="164" t="e">
        <f t="shared" si="90"/>
        <v>#N/A</v>
      </c>
      <c r="AB189" s="156">
        <f t="shared" si="92"/>
        <v>0</v>
      </c>
      <c r="AC189" s="121" t="str">
        <f t="shared" si="91"/>
        <v/>
      </c>
      <c r="AE189" s="121" t="str">
        <f t="shared" si="93"/>
        <v/>
      </c>
      <c r="AF189" s="111" t="str">
        <f t="shared" si="94"/>
        <v/>
      </c>
    </row>
    <row r="190" spans="1:32">
      <c r="A190" s="159"/>
      <c r="B190" s="160"/>
      <c r="C190" s="5"/>
      <c r="D190" s="5"/>
      <c r="E190" s="5"/>
      <c r="F190" s="5"/>
      <c r="G190" s="5"/>
      <c r="H190" s="5"/>
      <c r="I190" s="5"/>
      <c r="J190" s="5"/>
      <c r="K190" s="5"/>
      <c r="L190" s="5"/>
      <c r="M190" s="5"/>
      <c r="N190" s="5"/>
      <c r="O190" s="5"/>
      <c r="P190" s="5"/>
      <c r="Q190" s="5"/>
      <c r="R190" s="5"/>
      <c r="S190" s="5"/>
      <c r="T190" s="5"/>
      <c r="U190" s="5"/>
      <c r="V190" s="7"/>
      <c r="W190" s="7"/>
      <c r="X190" s="164" t="e">
        <f t="shared" si="89"/>
        <v>#N/A</v>
      </c>
      <c r="Y190" s="164" t="e">
        <f t="shared" si="90"/>
        <v>#N/A</v>
      </c>
      <c r="AB190" s="156">
        <f t="shared" si="92"/>
        <v>0</v>
      </c>
      <c r="AC190" s="121" t="str">
        <f t="shared" si="91"/>
        <v/>
      </c>
      <c r="AE190" s="121" t="str">
        <f t="shared" si="93"/>
        <v/>
      </c>
      <c r="AF190" s="111" t="str">
        <f t="shared" si="94"/>
        <v/>
      </c>
    </row>
    <row r="191" spans="1:32">
      <c r="A191" s="159"/>
      <c r="B191" s="160"/>
      <c r="C191" s="5"/>
      <c r="D191" s="5"/>
      <c r="E191" s="5"/>
      <c r="F191" s="5"/>
      <c r="G191" s="5"/>
      <c r="H191" s="5"/>
      <c r="I191" s="5"/>
      <c r="J191" s="5"/>
      <c r="K191" s="5"/>
      <c r="L191" s="5"/>
      <c r="M191" s="5"/>
      <c r="N191" s="5"/>
      <c r="O191" s="5"/>
      <c r="P191" s="5"/>
      <c r="Q191" s="5"/>
      <c r="R191" s="5"/>
      <c r="S191" s="5"/>
      <c r="T191" s="5"/>
      <c r="U191" s="5"/>
      <c r="V191" s="7"/>
      <c r="W191" s="7"/>
      <c r="X191" s="164" t="e">
        <f t="shared" si="89"/>
        <v>#N/A</v>
      </c>
      <c r="Y191" s="164" t="e">
        <f t="shared" si="90"/>
        <v>#N/A</v>
      </c>
      <c r="AB191" s="156">
        <f t="shared" si="92"/>
        <v>0</v>
      </c>
      <c r="AC191" s="121" t="str">
        <f t="shared" si="91"/>
        <v/>
      </c>
      <c r="AE191" s="121" t="str">
        <f t="shared" si="93"/>
        <v/>
      </c>
      <c r="AF191" s="111" t="str">
        <f t="shared" si="94"/>
        <v/>
      </c>
    </row>
    <row r="192" spans="1:32">
      <c r="A192" s="159"/>
      <c r="B192" s="160"/>
      <c r="C192" s="5"/>
      <c r="D192" s="5"/>
      <c r="E192" s="5"/>
      <c r="F192" s="5"/>
      <c r="G192" s="5"/>
      <c r="H192" s="5"/>
      <c r="I192" s="5"/>
      <c r="J192" s="5"/>
      <c r="K192" s="5"/>
      <c r="L192" s="5"/>
      <c r="M192" s="5"/>
      <c r="N192" s="5"/>
      <c r="O192" s="5"/>
      <c r="P192" s="5"/>
      <c r="Q192" s="5"/>
      <c r="R192" s="5"/>
      <c r="S192" s="5"/>
      <c r="T192" s="5"/>
      <c r="U192" s="5"/>
      <c r="V192" s="7"/>
      <c r="W192" s="7"/>
      <c r="X192" s="164" t="e">
        <f t="shared" si="89"/>
        <v>#N/A</v>
      </c>
      <c r="Y192" s="164" t="e">
        <f t="shared" si="90"/>
        <v>#N/A</v>
      </c>
      <c r="AB192" s="156">
        <f t="shared" si="92"/>
        <v>0</v>
      </c>
      <c r="AC192" s="121" t="str">
        <f t="shared" si="91"/>
        <v/>
      </c>
      <c r="AE192" s="121" t="str">
        <f t="shared" si="93"/>
        <v/>
      </c>
      <c r="AF192" s="111" t="str">
        <f t="shared" si="94"/>
        <v/>
      </c>
    </row>
    <row r="193" spans="1:32">
      <c r="A193" s="159"/>
      <c r="B193" s="160"/>
      <c r="C193" s="5"/>
      <c r="D193" s="5"/>
      <c r="E193" s="5"/>
      <c r="F193" s="5"/>
      <c r="G193" s="5"/>
      <c r="H193" s="5"/>
      <c r="I193" s="5"/>
      <c r="J193" s="5"/>
      <c r="K193" s="5"/>
      <c r="L193" s="5"/>
      <c r="M193" s="5"/>
      <c r="N193" s="5"/>
      <c r="O193" s="5"/>
      <c r="P193" s="5"/>
      <c r="Q193" s="5"/>
      <c r="R193" s="5"/>
      <c r="S193" s="5"/>
      <c r="T193" s="5"/>
      <c r="U193" s="5"/>
      <c r="V193" s="7"/>
      <c r="W193" s="7"/>
      <c r="X193" s="164" t="e">
        <f t="shared" si="89"/>
        <v>#N/A</v>
      </c>
      <c r="Y193" s="164" t="e">
        <f t="shared" si="90"/>
        <v>#N/A</v>
      </c>
      <c r="AB193" s="156">
        <f t="shared" si="92"/>
        <v>0</v>
      </c>
      <c r="AC193" s="121" t="str">
        <f t="shared" si="91"/>
        <v/>
      </c>
      <c r="AE193" s="121" t="str">
        <f t="shared" si="93"/>
        <v/>
      </c>
      <c r="AF193" s="111" t="str">
        <f t="shared" si="94"/>
        <v/>
      </c>
    </row>
    <row r="194" spans="1:32">
      <c r="A194" s="159"/>
      <c r="B194" s="160"/>
      <c r="C194" s="5"/>
      <c r="D194" s="5"/>
      <c r="E194" s="5"/>
      <c r="F194" s="5"/>
      <c r="G194" s="5"/>
      <c r="H194" s="5"/>
      <c r="I194" s="5"/>
      <c r="J194" s="5"/>
      <c r="K194" s="5"/>
      <c r="L194" s="5"/>
      <c r="M194" s="5"/>
      <c r="N194" s="5"/>
      <c r="O194" s="5"/>
      <c r="P194" s="5"/>
      <c r="Q194" s="5"/>
      <c r="R194" s="5"/>
      <c r="S194" s="5"/>
      <c r="T194" s="5"/>
      <c r="U194" s="5"/>
      <c r="V194" s="7"/>
      <c r="W194" s="7"/>
      <c r="X194" s="164" t="e">
        <f t="shared" ref="X194:X257" si="95">IF(AB194=1, A194,NA())</f>
        <v>#N/A</v>
      </c>
      <c r="Y194" s="164" t="e">
        <f t="shared" ref="Y194:Y257" si="96">IF(AB194=1,B194-($H$7+$I$7*X194),NA())</f>
        <v>#N/A</v>
      </c>
      <c r="AB194" s="156">
        <f t="shared" si="92"/>
        <v>0</v>
      </c>
      <c r="AC194" s="121" t="str">
        <f t="shared" ref="AC194:AC257" si="97">IF(ISBLANK(A194), "", Y194^2)</f>
        <v/>
      </c>
      <c r="AE194" s="121" t="str">
        <f t="shared" si="93"/>
        <v/>
      </c>
      <c r="AF194" s="111" t="str">
        <f t="shared" si="94"/>
        <v/>
      </c>
    </row>
    <row r="195" spans="1:32">
      <c r="A195" s="159"/>
      <c r="B195" s="160"/>
      <c r="C195" s="5"/>
      <c r="D195" s="5"/>
      <c r="E195" s="5"/>
      <c r="F195" s="5"/>
      <c r="G195" s="5"/>
      <c r="H195" s="5"/>
      <c r="I195" s="5"/>
      <c r="J195" s="5"/>
      <c r="K195" s="5"/>
      <c r="L195" s="5"/>
      <c r="M195" s="5"/>
      <c r="N195" s="5"/>
      <c r="O195" s="5"/>
      <c r="P195" s="5"/>
      <c r="Q195" s="5"/>
      <c r="R195" s="5"/>
      <c r="S195" s="5"/>
      <c r="T195" s="5"/>
      <c r="U195" s="5"/>
      <c r="V195" s="7"/>
      <c r="W195" s="7"/>
      <c r="X195" s="164" t="e">
        <f t="shared" si="95"/>
        <v>#N/A</v>
      </c>
      <c r="Y195" s="164" t="e">
        <f t="shared" si="96"/>
        <v>#N/A</v>
      </c>
      <c r="AB195" s="156">
        <f t="shared" ref="AB195:AB258" si="98">IF(ISBLANK(A195),0,1)</f>
        <v>0</v>
      </c>
      <c r="AC195" s="121" t="str">
        <f t="shared" si="97"/>
        <v/>
      </c>
      <c r="AE195" s="121" t="str">
        <f t="shared" ref="AE195:AE258" si="99">IF(AB195=1,(A195-$AA$2)^2, "")</f>
        <v/>
      </c>
      <c r="AF195" s="111" t="str">
        <f t="shared" si="94"/>
        <v/>
      </c>
    </row>
    <row r="196" spans="1:32">
      <c r="A196" s="159"/>
      <c r="B196" s="160"/>
      <c r="C196" s="5"/>
      <c r="D196" s="5"/>
      <c r="E196" s="5"/>
      <c r="F196" s="5"/>
      <c r="G196" s="5"/>
      <c r="H196" s="5"/>
      <c r="I196" s="5"/>
      <c r="J196" s="5"/>
      <c r="K196" s="5"/>
      <c r="L196" s="5"/>
      <c r="M196" s="5"/>
      <c r="N196" s="5"/>
      <c r="O196" s="5"/>
      <c r="P196" s="5"/>
      <c r="Q196" s="5"/>
      <c r="R196" s="5"/>
      <c r="S196" s="5"/>
      <c r="T196" s="5"/>
      <c r="U196" s="5"/>
      <c r="V196" s="7"/>
      <c r="W196" s="7"/>
      <c r="X196" s="164" t="e">
        <f t="shared" si="95"/>
        <v>#N/A</v>
      </c>
      <c r="Y196" s="164" t="e">
        <f t="shared" si="96"/>
        <v>#N/A</v>
      </c>
      <c r="AB196" s="156">
        <f t="shared" si="98"/>
        <v>0</v>
      </c>
      <c r="AC196" s="121" t="str">
        <f t="shared" si="97"/>
        <v/>
      </c>
      <c r="AE196" s="121" t="str">
        <f t="shared" si="99"/>
        <v/>
      </c>
      <c r="AF196" s="111" t="str">
        <f t="shared" ref="AF196:AF259" si="100">IFERROR(Y195, "")</f>
        <v/>
      </c>
    </row>
    <row r="197" spans="1:32">
      <c r="A197" s="159"/>
      <c r="B197" s="160"/>
      <c r="C197" s="5"/>
      <c r="D197" s="5"/>
      <c r="E197" s="5"/>
      <c r="F197" s="5"/>
      <c r="G197" s="5"/>
      <c r="H197" s="5"/>
      <c r="I197" s="5"/>
      <c r="J197" s="5"/>
      <c r="K197" s="5"/>
      <c r="L197" s="5"/>
      <c r="M197" s="5"/>
      <c r="N197" s="5"/>
      <c r="O197" s="5"/>
      <c r="P197" s="5"/>
      <c r="Q197" s="5"/>
      <c r="R197" s="5"/>
      <c r="S197" s="5"/>
      <c r="T197" s="5"/>
      <c r="U197" s="5"/>
      <c r="V197" s="7"/>
      <c r="W197" s="7"/>
      <c r="X197" s="164" t="e">
        <f t="shared" si="95"/>
        <v>#N/A</v>
      </c>
      <c r="Y197" s="164" t="e">
        <f t="shared" si="96"/>
        <v>#N/A</v>
      </c>
      <c r="AB197" s="156">
        <f t="shared" si="98"/>
        <v>0</v>
      </c>
      <c r="AC197" s="121" t="str">
        <f t="shared" si="97"/>
        <v/>
      </c>
      <c r="AE197" s="121" t="str">
        <f t="shared" si="99"/>
        <v/>
      </c>
      <c r="AF197" s="111" t="str">
        <f t="shared" si="100"/>
        <v/>
      </c>
    </row>
    <row r="198" spans="1:32">
      <c r="A198" s="159"/>
      <c r="B198" s="160"/>
      <c r="C198" s="5"/>
      <c r="D198" s="5"/>
      <c r="E198" s="5"/>
      <c r="F198" s="5"/>
      <c r="G198" s="5"/>
      <c r="H198" s="5"/>
      <c r="I198" s="5"/>
      <c r="J198" s="5"/>
      <c r="K198" s="5"/>
      <c r="L198" s="5"/>
      <c r="M198" s="5"/>
      <c r="N198" s="5"/>
      <c r="O198" s="5"/>
      <c r="P198" s="5"/>
      <c r="Q198" s="5"/>
      <c r="R198" s="5"/>
      <c r="S198" s="5"/>
      <c r="T198" s="5"/>
      <c r="U198" s="5"/>
      <c r="V198" s="7"/>
      <c r="W198" s="7"/>
      <c r="X198" s="164" t="e">
        <f t="shared" si="95"/>
        <v>#N/A</v>
      </c>
      <c r="Y198" s="164" t="e">
        <f t="shared" si="96"/>
        <v>#N/A</v>
      </c>
      <c r="AB198" s="156">
        <f t="shared" si="98"/>
        <v>0</v>
      </c>
      <c r="AC198" s="121" t="str">
        <f t="shared" si="97"/>
        <v/>
      </c>
      <c r="AE198" s="121" t="str">
        <f t="shared" si="99"/>
        <v/>
      </c>
      <c r="AF198" s="111" t="str">
        <f t="shared" si="100"/>
        <v/>
      </c>
    </row>
    <row r="199" spans="1:32">
      <c r="A199" s="159"/>
      <c r="B199" s="160"/>
      <c r="C199" s="5"/>
      <c r="D199" s="5"/>
      <c r="E199" s="5"/>
      <c r="F199" s="5"/>
      <c r="G199" s="5"/>
      <c r="H199" s="5"/>
      <c r="I199" s="5"/>
      <c r="J199" s="5"/>
      <c r="K199" s="5"/>
      <c r="L199" s="5"/>
      <c r="M199" s="5"/>
      <c r="N199" s="5"/>
      <c r="O199" s="5"/>
      <c r="P199" s="5"/>
      <c r="Q199" s="5"/>
      <c r="R199" s="5"/>
      <c r="S199" s="5"/>
      <c r="T199" s="5"/>
      <c r="U199" s="5"/>
      <c r="V199" s="7"/>
      <c r="W199" s="7"/>
      <c r="X199" s="164" t="e">
        <f t="shared" si="95"/>
        <v>#N/A</v>
      </c>
      <c r="Y199" s="164" t="e">
        <f t="shared" si="96"/>
        <v>#N/A</v>
      </c>
      <c r="AB199" s="156">
        <f t="shared" si="98"/>
        <v>0</v>
      </c>
      <c r="AC199" s="121" t="str">
        <f t="shared" si="97"/>
        <v/>
      </c>
      <c r="AE199" s="121" t="str">
        <f t="shared" si="99"/>
        <v/>
      </c>
      <c r="AF199" s="111" t="str">
        <f t="shared" si="100"/>
        <v/>
      </c>
    </row>
    <row r="200" spans="1:32">
      <c r="A200" s="159"/>
      <c r="B200" s="160"/>
      <c r="C200" s="5"/>
      <c r="D200" s="5"/>
      <c r="E200" s="5"/>
      <c r="F200" s="5"/>
      <c r="G200" s="5"/>
      <c r="H200" s="5"/>
      <c r="I200" s="5"/>
      <c r="J200" s="5"/>
      <c r="K200" s="5"/>
      <c r="L200" s="5"/>
      <c r="M200" s="5"/>
      <c r="N200" s="5"/>
      <c r="O200" s="5"/>
      <c r="P200" s="5"/>
      <c r="Q200" s="5"/>
      <c r="R200" s="5"/>
      <c r="S200" s="5"/>
      <c r="T200" s="5"/>
      <c r="U200" s="5"/>
      <c r="V200" s="7"/>
      <c r="W200" s="7"/>
      <c r="X200" s="164" t="e">
        <f t="shared" si="95"/>
        <v>#N/A</v>
      </c>
      <c r="Y200" s="164" t="e">
        <f t="shared" si="96"/>
        <v>#N/A</v>
      </c>
      <c r="AB200" s="156">
        <f t="shared" si="98"/>
        <v>0</v>
      </c>
      <c r="AC200" s="121" t="str">
        <f t="shared" si="97"/>
        <v/>
      </c>
      <c r="AE200" s="121" t="str">
        <f t="shared" si="99"/>
        <v/>
      </c>
      <c r="AF200" s="111" t="str">
        <f t="shared" si="100"/>
        <v/>
      </c>
    </row>
    <row r="201" spans="1:32">
      <c r="A201" s="159"/>
      <c r="B201" s="160"/>
      <c r="C201" s="5"/>
      <c r="D201" s="5"/>
      <c r="E201" s="5"/>
      <c r="F201" s="5"/>
      <c r="G201" s="5"/>
      <c r="H201" s="5"/>
      <c r="I201" s="5"/>
      <c r="J201" s="5"/>
      <c r="K201" s="5"/>
      <c r="L201" s="5"/>
      <c r="M201" s="5"/>
      <c r="N201" s="5"/>
      <c r="O201" s="5"/>
      <c r="P201" s="5"/>
      <c r="Q201" s="5"/>
      <c r="R201" s="5"/>
      <c r="S201" s="5"/>
      <c r="T201" s="5"/>
      <c r="U201" s="5"/>
      <c r="V201" s="7"/>
      <c r="W201" s="7"/>
      <c r="X201" s="164" t="e">
        <f t="shared" si="95"/>
        <v>#N/A</v>
      </c>
      <c r="Y201" s="164" t="e">
        <f t="shared" si="96"/>
        <v>#N/A</v>
      </c>
      <c r="AB201" s="156">
        <f t="shared" si="98"/>
        <v>0</v>
      </c>
      <c r="AC201" s="121" t="str">
        <f t="shared" si="97"/>
        <v/>
      </c>
      <c r="AE201" s="121" t="str">
        <f t="shared" si="99"/>
        <v/>
      </c>
      <c r="AF201" s="111" t="str">
        <f t="shared" si="100"/>
        <v/>
      </c>
    </row>
    <row r="202" spans="1:32">
      <c r="A202" s="159"/>
      <c r="B202" s="160"/>
      <c r="C202" s="5"/>
      <c r="D202" s="5"/>
      <c r="E202" s="5"/>
      <c r="F202" s="5"/>
      <c r="G202" s="5"/>
      <c r="H202" s="5"/>
      <c r="I202" s="5"/>
      <c r="J202" s="5"/>
      <c r="K202" s="5"/>
      <c r="L202" s="5"/>
      <c r="M202" s="5"/>
      <c r="N202" s="5"/>
      <c r="O202" s="5"/>
      <c r="P202" s="5"/>
      <c r="Q202" s="5"/>
      <c r="R202" s="5"/>
      <c r="S202" s="5"/>
      <c r="T202" s="5"/>
      <c r="U202" s="5"/>
      <c r="V202" s="7"/>
      <c r="W202" s="7"/>
      <c r="X202" s="164" t="e">
        <f t="shared" si="95"/>
        <v>#N/A</v>
      </c>
      <c r="Y202" s="164" t="e">
        <f t="shared" si="96"/>
        <v>#N/A</v>
      </c>
      <c r="AB202" s="156">
        <f t="shared" si="98"/>
        <v>0</v>
      </c>
      <c r="AC202" s="121" t="str">
        <f t="shared" si="97"/>
        <v/>
      </c>
      <c r="AE202" s="121" t="str">
        <f t="shared" si="99"/>
        <v/>
      </c>
      <c r="AF202" s="111" t="str">
        <f t="shared" si="100"/>
        <v/>
      </c>
    </row>
    <row r="203" spans="1:32">
      <c r="A203" s="159"/>
      <c r="B203" s="160"/>
      <c r="C203" s="5"/>
      <c r="D203" s="5"/>
      <c r="E203" s="5"/>
      <c r="F203" s="5"/>
      <c r="G203" s="5"/>
      <c r="H203" s="5"/>
      <c r="I203" s="5"/>
      <c r="J203" s="5"/>
      <c r="K203" s="5"/>
      <c r="L203" s="5"/>
      <c r="M203" s="5"/>
      <c r="N203" s="5"/>
      <c r="O203" s="5"/>
      <c r="P203" s="5"/>
      <c r="Q203" s="5"/>
      <c r="R203" s="5"/>
      <c r="S203" s="5"/>
      <c r="T203" s="5"/>
      <c r="U203" s="5"/>
      <c r="V203" s="7"/>
      <c r="W203" s="7"/>
      <c r="X203" s="164" t="e">
        <f t="shared" si="95"/>
        <v>#N/A</v>
      </c>
      <c r="Y203" s="164" t="e">
        <f t="shared" si="96"/>
        <v>#N/A</v>
      </c>
      <c r="AB203" s="156">
        <f t="shared" si="98"/>
        <v>0</v>
      </c>
      <c r="AC203" s="121" t="str">
        <f t="shared" si="97"/>
        <v/>
      </c>
      <c r="AE203" s="121" t="str">
        <f t="shared" si="99"/>
        <v/>
      </c>
      <c r="AF203" s="111" t="str">
        <f t="shared" si="100"/>
        <v/>
      </c>
    </row>
    <row r="204" spans="1:32">
      <c r="A204" s="159"/>
      <c r="B204" s="160"/>
      <c r="C204" s="5"/>
      <c r="D204" s="5"/>
      <c r="E204" s="5"/>
      <c r="F204" s="5"/>
      <c r="G204" s="5"/>
      <c r="H204" s="5"/>
      <c r="I204" s="5"/>
      <c r="J204" s="5"/>
      <c r="K204" s="5"/>
      <c r="L204" s="5"/>
      <c r="M204" s="5"/>
      <c r="N204" s="5"/>
      <c r="O204" s="5"/>
      <c r="P204" s="5"/>
      <c r="Q204" s="5"/>
      <c r="R204" s="5"/>
      <c r="S204" s="5"/>
      <c r="T204" s="5"/>
      <c r="U204" s="5"/>
      <c r="V204" s="7"/>
      <c r="W204" s="7"/>
      <c r="X204" s="164" t="e">
        <f t="shared" si="95"/>
        <v>#N/A</v>
      </c>
      <c r="Y204" s="164" t="e">
        <f t="shared" si="96"/>
        <v>#N/A</v>
      </c>
      <c r="AB204" s="156">
        <f t="shared" si="98"/>
        <v>0</v>
      </c>
      <c r="AC204" s="121" t="str">
        <f t="shared" si="97"/>
        <v/>
      </c>
      <c r="AE204" s="121" t="str">
        <f t="shared" si="99"/>
        <v/>
      </c>
      <c r="AF204" s="111" t="str">
        <f t="shared" si="100"/>
        <v/>
      </c>
    </row>
    <row r="205" spans="1:32">
      <c r="A205" s="159"/>
      <c r="B205" s="160"/>
      <c r="C205" s="5"/>
      <c r="D205" s="5"/>
      <c r="E205" s="5"/>
      <c r="F205" s="5"/>
      <c r="G205" s="5"/>
      <c r="H205" s="5"/>
      <c r="I205" s="5"/>
      <c r="J205" s="5"/>
      <c r="K205" s="5"/>
      <c r="L205" s="5"/>
      <c r="M205" s="5"/>
      <c r="N205" s="5"/>
      <c r="O205" s="5"/>
      <c r="P205" s="5"/>
      <c r="Q205" s="5"/>
      <c r="R205" s="5"/>
      <c r="S205" s="5"/>
      <c r="T205" s="5"/>
      <c r="U205" s="5"/>
      <c r="V205" s="7"/>
      <c r="W205" s="7"/>
      <c r="X205" s="164" t="e">
        <f t="shared" si="95"/>
        <v>#N/A</v>
      </c>
      <c r="Y205" s="164" t="e">
        <f t="shared" si="96"/>
        <v>#N/A</v>
      </c>
      <c r="AB205" s="156">
        <f t="shared" si="98"/>
        <v>0</v>
      </c>
      <c r="AC205" s="121" t="str">
        <f t="shared" si="97"/>
        <v/>
      </c>
      <c r="AE205" s="121" t="str">
        <f t="shared" si="99"/>
        <v/>
      </c>
      <c r="AF205" s="111" t="str">
        <f t="shared" si="100"/>
        <v/>
      </c>
    </row>
    <row r="206" spans="1:32">
      <c r="A206" s="159"/>
      <c r="B206" s="160"/>
      <c r="C206" s="5"/>
      <c r="D206" s="5"/>
      <c r="E206" s="5"/>
      <c r="F206" s="5"/>
      <c r="G206" s="5"/>
      <c r="H206" s="5"/>
      <c r="I206" s="5"/>
      <c r="J206" s="5"/>
      <c r="K206" s="5"/>
      <c r="L206" s="5"/>
      <c r="M206" s="5"/>
      <c r="N206" s="5"/>
      <c r="O206" s="5"/>
      <c r="P206" s="5"/>
      <c r="Q206" s="5"/>
      <c r="R206" s="5"/>
      <c r="S206" s="5"/>
      <c r="T206" s="5"/>
      <c r="U206" s="5"/>
      <c r="V206" s="7"/>
      <c r="W206" s="7"/>
      <c r="X206" s="164" t="e">
        <f t="shared" si="95"/>
        <v>#N/A</v>
      </c>
      <c r="Y206" s="164" t="e">
        <f t="shared" si="96"/>
        <v>#N/A</v>
      </c>
      <c r="AB206" s="156">
        <f t="shared" si="98"/>
        <v>0</v>
      </c>
      <c r="AC206" s="121" t="str">
        <f t="shared" si="97"/>
        <v/>
      </c>
      <c r="AE206" s="121" t="str">
        <f t="shared" si="99"/>
        <v/>
      </c>
      <c r="AF206" s="111" t="str">
        <f t="shared" si="100"/>
        <v/>
      </c>
    </row>
    <row r="207" spans="1:32">
      <c r="A207" s="159"/>
      <c r="B207" s="160"/>
      <c r="C207" s="5"/>
      <c r="D207" s="5"/>
      <c r="E207" s="5"/>
      <c r="F207" s="5"/>
      <c r="G207" s="5"/>
      <c r="H207" s="5"/>
      <c r="I207" s="5"/>
      <c r="J207" s="5"/>
      <c r="K207" s="5"/>
      <c r="L207" s="5"/>
      <c r="M207" s="5"/>
      <c r="N207" s="5"/>
      <c r="O207" s="5"/>
      <c r="P207" s="5"/>
      <c r="Q207" s="5"/>
      <c r="R207" s="5"/>
      <c r="S207" s="5"/>
      <c r="T207" s="5"/>
      <c r="U207" s="5"/>
      <c r="V207" s="7"/>
      <c r="W207" s="7"/>
      <c r="X207" s="164" t="e">
        <f t="shared" si="95"/>
        <v>#N/A</v>
      </c>
      <c r="Y207" s="164" t="e">
        <f t="shared" si="96"/>
        <v>#N/A</v>
      </c>
      <c r="AB207" s="156">
        <f t="shared" si="98"/>
        <v>0</v>
      </c>
      <c r="AC207" s="121" t="str">
        <f t="shared" si="97"/>
        <v/>
      </c>
      <c r="AE207" s="121" t="str">
        <f t="shared" si="99"/>
        <v/>
      </c>
      <c r="AF207" s="111" t="str">
        <f t="shared" si="100"/>
        <v/>
      </c>
    </row>
    <row r="208" spans="1:32">
      <c r="A208" s="159"/>
      <c r="B208" s="160"/>
      <c r="C208" s="5"/>
      <c r="D208" s="5"/>
      <c r="E208" s="5"/>
      <c r="F208" s="5"/>
      <c r="G208" s="5"/>
      <c r="H208" s="5"/>
      <c r="I208" s="5"/>
      <c r="J208" s="5"/>
      <c r="K208" s="5"/>
      <c r="L208" s="5"/>
      <c r="M208" s="5"/>
      <c r="N208" s="5"/>
      <c r="O208" s="5"/>
      <c r="P208" s="5"/>
      <c r="Q208" s="5"/>
      <c r="R208" s="5"/>
      <c r="S208" s="5"/>
      <c r="T208" s="5"/>
      <c r="U208" s="5"/>
      <c r="V208" s="7"/>
      <c r="W208" s="7"/>
      <c r="X208" s="164" t="e">
        <f t="shared" si="95"/>
        <v>#N/A</v>
      </c>
      <c r="Y208" s="164" t="e">
        <f t="shared" si="96"/>
        <v>#N/A</v>
      </c>
      <c r="AB208" s="156">
        <f t="shared" si="98"/>
        <v>0</v>
      </c>
      <c r="AC208" s="121" t="str">
        <f t="shared" si="97"/>
        <v/>
      </c>
      <c r="AE208" s="121" t="str">
        <f t="shared" si="99"/>
        <v/>
      </c>
      <c r="AF208" s="111" t="str">
        <f t="shared" si="100"/>
        <v/>
      </c>
    </row>
    <row r="209" spans="1:32">
      <c r="A209" s="159"/>
      <c r="B209" s="160"/>
      <c r="C209" s="5"/>
      <c r="D209" s="5"/>
      <c r="E209" s="5"/>
      <c r="F209" s="5"/>
      <c r="G209" s="5"/>
      <c r="H209" s="5"/>
      <c r="I209" s="5"/>
      <c r="J209" s="5"/>
      <c r="K209" s="5"/>
      <c r="L209" s="5"/>
      <c r="M209" s="5"/>
      <c r="N209" s="5"/>
      <c r="O209" s="5"/>
      <c r="P209" s="5"/>
      <c r="Q209" s="5"/>
      <c r="R209" s="5"/>
      <c r="S209" s="5"/>
      <c r="T209" s="5"/>
      <c r="U209" s="5"/>
      <c r="V209" s="7"/>
      <c r="W209" s="7"/>
      <c r="X209" s="164" t="e">
        <f t="shared" si="95"/>
        <v>#N/A</v>
      </c>
      <c r="Y209" s="164" t="e">
        <f t="shared" si="96"/>
        <v>#N/A</v>
      </c>
      <c r="AB209" s="156">
        <f t="shared" si="98"/>
        <v>0</v>
      </c>
      <c r="AC209" s="121" t="str">
        <f t="shared" si="97"/>
        <v/>
      </c>
      <c r="AE209" s="121" t="str">
        <f t="shared" si="99"/>
        <v/>
      </c>
      <c r="AF209" s="111" t="str">
        <f t="shared" si="100"/>
        <v/>
      </c>
    </row>
    <row r="210" spans="1:32">
      <c r="A210" s="159"/>
      <c r="B210" s="160"/>
      <c r="C210" s="5"/>
      <c r="D210" s="5"/>
      <c r="E210" s="5"/>
      <c r="F210" s="5"/>
      <c r="G210" s="5"/>
      <c r="H210" s="5"/>
      <c r="I210" s="5"/>
      <c r="J210" s="5"/>
      <c r="K210" s="5"/>
      <c r="L210" s="5"/>
      <c r="M210" s="5"/>
      <c r="N210" s="5"/>
      <c r="O210" s="5"/>
      <c r="P210" s="5"/>
      <c r="Q210" s="5"/>
      <c r="R210" s="5"/>
      <c r="S210" s="5"/>
      <c r="T210" s="5"/>
      <c r="U210" s="5"/>
      <c r="V210" s="7"/>
      <c r="W210" s="7"/>
      <c r="X210" s="164" t="e">
        <f t="shared" si="95"/>
        <v>#N/A</v>
      </c>
      <c r="Y210" s="164" t="e">
        <f t="shared" si="96"/>
        <v>#N/A</v>
      </c>
      <c r="AB210" s="156">
        <f t="shared" si="98"/>
        <v>0</v>
      </c>
      <c r="AC210" s="121" t="str">
        <f t="shared" si="97"/>
        <v/>
      </c>
      <c r="AE210" s="121" t="str">
        <f t="shared" si="99"/>
        <v/>
      </c>
      <c r="AF210" s="111" t="str">
        <f t="shared" si="100"/>
        <v/>
      </c>
    </row>
    <row r="211" spans="1:32">
      <c r="A211" s="159"/>
      <c r="B211" s="160"/>
      <c r="C211" s="5"/>
      <c r="D211" s="5"/>
      <c r="E211" s="5"/>
      <c r="F211" s="5"/>
      <c r="G211" s="5"/>
      <c r="H211" s="5"/>
      <c r="I211" s="5"/>
      <c r="J211" s="5"/>
      <c r="K211" s="5"/>
      <c r="L211" s="5"/>
      <c r="M211" s="5"/>
      <c r="N211" s="5"/>
      <c r="O211" s="5"/>
      <c r="P211" s="5"/>
      <c r="Q211" s="5"/>
      <c r="R211" s="5"/>
      <c r="S211" s="5"/>
      <c r="T211" s="5"/>
      <c r="U211" s="5"/>
      <c r="V211" s="7"/>
      <c r="W211" s="7"/>
      <c r="X211" s="164" t="e">
        <f t="shared" si="95"/>
        <v>#N/A</v>
      </c>
      <c r="Y211" s="164" t="e">
        <f t="shared" si="96"/>
        <v>#N/A</v>
      </c>
      <c r="AB211" s="156">
        <f t="shared" si="98"/>
        <v>0</v>
      </c>
      <c r="AC211" s="121" t="str">
        <f t="shared" si="97"/>
        <v/>
      </c>
      <c r="AE211" s="121" t="str">
        <f t="shared" si="99"/>
        <v/>
      </c>
      <c r="AF211" s="111" t="str">
        <f t="shared" si="100"/>
        <v/>
      </c>
    </row>
    <row r="212" spans="1:32">
      <c r="A212" s="159"/>
      <c r="B212" s="160"/>
      <c r="C212" s="5"/>
      <c r="D212" s="5"/>
      <c r="E212" s="5"/>
      <c r="F212" s="5"/>
      <c r="G212" s="5"/>
      <c r="H212" s="5"/>
      <c r="I212" s="5"/>
      <c r="J212" s="5"/>
      <c r="K212" s="5"/>
      <c r="L212" s="5"/>
      <c r="M212" s="5"/>
      <c r="N212" s="5"/>
      <c r="O212" s="5"/>
      <c r="P212" s="5"/>
      <c r="Q212" s="5"/>
      <c r="R212" s="5"/>
      <c r="S212" s="5"/>
      <c r="T212" s="5"/>
      <c r="U212" s="5"/>
      <c r="V212" s="7"/>
      <c r="W212" s="7"/>
      <c r="X212" s="164" t="e">
        <f t="shared" si="95"/>
        <v>#N/A</v>
      </c>
      <c r="Y212" s="164" t="e">
        <f t="shared" si="96"/>
        <v>#N/A</v>
      </c>
      <c r="AB212" s="156">
        <f t="shared" si="98"/>
        <v>0</v>
      </c>
      <c r="AC212" s="121" t="str">
        <f t="shared" si="97"/>
        <v/>
      </c>
      <c r="AE212" s="121" t="str">
        <f t="shared" si="99"/>
        <v/>
      </c>
      <c r="AF212" s="111" t="str">
        <f t="shared" si="100"/>
        <v/>
      </c>
    </row>
    <row r="213" spans="1:32">
      <c r="A213" s="159"/>
      <c r="B213" s="160"/>
      <c r="C213" s="5"/>
      <c r="D213" s="5"/>
      <c r="E213" s="5"/>
      <c r="F213" s="5"/>
      <c r="G213" s="5"/>
      <c r="H213" s="5"/>
      <c r="I213" s="5"/>
      <c r="J213" s="5"/>
      <c r="K213" s="5"/>
      <c r="L213" s="5"/>
      <c r="M213" s="5"/>
      <c r="N213" s="5"/>
      <c r="O213" s="5"/>
      <c r="P213" s="5"/>
      <c r="Q213" s="5"/>
      <c r="R213" s="5"/>
      <c r="S213" s="5"/>
      <c r="T213" s="5"/>
      <c r="U213" s="5"/>
      <c r="V213" s="7"/>
      <c r="W213" s="7"/>
      <c r="X213" s="164" t="e">
        <f t="shared" si="95"/>
        <v>#N/A</v>
      </c>
      <c r="Y213" s="164" t="e">
        <f t="shared" si="96"/>
        <v>#N/A</v>
      </c>
      <c r="AB213" s="156">
        <f t="shared" si="98"/>
        <v>0</v>
      </c>
      <c r="AC213" s="121" t="str">
        <f t="shared" si="97"/>
        <v/>
      </c>
      <c r="AE213" s="121" t="str">
        <f t="shared" si="99"/>
        <v/>
      </c>
      <c r="AF213" s="111" t="str">
        <f t="shared" si="100"/>
        <v/>
      </c>
    </row>
    <row r="214" spans="1:32">
      <c r="A214" s="159"/>
      <c r="B214" s="160"/>
      <c r="C214" s="5"/>
      <c r="D214" s="5"/>
      <c r="E214" s="5"/>
      <c r="F214" s="5"/>
      <c r="G214" s="5"/>
      <c r="H214" s="5"/>
      <c r="I214" s="5"/>
      <c r="J214" s="5"/>
      <c r="K214" s="5"/>
      <c r="L214" s="5"/>
      <c r="M214" s="5"/>
      <c r="N214" s="5"/>
      <c r="O214" s="5"/>
      <c r="P214" s="5"/>
      <c r="Q214" s="5"/>
      <c r="R214" s="5"/>
      <c r="S214" s="5"/>
      <c r="T214" s="5"/>
      <c r="U214" s="5"/>
      <c r="V214" s="7"/>
      <c r="W214" s="7"/>
      <c r="X214" s="164" t="e">
        <f t="shared" si="95"/>
        <v>#N/A</v>
      </c>
      <c r="Y214" s="164" t="e">
        <f t="shared" si="96"/>
        <v>#N/A</v>
      </c>
      <c r="AB214" s="156">
        <f t="shared" si="98"/>
        <v>0</v>
      </c>
      <c r="AC214" s="121" t="str">
        <f t="shared" si="97"/>
        <v/>
      </c>
      <c r="AE214" s="121" t="str">
        <f t="shared" si="99"/>
        <v/>
      </c>
      <c r="AF214" s="111" t="str">
        <f t="shared" si="100"/>
        <v/>
      </c>
    </row>
    <row r="215" spans="1:32">
      <c r="A215" s="159"/>
      <c r="B215" s="160"/>
      <c r="C215" s="5"/>
      <c r="D215" s="5"/>
      <c r="E215" s="5"/>
      <c r="F215" s="5"/>
      <c r="G215" s="5"/>
      <c r="H215" s="5"/>
      <c r="I215" s="5"/>
      <c r="J215" s="5"/>
      <c r="K215" s="5"/>
      <c r="L215" s="5"/>
      <c r="M215" s="5"/>
      <c r="N215" s="5"/>
      <c r="O215" s="5"/>
      <c r="P215" s="5"/>
      <c r="Q215" s="5"/>
      <c r="R215" s="5"/>
      <c r="S215" s="5"/>
      <c r="T215" s="5"/>
      <c r="U215" s="5"/>
      <c r="V215" s="7"/>
      <c r="W215" s="7"/>
      <c r="X215" s="164" t="e">
        <f t="shared" si="95"/>
        <v>#N/A</v>
      </c>
      <c r="Y215" s="164" t="e">
        <f t="shared" si="96"/>
        <v>#N/A</v>
      </c>
      <c r="AB215" s="156">
        <f t="shared" si="98"/>
        <v>0</v>
      </c>
      <c r="AC215" s="121" t="str">
        <f t="shared" si="97"/>
        <v/>
      </c>
      <c r="AE215" s="121" t="str">
        <f t="shared" si="99"/>
        <v/>
      </c>
      <c r="AF215" s="111" t="str">
        <f t="shared" si="100"/>
        <v/>
      </c>
    </row>
    <row r="216" spans="1:32">
      <c r="A216" s="159"/>
      <c r="B216" s="160"/>
      <c r="C216" s="5"/>
      <c r="D216" s="5"/>
      <c r="E216" s="5"/>
      <c r="F216" s="5"/>
      <c r="G216" s="5"/>
      <c r="H216" s="5"/>
      <c r="I216" s="5"/>
      <c r="J216" s="5"/>
      <c r="K216" s="5"/>
      <c r="L216" s="5"/>
      <c r="M216" s="5"/>
      <c r="N216" s="5"/>
      <c r="O216" s="5"/>
      <c r="P216" s="5"/>
      <c r="Q216" s="5"/>
      <c r="R216" s="5"/>
      <c r="S216" s="5"/>
      <c r="T216" s="5"/>
      <c r="U216" s="5"/>
      <c r="V216" s="7"/>
      <c r="W216" s="7"/>
      <c r="X216" s="164" t="e">
        <f t="shared" si="95"/>
        <v>#N/A</v>
      </c>
      <c r="Y216" s="164" t="e">
        <f t="shared" si="96"/>
        <v>#N/A</v>
      </c>
      <c r="AB216" s="156">
        <f t="shared" si="98"/>
        <v>0</v>
      </c>
      <c r="AC216" s="121" t="str">
        <f t="shared" si="97"/>
        <v/>
      </c>
      <c r="AE216" s="121" t="str">
        <f t="shared" si="99"/>
        <v/>
      </c>
      <c r="AF216" s="111" t="str">
        <f t="shared" si="100"/>
        <v/>
      </c>
    </row>
    <row r="217" spans="1:32">
      <c r="A217" s="159"/>
      <c r="B217" s="160"/>
      <c r="C217" s="5"/>
      <c r="D217" s="5"/>
      <c r="E217" s="5"/>
      <c r="F217" s="5"/>
      <c r="G217" s="5"/>
      <c r="H217" s="5"/>
      <c r="I217" s="5"/>
      <c r="J217" s="5"/>
      <c r="K217" s="5"/>
      <c r="L217" s="5"/>
      <c r="M217" s="5"/>
      <c r="N217" s="5"/>
      <c r="O217" s="5"/>
      <c r="P217" s="5"/>
      <c r="Q217" s="5"/>
      <c r="R217" s="5"/>
      <c r="S217" s="5"/>
      <c r="T217" s="5"/>
      <c r="U217" s="5"/>
      <c r="V217" s="7"/>
      <c r="W217" s="7"/>
      <c r="X217" s="164" t="e">
        <f t="shared" si="95"/>
        <v>#N/A</v>
      </c>
      <c r="Y217" s="164" t="e">
        <f t="shared" si="96"/>
        <v>#N/A</v>
      </c>
      <c r="AB217" s="156">
        <f t="shared" si="98"/>
        <v>0</v>
      </c>
      <c r="AC217" s="121" t="str">
        <f t="shared" si="97"/>
        <v/>
      </c>
      <c r="AE217" s="121" t="str">
        <f t="shared" si="99"/>
        <v/>
      </c>
      <c r="AF217" s="111" t="str">
        <f t="shared" si="100"/>
        <v/>
      </c>
    </row>
    <row r="218" spans="1:32">
      <c r="A218" s="159"/>
      <c r="B218" s="160"/>
      <c r="C218" s="5"/>
      <c r="D218" s="5"/>
      <c r="E218" s="5"/>
      <c r="F218" s="5"/>
      <c r="G218" s="5"/>
      <c r="H218" s="5"/>
      <c r="I218" s="5"/>
      <c r="J218" s="5"/>
      <c r="K218" s="5"/>
      <c r="L218" s="5"/>
      <c r="M218" s="5"/>
      <c r="N218" s="5"/>
      <c r="O218" s="5"/>
      <c r="P218" s="5"/>
      <c r="Q218" s="5"/>
      <c r="R218" s="5"/>
      <c r="S218" s="5"/>
      <c r="T218" s="5"/>
      <c r="U218" s="5"/>
      <c r="V218" s="7"/>
      <c r="W218" s="7"/>
      <c r="X218" s="164" t="e">
        <f t="shared" si="95"/>
        <v>#N/A</v>
      </c>
      <c r="Y218" s="164" t="e">
        <f t="shared" si="96"/>
        <v>#N/A</v>
      </c>
      <c r="AB218" s="156">
        <f t="shared" si="98"/>
        <v>0</v>
      </c>
      <c r="AC218" s="121" t="str">
        <f t="shared" si="97"/>
        <v/>
      </c>
      <c r="AE218" s="121" t="str">
        <f t="shared" si="99"/>
        <v/>
      </c>
      <c r="AF218" s="111" t="str">
        <f t="shared" si="100"/>
        <v/>
      </c>
    </row>
    <row r="219" spans="1:32">
      <c r="A219" s="159"/>
      <c r="B219" s="160"/>
      <c r="C219" s="5"/>
      <c r="D219" s="5"/>
      <c r="E219" s="5"/>
      <c r="F219" s="5"/>
      <c r="G219" s="5"/>
      <c r="H219" s="5"/>
      <c r="I219" s="5"/>
      <c r="J219" s="5"/>
      <c r="K219" s="5"/>
      <c r="L219" s="5"/>
      <c r="M219" s="5"/>
      <c r="N219" s="5"/>
      <c r="O219" s="5"/>
      <c r="P219" s="5"/>
      <c r="Q219" s="5"/>
      <c r="R219" s="5"/>
      <c r="S219" s="5"/>
      <c r="T219" s="5"/>
      <c r="U219" s="5"/>
      <c r="V219" s="7"/>
      <c r="W219" s="7"/>
      <c r="X219" s="164" t="e">
        <f t="shared" si="95"/>
        <v>#N/A</v>
      </c>
      <c r="Y219" s="164" t="e">
        <f t="shared" si="96"/>
        <v>#N/A</v>
      </c>
      <c r="AB219" s="156">
        <f t="shared" si="98"/>
        <v>0</v>
      </c>
      <c r="AC219" s="121" t="str">
        <f t="shared" si="97"/>
        <v/>
      </c>
      <c r="AE219" s="121" t="str">
        <f t="shared" si="99"/>
        <v/>
      </c>
      <c r="AF219" s="111" t="str">
        <f t="shared" si="100"/>
        <v/>
      </c>
    </row>
    <row r="220" spans="1:32">
      <c r="A220" s="159"/>
      <c r="B220" s="160"/>
      <c r="C220" s="5"/>
      <c r="D220" s="5"/>
      <c r="E220" s="5"/>
      <c r="F220" s="5"/>
      <c r="G220" s="5"/>
      <c r="H220" s="5"/>
      <c r="I220" s="5"/>
      <c r="J220" s="5"/>
      <c r="K220" s="5"/>
      <c r="L220" s="5"/>
      <c r="M220" s="5"/>
      <c r="N220" s="5"/>
      <c r="O220" s="5"/>
      <c r="P220" s="5"/>
      <c r="Q220" s="5"/>
      <c r="R220" s="5"/>
      <c r="S220" s="5"/>
      <c r="T220" s="5"/>
      <c r="U220" s="5"/>
      <c r="V220" s="7"/>
      <c r="W220" s="7"/>
      <c r="X220" s="164" t="e">
        <f t="shared" si="95"/>
        <v>#N/A</v>
      </c>
      <c r="Y220" s="164" t="e">
        <f t="shared" si="96"/>
        <v>#N/A</v>
      </c>
      <c r="AB220" s="156">
        <f t="shared" si="98"/>
        <v>0</v>
      </c>
      <c r="AC220" s="121" t="str">
        <f t="shared" si="97"/>
        <v/>
      </c>
      <c r="AE220" s="121" t="str">
        <f t="shared" si="99"/>
        <v/>
      </c>
      <c r="AF220" s="111" t="str">
        <f t="shared" si="100"/>
        <v/>
      </c>
    </row>
    <row r="221" spans="1:32">
      <c r="A221" s="159"/>
      <c r="B221" s="160"/>
      <c r="C221" s="5"/>
      <c r="D221" s="5"/>
      <c r="E221" s="5"/>
      <c r="F221" s="5"/>
      <c r="G221" s="5"/>
      <c r="H221" s="5"/>
      <c r="I221" s="5"/>
      <c r="J221" s="5"/>
      <c r="K221" s="5"/>
      <c r="L221" s="5"/>
      <c r="M221" s="5"/>
      <c r="N221" s="5"/>
      <c r="O221" s="5"/>
      <c r="P221" s="5"/>
      <c r="Q221" s="5"/>
      <c r="R221" s="5"/>
      <c r="S221" s="5"/>
      <c r="T221" s="5"/>
      <c r="U221" s="5"/>
      <c r="V221" s="7"/>
      <c r="W221" s="7"/>
      <c r="X221" s="164" t="e">
        <f t="shared" si="95"/>
        <v>#N/A</v>
      </c>
      <c r="Y221" s="164" t="e">
        <f t="shared" si="96"/>
        <v>#N/A</v>
      </c>
      <c r="AB221" s="156">
        <f t="shared" si="98"/>
        <v>0</v>
      </c>
      <c r="AC221" s="121" t="str">
        <f t="shared" si="97"/>
        <v/>
      </c>
      <c r="AE221" s="121" t="str">
        <f t="shared" si="99"/>
        <v/>
      </c>
      <c r="AF221" s="111" t="str">
        <f t="shared" si="100"/>
        <v/>
      </c>
    </row>
    <row r="222" spans="1:32">
      <c r="A222" s="159"/>
      <c r="B222" s="160"/>
      <c r="C222" s="5"/>
      <c r="D222" s="5"/>
      <c r="E222" s="5"/>
      <c r="F222" s="5"/>
      <c r="G222" s="5"/>
      <c r="H222" s="5"/>
      <c r="I222" s="5"/>
      <c r="J222" s="5"/>
      <c r="K222" s="5"/>
      <c r="L222" s="5"/>
      <c r="M222" s="5"/>
      <c r="N222" s="5"/>
      <c r="O222" s="5"/>
      <c r="P222" s="5"/>
      <c r="Q222" s="5"/>
      <c r="R222" s="5"/>
      <c r="S222" s="5"/>
      <c r="T222" s="5"/>
      <c r="U222" s="5"/>
      <c r="V222" s="7"/>
      <c r="W222" s="7"/>
      <c r="X222" s="164" t="e">
        <f t="shared" si="95"/>
        <v>#N/A</v>
      </c>
      <c r="Y222" s="164" t="e">
        <f t="shared" si="96"/>
        <v>#N/A</v>
      </c>
      <c r="AB222" s="156">
        <f t="shared" si="98"/>
        <v>0</v>
      </c>
      <c r="AC222" s="121" t="str">
        <f t="shared" si="97"/>
        <v/>
      </c>
      <c r="AE222" s="121" t="str">
        <f t="shared" si="99"/>
        <v/>
      </c>
      <c r="AF222" s="111" t="str">
        <f t="shared" si="100"/>
        <v/>
      </c>
    </row>
    <row r="223" spans="1:32">
      <c r="A223" s="159"/>
      <c r="B223" s="160"/>
      <c r="C223" s="5"/>
      <c r="D223" s="5"/>
      <c r="E223" s="5"/>
      <c r="F223" s="5"/>
      <c r="G223" s="5"/>
      <c r="H223" s="5"/>
      <c r="I223" s="5"/>
      <c r="J223" s="5"/>
      <c r="K223" s="5"/>
      <c r="L223" s="5"/>
      <c r="M223" s="5"/>
      <c r="N223" s="5"/>
      <c r="O223" s="5"/>
      <c r="P223" s="5"/>
      <c r="Q223" s="5"/>
      <c r="R223" s="5"/>
      <c r="S223" s="5"/>
      <c r="T223" s="5"/>
      <c r="U223" s="5"/>
      <c r="V223" s="7"/>
      <c r="W223" s="7"/>
      <c r="X223" s="164" t="e">
        <f t="shared" si="95"/>
        <v>#N/A</v>
      </c>
      <c r="Y223" s="164" t="e">
        <f t="shared" si="96"/>
        <v>#N/A</v>
      </c>
      <c r="AB223" s="156">
        <f t="shared" si="98"/>
        <v>0</v>
      </c>
      <c r="AC223" s="121" t="str">
        <f t="shared" si="97"/>
        <v/>
      </c>
      <c r="AE223" s="121" t="str">
        <f t="shared" si="99"/>
        <v/>
      </c>
      <c r="AF223" s="111" t="str">
        <f t="shared" si="100"/>
        <v/>
      </c>
    </row>
    <row r="224" spans="1:32">
      <c r="A224" s="159"/>
      <c r="B224" s="160"/>
      <c r="C224" s="5"/>
      <c r="D224" s="5"/>
      <c r="E224" s="5"/>
      <c r="F224" s="5"/>
      <c r="G224" s="5"/>
      <c r="H224" s="5"/>
      <c r="I224" s="5"/>
      <c r="J224" s="5"/>
      <c r="K224" s="5"/>
      <c r="L224" s="5"/>
      <c r="M224" s="5"/>
      <c r="N224" s="5"/>
      <c r="O224" s="5"/>
      <c r="P224" s="5"/>
      <c r="Q224" s="5"/>
      <c r="R224" s="5"/>
      <c r="S224" s="5"/>
      <c r="T224" s="5"/>
      <c r="U224" s="5"/>
      <c r="V224" s="7"/>
      <c r="W224" s="7"/>
      <c r="X224" s="164" t="e">
        <f t="shared" si="95"/>
        <v>#N/A</v>
      </c>
      <c r="Y224" s="164" t="e">
        <f t="shared" si="96"/>
        <v>#N/A</v>
      </c>
      <c r="AB224" s="156">
        <f t="shared" si="98"/>
        <v>0</v>
      </c>
      <c r="AC224" s="121" t="str">
        <f t="shared" si="97"/>
        <v/>
      </c>
      <c r="AE224" s="121" t="str">
        <f t="shared" si="99"/>
        <v/>
      </c>
      <c r="AF224" s="111" t="str">
        <f t="shared" si="100"/>
        <v/>
      </c>
    </row>
    <row r="225" spans="1:32">
      <c r="A225" s="159"/>
      <c r="B225" s="160"/>
      <c r="C225" s="5"/>
      <c r="D225" s="5"/>
      <c r="E225" s="5"/>
      <c r="F225" s="5"/>
      <c r="G225" s="5"/>
      <c r="H225" s="5"/>
      <c r="I225" s="5"/>
      <c r="J225" s="5"/>
      <c r="K225" s="5"/>
      <c r="L225" s="5"/>
      <c r="M225" s="5"/>
      <c r="N225" s="5"/>
      <c r="O225" s="5"/>
      <c r="P225" s="5"/>
      <c r="Q225" s="5"/>
      <c r="R225" s="5"/>
      <c r="S225" s="5"/>
      <c r="T225" s="5"/>
      <c r="U225" s="5"/>
      <c r="V225" s="7"/>
      <c r="W225" s="7"/>
      <c r="X225" s="164" t="e">
        <f t="shared" si="95"/>
        <v>#N/A</v>
      </c>
      <c r="Y225" s="164" t="e">
        <f t="shared" si="96"/>
        <v>#N/A</v>
      </c>
      <c r="AB225" s="156">
        <f t="shared" si="98"/>
        <v>0</v>
      </c>
      <c r="AC225" s="121" t="str">
        <f t="shared" si="97"/>
        <v/>
      </c>
      <c r="AE225" s="121" t="str">
        <f t="shared" si="99"/>
        <v/>
      </c>
      <c r="AF225" s="111" t="str">
        <f t="shared" si="100"/>
        <v/>
      </c>
    </row>
    <row r="226" spans="1:32">
      <c r="A226" s="159"/>
      <c r="B226" s="160"/>
      <c r="C226" s="5"/>
      <c r="D226" s="5"/>
      <c r="E226" s="5"/>
      <c r="F226" s="5"/>
      <c r="G226" s="5"/>
      <c r="H226" s="5"/>
      <c r="I226" s="5"/>
      <c r="J226" s="5"/>
      <c r="K226" s="5"/>
      <c r="L226" s="5"/>
      <c r="M226" s="5"/>
      <c r="N226" s="5"/>
      <c r="O226" s="5"/>
      <c r="P226" s="5"/>
      <c r="Q226" s="5"/>
      <c r="R226" s="5"/>
      <c r="S226" s="5"/>
      <c r="T226" s="5"/>
      <c r="U226" s="5"/>
      <c r="V226" s="7"/>
      <c r="W226" s="7"/>
      <c r="X226" s="164" t="e">
        <f t="shared" si="95"/>
        <v>#N/A</v>
      </c>
      <c r="Y226" s="164" t="e">
        <f t="shared" si="96"/>
        <v>#N/A</v>
      </c>
      <c r="AB226" s="156">
        <f t="shared" si="98"/>
        <v>0</v>
      </c>
      <c r="AC226" s="121" t="str">
        <f t="shared" si="97"/>
        <v/>
      </c>
      <c r="AE226" s="121" t="str">
        <f t="shared" si="99"/>
        <v/>
      </c>
      <c r="AF226" s="111" t="str">
        <f t="shared" si="100"/>
        <v/>
      </c>
    </row>
    <row r="227" spans="1:32">
      <c r="A227" s="159"/>
      <c r="B227" s="160"/>
      <c r="C227" s="5"/>
      <c r="D227" s="5"/>
      <c r="E227" s="5"/>
      <c r="F227" s="5"/>
      <c r="G227" s="5"/>
      <c r="H227" s="5"/>
      <c r="I227" s="5"/>
      <c r="J227" s="5"/>
      <c r="K227" s="5"/>
      <c r="L227" s="5"/>
      <c r="M227" s="5"/>
      <c r="N227" s="5"/>
      <c r="O227" s="5"/>
      <c r="P227" s="5"/>
      <c r="Q227" s="5"/>
      <c r="R227" s="5"/>
      <c r="S227" s="5"/>
      <c r="T227" s="5"/>
      <c r="U227" s="5"/>
      <c r="V227" s="7"/>
      <c r="W227" s="7"/>
      <c r="X227" s="164" t="e">
        <f t="shared" si="95"/>
        <v>#N/A</v>
      </c>
      <c r="Y227" s="164" t="e">
        <f t="shared" si="96"/>
        <v>#N/A</v>
      </c>
      <c r="AB227" s="156">
        <f t="shared" si="98"/>
        <v>0</v>
      </c>
      <c r="AC227" s="121" t="str">
        <f t="shared" si="97"/>
        <v/>
      </c>
      <c r="AE227" s="121" t="str">
        <f t="shared" si="99"/>
        <v/>
      </c>
      <c r="AF227" s="111" t="str">
        <f t="shared" si="100"/>
        <v/>
      </c>
    </row>
    <row r="228" spans="1:32">
      <c r="A228" s="159"/>
      <c r="B228" s="160"/>
      <c r="C228" s="5"/>
      <c r="D228" s="5"/>
      <c r="E228" s="5"/>
      <c r="F228" s="5"/>
      <c r="G228" s="5"/>
      <c r="H228" s="5"/>
      <c r="I228" s="5"/>
      <c r="J228" s="5"/>
      <c r="K228" s="5"/>
      <c r="L228" s="5"/>
      <c r="M228" s="5"/>
      <c r="N228" s="5"/>
      <c r="O228" s="5"/>
      <c r="P228" s="5"/>
      <c r="Q228" s="5"/>
      <c r="R228" s="5"/>
      <c r="S228" s="5"/>
      <c r="T228" s="5"/>
      <c r="U228" s="5"/>
      <c r="V228" s="7"/>
      <c r="W228" s="7"/>
      <c r="X228" s="164" t="e">
        <f t="shared" si="95"/>
        <v>#N/A</v>
      </c>
      <c r="Y228" s="164" t="e">
        <f t="shared" si="96"/>
        <v>#N/A</v>
      </c>
      <c r="AB228" s="156">
        <f t="shared" si="98"/>
        <v>0</v>
      </c>
      <c r="AC228" s="121" t="str">
        <f t="shared" si="97"/>
        <v/>
      </c>
      <c r="AE228" s="121" t="str">
        <f t="shared" si="99"/>
        <v/>
      </c>
      <c r="AF228" s="111" t="str">
        <f t="shared" si="100"/>
        <v/>
      </c>
    </row>
    <row r="229" spans="1:32">
      <c r="A229" s="159"/>
      <c r="B229" s="160"/>
      <c r="C229" s="5"/>
      <c r="D229" s="5"/>
      <c r="E229" s="5"/>
      <c r="F229" s="5"/>
      <c r="G229" s="5"/>
      <c r="H229" s="5"/>
      <c r="I229" s="5"/>
      <c r="J229" s="5"/>
      <c r="K229" s="5"/>
      <c r="L229" s="5"/>
      <c r="M229" s="5"/>
      <c r="N229" s="5"/>
      <c r="O229" s="5"/>
      <c r="P229" s="5"/>
      <c r="Q229" s="5"/>
      <c r="R229" s="5"/>
      <c r="S229" s="5"/>
      <c r="T229" s="5"/>
      <c r="U229" s="5"/>
      <c r="V229" s="7"/>
      <c r="W229" s="7"/>
      <c r="X229" s="164" t="e">
        <f t="shared" si="95"/>
        <v>#N/A</v>
      </c>
      <c r="Y229" s="164" t="e">
        <f t="shared" si="96"/>
        <v>#N/A</v>
      </c>
      <c r="AB229" s="156">
        <f t="shared" si="98"/>
        <v>0</v>
      </c>
      <c r="AC229" s="121" t="str">
        <f t="shared" si="97"/>
        <v/>
      </c>
      <c r="AE229" s="121" t="str">
        <f t="shared" si="99"/>
        <v/>
      </c>
      <c r="AF229" s="111" t="str">
        <f t="shared" si="100"/>
        <v/>
      </c>
    </row>
    <row r="230" spans="1:32">
      <c r="A230" s="159"/>
      <c r="B230" s="160"/>
      <c r="C230" s="5"/>
      <c r="D230" s="5"/>
      <c r="E230" s="5"/>
      <c r="F230" s="5"/>
      <c r="G230" s="5"/>
      <c r="H230" s="5"/>
      <c r="I230" s="5"/>
      <c r="J230" s="5"/>
      <c r="K230" s="5"/>
      <c r="L230" s="5"/>
      <c r="M230" s="5"/>
      <c r="N230" s="5"/>
      <c r="O230" s="5"/>
      <c r="P230" s="5"/>
      <c r="Q230" s="5"/>
      <c r="R230" s="5"/>
      <c r="S230" s="5"/>
      <c r="T230" s="5"/>
      <c r="U230" s="5"/>
      <c r="V230" s="7"/>
      <c r="W230" s="7"/>
      <c r="X230" s="164" t="e">
        <f t="shared" si="95"/>
        <v>#N/A</v>
      </c>
      <c r="Y230" s="164" t="e">
        <f t="shared" si="96"/>
        <v>#N/A</v>
      </c>
      <c r="AB230" s="156">
        <f t="shared" si="98"/>
        <v>0</v>
      </c>
      <c r="AC230" s="121" t="str">
        <f t="shared" si="97"/>
        <v/>
      </c>
      <c r="AE230" s="121" t="str">
        <f t="shared" si="99"/>
        <v/>
      </c>
      <c r="AF230" s="111" t="str">
        <f t="shared" si="100"/>
        <v/>
      </c>
    </row>
    <row r="231" spans="1:32">
      <c r="A231" s="159"/>
      <c r="B231" s="160"/>
      <c r="C231" s="5"/>
      <c r="D231" s="5"/>
      <c r="E231" s="5"/>
      <c r="F231" s="5"/>
      <c r="G231" s="5"/>
      <c r="H231" s="5"/>
      <c r="I231" s="5"/>
      <c r="J231" s="5"/>
      <c r="K231" s="5"/>
      <c r="L231" s="5"/>
      <c r="M231" s="5"/>
      <c r="N231" s="5"/>
      <c r="O231" s="5"/>
      <c r="P231" s="5"/>
      <c r="Q231" s="5"/>
      <c r="R231" s="5"/>
      <c r="S231" s="5"/>
      <c r="T231" s="5"/>
      <c r="U231" s="5"/>
      <c r="V231" s="7"/>
      <c r="W231" s="7"/>
      <c r="X231" s="164" t="e">
        <f t="shared" si="95"/>
        <v>#N/A</v>
      </c>
      <c r="Y231" s="164" t="e">
        <f t="shared" si="96"/>
        <v>#N/A</v>
      </c>
      <c r="AB231" s="156">
        <f t="shared" si="98"/>
        <v>0</v>
      </c>
      <c r="AC231" s="121" t="str">
        <f t="shared" si="97"/>
        <v/>
      </c>
      <c r="AE231" s="121" t="str">
        <f t="shared" si="99"/>
        <v/>
      </c>
      <c r="AF231" s="111" t="str">
        <f t="shared" si="100"/>
        <v/>
      </c>
    </row>
    <row r="232" spans="1:32">
      <c r="A232" s="159"/>
      <c r="B232" s="160"/>
      <c r="C232" s="5"/>
      <c r="D232" s="5"/>
      <c r="E232" s="5"/>
      <c r="F232" s="5"/>
      <c r="G232" s="5"/>
      <c r="H232" s="5"/>
      <c r="I232" s="5"/>
      <c r="J232" s="5"/>
      <c r="K232" s="5"/>
      <c r="L232" s="5"/>
      <c r="M232" s="5"/>
      <c r="N232" s="5"/>
      <c r="O232" s="5"/>
      <c r="P232" s="5"/>
      <c r="Q232" s="5"/>
      <c r="R232" s="5"/>
      <c r="S232" s="5"/>
      <c r="T232" s="5"/>
      <c r="U232" s="5"/>
      <c r="V232" s="7"/>
      <c r="W232" s="7"/>
      <c r="X232" s="164" t="e">
        <f t="shared" si="95"/>
        <v>#N/A</v>
      </c>
      <c r="Y232" s="164" t="e">
        <f t="shared" si="96"/>
        <v>#N/A</v>
      </c>
      <c r="AB232" s="156">
        <f t="shared" si="98"/>
        <v>0</v>
      </c>
      <c r="AC232" s="121" t="str">
        <f t="shared" si="97"/>
        <v/>
      </c>
      <c r="AE232" s="121" t="str">
        <f t="shared" si="99"/>
        <v/>
      </c>
      <c r="AF232" s="111" t="str">
        <f t="shared" si="100"/>
        <v/>
      </c>
    </row>
    <row r="233" spans="1:32">
      <c r="A233" s="159"/>
      <c r="B233" s="160"/>
      <c r="C233" s="5"/>
      <c r="D233" s="5"/>
      <c r="E233" s="5"/>
      <c r="F233" s="5"/>
      <c r="G233" s="5"/>
      <c r="H233" s="5"/>
      <c r="I233" s="5"/>
      <c r="J233" s="5"/>
      <c r="K233" s="5"/>
      <c r="L233" s="5"/>
      <c r="M233" s="5"/>
      <c r="N233" s="5"/>
      <c r="O233" s="5"/>
      <c r="P233" s="5"/>
      <c r="Q233" s="5"/>
      <c r="R233" s="5"/>
      <c r="S233" s="5"/>
      <c r="T233" s="5"/>
      <c r="U233" s="5"/>
      <c r="V233" s="7"/>
      <c r="W233" s="7"/>
      <c r="X233" s="164" t="e">
        <f t="shared" si="95"/>
        <v>#N/A</v>
      </c>
      <c r="Y233" s="164" t="e">
        <f t="shared" si="96"/>
        <v>#N/A</v>
      </c>
      <c r="AB233" s="156">
        <f t="shared" si="98"/>
        <v>0</v>
      </c>
      <c r="AC233" s="121" t="str">
        <f t="shared" si="97"/>
        <v/>
      </c>
      <c r="AE233" s="121" t="str">
        <f t="shared" si="99"/>
        <v/>
      </c>
      <c r="AF233" s="111" t="str">
        <f t="shared" si="100"/>
        <v/>
      </c>
    </row>
    <row r="234" spans="1:32">
      <c r="A234" s="159"/>
      <c r="B234" s="160"/>
      <c r="C234" s="5"/>
      <c r="D234" s="5"/>
      <c r="E234" s="5"/>
      <c r="F234" s="5"/>
      <c r="G234" s="5"/>
      <c r="H234" s="5"/>
      <c r="I234" s="5"/>
      <c r="J234" s="5"/>
      <c r="K234" s="5"/>
      <c r="L234" s="5"/>
      <c r="M234" s="5"/>
      <c r="N234" s="5"/>
      <c r="O234" s="5"/>
      <c r="P234" s="5"/>
      <c r="Q234" s="5"/>
      <c r="R234" s="5"/>
      <c r="S234" s="5"/>
      <c r="T234" s="5"/>
      <c r="U234" s="5"/>
      <c r="V234" s="7"/>
      <c r="W234" s="7"/>
      <c r="X234" s="164" t="e">
        <f t="shared" si="95"/>
        <v>#N/A</v>
      </c>
      <c r="Y234" s="164" t="e">
        <f t="shared" si="96"/>
        <v>#N/A</v>
      </c>
      <c r="AB234" s="156">
        <f t="shared" si="98"/>
        <v>0</v>
      </c>
      <c r="AC234" s="121" t="str">
        <f t="shared" si="97"/>
        <v/>
      </c>
      <c r="AE234" s="121" t="str">
        <f t="shared" si="99"/>
        <v/>
      </c>
      <c r="AF234" s="111" t="str">
        <f t="shared" si="100"/>
        <v/>
      </c>
    </row>
    <row r="235" spans="1:32">
      <c r="A235" s="159"/>
      <c r="B235" s="160"/>
      <c r="C235" s="5"/>
      <c r="D235" s="5"/>
      <c r="E235" s="5"/>
      <c r="F235" s="5"/>
      <c r="G235" s="5"/>
      <c r="H235" s="5"/>
      <c r="I235" s="5"/>
      <c r="J235" s="5"/>
      <c r="K235" s="5"/>
      <c r="L235" s="5"/>
      <c r="M235" s="5"/>
      <c r="N235" s="5"/>
      <c r="O235" s="5"/>
      <c r="P235" s="5"/>
      <c r="Q235" s="5"/>
      <c r="R235" s="5"/>
      <c r="S235" s="5"/>
      <c r="T235" s="5"/>
      <c r="U235" s="5"/>
      <c r="V235" s="7"/>
      <c r="W235" s="7"/>
      <c r="X235" s="164" t="e">
        <f t="shared" si="95"/>
        <v>#N/A</v>
      </c>
      <c r="Y235" s="164" t="e">
        <f t="shared" si="96"/>
        <v>#N/A</v>
      </c>
      <c r="AB235" s="156">
        <f t="shared" si="98"/>
        <v>0</v>
      </c>
      <c r="AC235" s="121" t="str">
        <f t="shared" si="97"/>
        <v/>
      </c>
      <c r="AE235" s="121" t="str">
        <f t="shared" si="99"/>
        <v/>
      </c>
      <c r="AF235" s="111" t="str">
        <f t="shared" si="100"/>
        <v/>
      </c>
    </row>
    <row r="236" spans="1:32">
      <c r="A236" s="159"/>
      <c r="B236" s="160"/>
      <c r="C236" s="5"/>
      <c r="D236" s="5"/>
      <c r="E236" s="5"/>
      <c r="F236" s="5"/>
      <c r="G236" s="5"/>
      <c r="H236" s="5"/>
      <c r="I236" s="5"/>
      <c r="J236" s="5"/>
      <c r="K236" s="5"/>
      <c r="L236" s="5"/>
      <c r="M236" s="5"/>
      <c r="N236" s="5"/>
      <c r="O236" s="5"/>
      <c r="P236" s="5"/>
      <c r="Q236" s="5"/>
      <c r="R236" s="5"/>
      <c r="S236" s="5"/>
      <c r="T236" s="5"/>
      <c r="U236" s="5"/>
      <c r="V236" s="7"/>
      <c r="W236" s="7"/>
      <c r="X236" s="164" t="e">
        <f t="shared" si="95"/>
        <v>#N/A</v>
      </c>
      <c r="Y236" s="164" t="e">
        <f t="shared" si="96"/>
        <v>#N/A</v>
      </c>
      <c r="AB236" s="156">
        <f t="shared" si="98"/>
        <v>0</v>
      </c>
      <c r="AC236" s="121" t="str">
        <f t="shared" si="97"/>
        <v/>
      </c>
      <c r="AE236" s="121" t="str">
        <f t="shared" si="99"/>
        <v/>
      </c>
      <c r="AF236" s="111" t="str">
        <f t="shared" si="100"/>
        <v/>
      </c>
    </row>
    <row r="237" spans="1:32">
      <c r="A237" s="159"/>
      <c r="B237" s="160"/>
      <c r="C237" s="5"/>
      <c r="D237" s="5"/>
      <c r="E237" s="5"/>
      <c r="F237" s="5"/>
      <c r="G237" s="5"/>
      <c r="H237" s="5"/>
      <c r="I237" s="5"/>
      <c r="J237" s="5"/>
      <c r="K237" s="5"/>
      <c r="L237" s="5"/>
      <c r="M237" s="5"/>
      <c r="N237" s="5"/>
      <c r="O237" s="5"/>
      <c r="P237" s="5"/>
      <c r="Q237" s="5"/>
      <c r="R237" s="5"/>
      <c r="S237" s="5"/>
      <c r="T237" s="5"/>
      <c r="U237" s="5"/>
      <c r="V237" s="7"/>
      <c r="W237" s="7"/>
      <c r="X237" s="164" t="e">
        <f t="shared" si="95"/>
        <v>#N/A</v>
      </c>
      <c r="Y237" s="164" t="e">
        <f t="shared" si="96"/>
        <v>#N/A</v>
      </c>
      <c r="AB237" s="156">
        <f t="shared" si="98"/>
        <v>0</v>
      </c>
      <c r="AC237" s="121" t="str">
        <f t="shared" si="97"/>
        <v/>
      </c>
      <c r="AE237" s="121" t="str">
        <f t="shared" si="99"/>
        <v/>
      </c>
      <c r="AF237" s="111" t="str">
        <f t="shared" si="100"/>
        <v/>
      </c>
    </row>
    <row r="238" spans="1:32">
      <c r="A238" s="159"/>
      <c r="B238" s="160"/>
      <c r="C238" s="5"/>
      <c r="D238" s="5"/>
      <c r="E238" s="5"/>
      <c r="F238" s="5"/>
      <c r="G238" s="5"/>
      <c r="H238" s="5"/>
      <c r="I238" s="5"/>
      <c r="J238" s="5"/>
      <c r="K238" s="5"/>
      <c r="L238" s="5"/>
      <c r="M238" s="5"/>
      <c r="N238" s="5"/>
      <c r="O238" s="5"/>
      <c r="P238" s="5"/>
      <c r="Q238" s="5"/>
      <c r="R238" s="5"/>
      <c r="S238" s="5"/>
      <c r="T238" s="5"/>
      <c r="U238" s="5"/>
      <c r="V238" s="7"/>
      <c r="W238" s="7"/>
      <c r="X238" s="164" t="e">
        <f t="shared" si="95"/>
        <v>#N/A</v>
      </c>
      <c r="Y238" s="164" t="e">
        <f t="shared" si="96"/>
        <v>#N/A</v>
      </c>
      <c r="AB238" s="156">
        <f t="shared" si="98"/>
        <v>0</v>
      </c>
      <c r="AC238" s="121" t="str">
        <f t="shared" si="97"/>
        <v/>
      </c>
      <c r="AE238" s="121" t="str">
        <f t="shared" si="99"/>
        <v/>
      </c>
      <c r="AF238" s="111" t="str">
        <f t="shared" si="100"/>
        <v/>
      </c>
    </row>
    <row r="239" spans="1:32">
      <c r="A239" s="159"/>
      <c r="B239" s="160"/>
      <c r="C239" s="5"/>
      <c r="D239" s="5"/>
      <c r="E239" s="5"/>
      <c r="F239" s="5"/>
      <c r="G239" s="5"/>
      <c r="H239" s="5"/>
      <c r="I239" s="5"/>
      <c r="J239" s="5"/>
      <c r="K239" s="5"/>
      <c r="L239" s="5"/>
      <c r="M239" s="5"/>
      <c r="N239" s="5"/>
      <c r="O239" s="5"/>
      <c r="P239" s="5"/>
      <c r="Q239" s="5"/>
      <c r="R239" s="5"/>
      <c r="S239" s="5"/>
      <c r="T239" s="5"/>
      <c r="U239" s="5"/>
      <c r="V239" s="7"/>
      <c r="W239" s="7"/>
      <c r="X239" s="164" t="e">
        <f t="shared" si="95"/>
        <v>#N/A</v>
      </c>
      <c r="Y239" s="164" t="e">
        <f t="shared" si="96"/>
        <v>#N/A</v>
      </c>
      <c r="AB239" s="156">
        <f t="shared" si="98"/>
        <v>0</v>
      </c>
      <c r="AC239" s="121" t="str">
        <f t="shared" si="97"/>
        <v/>
      </c>
      <c r="AE239" s="121" t="str">
        <f t="shared" si="99"/>
        <v/>
      </c>
      <c r="AF239" s="111" t="str">
        <f t="shared" si="100"/>
        <v/>
      </c>
    </row>
    <row r="240" spans="1:32">
      <c r="A240" s="159"/>
      <c r="B240" s="160"/>
      <c r="C240" s="5"/>
      <c r="D240" s="5"/>
      <c r="E240" s="5"/>
      <c r="F240" s="5"/>
      <c r="G240" s="5"/>
      <c r="H240" s="5"/>
      <c r="I240" s="5"/>
      <c r="J240" s="5"/>
      <c r="K240" s="5"/>
      <c r="L240" s="5"/>
      <c r="M240" s="5"/>
      <c r="N240" s="5"/>
      <c r="O240" s="5"/>
      <c r="P240" s="5"/>
      <c r="Q240" s="5"/>
      <c r="R240" s="5"/>
      <c r="S240" s="5"/>
      <c r="T240" s="5"/>
      <c r="U240" s="5"/>
      <c r="V240" s="7"/>
      <c r="W240" s="7"/>
      <c r="X240" s="164" t="e">
        <f t="shared" si="95"/>
        <v>#N/A</v>
      </c>
      <c r="Y240" s="164" t="e">
        <f t="shared" si="96"/>
        <v>#N/A</v>
      </c>
      <c r="AB240" s="156">
        <f t="shared" si="98"/>
        <v>0</v>
      </c>
      <c r="AC240" s="121" t="str">
        <f t="shared" si="97"/>
        <v/>
      </c>
      <c r="AE240" s="121" t="str">
        <f t="shared" si="99"/>
        <v/>
      </c>
      <c r="AF240" s="111" t="str">
        <f t="shared" si="100"/>
        <v/>
      </c>
    </row>
    <row r="241" spans="1:32">
      <c r="A241" s="159"/>
      <c r="B241" s="160"/>
      <c r="C241" s="5"/>
      <c r="D241" s="5"/>
      <c r="E241" s="5"/>
      <c r="F241" s="5"/>
      <c r="G241" s="5"/>
      <c r="H241" s="5"/>
      <c r="I241" s="5"/>
      <c r="J241" s="5"/>
      <c r="K241" s="5"/>
      <c r="L241" s="5"/>
      <c r="M241" s="5"/>
      <c r="N241" s="5"/>
      <c r="O241" s="5"/>
      <c r="P241" s="5"/>
      <c r="Q241" s="5"/>
      <c r="R241" s="5"/>
      <c r="S241" s="5"/>
      <c r="T241" s="5"/>
      <c r="U241" s="5"/>
      <c r="V241" s="7"/>
      <c r="W241" s="7"/>
      <c r="X241" s="164" t="e">
        <f t="shared" si="95"/>
        <v>#N/A</v>
      </c>
      <c r="Y241" s="164" t="e">
        <f t="shared" si="96"/>
        <v>#N/A</v>
      </c>
      <c r="AB241" s="156">
        <f t="shared" si="98"/>
        <v>0</v>
      </c>
      <c r="AC241" s="121" t="str">
        <f t="shared" si="97"/>
        <v/>
      </c>
      <c r="AE241" s="121" t="str">
        <f t="shared" si="99"/>
        <v/>
      </c>
      <c r="AF241" s="111" t="str">
        <f t="shared" si="100"/>
        <v/>
      </c>
    </row>
    <row r="242" spans="1:32">
      <c r="A242" s="159"/>
      <c r="B242" s="160"/>
      <c r="C242" s="5"/>
      <c r="D242" s="5"/>
      <c r="E242" s="5"/>
      <c r="F242" s="5"/>
      <c r="G242" s="5"/>
      <c r="H242" s="5"/>
      <c r="I242" s="5"/>
      <c r="J242" s="5"/>
      <c r="K242" s="5"/>
      <c r="L242" s="5"/>
      <c r="M242" s="5"/>
      <c r="N242" s="5"/>
      <c r="O242" s="5"/>
      <c r="P242" s="5"/>
      <c r="Q242" s="5"/>
      <c r="R242" s="5"/>
      <c r="S242" s="5"/>
      <c r="T242" s="5"/>
      <c r="U242" s="5"/>
      <c r="V242" s="7"/>
      <c r="W242" s="7"/>
      <c r="X242" s="164" t="e">
        <f t="shared" si="95"/>
        <v>#N/A</v>
      </c>
      <c r="Y242" s="164" t="e">
        <f t="shared" si="96"/>
        <v>#N/A</v>
      </c>
      <c r="AB242" s="156">
        <f t="shared" si="98"/>
        <v>0</v>
      </c>
      <c r="AC242" s="121" t="str">
        <f t="shared" si="97"/>
        <v/>
      </c>
      <c r="AE242" s="121" t="str">
        <f t="shared" si="99"/>
        <v/>
      </c>
      <c r="AF242" s="111" t="str">
        <f t="shared" si="100"/>
        <v/>
      </c>
    </row>
    <row r="243" spans="1:32">
      <c r="A243" s="159"/>
      <c r="B243" s="160"/>
      <c r="C243" s="5"/>
      <c r="D243" s="5"/>
      <c r="E243" s="5"/>
      <c r="F243" s="5"/>
      <c r="G243" s="5"/>
      <c r="H243" s="5"/>
      <c r="I243" s="5"/>
      <c r="J243" s="5"/>
      <c r="K243" s="5"/>
      <c r="L243" s="5"/>
      <c r="M243" s="5"/>
      <c r="N243" s="5"/>
      <c r="O243" s="5"/>
      <c r="P243" s="5"/>
      <c r="Q243" s="5"/>
      <c r="R243" s="5"/>
      <c r="S243" s="5"/>
      <c r="T243" s="5"/>
      <c r="U243" s="5"/>
      <c r="V243" s="7"/>
      <c r="W243" s="7"/>
      <c r="X243" s="164" t="e">
        <f t="shared" si="95"/>
        <v>#N/A</v>
      </c>
      <c r="Y243" s="164" t="e">
        <f t="shared" si="96"/>
        <v>#N/A</v>
      </c>
      <c r="AB243" s="156">
        <f t="shared" si="98"/>
        <v>0</v>
      </c>
      <c r="AC243" s="121" t="str">
        <f t="shared" si="97"/>
        <v/>
      </c>
      <c r="AE243" s="121" t="str">
        <f t="shared" si="99"/>
        <v/>
      </c>
      <c r="AF243" s="111" t="str">
        <f t="shared" si="100"/>
        <v/>
      </c>
    </row>
    <row r="244" spans="1:32">
      <c r="A244" s="159"/>
      <c r="B244" s="160"/>
      <c r="C244" s="5"/>
      <c r="D244" s="5"/>
      <c r="E244" s="5"/>
      <c r="F244" s="5"/>
      <c r="G244" s="5"/>
      <c r="H244" s="5"/>
      <c r="I244" s="5"/>
      <c r="J244" s="5"/>
      <c r="K244" s="5"/>
      <c r="L244" s="5"/>
      <c r="M244" s="5"/>
      <c r="N244" s="5"/>
      <c r="O244" s="5"/>
      <c r="P244" s="5"/>
      <c r="Q244" s="5"/>
      <c r="R244" s="5"/>
      <c r="S244" s="5"/>
      <c r="T244" s="5"/>
      <c r="U244" s="5"/>
      <c r="V244" s="7"/>
      <c r="W244" s="7"/>
      <c r="X244" s="164" t="e">
        <f t="shared" si="95"/>
        <v>#N/A</v>
      </c>
      <c r="Y244" s="164" t="e">
        <f t="shared" si="96"/>
        <v>#N/A</v>
      </c>
      <c r="AB244" s="156">
        <f t="shared" si="98"/>
        <v>0</v>
      </c>
      <c r="AC244" s="121" t="str">
        <f t="shared" si="97"/>
        <v/>
      </c>
      <c r="AE244" s="121" t="str">
        <f t="shared" si="99"/>
        <v/>
      </c>
      <c r="AF244" s="111" t="str">
        <f t="shared" si="100"/>
        <v/>
      </c>
    </row>
    <row r="245" spans="1:32">
      <c r="A245" s="159"/>
      <c r="B245" s="160"/>
      <c r="C245" s="5"/>
      <c r="D245" s="5"/>
      <c r="E245" s="5"/>
      <c r="F245" s="5"/>
      <c r="G245" s="5"/>
      <c r="H245" s="5"/>
      <c r="I245" s="5"/>
      <c r="J245" s="5"/>
      <c r="K245" s="5"/>
      <c r="L245" s="5"/>
      <c r="M245" s="5"/>
      <c r="N245" s="5"/>
      <c r="O245" s="5"/>
      <c r="P245" s="5"/>
      <c r="Q245" s="5"/>
      <c r="R245" s="5"/>
      <c r="S245" s="5"/>
      <c r="T245" s="5"/>
      <c r="U245" s="5"/>
      <c r="V245" s="7"/>
      <c r="W245" s="7"/>
      <c r="X245" s="164" t="e">
        <f t="shared" si="95"/>
        <v>#N/A</v>
      </c>
      <c r="Y245" s="164" t="e">
        <f t="shared" si="96"/>
        <v>#N/A</v>
      </c>
      <c r="AB245" s="156">
        <f t="shared" si="98"/>
        <v>0</v>
      </c>
      <c r="AC245" s="121" t="str">
        <f t="shared" si="97"/>
        <v/>
      </c>
      <c r="AE245" s="121" t="str">
        <f t="shared" si="99"/>
        <v/>
      </c>
      <c r="AF245" s="111" t="str">
        <f t="shared" si="100"/>
        <v/>
      </c>
    </row>
    <row r="246" spans="1:32">
      <c r="A246" s="159"/>
      <c r="B246" s="160"/>
      <c r="C246" s="5"/>
      <c r="D246" s="5"/>
      <c r="E246" s="5"/>
      <c r="F246" s="5"/>
      <c r="G246" s="5"/>
      <c r="H246" s="5"/>
      <c r="I246" s="5"/>
      <c r="J246" s="5"/>
      <c r="K246" s="5"/>
      <c r="L246" s="5"/>
      <c r="M246" s="5"/>
      <c r="N246" s="5"/>
      <c r="O246" s="5"/>
      <c r="P246" s="5"/>
      <c r="Q246" s="5"/>
      <c r="R246" s="5"/>
      <c r="S246" s="5"/>
      <c r="T246" s="5"/>
      <c r="U246" s="5"/>
      <c r="V246" s="7"/>
      <c r="W246" s="7"/>
      <c r="X246" s="164" t="e">
        <f t="shared" si="95"/>
        <v>#N/A</v>
      </c>
      <c r="Y246" s="164" t="e">
        <f t="shared" si="96"/>
        <v>#N/A</v>
      </c>
      <c r="AB246" s="156">
        <f t="shared" si="98"/>
        <v>0</v>
      </c>
      <c r="AC246" s="121" t="str">
        <f t="shared" si="97"/>
        <v/>
      </c>
      <c r="AE246" s="121" t="str">
        <f t="shared" si="99"/>
        <v/>
      </c>
      <c r="AF246" s="111" t="str">
        <f t="shared" si="100"/>
        <v/>
      </c>
    </row>
    <row r="247" spans="1:32">
      <c r="A247" s="159"/>
      <c r="B247" s="160"/>
      <c r="C247" s="5"/>
      <c r="D247" s="5"/>
      <c r="E247" s="5"/>
      <c r="F247" s="5"/>
      <c r="G247" s="5"/>
      <c r="H247" s="5"/>
      <c r="I247" s="5"/>
      <c r="J247" s="5"/>
      <c r="K247" s="5"/>
      <c r="L247" s="5"/>
      <c r="M247" s="5"/>
      <c r="N247" s="5"/>
      <c r="O247" s="5"/>
      <c r="P247" s="5"/>
      <c r="Q247" s="5"/>
      <c r="R247" s="5"/>
      <c r="S247" s="5"/>
      <c r="T247" s="5"/>
      <c r="U247" s="5"/>
      <c r="V247" s="7"/>
      <c r="W247" s="7"/>
      <c r="X247" s="164" t="e">
        <f t="shared" si="95"/>
        <v>#N/A</v>
      </c>
      <c r="Y247" s="164" t="e">
        <f t="shared" si="96"/>
        <v>#N/A</v>
      </c>
      <c r="AB247" s="156">
        <f t="shared" si="98"/>
        <v>0</v>
      </c>
      <c r="AC247" s="121" t="str">
        <f t="shared" si="97"/>
        <v/>
      </c>
      <c r="AE247" s="121" t="str">
        <f t="shared" si="99"/>
        <v/>
      </c>
      <c r="AF247" s="111" t="str">
        <f t="shared" si="100"/>
        <v/>
      </c>
    </row>
    <row r="248" spans="1:32">
      <c r="A248" s="159"/>
      <c r="B248" s="160"/>
      <c r="C248" s="5"/>
      <c r="D248" s="5"/>
      <c r="E248" s="5"/>
      <c r="F248" s="5"/>
      <c r="G248" s="5"/>
      <c r="H248" s="5"/>
      <c r="I248" s="5"/>
      <c r="J248" s="5"/>
      <c r="K248" s="5"/>
      <c r="L248" s="5"/>
      <c r="M248" s="5"/>
      <c r="N248" s="5"/>
      <c r="O248" s="5"/>
      <c r="P248" s="5"/>
      <c r="Q248" s="5"/>
      <c r="R248" s="5"/>
      <c r="S248" s="5"/>
      <c r="T248" s="5"/>
      <c r="U248" s="5"/>
      <c r="V248" s="7"/>
      <c r="W248" s="7"/>
      <c r="X248" s="164" t="e">
        <f t="shared" si="95"/>
        <v>#N/A</v>
      </c>
      <c r="Y248" s="164" t="e">
        <f t="shared" si="96"/>
        <v>#N/A</v>
      </c>
      <c r="AB248" s="156">
        <f t="shared" si="98"/>
        <v>0</v>
      </c>
      <c r="AC248" s="121" t="str">
        <f t="shared" si="97"/>
        <v/>
      </c>
      <c r="AE248" s="121" t="str">
        <f t="shared" si="99"/>
        <v/>
      </c>
      <c r="AF248" s="111" t="str">
        <f t="shared" si="100"/>
        <v/>
      </c>
    </row>
    <row r="249" spans="1:32">
      <c r="A249" s="159"/>
      <c r="B249" s="160"/>
      <c r="C249" s="5"/>
      <c r="D249" s="5"/>
      <c r="E249" s="5"/>
      <c r="F249" s="5"/>
      <c r="G249" s="5"/>
      <c r="H249" s="5"/>
      <c r="I249" s="5"/>
      <c r="J249" s="5"/>
      <c r="K249" s="5"/>
      <c r="L249" s="5"/>
      <c r="M249" s="5"/>
      <c r="N249" s="5"/>
      <c r="O249" s="5"/>
      <c r="P249" s="5"/>
      <c r="Q249" s="5"/>
      <c r="R249" s="5"/>
      <c r="S249" s="5"/>
      <c r="T249" s="5"/>
      <c r="U249" s="5"/>
      <c r="V249" s="7"/>
      <c r="W249" s="7"/>
      <c r="X249" s="164" t="e">
        <f t="shared" si="95"/>
        <v>#N/A</v>
      </c>
      <c r="Y249" s="164" t="e">
        <f t="shared" si="96"/>
        <v>#N/A</v>
      </c>
      <c r="AB249" s="156">
        <f t="shared" si="98"/>
        <v>0</v>
      </c>
      <c r="AC249" s="121" t="str">
        <f t="shared" si="97"/>
        <v/>
      </c>
      <c r="AE249" s="121" t="str">
        <f t="shared" si="99"/>
        <v/>
      </c>
      <c r="AF249" s="111" t="str">
        <f t="shared" si="100"/>
        <v/>
      </c>
    </row>
    <row r="250" spans="1:32">
      <c r="A250" s="159"/>
      <c r="B250" s="160"/>
      <c r="C250" s="5"/>
      <c r="D250" s="5"/>
      <c r="E250" s="5"/>
      <c r="F250" s="5"/>
      <c r="G250" s="5"/>
      <c r="H250" s="5"/>
      <c r="I250" s="5"/>
      <c r="J250" s="5"/>
      <c r="K250" s="5"/>
      <c r="L250" s="5"/>
      <c r="M250" s="5"/>
      <c r="N250" s="5"/>
      <c r="O250" s="5"/>
      <c r="P250" s="5"/>
      <c r="Q250" s="5"/>
      <c r="R250" s="5"/>
      <c r="S250" s="5"/>
      <c r="T250" s="5"/>
      <c r="U250" s="5"/>
      <c r="V250" s="7"/>
      <c r="W250" s="7"/>
      <c r="X250" s="164" t="e">
        <f t="shared" si="95"/>
        <v>#N/A</v>
      </c>
      <c r="Y250" s="164" t="e">
        <f t="shared" si="96"/>
        <v>#N/A</v>
      </c>
      <c r="AB250" s="156">
        <f t="shared" si="98"/>
        <v>0</v>
      </c>
      <c r="AC250" s="121" t="str">
        <f t="shared" si="97"/>
        <v/>
      </c>
      <c r="AE250" s="121" t="str">
        <f t="shared" si="99"/>
        <v/>
      </c>
      <c r="AF250" s="111" t="str">
        <f t="shared" si="100"/>
        <v/>
      </c>
    </row>
    <row r="251" spans="1:32">
      <c r="A251" s="159"/>
      <c r="B251" s="160"/>
      <c r="C251" s="5"/>
      <c r="D251" s="5"/>
      <c r="E251" s="5"/>
      <c r="F251" s="5"/>
      <c r="G251" s="5"/>
      <c r="H251" s="5"/>
      <c r="I251" s="5"/>
      <c r="J251" s="5"/>
      <c r="K251" s="5"/>
      <c r="L251" s="5"/>
      <c r="M251" s="5"/>
      <c r="N251" s="5"/>
      <c r="O251" s="5"/>
      <c r="P251" s="5"/>
      <c r="Q251" s="5"/>
      <c r="R251" s="5"/>
      <c r="S251" s="5"/>
      <c r="T251" s="5"/>
      <c r="U251" s="5"/>
      <c r="V251" s="7"/>
      <c r="W251" s="7"/>
      <c r="X251" s="164" t="e">
        <f t="shared" si="95"/>
        <v>#N/A</v>
      </c>
      <c r="Y251" s="164" t="e">
        <f t="shared" si="96"/>
        <v>#N/A</v>
      </c>
      <c r="AB251" s="156">
        <f t="shared" si="98"/>
        <v>0</v>
      </c>
      <c r="AC251" s="121" t="str">
        <f t="shared" si="97"/>
        <v/>
      </c>
      <c r="AE251" s="121" t="str">
        <f t="shared" si="99"/>
        <v/>
      </c>
      <c r="AF251" s="111" t="str">
        <f t="shared" si="100"/>
        <v/>
      </c>
    </row>
    <row r="252" spans="1:32">
      <c r="A252" s="159"/>
      <c r="B252" s="160"/>
      <c r="C252" s="5"/>
      <c r="D252" s="5"/>
      <c r="E252" s="5"/>
      <c r="F252" s="5"/>
      <c r="G252" s="5"/>
      <c r="H252" s="5"/>
      <c r="I252" s="5"/>
      <c r="J252" s="5"/>
      <c r="K252" s="5"/>
      <c r="L252" s="5"/>
      <c r="M252" s="5"/>
      <c r="N252" s="5"/>
      <c r="O252" s="5"/>
      <c r="P252" s="5"/>
      <c r="Q252" s="5"/>
      <c r="R252" s="5"/>
      <c r="S252" s="5"/>
      <c r="T252" s="5"/>
      <c r="U252" s="5"/>
      <c r="V252" s="7"/>
      <c r="W252" s="7"/>
      <c r="X252" s="164" t="e">
        <f t="shared" si="95"/>
        <v>#N/A</v>
      </c>
      <c r="Y252" s="164" t="e">
        <f t="shared" si="96"/>
        <v>#N/A</v>
      </c>
      <c r="AB252" s="156">
        <f t="shared" si="98"/>
        <v>0</v>
      </c>
      <c r="AC252" s="121" t="str">
        <f t="shared" si="97"/>
        <v/>
      </c>
      <c r="AE252" s="121" t="str">
        <f t="shared" si="99"/>
        <v/>
      </c>
      <c r="AF252" s="111" t="str">
        <f t="shared" si="100"/>
        <v/>
      </c>
    </row>
    <row r="253" spans="1:32">
      <c r="A253" s="159"/>
      <c r="B253" s="160"/>
      <c r="C253" s="5"/>
      <c r="D253" s="5"/>
      <c r="E253" s="5"/>
      <c r="F253" s="5"/>
      <c r="G253" s="5"/>
      <c r="H253" s="5"/>
      <c r="I253" s="5"/>
      <c r="J253" s="5"/>
      <c r="K253" s="5"/>
      <c r="L253" s="5"/>
      <c r="M253" s="5"/>
      <c r="N253" s="5"/>
      <c r="O253" s="5"/>
      <c r="P253" s="5"/>
      <c r="Q253" s="5"/>
      <c r="R253" s="5"/>
      <c r="S253" s="5"/>
      <c r="T253" s="5"/>
      <c r="U253" s="5"/>
      <c r="V253" s="7"/>
      <c r="W253" s="7"/>
      <c r="X253" s="164" t="e">
        <f t="shared" si="95"/>
        <v>#N/A</v>
      </c>
      <c r="Y253" s="164" t="e">
        <f t="shared" si="96"/>
        <v>#N/A</v>
      </c>
      <c r="AB253" s="156">
        <f t="shared" si="98"/>
        <v>0</v>
      </c>
      <c r="AC253" s="121" t="str">
        <f t="shared" si="97"/>
        <v/>
      </c>
      <c r="AE253" s="121" t="str">
        <f t="shared" si="99"/>
        <v/>
      </c>
      <c r="AF253" s="111" t="str">
        <f t="shared" si="100"/>
        <v/>
      </c>
    </row>
    <row r="254" spans="1:32">
      <c r="A254" s="159"/>
      <c r="B254" s="160"/>
      <c r="C254" s="5"/>
      <c r="D254" s="5"/>
      <c r="E254" s="5"/>
      <c r="F254" s="5"/>
      <c r="G254" s="5"/>
      <c r="H254" s="5"/>
      <c r="I254" s="5"/>
      <c r="J254" s="5"/>
      <c r="K254" s="5"/>
      <c r="L254" s="5"/>
      <c r="M254" s="5"/>
      <c r="N254" s="5"/>
      <c r="O254" s="5"/>
      <c r="P254" s="5"/>
      <c r="Q254" s="5"/>
      <c r="R254" s="5"/>
      <c r="S254" s="5"/>
      <c r="T254" s="5"/>
      <c r="U254" s="5"/>
      <c r="V254" s="7"/>
      <c r="W254" s="7"/>
      <c r="X254" s="164" t="e">
        <f t="shared" si="95"/>
        <v>#N/A</v>
      </c>
      <c r="Y254" s="164" t="e">
        <f t="shared" si="96"/>
        <v>#N/A</v>
      </c>
      <c r="AB254" s="156">
        <f t="shared" si="98"/>
        <v>0</v>
      </c>
      <c r="AC254" s="121" t="str">
        <f t="shared" si="97"/>
        <v/>
      </c>
      <c r="AE254" s="121" t="str">
        <f t="shared" si="99"/>
        <v/>
      </c>
      <c r="AF254" s="111" t="str">
        <f t="shared" si="100"/>
        <v/>
      </c>
    </row>
    <row r="255" spans="1:32">
      <c r="A255" s="159"/>
      <c r="B255" s="160"/>
      <c r="C255" s="5"/>
      <c r="D255" s="5"/>
      <c r="E255" s="5"/>
      <c r="F255" s="5"/>
      <c r="G255" s="5"/>
      <c r="H255" s="5"/>
      <c r="I255" s="5"/>
      <c r="J255" s="5"/>
      <c r="K255" s="5"/>
      <c r="L255" s="5"/>
      <c r="M255" s="5"/>
      <c r="N255" s="5"/>
      <c r="O255" s="5"/>
      <c r="P255" s="5"/>
      <c r="Q255" s="5"/>
      <c r="R255" s="5"/>
      <c r="S255" s="5"/>
      <c r="T255" s="5"/>
      <c r="U255" s="5"/>
      <c r="V255" s="7"/>
      <c r="W255" s="7"/>
      <c r="X255" s="164" t="e">
        <f t="shared" si="95"/>
        <v>#N/A</v>
      </c>
      <c r="Y255" s="164" t="e">
        <f t="shared" si="96"/>
        <v>#N/A</v>
      </c>
      <c r="AB255" s="156">
        <f t="shared" si="98"/>
        <v>0</v>
      </c>
      <c r="AC255" s="121" t="str">
        <f t="shared" si="97"/>
        <v/>
      </c>
      <c r="AE255" s="121" t="str">
        <f t="shared" si="99"/>
        <v/>
      </c>
      <c r="AF255" s="111" t="str">
        <f t="shared" si="100"/>
        <v/>
      </c>
    </row>
    <row r="256" spans="1:32">
      <c r="A256" s="159"/>
      <c r="B256" s="160"/>
      <c r="C256" s="5"/>
      <c r="D256" s="5"/>
      <c r="E256" s="5"/>
      <c r="F256" s="5"/>
      <c r="G256" s="5"/>
      <c r="H256" s="5"/>
      <c r="I256" s="5"/>
      <c r="J256" s="5"/>
      <c r="K256" s="5"/>
      <c r="L256" s="5"/>
      <c r="M256" s="5"/>
      <c r="N256" s="5"/>
      <c r="O256" s="5"/>
      <c r="P256" s="5"/>
      <c r="Q256" s="5"/>
      <c r="R256" s="5"/>
      <c r="S256" s="5"/>
      <c r="T256" s="5"/>
      <c r="U256" s="5"/>
      <c r="V256" s="7"/>
      <c r="W256" s="7"/>
      <c r="X256" s="164" t="e">
        <f t="shared" si="95"/>
        <v>#N/A</v>
      </c>
      <c r="Y256" s="164" t="e">
        <f t="shared" si="96"/>
        <v>#N/A</v>
      </c>
      <c r="AB256" s="156">
        <f t="shared" si="98"/>
        <v>0</v>
      </c>
      <c r="AC256" s="121" t="str">
        <f t="shared" si="97"/>
        <v/>
      </c>
      <c r="AE256" s="121" t="str">
        <f t="shared" si="99"/>
        <v/>
      </c>
      <c r="AF256" s="111" t="str">
        <f t="shared" si="100"/>
        <v/>
      </c>
    </row>
    <row r="257" spans="1:32">
      <c r="A257" s="159"/>
      <c r="B257" s="160"/>
      <c r="C257" s="5"/>
      <c r="D257" s="5"/>
      <c r="E257" s="5"/>
      <c r="F257" s="5"/>
      <c r="G257" s="5"/>
      <c r="H257" s="5"/>
      <c r="I257" s="5"/>
      <c r="J257" s="5"/>
      <c r="K257" s="5"/>
      <c r="L257" s="5"/>
      <c r="M257" s="5"/>
      <c r="N257" s="5"/>
      <c r="O257" s="5"/>
      <c r="P257" s="5"/>
      <c r="Q257" s="5"/>
      <c r="R257" s="5"/>
      <c r="S257" s="5"/>
      <c r="T257" s="5"/>
      <c r="U257" s="5"/>
      <c r="V257" s="7"/>
      <c r="W257" s="7"/>
      <c r="X257" s="164" t="e">
        <f t="shared" si="95"/>
        <v>#N/A</v>
      </c>
      <c r="Y257" s="164" t="e">
        <f t="shared" si="96"/>
        <v>#N/A</v>
      </c>
      <c r="AB257" s="156">
        <f t="shared" si="98"/>
        <v>0</v>
      </c>
      <c r="AC257" s="121" t="str">
        <f t="shared" si="97"/>
        <v/>
      </c>
      <c r="AE257" s="121" t="str">
        <f t="shared" si="99"/>
        <v/>
      </c>
      <c r="AF257" s="111" t="str">
        <f t="shared" si="100"/>
        <v/>
      </c>
    </row>
    <row r="258" spans="1:32">
      <c r="A258" s="159"/>
      <c r="B258" s="160"/>
      <c r="C258" s="5"/>
      <c r="D258" s="5"/>
      <c r="E258" s="5"/>
      <c r="F258" s="5"/>
      <c r="G258" s="5"/>
      <c r="H258" s="5"/>
      <c r="I258" s="5"/>
      <c r="J258" s="5"/>
      <c r="K258" s="5"/>
      <c r="L258" s="5"/>
      <c r="M258" s="5"/>
      <c r="N258" s="5"/>
      <c r="O258" s="5"/>
      <c r="P258" s="5"/>
      <c r="Q258" s="5"/>
      <c r="R258" s="5"/>
      <c r="S258" s="5"/>
      <c r="T258" s="5"/>
      <c r="U258" s="5"/>
      <c r="V258" s="7"/>
      <c r="W258" s="7"/>
      <c r="X258" s="164" t="e">
        <f t="shared" ref="X258:X321" si="101">IF(AB258=1, A258,NA())</f>
        <v>#N/A</v>
      </c>
      <c r="Y258" s="164" t="e">
        <f t="shared" ref="Y258:Y321" si="102">IF(AB258=1,B258-($H$7+$I$7*X258),NA())</f>
        <v>#N/A</v>
      </c>
      <c r="AB258" s="156">
        <f t="shared" si="98"/>
        <v>0</v>
      </c>
      <c r="AC258" s="121" t="str">
        <f t="shared" ref="AC258:AC321" si="103">IF(ISBLANK(A258), "", Y258^2)</f>
        <v/>
      </c>
      <c r="AE258" s="121" t="str">
        <f t="shared" si="99"/>
        <v/>
      </c>
      <c r="AF258" s="111" t="str">
        <f t="shared" si="100"/>
        <v/>
      </c>
    </row>
    <row r="259" spans="1:32">
      <c r="A259" s="159"/>
      <c r="B259" s="160"/>
      <c r="C259" s="5"/>
      <c r="D259" s="5"/>
      <c r="E259" s="5"/>
      <c r="F259" s="5"/>
      <c r="G259" s="5"/>
      <c r="H259" s="5"/>
      <c r="I259" s="5"/>
      <c r="J259" s="5"/>
      <c r="K259" s="5"/>
      <c r="L259" s="5"/>
      <c r="M259" s="5"/>
      <c r="N259" s="5"/>
      <c r="O259" s="5"/>
      <c r="P259" s="5"/>
      <c r="Q259" s="5"/>
      <c r="R259" s="5"/>
      <c r="S259" s="5"/>
      <c r="T259" s="5"/>
      <c r="U259" s="5"/>
      <c r="V259" s="7"/>
      <c r="W259" s="7"/>
      <c r="X259" s="164" t="e">
        <f t="shared" si="101"/>
        <v>#N/A</v>
      </c>
      <c r="Y259" s="164" t="e">
        <f t="shared" si="102"/>
        <v>#N/A</v>
      </c>
      <c r="AB259" s="156">
        <f t="shared" ref="AB259:AB322" si="104">IF(ISBLANK(A259),0,1)</f>
        <v>0</v>
      </c>
      <c r="AC259" s="121" t="str">
        <f t="shared" si="103"/>
        <v/>
      </c>
      <c r="AE259" s="121" t="str">
        <f t="shared" ref="AE259:AE322" si="105">IF(AB259=1,(A259-$AA$2)^2, "")</f>
        <v/>
      </c>
      <c r="AF259" s="111" t="str">
        <f t="shared" si="100"/>
        <v/>
      </c>
    </row>
    <row r="260" spans="1:32">
      <c r="A260" s="159"/>
      <c r="B260" s="160"/>
      <c r="C260" s="5"/>
      <c r="D260" s="5"/>
      <c r="E260" s="5"/>
      <c r="F260" s="5"/>
      <c r="G260" s="5"/>
      <c r="H260" s="5"/>
      <c r="I260" s="5"/>
      <c r="J260" s="5"/>
      <c r="K260" s="5"/>
      <c r="L260" s="5"/>
      <c r="M260" s="5"/>
      <c r="N260" s="5"/>
      <c r="O260" s="5"/>
      <c r="P260" s="5"/>
      <c r="Q260" s="5"/>
      <c r="R260" s="5"/>
      <c r="S260" s="5"/>
      <c r="T260" s="5"/>
      <c r="U260" s="5"/>
      <c r="V260" s="7"/>
      <c r="W260" s="7"/>
      <c r="X260" s="164" t="e">
        <f t="shared" si="101"/>
        <v>#N/A</v>
      </c>
      <c r="Y260" s="164" t="e">
        <f t="shared" si="102"/>
        <v>#N/A</v>
      </c>
      <c r="AB260" s="156">
        <f t="shared" si="104"/>
        <v>0</v>
      </c>
      <c r="AC260" s="121" t="str">
        <f t="shared" si="103"/>
        <v/>
      </c>
      <c r="AE260" s="121" t="str">
        <f t="shared" si="105"/>
        <v/>
      </c>
      <c r="AF260" s="111" t="str">
        <f t="shared" ref="AF260:AF323" si="106">IFERROR(Y259, "")</f>
        <v/>
      </c>
    </row>
    <row r="261" spans="1:32">
      <c r="A261" s="159"/>
      <c r="B261" s="160"/>
      <c r="C261" s="5"/>
      <c r="D261" s="5"/>
      <c r="E261" s="5"/>
      <c r="F261" s="5"/>
      <c r="G261" s="5"/>
      <c r="H261" s="5"/>
      <c r="I261" s="5"/>
      <c r="J261" s="5"/>
      <c r="K261" s="5"/>
      <c r="L261" s="5"/>
      <c r="M261" s="5"/>
      <c r="N261" s="5"/>
      <c r="O261" s="5"/>
      <c r="P261" s="5"/>
      <c r="Q261" s="5"/>
      <c r="R261" s="5"/>
      <c r="S261" s="5"/>
      <c r="T261" s="5"/>
      <c r="U261" s="5"/>
      <c r="V261" s="7"/>
      <c r="W261" s="7"/>
      <c r="X261" s="164" t="e">
        <f t="shared" si="101"/>
        <v>#N/A</v>
      </c>
      <c r="Y261" s="164" t="e">
        <f t="shared" si="102"/>
        <v>#N/A</v>
      </c>
      <c r="AB261" s="156">
        <f t="shared" si="104"/>
        <v>0</v>
      </c>
      <c r="AC261" s="121" t="str">
        <f t="shared" si="103"/>
        <v/>
      </c>
      <c r="AE261" s="121" t="str">
        <f t="shared" si="105"/>
        <v/>
      </c>
      <c r="AF261" s="111" t="str">
        <f t="shared" si="106"/>
        <v/>
      </c>
    </row>
    <row r="262" spans="1:32">
      <c r="A262" s="159"/>
      <c r="B262" s="160"/>
      <c r="C262" s="5"/>
      <c r="D262" s="5"/>
      <c r="E262" s="5"/>
      <c r="F262" s="5"/>
      <c r="G262" s="5"/>
      <c r="H262" s="5"/>
      <c r="I262" s="5"/>
      <c r="J262" s="5"/>
      <c r="K262" s="5"/>
      <c r="L262" s="5"/>
      <c r="M262" s="5"/>
      <c r="N262" s="5"/>
      <c r="O262" s="5"/>
      <c r="P262" s="5"/>
      <c r="Q262" s="5"/>
      <c r="R262" s="5"/>
      <c r="S262" s="5"/>
      <c r="T262" s="5"/>
      <c r="U262" s="5"/>
      <c r="V262" s="7"/>
      <c r="W262" s="7"/>
      <c r="X262" s="164" t="e">
        <f t="shared" si="101"/>
        <v>#N/A</v>
      </c>
      <c r="Y262" s="164" t="e">
        <f t="shared" si="102"/>
        <v>#N/A</v>
      </c>
      <c r="AB262" s="156">
        <f t="shared" si="104"/>
        <v>0</v>
      </c>
      <c r="AC262" s="121" t="str">
        <f t="shared" si="103"/>
        <v/>
      </c>
      <c r="AE262" s="121" t="str">
        <f t="shared" si="105"/>
        <v/>
      </c>
      <c r="AF262" s="111" t="str">
        <f t="shared" si="106"/>
        <v/>
      </c>
    </row>
    <row r="263" spans="1:32">
      <c r="A263" s="159"/>
      <c r="B263" s="160"/>
      <c r="C263" s="5"/>
      <c r="D263" s="5"/>
      <c r="E263" s="5"/>
      <c r="F263" s="5"/>
      <c r="G263" s="5"/>
      <c r="H263" s="5"/>
      <c r="I263" s="5"/>
      <c r="J263" s="5"/>
      <c r="K263" s="5"/>
      <c r="L263" s="5"/>
      <c r="M263" s="5"/>
      <c r="N263" s="5"/>
      <c r="O263" s="5"/>
      <c r="P263" s="5"/>
      <c r="Q263" s="5"/>
      <c r="R263" s="5"/>
      <c r="S263" s="5"/>
      <c r="T263" s="5"/>
      <c r="U263" s="5"/>
      <c r="V263" s="7"/>
      <c r="W263" s="7"/>
      <c r="X263" s="164" t="e">
        <f t="shared" si="101"/>
        <v>#N/A</v>
      </c>
      <c r="Y263" s="164" t="e">
        <f t="shared" si="102"/>
        <v>#N/A</v>
      </c>
      <c r="AB263" s="156">
        <f t="shared" si="104"/>
        <v>0</v>
      </c>
      <c r="AC263" s="121" t="str">
        <f t="shared" si="103"/>
        <v/>
      </c>
      <c r="AE263" s="121" t="str">
        <f t="shared" si="105"/>
        <v/>
      </c>
      <c r="AF263" s="111" t="str">
        <f t="shared" si="106"/>
        <v/>
      </c>
    </row>
    <row r="264" spans="1:32">
      <c r="A264" s="159"/>
      <c r="B264" s="160"/>
      <c r="C264" s="5"/>
      <c r="D264" s="5"/>
      <c r="E264" s="5"/>
      <c r="F264" s="5"/>
      <c r="G264" s="5"/>
      <c r="H264" s="5"/>
      <c r="I264" s="5"/>
      <c r="J264" s="5"/>
      <c r="K264" s="5"/>
      <c r="L264" s="5"/>
      <c r="M264" s="5"/>
      <c r="N264" s="5"/>
      <c r="O264" s="5"/>
      <c r="P264" s="5"/>
      <c r="Q264" s="5"/>
      <c r="R264" s="5"/>
      <c r="S264" s="5"/>
      <c r="T264" s="5"/>
      <c r="U264" s="5"/>
      <c r="V264" s="7"/>
      <c r="W264" s="7"/>
      <c r="X264" s="164" t="e">
        <f t="shared" si="101"/>
        <v>#N/A</v>
      </c>
      <c r="Y264" s="164" t="e">
        <f t="shared" si="102"/>
        <v>#N/A</v>
      </c>
      <c r="AB264" s="156">
        <f t="shared" si="104"/>
        <v>0</v>
      </c>
      <c r="AC264" s="121" t="str">
        <f t="shared" si="103"/>
        <v/>
      </c>
      <c r="AE264" s="121" t="str">
        <f t="shared" si="105"/>
        <v/>
      </c>
      <c r="AF264" s="111" t="str">
        <f t="shared" si="106"/>
        <v/>
      </c>
    </row>
    <row r="265" spans="1:32">
      <c r="A265" s="159"/>
      <c r="B265" s="160"/>
      <c r="C265" s="5"/>
      <c r="D265" s="5"/>
      <c r="E265" s="5"/>
      <c r="F265" s="5"/>
      <c r="G265" s="5"/>
      <c r="H265" s="5"/>
      <c r="I265" s="5"/>
      <c r="J265" s="5"/>
      <c r="K265" s="5"/>
      <c r="L265" s="5"/>
      <c r="M265" s="5"/>
      <c r="N265" s="5"/>
      <c r="O265" s="5"/>
      <c r="P265" s="5"/>
      <c r="Q265" s="5"/>
      <c r="R265" s="5"/>
      <c r="S265" s="5"/>
      <c r="T265" s="5"/>
      <c r="U265" s="5"/>
      <c r="V265" s="7"/>
      <c r="W265" s="7"/>
      <c r="X265" s="164" t="e">
        <f t="shared" si="101"/>
        <v>#N/A</v>
      </c>
      <c r="Y265" s="164" t="e">
        <f t="shared" si="102"/>
        <v>#N/A</v>
      </c>
      <c r="AB265" s="156">
        <f t="shared" si="104"/>
        <v>0</v>
      </c>
      <c r="AC265" s="121" t="str">
        <f t="shared" si="103"/>
        <v/>
      </c>
      <c r="AE265" s="121" t="str">
        <f t="shared" si="105"/>
        <v/>
      </c>
      <c r="AF265" s="111" t="str">
        <f t="shared" si="106"/>
        <v/>
      </c>
    </row>
    <row r="266" spans="1:32">
      <c r="A266" s="159"/>
      <c r="B266" s="160"/>
      <c r="C266" s="5"/>
      <c r="D266" s="5"/>
      <c r="E266" s="5"/>
      <c r="F266" s="5"/>
      <c r="G266" s="5"/>
      <c r="H266" s="5"/>
      <c r="I266" s="5"/>
      <c r="J266" s="5"/>
      <c r="K266" s="5"/>
      <c r="L266" s="5"/>
      <c r="M266" s="5"/>
      <c r="N266" s="5"/>
      <c r="O266" s="5"/>
      <c r="P266" s="5"/>
      <c r="Q266" s="5"/>
      <c r="R266" s="5"/>
      <c r="S266" s="5"/>
      <c r="T266" s="5"/>
      <c r="U266" s="5"/>
      <c r="V266" s="7"/>
      <c r="W266" s="7"/>
      <c r="X266" s="164" t="e">
        <f t="shared" si="101"/>
        <v>#N/A</v>
      </c>
      <c r="Y266" s="164" t="e">
        <f t="shared" si="102"/>
        <v>#N/A</v>
      </c>
      <c r="AB266" s="156">
        <f t="shared" si="104"/>
        <v>0</v>
      </c>
      <c r="AC266" s="121" t="str">
        <f t="shared" si="103"/>
        <v/>
      </c>
      <c r="AE266" s="121" t="str">
        <f t="shared" si="105"/>
        <v/>
      </c>
      <c r="AF266" s="111" t="str">
        <f t="shared" si="106"/>
        <v/>
      </c>
    </row>
    <row r="267" spans="1:32">
      <c r="A267" s="159"/>
      <c r="B267" s="160"/>
      <c r="C267" s="5"/>
      <c r="D267" s="5"/>
      <c r="E267" s="5"/>
      <c r="F267" s="5"/>
      <c r="G267" s="5"/>
      <c r="H267" s="5"/>
      <c r="I267" s="5"/>
      <c r="J267" s="5"/>
      <c r="K267" s="5"/>
      <c r="L267" s="5"/>
      <c r="M267" s="5"/>
      <c r="N267" s="5"/>
      <c r="O267" s="5"/>
      <c r="P267" s="5"/>
      <c r="Q267" s="5"/>
      <c r="R267" s="5"/>
      <c r="S267" s="5"/>
      <c r="T267" s="5"/>
      <c r="U267" s="5"/>
      <c r="V267" s="7"/>
      <c r="W267" s="7"/>
      <c r="X267" s="164" t="e">
        <f t="shared" si="101"/>
        <v>#N/A</v>
      </c>
      <c r="Y267" s="164" t="e">
        <f t="shared" si="102"/>
        <v>#N/A</v>
      </c>
      <c r="AB267" s="156">
        <f t="shared" si="104"/>
        <v>0</v>
      </c>
      <c r="AC267" s="121" t="str">
        <f t="shared" si="103"/>
        <v/>
      </c>
      <c r="AE267" s="121" t="str">
        <f t="shared" si="105"/>
        <v/>
      </c>
      <c r="AF267" s="111" t="str">
        <f t="shared" si="106"/>
        <v/>
      </c>
    </row>
    <row r="268" spans="1:32">
      <c r="A268" s="159"/>
      <c r="B268" s="160"/>
      <c r="C268" s="5"/>
      <c r="D268" s="5"/>
      <c r="E268" s="5"/>
      <c r="F268" s="5"/>
      <c r="G268" s="5"/>
      <c r="H268" s="5"/>
      <c r="I268" s="5"/>
      <c r="J268" s="5"/>
      <c r="K268" s="5"/>
      <c r="L268" s="5"/>
      <c r="M268" s="5"/>
      <c r="N268" s="5"/>
      <c r="O268" s="5"/>
      <c r="P268" s="5"/>
      <c r="Q268" s="5"/>
      <c r="R268" s="5"/>
      <c r="S268" s="5"/>
      <c r="T268" s="5"/>
      <c r="U268" s="5"/>
      <c r="V268" s="7"/>
      <c r="W268" s="7"/>
      <c r="X268" s="164" t="e">
        <f t="shared" si="101"/>
        <v>#N/A</v>
      </c>
      <c r="Y268" s="164" t="e">
        <f t="shared" si="102"/>
        <v>#N/A</v>
      </c>
      <c r="AB268" s="156">
        <f t="shared" si="104"/>
        <v>0</v>
      </c>
      <c r="AC268" s="121" t="str">
        <f t="shared" si="103"/>
        <v/>
      </c>
      <c r="AE268" s="121" t="str">
        <f t="shared" si="105"/>
        <v/>
      </c>
      <c r="AF268" s="111" t="str">
        <f t="shared" si="106"/>
        <v/>
      </c>
    </row>
    <row r="269" spans="1:32">
      <c r="A269" s="159"/>
      <c r="B269" s="160"/>
      <c r="C269" s="5"/>
      <c r="D269" s="5"/>
      <c r="E269" s="5"/>
      <c r="F269" s="5"/>
      <c r="G269" s="5"/>
      <c r="H269" s="5"/>
      <c r="I269" s="5"/>
      <c r="J269" s="5"/>
      <c r="K269" s="5"/>
      <c r="L269" s="5"/>
      <c r="M269" s="5"/>
      <c r="N269" s="5"/>
      <c r="O269" s="5"/>
      <c r="P269" s="5"/>
      <c r="Q269" s="5"/>
      <c r="R269" s="5"/>
      <c r="S269" s="5"/>
      <c r="T269" s="5"/>
      <c r="U269" s="5"/>
      <c r="V269" s="7"/>
      <c r="W269" s="7"/>
      <c r="X269" s="164" t="e">
        <f t="shared" si="101"/>
        <v>#N/A</v>
      </c>
      <c r="Y269" s="164" t="e">
        <f t="shared" si="102"/>
        <v>#N/A</v>
      </c>
      <c r="AB269" s="156">
        <f t="shared" si="104"/>
        <v>0</v>
      </c>
      <c r="AC269" s="121" t="str">
        <f t="shared" si="103"/>
        <v/>
      </c>
      <c r="AE269" s="121" t="str">
        <f t="shared" si="105"/>
        <v/>
      </c>
      <c r="AF269" s="111" t="str">
        <f t="shared" si="106"/>
        <v/>
      </c>
    </row>
    <row r="270" spans="1:32">
      <c r="A270" s="159"/>
      <c r="B270" s="160"/>
      <c r="C270" s="5"/>
      <c r="D270" s="5"/>
      <c r="E270" s="5"/>
      <c r="F270" s="5"/>
      <c r="G270" s="5"/>
      <c r="H270" s="5"/>
      <c r="I270" s="5"/>
      <c r="J270" s="5"/>
      <c r="K270" s="5"/>
      <c r="L270" s="5"/>
      <c r="M270" s="5"/>
      <c r="N270" s="5"/>
      <c r="O270" s="5"/>
      <c r="P270" s="5"/>
      <c r="Q270" s="5"/>
      <c r="R270" s="5"/>
      <c r="S270" s="5"/>
      <c r="T270" s="5"/>
      <c r="U270" s="5"/>
      <c r="V270" s="7"/>
      <c r="W270" s="7"/>
      <c r="X270" s="164" t="e">
        <f t="shared" si="101"/>
        <v>#N/A</v>
      </c>
      <c r="Y270" s="164" t="e">
        <f t="shared" si="102"/>
        <v>#N/A</v>
      </c>
      <c r="AB270" s="156">
        <f t="shared" si="104"/>
        <v>0</v>
      </c>
      <c r="AC270" s="121" t="str">
        <f t="shared" si="103"/>
        <v/>
      </c>
      <c r="AE270" s="121" t="str">
        <f t="shared" si="105"/>
        <v/>
      </c>
      <c r="AF270" s="111" t="str">
        <f t="shared" si="106"/>
        <v/>
      </c>
    </row>
    <row r="271" spans="1:32">
      <c r="A271" s="159"/>
      <c r="B271" s="160"/>
      <c r="C271" s="5"/>
      <c r="D271" s="5"/>
      <c r="E271" s="5"/>
      <c r="F271" s="5"/>
      <c r="G271" s="5"/>
      <c r="H271" s="5"/>
      <c r="I271" s="5"/>
      <c r="J271" s="5"/>
      <c r="K271" s="5"/>
      <c r="L271" s="5"/>
      <c r="M271" s="5"/>
      <c r="N271" s="5"/>
      <c r="O271" s="5"/>
      <c r="P271" s="5"/>
      <c r="Q271" s="5"/>
      <c r="R271" s="5"/>
      <c r="S271" s="5"/>
      <c r="T271" s="5"/>
      <c r="U271" s="5"/>
      <c r="V271" s="7"/>
      <c r="W271" s="7"/>
      <c r="X271" s="164" t="e">
        <f t="shared" si="101"/>
        <v>#N/A</v>
      </c>
      <c r="Y271" s="164" t="e">
        <f t="shared" si="102"/>
        <v>#N/A</v>
      </c>
      <c r="AB271" s="156">
        <f t="shared" si="104"/>
        <v>0</v>
      </c>
      <c r="AC271" s="121" t="str">
        <f t="shared" si="103"/>
        <v/>
      </c>
      <c r="AE271" s="121" t="str">
        <f t="shared" si="105"/>
        <v/>
      </c>
      <c r="AF271" s="111" t="str">
        <f t="shared" si="106"/>
        <v/>
      </c>
    </row>
    <row r="272" spans="1:32">
      <c r="A272" s="159"/>
      <c r="B272" s="160"/>
      <c r="C272" s="5"/>
      <c r="D272" s="5"/>
      <c r="E272" s="5"/>
      <c r="F272" s="5"/>
      <c r="G272" s="5"/>
      <c r="H272" s="5"/>
      <c r="I272" s="5"/>
      <c r="J272" s="5"/>
      <c r="K272" s="5"/>
      <c r="L272" s="5"/>
      <c r="M272" s="5"/>
      <c r="N272" s="5"/>
      <c r="O272" s="5"/>
      <c r="P272" s="5"/>
      <c r="Q272" s="5"/>
      <c r="R272" s="5"/>
      <c r="S272" s="5"/>
      <c r="T272" s="5"/>
      <c r="U272" s="5"/>
      <c r="V272" s="7"/>
      <c r="W272" s="7"/>
      <c r="X272" s="164" t="e">
        <f t="shared" si="101"/>
        <v>#N/A</v>
      </c>
      <c r="Y272" s="164" t="e">
        <f t="shared" si="102"/>
        <v>#N/A</v>
      </c>
      <c r="AB272" s="156">
        <f t="shared" si="104"/>
        <v>0</v>
      </c>
      <c r="AC272" s="121" t="str">
        <f t="shared" si="103"/>
        <v/>
      </c>
      <c r="AE272" s="121" t="str">
        <f t="shared" si="105"/>
        <v/>
      </c>
      <c r="AF272" s="111" t="str">
        <f t="shared" si="106"/>
        <v/>
      </c>
    </row>
    <row r="273" spans="1:32">
      <c r="A273" s="159"/>
      <c r="B273" s="160"/>
      <c r="C273" s="5"/>
      <c r="D273" s="5"/>
      <c r="E273" s="5"/>
      <c r="F273" s="5"/>
      <c r="G273" s="5"/>
      <c r="H273" s="5"/>
      <c r="I273" s="5"/>
      <c r="J273" s="5"/>
      <c r="K273" s="5"/>
      <c r="L273" s="5"/>
      <c r="M273" s="5"/>
      <c r="N273" s="5"/>
      <c r="O273" s="5"/>
      <c r="P273" s="5"/>
      <c r="Q273" s="5"/>
      <c r="R273" s="5"/>
      <c r="S273" s="5"/>
      <c r="T273" s="5"/>
      <c r="U273" s="5"/>
      <c r="V273" s="7"/>
      <c r="W273" s="7"/>
      <c r="X273" s="164" t="e">
        <f t="shared" si="101"/>
        <v>#N/A</v>
      </c>
      <c r="Y273" s="164" t="e">
        <f t="shared" si="102"/>
        <v>#N/A</v>
      </c>
      <c r="AB273" s="156">
        <f t="shared" si="104"/>
        <v>0</v>
      </c>
      <c r="AC273" s="121" t="str">
        <f t="shared" si="103"/>
        <v/>
      </c>
      <c r="AE273" s="121" t="str">
        <f t="shared" si="105"/>
        <v/>
      </c>
      <c r="AF273" s="111" t="str">
        <f t="shared" si="106"/>
        <v/>
      </c>
    </row>
    <row r="274" spans="1:32">
      <c r="A274" s="159"/>
      <c r="B274" s="160"/>
      <c r="C274" s="5"/>
      <c r="D274" s="5"/>
      <c r="E274" s="5"/>
      <c r="F274" s="5"/>
      <c r="G274" s="5"/>
      <c r="H274" s="5"/>
      <c r="I274" s="5"/>
      <c r="J274" s="5"/>
      <c r="K274" s="5"/>
      <c r="L274" s="5"/>
      <c r="M274" s="5"/>
      <c r="N274" s="5"/>
      <c r="O274" s="5"/>
      <c r="P274" s="5"/>
      <c r="Q274" s="5"/>
      <c r="R274" s="5"/>
      <c r="S274" s="5"/>
      <c r="T274" s="5"/>
      <c r="U274" s="5"/>
      <c r="V274" s="7"/>
      <c r="W274" s="7"/>
      <c r="X274" s="164" t="e">
        <f t="shared" si="101"/>
        <v>#N/A</v>
      </c>
      <c r="Y274" s="164" t="e">
        <f t="shared" si="102"/>
        <v>#N/A</v>
      </c>
      <c r="AB274" s="156">
        <f t="shared" si="104"/>
        <v>0</v>
      </c>
      <c r="AC274" s="121" t="str">
        <f t="shared" si="103"/>
        <v/>
      </c>
      <c r="AE274" s="121" t="str">
        <f t="shared" si="105"/>
        <v/>
      </c>
      <c r="AF274" s="111" t="str">
        <f t="shared" si="106"/>
        <v/>
      </c>
    </row>
    <row r="275" spans="1:32">
      <c r="A275" s="159"/>
      <c r="B275" s="160"/>
      <c r="C275" s="5"/>
      <c r="D275" s="5"/>
      <c r="E275" s="5"/>
      <c r="F275" s="5"/>
      <c r="G275" s="5"/>
      <c r="H275" s="5"/>
      <c r="I275" s="5"/>
      <c r="J275" s="5"/>
      <c r="K275" s="5"/>
      <c r="L275" s="5"/>
      <c r="M275" s="5"/>
      <c r="N275" s="5"/>
      <c r="O275" s="5"/>
      <c r="P275" s="5"/>
      <c r="Q275" s="5"/>
      <c r="R275" s="5"/>
      <c r="S275" s="5"/>
      <c r="T275" s="5"/>
      <c r="U275" s="5"/>
      <c r="V275" s="7"/>
      <c r="W275" s="7"/>
      <c r="X275" s="164" t="e">
        <f t="shared" si="101"/>
        <v>#N/A</v>
      </c>
      <c r="Y275" s="164" t="e">
        <f t="shared" si="102"/>
        <v>#N/A</v>
      </c>
      <c r="AB275" s="156">
        <f t="shared" si="104"/>
        <v>0</v>
      </c>
      <c r="AC275" s="121" t="str">
        <f t="shared" si="103"/>
        <v/>
      </c>
      <c r="AE275" s="121" t="str">
        <f t="shared" si="105"/>
        <v/>
      </c>
      <c r="AF275" s="111" t="str">
        <f t="shared" si="106"/>
        <v/>
      </c>
    </row>
    <row r="276" spans="1:32">
      <c r="A276" s="159"/>
      <c r="B276" s="160"/>
      <c r="C276" s="5"/>
      <c r="D276" s="5"/>
      <c r="E276" s="5"/>
      <c r="F276" s="5"/>
      <c r="G276" s="5"/>
      <c r="H276" s="5"/>
      <c r="I276" s="5"/>
      <c r="J276" s="5"/>
      <c r="K276" s="5"/>
      <c r="L276" s="5"/>
      <c r="M276" s="5"/>
      <c r="N276" s="5"/>
      <c r="O276" s="5"/>
      <c r="P276" s="5"/>
      <c r="Q276" s="5"/>
      <c r="R276" s="5"/>
      <c r="S276" s="5"/>
      <c r="T276" s="5"/>
      <c r="U276" s="5"/>
      <c r="V276" s="7"/>
      <c r="W276" s="7"/>
      <c r="X276" s="164" t="e">
        <f t="shared" si="101"/>
        <v>#N/A</v>
      </c>
      <c r="Y276" s="164" t="e">
        <f t="shared" si="102"/>
        <v>#N/A</v>
      </c>
      <c r="AB276" s="156">
        <f t="shared" si="104"/>
        <v>0</v>
      </c>
      <c r="AC276" s="121" t="str">
        <f t="shared" si="103"/>
        <v/>
      </c>
      <c r="AE276" s="121" t="str">
        <f t="shared" si="105"/>
        <v/>
      </c>
      <c r="AF276" s="111" t="str">
        <f t="shared" si="106"/>
        <v/>
      </c>
    </row>
    <row r="277" spans="1:32">
      <c r="A277" s="159"/>
      <c r="B277" s="160"/>
      <c r="C277" s="5"/>
      <c r="D277" s="5"/>
      <c r="E277" s="5"/>
      <c r="F277" s="5"/>
      <c r="G277" s="5"/>
      <c r="H277" s="5"/>
      <c r="I277" s="5"/>
      <c r="J277" s="5"/>
      <c r="K277" s="5"/>
      <c r="L277" s="5"/>
      <c r="M277" s="5"/>
      <c r="N277" s="5"/>
      <c r="O277" s="5"/>
      <c r="P277" s="5"/>
      <c r="Q277" s="5"/>
      <c r="R277" s="5"/>
      <c r="S277" s="5"/>
      <c r="T277" s="5"/>
      <c r="U277" s="5"/>
      <c r="V277" s="7"/>
      <c r="W277" s="7"/>
      <c r="X277" s="164" t="e">
        <f t="shared" si="101"/>
        <v>#N/A</v>
      </c>
      <c r="Y277" s="164" t="e">
        <f t="shared" si="102"/>
        <v>#N/A</v>
      </c>
      <c r="AB277" s="156">
        <f t="shared" si="104"/>
        <v>0</v>
      </c>
      <c r="AC277" s="121" t="str">
        <f t="shared" si="103"/>
        <v/>
      </c>
      <c r="AE277" s="121" t="str">
        <f t="shared" si="105"/>
        <v/>
      </c>
      <c r="AF277" s="111" t="str">
        <f t="shared" si="106"/>
        <v/>
      </c>
    </row>
    <row r="278" spans="1:32">
      <c r="A278" s="159"/>
      <c r="B278" s="160"/>
      <c r="C278" s="5"/>
      <c r="D278" s="5"/>
      <c r="E278" s="5"/>
      <c r="F278" s="5"/>
      <c r="G278" s="5"/>
      <c r="H278" s="5"/>
      <c r="I278" s="5"/>
      <c r="J278" s="5"/>
      <c r="K278" s="5"/>
      <c r="L278" s="5"/>
      <c r="M278" s="5"/>
      <c r="N278" s="5"/>
      <c r="O278" s="5"/>
      <c r="P278" s="5"/>
      <c r="Q278" s="5"/>
      <c r="R278" s="5"/>
      <c r="S278" s="5"/>
      <c r="T278" s="5"/>
      <c r="U278" s="5"/>
      <c r="V278" s="7"/>
      <c r="W278" s="7"/>
      <c r="X278" s="164" t="e">
        <f t="shared" si="101"/>
        <v>#N/A</v>
      </c>
      <c r="Y278" s="164" t="e">
        <f t="shared" si="102"/>
        <v>#N/A</v>
      </c>
      <c r="AB278" s="156">
        <f t="shared" si="104"/>
        <v>0</v>
      </c>
      <c r="AC278" s="121" t="str">
        <f t="shared" si="103"/>
        <v/>
      </c>
      <c r="AE278" s="121" t="str">
        <f t="shared" si="105"/>
        <v/>
      </c>
      <c r="AF278" s="111" t="str">
        <f t="shared" si="106"/>
        <v/>
      </c>
    </row>
    <row r="279" spans="1:32">
      <c r="A279" s="159"/>
      <c r="B279" s="160"/>
      <c r="C279" s="5"/>
      <c r="D279" s="5"/>
      <c r="E279" s="5"/>
      <c r="F279" s="5"/>
      <c r="G279" s="5"/>
      <c r="H279" s="5"/>
      <c r="I279" s="5"/>
      <c r="J279" s="5"/>
      <c r="K279" s="5"/>
      <c r="L279" s="5"/>
      <c r="M279" s="5"/>
      <c r="N279" s="5"/>
      <c r="O279" s="5"/>
      <c r="P279" s="5"/>
      <c r="Q279" s="5"/>
      <c r="R279" s="5"/>
      <c r="S279" s="5"/>
      <c r="T279" s="5"/>
      <c r="U279" s="5"/>
      <c r="V279" s="7"/>
      <c r="W279" s="7"/>
      <c r="X279" s="164" t="e">
        <f t="shared" si="101"/>
        <v>#N/A</v>
      </c>
      <c r="Y279" s="164" t="e">
        <f t="shared" si="102"/>
        <v>#N/A</v>
      </c>
      <c r="AB279" s="156">
        <f t="shared" si="104"/>
        <v>0</v>
      </c>
      <c r="AC279" s="121" t="str">
        <f t="shared" si="103"/>
        <v/>
      </c>
      <c r="AE279" s="121" t="str">
        <f t="shared" si="105"/>
        <v/>
      </c>
      <c r="AF279" s="111" t="str">
        <f t="shared" si="106"/>
        <v/>
      </c>
    </row>
    <row r="280" spans="1:32">
      <c r="A280" s="159"/>
      <c r="B280" s="160"/>
      <c r="C280" s="5"/>
      <c r="D280" s="5"/>
      <c r="E280" s="5"/>
      <c r="F280" s="5"/>
      <c r="G280" s="5"/>
      <c r="H280" s="5"/>
      <c r="I280" s="5"/>
      <c r="J280" s="5"/>
      <c r="K280" s="5"/>
      <c r="L280" s="5"/>
      <c r="M280" s="5"/>
      <c r="N280" s="5"/>
      <c r="O280" s="5"/>
      <c r="P280" s="5"/>
      <c r="Q280" s="5"/>
      <c r="R280" s="5"/>
      <c r="S280" s="5"/>
      <c r="T280" s="5"/>
      <c r="U280" s="5"/>
      <c r="V280" s="7"/>
      <c r="W280" s="7"/>
      <c r="X280" s="164" t="e">
        <f t="shared" si="101"/>
        <v>#N/A</v>
      </c>
      <c r="Y280" s="164" t="e">
        <f t="shared" si="102"/>
        <v>#N/A</v>
      </c>
      <c r="AB280" s="156">
        <f t="shared" si="104"/>
        <v>0</v>
      </c>
      <c r="AC280" s="121" t="str">
        <f t="shared" si="103"/>
        <v/>
      </c>
      <c r="AE280" s="121" t="str">
        <f t="shared" si="105"/>
        <v/>
      </c>
      <c r="AF280" s="111" t="str">
        <f t="shared" si="106"/>
        <v/>
      </c>
    </row>
    <row r="281" spans="1:32">
      <c r="A281" s="159"/>
      <c r="B281" s="160"/>
      <c r="C281" s="5"/>
      <c r="D281" s="5"/>
      <c r="E281" s="5"/>
      <c r="F281" s="5"/>
      <c r="G281" s="5"/>
      <c r="H281" s="5"/>
      <c r="I281" s="5"/>
      <c r="J281" s="5"/>
      <c r="K281" s="5"/>
      <c r="L281" s="5"/>
      <c r="M281" s="5"/>
      <c r="N281" s="5"/>
      <c r="O281" s="5"/>
      <c r="P281" s="5"/>
      <c r="Q281" s="5"/>
      <c r="R281" s="5"/>
      <c r="S281" s="5"/>
      <c r="T281" s="5"/>
      <c r="U281" s="5"/>
      <c r="V281" s="7"/>
      <c r="W281" s="7"/>
      <c r="X281" s="164" t="e">
        <f t="shared" si="101"/>
        <v>#N/A</v>
      </c>
      <c r="Y281" s="164" t="e">
        <f t="shared" si="102"/>
        <v>#N/A</v>
      </c>
      <c r="AB281" s="156">
        <f t="shared" si="104"/>
        <v>0</v>
      </c>
      <c r="AC281" s="121" t="str">
        <f t="shared" si="103"/>
        <v/>
      </c>
      <c r="AE281" s="121" t="str">
        <f t="shared" si="105"/>
        <v/>
      </c>
      <c r="AF281" s="111" t="str">
        <f t="shared" si="106"/>
        <v/>
      </c>
    </row>
    <row r="282" spans="1:32">
      <c r="A282" s="159"/>
      <c r="B282" s="160"/>
      <c r="C282" s="5"/>
      <c r="D282" s="5"/>
      <c r="E282" s="5"/>
      <c r="F282" s="5"/>
      <c r="G282" s="5"/>
      <c r="H282" s="5"/>
      <c r="I282" s="5"/>
      <c r="J282" s="5"/>
      <c r="K282" s="5"/>
      <c r="L282" s="5"/>
      <c r="M282" s="5"/>
      <c r="N282" s="5"/>
      <c r="O282" s="5"/>
      <c r="P282" s="5"/>
      <c r="Q282" s="5"/>
      <c r="R282" s="5"/>
      <c r="S282" s="5"/>
      <c r="T282" s="5"/>
      <c r="U282" s="5"/>
      <c r="V282" s="7"/>
      <c r="W282" s="7"/>
      <c r="X282" s="164" t="e">
        <f t="shared" si="101"/>
        <v>#N/A</v>
      </c>
      <c r="Y282" s="164" t="e">
        <f t="shared" si="102"/>
        <v>#N/A</v>
      </c>
      <c r="AB282" s="156">
        <f t="shared" si="104"/>
        <v>0</v>
      </c>
      <c r="AC282" s="121" t="str">
        <f t="shared" si="103"/>
        <v/>
      </c>
      <c r="AE282" s="121" t="str">
        <f t="shared" si="105"/>
        <v/>
      </c>
      <c r="AF282" s="111" t="str">
        <f t="shared" si="106"/>
        <v/>
      </c>
    </row>
    <row r="283" spans="1:32">
      <c r="A283" s="159"/>
      <c r="B283" s="160"/>
      <c r="C283" s="5"/>
      <c r="D283" s="5"/>
      <c r="E283" s="5"/>
      <c r="F283" s="5"/>
      <c r="G283" s="5"/>
      <c r="H283" s="5"/>
      <c r="I283" s="5"/>
      <c r="J283" s="5"/>
      <c r="K283" s="5"/>
      <c r="L283" s="5"/>
      <c r="M283" s="5"/>
      <c r="N283" s="5"/>
      <c r="O283" s="5"/>
      <c r="P283" s="5"/>
      <c r="Q283" s="5"/>
      <c r="R283" s="5"/>
      <c r="S283" s="5"/>
      <c r="T283" s="5"/>
      <c r="U283" s="5"/>
      <c r="V283" s="7"/>
      <c r="W283" s="7"/>
      <c r="X283" s="164" t="e">
        <f t="shared" si="101"/>
        <v>#N/A</v>
      </c>
      <c r="Y283" s="164" t="e">
        <f t="shared" si="102"/>
        <v>#N/A</v>
      </c>
      <c r="AB283" s="156">
        <f t="shared" si="104"/>
        <v>0</v>
      </c>
      <c r="AC283" s="121" t="str">
        <f t="shared" si="103"/>
        <v/>
      </c>
      <c r="AE283" s="121" t="str">
        <f t="shared" si="105"/>
        <v/>
      </c>
      <c r="AF283" s="111" t="str">
        <f t="shared" si="106"/>
        <v/>
      </c>
    </row>
    <row r="284" spans="1:32">
      <c r="A284" s="159"/>
      <c r="B284" s="160"/>
      <c r="C284" s="5"/>
      <c r="D284" s="5"/>
      <c r="E284" s="5"/>
      <c r="F284" s="5"/>
      <c r="G284" s="5"/>
      <c r="H284" s="5"/>
      <c r="I284" s="5"/>
      <c r="J284" s="5"/>
      <c r="K284" s="5"/>
      <c r="L284" s="5"/>
      <c r="M284" s="5"/>
      <c r="N284" s="5"/>
      <c r="O284" s="5"/>
      <c r="P284" s="5"/>
      <c r="Q284" s="5"/>
      <c r="R284" s="5"/>
      <c r="S284" s="5"/>
      <c r="T284" s="5"/>
      <c r="U284" s="5"/>
      <c r="V284" s="7"/>
      <c r="W284" s="7"/>
      <c r="X284" s="164" t="e">
        <f t="shared" si="101"/>
        <v>#N/A</v>
      </c>
      <c r="Y284" s="164" t="e">
        <f t="shared" si="102"/>
        <v>#N/A</v>
      </c>
      <c r="AB284" s="156">
        <f t="shared" si="104"/>
        <v>0</v>
      </c>
      <c r="AC284" s="121" t="str">
        <f t="shared" si="103"/>
        <v/>
      </c>
      <c r="AE284" s="121" t="str">
        <f t="shared" si="105"/>
        <v/>
      </c>
      <c r="AF284" s="111" t="str">
        <f t="shared" si="106"/>
        <v/>
      </c>
    </row>
    <row r="285" spans="1:32">
      <c r="A285" s="159"/>
      <c r="B285" s="160"/>
      <c r="C285" s="5"/>
      <c r="D285" s="5"/>
      <c r="E285" s="5"/>
      <c r="F285" s="5"/>
      <c r="G285" s="5"/>
      <c r="H285" s="5"/>
      <c r="I285" s="5"/>
      <c r="J285" s="5"/>
      <c r="K285" s="5"/>
      <c r="L285" s="5"/>
      <c r="M285" s="5"/>
      <c r="N285" s="5"/>
      <c r="O285" s="5"/>
      <c r="P285" s="5"/>
      <c r="Q285" s="5"/>
      <c r="R285" s="5"/>
      <c r="S285" s="5"/>
      <c r="T285" s="5"/>
      <c r="U285" s="5"/>
      <c r="V285" s="7"/>
      <c r="W285" s="7"/>
      <c r="X285" s="164" t="e">
        <f t="shared" si="101"/>
        <v>#N/A</v>
      </c>
      <c r="Y285" s="164" t="e">
        <f t="shared" si="102"/>
        <v>#N/A</v>
      </c>
      <c r="AB285" s="156">
        <f t="shared" si="104"/>
        <v>0</v>
      </c>
      <c r="AC285" s="121" t="str">
        <f t="shared" si="103"/>
        <v/>
      </c>
      <c r="AE285" s="121" t="str">
        <f t="shared" si="105"/>
        <v/>
      </c>
      <c r="AF285" s="111" t="str">
        <f t="shared" si="106"/>
        <v/>
      </c>
    </row>
    <row r="286" spans="1:32">
      <c r="A286" s="159"/>
      <c r="B286" s="160"/>
      <c r="C286" s="5"/>
      <c r="D286" s="5"/>
      <c r="E286" s="5"/>
      <c r="F286" s="5"/>
      <c r="G286" s="5"/>
      <c r="H286" s="5"/>
      <c r="I286" s="5"/>
      <c r="J286" s="5"/>
      <c r="K286" s="5"/>
      <c r="L286" s="5"/>
      <c r="M286" s="5"/>
      <c r="N286" s="5"/>
      <c r="O286" s="5"/>
      <c r="P286" s="5"/>
      <c r="Q286" s="5"/>
      <c r="R286" s="5"/>
      <c r="S286" s="5"/>
      <c r="T286" s="5"/>
      <c r="U286" s="5"/>
      <c r="V286" s="7"/>
      <c r="W286" s="7"/>
      <c r="X286" s="164" t="e">
        <f t="shared" si="101"/>
        <v>#N/A</v>
      </c>
      <c r="Y286" s="164" t="e">
        <f t="shared" si="102"/>
        <v>#N/A</v>
      </c>
      <c r="AB286" s="156">
        <f t="shared" si="104"/>
        <v>0</v>
      </c>
      <c r="AC286" s="121" t="str">
        <f t="shared" si="103"/>
        <v/>
      </c>
      <c r="AE286" s="121" t="str">
        <f t="shared" si="105"/>
        <v/>
      </c>
      <c r="AF286" s="111" t="str">
        <f t="shared" si="106"/>
        <v/>
      </c>
    </row>
    <row r="287" spans="1:32">
      <c r="A287" s="159"/>
      <c r="B287" s="160"/>
      <c r="C287" s="5"/>
      <c r="D287" s="5"/>
      <c r="E287" s="5"/>
      <c r="F287" s="5"/>
      <c r="G287" s="5"/>
      <c r="H287" s="5"/>
      <c r="I287" s="5"/>
      <c r="J287" s="5"/>
      <c r="K287" s="5"/>
      <c r="L287" s="5"/>
      <c r="M287" s="5"/>
      <c r="N287" s="5"/>
      <c r="O287" s="5"/>
      <c r="P287" s="5"/>
      <c r="Q287" s="5"/>
      <c r="R287" s="5"/>
      <c r="S287" s="5"/>
      <c r="T287" s="5"/>
      <c r="U287" s="5"/>
      <c r="V287" s="7"/>
      <c r="W287" s="7"/>
      <c r="X287" s="164" t="e">
        <f t="shared" si="101"/>
        <v>#N/A</v>
      </c>
      <c r="Y287" s="164" t="e">
        <f t="shared" si="102"/>
        <v>#N/A</v>
      </c>
      <c r="AB287" s="156">
        <f t="shared" si="104"/>
        <v>0</v>
      </c>
      <c r="AC287" s="121" t="str">
        <f t="shared" si="103"/>
        <v/>
      </c>
      <c r="AE287" s="121" t="str">
        <f t="shared" si="105"/>
        <v/>
      </c>
      <c r="AF287" s="111" t="str">
        <f t="shared" si="106"/>
        <v/>
      </c>
    </row>
    <row r="288" spans="1:32">
      <c r="A288" s="159"/>
      <c r="B288" s="160"/>
      <c r="C288" s="5"/>
      <c r="D288" s="5"/>
      <c r="E288" s="5"/>
      <c r="F288" s="5"/>
      <c r="G288" s="5"/>
      <c r="H288" s="5"/>
      <c r="I288" s="5"/>
      <c r="J288" s="5"/>
      <c r="K288" s="5"/>
      <c r="L288" s="5"/>
      <c r="M288" s="5"/>
      <c r="N288" s="5"/>
      <c r="O288" s="5"/>
      <c r="P288" s="5"/>
      <c r="Q288" s="5"/>
      <c r="R288" s="5"/>
      <c r="S288" s="5"/>
      <c r="T288" s="5"/>
      <c r="U288" s="5"/>
      <c r="V288" s="7"/>
      <c r="W288" s="7"/>
      <c r="X288" s="164" t="e">
        <f t="shared" si="101"/>
        <v>#N/A</v>
      </c>
      <c r="Y288" s="164" t="e">
        <f t="shared" si="102"/>
        <v>#N/A</v>
      </c>
      <c r="AB288" s="156">
        <f t="shared" si="104"/>
        <v>0</v>
      </c>
      <c r="AC288" s="121" t="str">
        <f t="shared" si="103"/>
        <v/>
      </c>
      <c r="AE288" s="121" t="str">
        <f t="shared" si="105"/>
        <v/>
      </c>
      <c r="AF288" s="111" t="str">
        <f t="shared" si="106"/>
        <v/>
      </c>
    </row>
    <row r="289" spans="1:32">
      <c r="A289" s="159"/>
      <c r="B289" s="160"/>
      <c r="C289" s="5"/>
      <c r="D289" s="5"/>
      <c r="E289" s="5"/>
      <c r="F289" s="5"/>
      <c r="G289" s="5"/>
      <c r="H289" s="5"/>
      <c r="I289" s="5"/>
      <c r="J289" s="5"/>
      <c r="K289" s="5"/>
      <c r="L289" s="5"/>
      <c r="M289" s="5"/>
      <c r="N289" s="5"/>
      <c r="O289" s="5"/>
      <c r="P289" s="5"/>
      <c r="Q289" s="5"/>
      <c r="R289" s="5"/>
      <c r="S289" s="5"/>
      <c r="T289" s="5"/>
      <c r="U289" s="5"/>
      <c r="V289" s="7"/>
      <c r="W289" s="7"/>
      <c r="X289" s="164" t="e">
        <f t="shared" si="101"/>
        <v>#N/A</v>
      </c>
      <c r="Y289" s="164" t="e">
        <f t="shared" si="102"/>
        <v>#N/A</v>
      </c>
      <c r="AB289" s="156">
        <f t="shared" si="104"/>
        <v>0</v>
      </c>
      <c r="AC289" s="121" t="str">
        <f t="shared" si="103"/>
        <v/>
      </c>
      <c r="AE289" s="121" t="str">
        <f t="shared" si="105"/>
        <v/>
      </c>
      <c r="AF289" s="111" t="str">
        <f t="shared" si="106"/>
        <v/>
      </c>
    </row>
    <row r="290" spans="1:32">
      <c r="A290" s="159"/>
      <c r="B290" s="160"/>
      <c r="C290" s="5"/>
      <c r="D290" s="5"/>
      <c r="E290" s="5"/>
      <c r="F290" s="5"/>
      <c r="G290" s="5"/>
      <c r="H290" s="5"/>
      <c r="I290" s="5"/>
      <c r="J290" s="5"/>
      <c r="K290" s="5"/>
      <c r="L290" s="5"/>
      <c r="M290" s="5"/>
      <c r="N290" s="5"/>
      <c r="O290" s="5"/>
      <c r="P290" s="5"/>
      <c r="Q290" s="5"/>
      <c r="R290" s="5"/>
      <c r="S290" s="5"/>
      <c r="T290" s="5"/>
      <c r="U290" s="5"/>
      <c r="V290" s="7"/>
      <c r="W290" s="7"/>
      <c r="X290" s="164" t="e">
        <f t="shared" si="101"/>
        <v>#N/A</v>
      </c>
      <c r="Y290" s="164" t="e">
        <f t="shared" si="102"/>
        <v>#N/A</v>
      </c>
      <c r="AB290" s="156">
        <f t="shared" si="104"/>
        <v>0</v>
      </c>
      <c r="AC290" s="121" t="str">
        <f t="shared" si="103"/>
        <v/>
      </c>
      <c r="AE290" s="121" t="str">
        <f t="shared" si="105"/>
        <v/>
      </c>
      <c r="AF290" s="111" t="str">
        <f t="shared" si="106"/>
        <v/>
      </c>
    </row>
    <row r="291" spans="1:32">
      <c r="A291" s="159"/>
      <c r="B291" s="160"/>
      <c r="C291" s="5"/>
      <c r="D291" s="5"/>
      <c r="E291" s="5"/>
      <c r="F291" s="5"/>
      <c r="G291" s="5"/>
      <c r="H291" s="5"/>
      <c r="I291" s="5"/>
      <c r="J291" s="5"/>
      <c r="K291" s="5"/>
      <c r="L291" s="5"/>
      <c r="M291" s="5"/>
      <c r="N291" s="5"/>
      <c r="O291" s="5"/>
      <c r="P291" s="5"/>
      <c r="Q291" s="5"/>
      <c r="R291" s="5"/>
      <c r="S291" s="5"/>
      <c r="T291" s="5"/>
      <c r="U291" s="5"/>
      <c r="V291" s="7"/>
      <c r="W291" s="7"/>
      <c r="X291" s="164" t="e">
        <f t="shared" si="101"/>
        <v>#N/A</v>
      </c>
      <c r="Y291" s="164" t="e">
        <f t="shared" si="102"/>
        <v>#N/A</v>
      </c>
      <c r="AB291" s="156">
        <f t="shared" si="104"/>
        <v>0</v>
      </c>
      <c r="AC291" s="121" t="str">
        <f t="shared" si="103"/>
        <v/>
      </c>
      <c r="AE291" s="121" t="str">
        <f t="shared" si="105"/>
        <v/>
      </c>
      <c r="AF291" s="111" t="str">
        <f t="shared" si="106"/>
        <v/>
      </c>
    </row>
    <row r="292" spans="1:32">
      <c r="A292" s="159"/>
      <c r="B292" s="160"/>
      <c r="C292" s="5"/>
      <c r="D292" s="5"/>
      <c r="E292" s="5"/>
      <c r="F292" s="5"/>
      <c r="G292" s="5"/>
      <c r="H292" s="5"/>
      <c r="I292" s="5"/>
      <c r="J292" s="5"/>
      <c r="K292" s="5"/>
      <c r="L292" s="5"/>
      <c r="M292" s="5"/>
      <c r="N292" s="5"/>
      <c r="O292" s="5"/>
      <c r="P292" s="5"/>
      <c r="Q292" s="5"/>
      <c r="R292" s="5"/>
      <c r="S292" s="5"/>
      <c r="T292" s="5"/>
      <c r="U292" s="5"/>
      <c r="V292" s="7"/>
      <c r="W292" s="7"/>
      <c r="X292" s="164" t="e">
        <f t="shared" si="101"/>
        <v>#N/A</v>
      </c>
      <c r="Y292" s="164" t="e">
        <f t="shared" si="102"/>
        <v>#N/A</v>
      </c>
      <c r="AB292" s="156">
        <f t="shared" si="104"/>
        <v>0</v>
      </c>
      <c r="AC292" s="121" t="str">
        <f t="shared" si="103"/>
        <v/>
      </c>
      <c r="AE292" s="121" t="str">
        <f t="shared" si="105"/>
        <v/>
      </c>
      <c r="AF292" s="111" t="str">
        <f t="shared" si="106"/>
        <v/>
      </c>
    </row>
    <row r="293" spans="1:32">
      <c r="A293" s="159"/>
      <c r="B293" s="160"/>
      <c r="C293" s="5"/>
      <c r="D293" s="5"/>
      <c r="E293" s="5"/>
      <c r="F293" s="5"/>
      <c r="G293" s="5"/>
      <c r="H293" s="5"/>
      <c r="I293" s="5"/>
      <c r="J293" s="5"/>
      <c r="K293" s="5"/>
      <c r="L293" s="5"/>
      <c r="M293" s="5"/>
      <c r="N293" s="5"/>
      <c r="O293" s="5"/>
      <c r="P293" s="5"/>
      <c r="Q293" s="5"/>
      <c r="R293" s="5"/>
      <c r="S293" s="5"/>
      <c r="T293" s="5"/>
      <c r="U293" s="5"/>
      <c r="V293" s="7"/>
      <c r="W293" s="7"/>
      <c r="X293" s="164" t="e">
        <f t="shared" si="101"/>
        <v>#N/A</v>
      </c>
      <c r="Y293" s="164" t="e">
        <f t="shared" si="102"/>
        <v>#N/A</v>
      </c>
      <c r="AB293" s="156">
        <f t="shared" si="104"/>
        <v>0</v>
      </c>
      <c r="AC293" s="121" t="str">
        <f t="shared" si="103"/>
        <v/>
      </c>
      <c r="AE293" s="121" t="str">
        <f t="shared" si="105"/>
        <v/>
      </c>
      <c r="AF293" s="111" t="str">
        <f t="shared" si="106"/>
        <v/>
      </c>
    </row>
    <row r="294" spans="1:32">
      <c r="A294" s="159"/>
      <c r="B294" s="160"/>
      <c r="C294" s="5"/>
      <c r="D294" s="5"/>
      <c r="E294" s="5"/>
      <c r="F294" s="5"/>
      <c r="G294" s="5"/>
      <c r="H294" s="5"/>
      <c r="I294" s="5"/>
      <c r="J294" s="5"/>
      <c r="K294" s="5"/>
      <c r="L294" s="5"/>
      <c r="M294" s="5"/>
      <c r="N294" s="5"/>
      <c r="O294" s="5"/>
      <c r="P294" s="5"/>
      <c r="Q294" s="5"/>
      <c r="R294" s="5"/>
      <c r="S294" s="5"/>
      <c r="T294" s="5"/>
      <c r="U294" s="5"/>
      <c r="V294" s="7"/>
      <c r="W294" s="7"/>
      <c r="X294" s="164" t="e">
        <f t="shared" si="101"/>
        <v>#N/A</v>
      </c>
      <c r="Y294" s="164" t="e">
        <f t="shared" si="102"/>
        <v>#N/A</v>
      </c>
      <c r="AB294" s="156">
        <f t="shared" si="104"/>
        <v>0</v>
      </c>
      <c r="AC294" s="121" t="str">
        <f t="shared" si="103"/>
        <v/>
      </c>
      <c r="AE294" s="121" t="str">
        <f t="shared" si="105"/>
        <v/>
      </c>
      <c r="AF294" s="111" t="str">
        <f t="shared" si="106"/>
        <v/>
      </c>
    </row>
    <row r="295" spans="1:32">
      <c r="A295" s="159"/>
      <c r="B295" s="160"/>
      <c r="C295" s="5"/>
      <c r="D295" s="5"/>
      <c r="E295" s="5"/>
      <c r="F295" s="5"/>
      <c r="G295" s="5"/>
      <c r="H295" s="5"/>
      <c r="I295" s="5"/>
      <c r="J295" s="5"/>
      <c r="K295" s="5"/>
      <c r="L295" s="5"/>
      <c r="M295" s="5"/>
      <c r="N295" s="5"/>
      <c r="O295" s="5"/>
      <c r="P295" s="5"/>
      <c r="Q295" s="5"/>
      <c r="R295" s="5"/>
      <c r="S295" s="5"/>
      <c r="T295" s="5"/>
      <c r="U295" s="5"/>
      <c r="V295" s="7"/>
      <c r="W295" s="7"/>
      <c r="X295" s="164" t="e">
        <f t="shared" si="101"/>
        <v>#N/A</v>
      </c>
      <c r="Y295" s="164" t="e">
        <f t="shared" si="102"/>
        <v>#N/A</v>
      </c>
      <c r="AB295" s="156">
        <f t="shared" si="104"/>
        <v>0</v>
      </c>
      <c r="AC295" s="121" t="str">
        <f t="shared" si="103"/>
        <v/>
      </c>
      <c r="AE295" s="121" t="str">
        <f t="shared" si="105"/>
        <v/>
      </c>
      <c r="AF295" s="111" t="str">
        <f t="shared" si="106"/>
        <v/>
      </c>
    </row>
    <row r="296" spans="1:32">
      <c r="A296" s="159"/>
      <c r="B296" s="160"/>
      <c r="C296" s="5"/>
      <c r="D296" s="5"/>
      <c r="E296" s="5"/>
      <c r="F296" s="5"/>
      <c r="G296" s="5"/>
      <c r="H296" s="5"/>
      <c r="I296" s="5"/>
      <c r="J296" s="5"/>
      <c r="K296" s="5"/>
      <c r="L296" s="5"/>
      <c r="M296" s="5"/>
      <c r="N296" s="5"/>
      <c r="O296" s="5"/>
      <c r="P296" s="5"/>
      <c r="Q296" s="5"/>
      <c r="R296" s="5"/>
      <c r="S296" s="5"/>
      <c r="T296" s="5"/>
      <c r="U296" s="5"/>
      <c r="V296" s="7"/>
      <c r="W296" s="7"/>
      <c r="X296" s="164" t="e">
        <f t="shared" si="101"/>
        <v>#N/A</v>
      </c>
      <c r="Y296" s="164" t="e">
        <f t="shared" si="102"/>
        <v>#N/A</v>
      </c>
      <c r="AB296" s="156">
        <f t="shared" si="104"/>
        <v>0</v>
      </c>
      <c r="AC296" s="121" t="str">
        <f t="shared" si="103"/>
        <v/>
      </c>
      <c r="AE296" s="121" t="str">
        <f t="shared" si="105"/>
        <v/>
      </c>
      <c r="AF296" s="111" t="str">
        <f t="shared" si="106"/>
        <v/>
      </c>
    </row>
    <row r="297" spans="1:32">
      <c r="A297" s="159"/>
      <c r="B297" s="160"/>
      <c r="C297" s="5"/>
      <c r="D297" s="5"/>
      <c r="E297" s="5"/>
      <c r="F297" s="5"/>
      <c r="G297" s="5"/>
      <c r="H297" s="5"/>
      <c r="I297" s="5"/>
      <c r="J297" s="5"/>
      <c r="K297" s="5"/>
      <c r="L297" s="5"/>
      <c r="M297" s="5"/>
      <c r="N297" s="5"/>
      <c r="O297" s="5"/>
      <c r="P297" s="5"/>
      <c r="Q297" s="5"/>
      <c r="R297" s="5"/>
      <c r="S297" s="5"/>
      <c r="T297" s="5"/>
      <c r="U297" s="5"/>
      <c r="V297" s="7"/>
      <c r="W297" s="7"/>
      <c r="X297" s="164" t="e">
        <f t="shared" si="101"/>
        <v>#N/A</v>
      </c>
      <c r="Y297" s="164" t="e">
        <f t="shared" si="102"/>
        <v>#N/A</v>
      </c>
      <c r="AB297" s="156">
        <f t="shared" si="104"/>
        <v>0</v>
      </c>
      <c r="AC297" s="121" t="str">
        <f t="shared" si="103"/>
        <v/>
      </c>
      <c r="AE297" s="121" t="str">
        <f t="shared" si="105"/>
        <v/>
      </c>
      <c r="AF297" s="111" t="str">
        <f t="shared" si="106"/>
        <v/>
      </c>
    </row>
    <row r="298" spans="1:32">
      <c r="A298" s="159"/>
      <c r="B298" s="160"/>
      <c r="C298" s="5"/>
      <c r="D298" s="5"/>
      <c r="E298" s="5"/>
      <c r="F298" s="5"/>
      <c r="G298" s="5"/>
      <c r="H298" s="5"/>
      <c r="I298" s="5"/>
      <c r="J298" s="5"/>
      <c r="K298" s="5"/>
      <c r="L298" s="5"/>
      <c r="M298" s="5"/>
      <c r="N298" s="5"/>
      <c r="O298" s="5"/>
      <c r="P298" s="5"/>
      <c r="Q298" s="5"/>
      <c r="R298" s="5"/>
      <c r="S298" s="5"/>
      <c r="T298" s="5"/>
      <c r="U298" s="5"/>
      <c r="V298" s="7"/>
      <c r="W298" s="7"/>
      <c r="X298" s="164" t="e">
        <f t="shared" si="101"/>
        <v>#N/A</v>
      </c>
      <c r="Y298" s="164" t="e">
        <f t="shared" si="102"/>
        <v>#N/A</v>
      </c>
      <c r="AB298" s="156">
        <f t="shared" si="104"/>
        <v>0</v>
      </c>
      <c r="AC298" s="121" t="str">
        <f t="shared" si="103"/>
        <v/>
      </c>
      <c r="AE298" s="121" t="str">
        <f t="shared" si="105"/>
        <v/>
      </c>
      <c r="AF298" s="111" t="str">
        <f t="shared" si="106"/>
        <v/>
      </c>
    </row>
    <row r="299" spans="1:32">
      <c r="A299" s="159"/>
      <c r="B299" s="160"/>
      <c r="C299" s="5"/>
      <c r="D299" s="5"/>
      <c r="E299" s="5"/>
      <c r="F299" s="5"/>
      <c r="G299" s="5"/>
      <c r="H299" s="5"/>
      <c r="I299" s="5"/>
      <c r="J299" s="5"/>
      <c r="K299" s="5"/>
      <c r="L299" s="5"/>
      <c r="M299" s="5"/>
      <c r="N299" s="5"/>
      <c r="O299" s="5"/>
      <c r="P299" s="5"/>
      <c r="Q299" s="5"/>
      <c r="R299" s="5"/>
      <c r="S299" s="5"/>
      <c r="T299" s="5"/>
      <c r="U299" s="5"/>
      <c r="V299" s="7"/>
      <c r="W299" s="7"/>
      <c r="X299" s="164" t="e">
        <f t="shared" si="101"/>
        <v>#N/A</v>
      </c>
      <c r="Y299" s="164" t="e">
        <f t="shared" si="102"/>
        <v>#N/A</v>
      </c>
      <c r="AB299" s="156">
        <f t="shared" si="104"/>
        <v>0</v>
      </c>
      <c r="AC299" s="121" t="str">
        <f t="shared" si="103"/>
        <v/>
      </c>
      <c r="AE299" s="121" t="str">
        <f t="shared" si="105"/>
        <v/>
      </c>
      <c r="AF299" s="111" t="str">
        <f t="shared" si="106"/>
        <v/>
      </c>
    </row>
    <row r="300" spans="1:32">
      <c r="A300" s="159"/>
      <c r="B300" s="160"/>
      <c r="C300" s="5"/>
      <c r="D300" s="5"/>
      <c r="E300" s="5"/>
      <c r="F300" s="5"/>
      <c r="G300" s="5"/>
      <c r="H300" s="5"/>
      <c r="I300" s="5"/>
      <c r="J300" s="5"/>
      <c r="K300" s="5"/>
      <c r="L300" s="5"/>
      <c r="M300" s="5"/>
      <c r="N300" s="5"/>
      <c r="O300" s="5"/>
      <c r="P300" s="5"/>
      <c r="Q300" s="5"/>
      <c r="R300" s="5"/>
      <c r="S300" s="5"/>
      <c r="T300" s="5"/>
      <c r="U300" s="5"/>
      <c r="V300" s="7"/>
      <c r="W300" s="7"/>
      <c r="X300" s="164" t="e">
        <f t="shared" si="101"/>
        <v>#N/A</v>
      </c>
      <c r="Y300" s="164" t="e">
        <f t="shared" si="102"/>
        <v>#N/A</v>
      </c>
      <c r="AB300" s="156">
        <f t="shared" si="104"/>
        <v>0</v>
      </c>
      <c r="AC300" s="121" t="str">
        <f t="shared" si="103"/>
        <v/>
      </c>
      <c r="AE300" s="121" t="str">
        <f t="shared" si="105"/>
        <v/>
      </c>
      <c r="AF300" s="111" t="str">
        <f t="shared" si="106"/>
        <v/>
      </c>
    </row>
    <row r="301" spans="1:32">
      <c r="A301" s="159"/>
      <c r="B301" s="160"/>
      <c r="C301" s="5"/>
      <c r="D301" s="5"/>
      <c r="E301" s="5"/>
      <c r="F301" s="5"/>
      <c r="G301" s="5"/>
      <c r="H301" s="5"/>
      <c r="I301" s="5"/>
      <c r="J301" s="5"/>
      <c r="K301" s="5"/>
      <c r="L301" s="5"/>
      <c r="M301" s="5"/>
      <c r="N301" s="5"/>
      <c r="O301" s="5"/>
      <c r="P301" s="5"/>
      <c r="Q301" s="5"/>
      <c r="R301" s="5"/>
      <c r="S301" s="5"/>
      <c r="T301" s="5"/>
      <c r="U301" s="5"/>
      <c r="V301" s="7"/>
      <c r="W301" s="7"/>
      <c r="X301" s="164" t="e">
        <f t="shared" si="101"/>
        <v>#N/A</v>
      </c>
      <c r="Y301" s="164" t="e">
        <f t="shared" si="102"/>
        <v>#N/A</v>
      </c>
      <c r="AB301" s="156">
        <f t="shared" si="104"/>
        <v>0</v>
      </c>
      <c r="AC301" s="121" t="str">
        <f t="shared" si="103"/>
        <v/>
      </c>
      <c r="AE301" s="121" t="str">
        <f t="shared" si="105"/>
        <v/>
      </c>
      <c r="AF301" s="111" t="str">
        <f t="shared" si="106"/>
        <v/>
      </c>
    </row>
    <row r="302" spans="1:32">
      <c r="A302" s="159"/>
      <c r="B302" s="160"/>
      <c r="C302" s="5"/>
      <c r="D302" s="5"/>
      <c r="E302" s="5"/>
      <c r="F302" s="5"/>
      <c r="G302" s="5"/>
      <c r="H302" s="5"/>
      <c r="I302" s="5"/>
      <c r="J302" s="5"/>
      <c r="K302" s="5"/>
      <c r="L302" s="5"/>
      <c r="M302" s="5"/>
      <c r="N302" s="5"/>
      <c r="O302" s="5"/>
      <c r="P302" s="5"/>
      <c r="Q302" s="5"/>
      <c r="R302" s="5"/>
      <c r="S302" s="5"/>
      <c r="T302" s="5"/>
      <c r="U302" s="5"/>
      <c r="V302" s="7"/>
      <c r="W302" s="7"/>
      <c r="X302" s="164" t="e">
        <f t="shared" si="101"/>
        <v>#N/A</v>
      </c>
      <c r="Y302" s="164" t="e">
        <f t="shared" si="102"/>
        <v>#N/A</v>
      </c>
      <c r="AB302" s="156">
        <f t="shared" si="104"/>
        <v>0</v>
      </c>
      <c r="AC302" s="121" t="str">
        <f t="shared" si="103"/>
        <v/>
      </c>
      <c r="AE302" s="121" t="str">
        <f t="shared" si="105"/>
        <v/>
      </c>
      <c r="AF302" s="111" t="str">
        <f t="shared" si="106"/>
        <v/>
      </c>
    </row>
    <row r="303" spans="1:32">
      <c r="A303" s="159"/>
      <c r="B303" s="160"/>
      <c r="C303" s="5"/>
      <c r="D303" s="5"/>
      <c r="E303" s="5"/>
      <c r="F303" s="5"/>
      <c r="G303" s="5"/>
      <c r="H303" s="5"/>
      <c r="I303" s="5"/>
      <c r="J303" s="5"/>
      <c r="K303" s="5"/>
      <c r="L303" s="5"/>
      <c r="M303" s="5"/>
      <c r="N303" s="5"/>
      <c r="O303" s="5"/>
      <c r="P303" s="5"/>
      <c r="Q303" s="5"/>
      <c r="R303" s="5"/>
      <c r="S303" s="5"/>
      <c r="T303" s="5"/>
      <c r="U303" s="5"/>
      <c r="V303" s="7"/>
      <c r="W303" s="7"/>
      <c r="X303" s="164" t="e">
        <f t="shared" si="101"/>
        <v>#N/A</v>
      </c>
      <c r="Y303" s="164" t="e">
        <f t="shared" si="102"/>
        <v>#N/A</v>
      </c>
      <c r="AB303" s="156">
        <f t="shared" si="104"/>
        <v>0</v>
      </c>
      <c r="AC303" s="121" t="str">
        <f t="shared" si="103"/>
        <v/>
      </c>
      <c r="AE303" s="121" t="str">
        <f t="shared" si="105"/>
        <v/>
      </c>
      <c r="AF303" s="111" t="str">
        <f t="shared" si="106"/>
        <v/>
      </c>
    </row>
    <row r="304" spans="1:32">
      <c r="A304" s="159"/>
      <c r="B304" s="160"/>
      <c r="C304" s="5"/>
      <c r="D304" s="5"/>
      <c r="E304" s="5"/>
      <c r="F304" s="5"/>
      <c r="G304" s="5"/>
      <c r="H304" s="5"/>
      <c r="I304" s="5"/>
      <c r="J304" s="5"/>
      <c r="K304" s="5"/>
      <c r="L304" s="5"/>
      <c r="M304" s="5"/>
      <c r="N304" s="5"/>
      <c r="O304" s="5"/>
      <c r="P304" s="5"/>
      <c r="Q304" s="5"/>
      <c r="R304" s="5"/>
      <c r="S304" s="5"/>
      <c r="T304" s="5"/>
      <c r="U304" s="5"/>
      <c r="V304" s="7"/>
      <c r="W304" s="7"/>
      <c r="X304" s="164" t="e">
        <f t="shared" si="101"/>
        <v>#N/A</v>
      </c>
      <c r="Y304" s="164" t="e">
        <f t="shared" si="102"/>
        <v>#N/A</v>
      </c>
      <c r="AB304" s="156">
        <f t="shared" si="104"/>
        <v>0</v>
      </c>
      <c r="AC304" s="121" t="str">
        <f t="shared" si="103"/>
        <v/>
      </c>
      <c r="AE304" s="121" t="str">
        <f t="shared" si="105"/>
        <v/>
      </c>
      <c r="AF304" s="111" t="str">
        <f t="shared" si="106"/>
        <v/>
      </c>
    </row>
    <row r="305" spans="1:32">
      <c r="A305" s="159"/>
      <c r="B305" s="160"/>
      <c r="C305" s="5"/>
      <c r="D305" s="5"/>
      <c r="E305" s="5"/>
      <c r="F305" s="5"/>
      <c r="G305" s="5"/>
      <c r="H305" s="5"/>
      <c r="I305" s="5"/>
      <c r="J305" s="5"/>
      <c r="K305" s="5"/>
      <c r="L305" s="5"/>
      <c r="M305" s="5"/>
      <c r="N305" s="5"/>
      <c r="O305" s="5"/>
      <c r="P305" s="5"/>
      <c r="Q305" s="5"/>
      <c r="R305" s="5"/>
      <c r="S305" s="5"/>
      <c r="T305" s="5"/>
      <c r="U305" s="5"/>
      <c r="V305" s="7"/>
      <c r="W305" s="7"/>
      <c r="X305" s="164" t="e">
        <f t="shared" si="101"/>
        <v>#N/A</v>
      </c>
      <c r="Y305" s="164" t="e">
        <f t="shared" si="102"/>
        <v>#N/A</v>
      </c>
      <c r="AB305" s="156">
        <f t="shared" si="104"/>
        <v>0</v>
      </c>
      <c r="AC305" s="121" t="str">
        <f t="shared" si="103"/>
        <v/>
      </c>
      <c r="AE305" s="121" t="str">
        <f t="shared" si="105"/>
        <v/>
      </c>
      <c r="AF305" s="111" t="str">
        <f t="shared" si="106"/>
        <v/>
      </c>
    </row>
    <row r="306" spans="1:32">
      <c r="A306" s="159"/>
      <c r="B306" s="160"/>
      <c r="C306" s="5"/>
      <c r="D306" s="5"/>
      <c r="E306" s="5"/>
      <c r="F306" s="5"/>
      <c r="G306" s="5"/>
      <c r="H306" s="5"/>
      <c r="I306" s="5"/>
      <c r="J306" s="5"/>
      <c r="K306" s="5"/>
      <c r="L306" s="5"/>
      <c r="M306" s="5"/>
      <c r="N306" s="5"/>
      <c r="O306" s="5"/>
      <c r="P306" s="5"/>
      <c r="Q306" s="5"/>
      <c r="R306" s="5"/>
      <c r="S306" s="5"/>
      <c r="T306" s="5"/>
      <c r="U306" s="5"/>
      <c r="V306" s="7"/>
      <c r="W306" s="7"/>
      <c r="X306" s="164" t="e">
        <f t="shared" si="101"/>
        <v>#N/A</v>
      </c>
      <c r="Y306" s="164" t="e">
        <f t="shared" si="102"/>
        <v>#N/A</v>
      </c>
      <c r="AB306" s="156">
        <f t="shared" si="104"/>
        <v>0</v>
      </c>
      <c r="AC306" s="121" t="str">
        <f t="shared" si="103"/>
        <v/>
      </c>
      <c r="AE306" s="121" t="str">
        <f t="shared" si="105"/>
        <v/>
      </c>
      <c r="AF306" s="111" t="str">
        <f t="shared" si="106"/>
        <v/>
      </c>
    </row>
    <row r="307" spans="1:32">
      <c r="A307" s="159"/>
      <c r="B307" s="160"/>
      <c r="C307" s="5"/>
      <c r="D307" s="5"/>
      <c r="E307" s="5"/>
      <c r="F307" s="5"/>
      <c r="G307" s="5"/>
      <c r="H307" s="5"/>
      <c r="I307" s="5"/>
      <c r="J307" s="5"/>
      <c r="K307" s="5"/>
      <c r="L307" s="5"/>
      <c r="M307" s="5"/>
      <c r="N307" s="5"/>
      <c r="O307" s="5"/>
      <c r="P307" s="5"/>
      <c r="Q307" s="5"/>
      <c r="R307" s="5"/>
      <c r="S307" s="5"/>
      <c r="T307" s="5"/>
      <c r="U307" s="5"/>
      <c r="V307" s="7"/>
      <c r="W307" s="7"/>
      <c r="X307" s="164" t="e">
        <f t="shared" si="101"/>
        <v>#N/A</v>
      </c>
      <c r="Y307" s="164" t="e">
        <f t="shared" si="102"/>
        <v>#N/A</v>
      </c>
      <c r="AB307" s="156">
        <f t="shared" si="104"/>
        <v>0</v>
      </c>
      <c r="AC307" s="121" t="str">
        <f t="shared" si="103"/>
        <v/>
      </c>
      <c r="AE307" s="121" t="str">
        <f t="shared" si="105"/>
        <v/>
      </c>
      <c r="AF307" s="111" t="str">
        <f t="shared" si="106"/>
        <v/>
      </c>
    </row>
    <row r="308" spans="1:32">
      <c r="A308" s="159"/>
      <c r="B308" s="160"/>
      <c r="C308" s="5"/>
      <c r="D308" s="5"/>
      <c r="E308" s="5"/>
      <c r="F308" s="5"/>
      <c r="G308" s="5"/>
      <c r="H308" s="5"/>
      <c r="I308" s="5"/>
      <c r="J308" s="5"/>
      <c r="K308" s="5"/>
      <c r="L308" s="5"/>
      <c r="M308" s="5"/>
      <c r="N308" s="5"/>
      <c r="O308" s="5"/>
      <c r="P308" s="5"/>
      <c r="Q308" s="5"/>
      <c r="R308" s="5"/>
      <c r="S308" s="5"/>
      <c r="T308" s="5"/>
      <c r="U308" s="5"/>
      <c r="V308" s="7"/>
      <c r="W308" s="7"/>
      <c r="X308" s="164" t="e">
        <f t="shared" si="101"/>
        <v>#N/A</v>
      </c>
      <c r="Y308" s="164" t="e">
        <f t="shared" si="102"/>
        <v>#N/A</v>
      </c>
      <c r="AB308" s="156">
        <f t="shared" si="104"/>
        <v>0</v>
      </c>
      <c r="AC308" s="121" t="str">
        <f t="shared" si="103"/>
        <v/>
      </c>
      <c r="AE308" s="121" t="str">
        <f t="shared" si="105"/>
        <v/>
      </c>
      <c r="AF308" s="111" t="str">
        <f t="shared" si="106"/>
        <v/>
      </c>
    </row>
    <row r="309" spans="1:32">
      <c r="A309" s="159"/>
      <c r="B309" s="160"/>
      <c r="C309" s="5"/>
      <c r="D309" s="5"/>
      <c r="E309" s="5"/>
      <c r="F309" s="5"/>
      <c r="G309" s="5"/>
      <c r="H309" s="5"/>
      <c r="I309" s="5"/>
      <c r="J309" s="5"/>
      <c r="K309" s="5"/>
      <c r="L309" s="5"/>
      <c r="M309" s="5"/>
      <c r="N309" s="5"/>
      <c r="O309" s="5"/>
      <c r="P309" s="5"/>
      <c r="Q309" s="5"/>
      <c r="R309" s="5"/>
      <c r="S309" s="5"/>
      <c r="T309" s="5"/>
      <c r="U309" s="5"/>
      <c r="V309" s="7"/>
      <c r="W309" s="7"/>
      <c r="X309" s="164" t="e">
        <f t="shared" si="101"/>
        <v>#N/A</v>
      </c>
      <c r="Y309" s="164" t="e">
        <f t="shared" si="102"/>
        <v>#N/A</v>
      </c>
      <c r="AB309" s="156">
        <f t="shared" si="104"/>
        <v>0</v>
      </c>
      <c r="AC309" s="121" t="str">
        <f t="shared" si="103"/>
        <v/>
      </c>
      <c r="AE309" s="121" t="str">
        <f t="shared" si="105"/>
        <v/>
      </c>
      <c r="AF309" s="111" t="str">
        <f t="shared" si="106"/>
        <v/>
      </c>
    </row>
    <row r="310" spans="1:32">
      <c r="A310" s="159"/>
      <c r="B310" s="160"/>
      <c r="C310" s="5"/>
      <c r="D310" s="5"/>
      <c r="E310" s="5"/>
      <c r="F310" s="5"/>
      <c r="G310" s="5"/>
      <c r="H310" s="5"/>
      <c r="I310" s="5"/>
      <c r="J310" s="5"/>
      <c r="K310" s="5"/>
      <c r="L310" s="5"/>
      <c r="M310" s="5"/>
      <c r="N310" s="5"/>
      <c r="O310" s="5"/>
      <c r="P310" s="5"/>
      <c r="Q310" s="5"/>
      <c r="R310" s="5"/>
      <c r="S310" s="5"/>
      <c r="T310" s="5"/>
      <c r="U310" s="5"/>
      <c r="V310" s="7"/>
      <c r="W310" s="7"/>
      <c r="X310" s="164" t="e">
        <f t="shared" si="101"/>
        <v>#N/A</v>
      </c>
      <c r="Y310" s="164" t="e">
        <f t="shared" si="102"/>
        <v>#N/A</v>
      </c>
      <c r="AB310" s="156">
        <f t="shared" si="104"/>
        <v>0</v>
      </c>
      <c r="AC310" s="121" t="str">
        <f t="shared" si="103"/>
        <v/>
      </c>
      <c r="AE310" s="121" t="str">
        <f t="shared" si="105"/>
        <v/>
      </c>
      <c r="AF310" s="111" t="str">
        <f t="shared" si="106"/>
        <v/>
      </c>
    </row>
    <row r="311" spans="1:32">
      <c r="A311" s="159"/>
      <c r="B311" s="160"/>
      <c r="C311" s="5"/>
      <c r="D311" s="5"/>
      <c r="E311" s="5"/>
      <c r="F311" s="5"/>
      <c r="G311" s="5"/>
      <c r="H311" s="5"/>
      <c r="I311" s="5"/>
      <c r="J311" s="5"/>
      <c r="K311" s="5"/>
      <c r="L311" s="5"/>
      <c r="M311" s="5"/>
      <c r="N311" s="5"/>
      <c r="O311" s="5"/>
      <c r="P311" s="5"/>
      <c r="Q311" s="5"/>
      <c r="R311" s="5"/>
      <c r="S311" s="5"/>
      <c r="T311" s="5"/>
      <c r="U311" s="5"/>
      <c r="V311" s="7"/>
      <c r="W311" s="7"/>
      <c r="X311" s="164" t="e">
        <f t="shared" si="101"/>
        <v>#N/A</v>
      </c>
      <c r="Y311" s="164" t="e">
        <f t="shared" si="102"/>
        <v>#N/A</v>
      </c>
      <c r="AB311" s="156">
        <f t="shared" si="104"/>
        <v>0</v>
      </c>
      <c r="AC311" s="121" t="str">
        <f t="shared" si="103"/>
        <v/>
      </c>
      <c r="AE311" s="121" t="str">
        <f t="shared" si="105"/>
        <v/>
      </c>
      <c r="AF311" s="111" t="str">
        <f t="shared" si="106"/>
        <v/>
      </c>
    </row>
    <row r="312" spans="1:32">
      <c r="A312" s="159"/>
      <c r="B312" s="160"/>
      <c r="C312" s="5"/>
      <c r="D312" s="5"/>
      <c r="E312" s="5"/>
      <c r="F312" s="5"/>
      <c r="G312" s="5"/>
      <c r="H312" s="5"/>
      <c r="I312" s="5"/>
      <c r="J312" s="5"/>
      <c r="K312" s="5"/>
      <c r="L312" s="5"/>
      <c r="M312" s="5"/>
      <c r="N312" s="5"/>
      <c r="O312" s="5"/>
      <c r="P312" s="5"/>
      <c r="Q312" s="5"/>
      <c r="R312" s="5"/>
      <c r="S312" s="5"/>
      <c r="T312" s="5"/>
      <c r="U312" s="5"/>
      <c r="V312" s="7"/>
      <c r="W312" s="7"/>
      <c r="X312" s="164" t="e">
        <f t="shared" si="101"/>
        <v>#N/A</v>
      </c>
      <c r="Y312" s="164" t="e">
        <f t="shared" si="102"/>
        <v>#N/A</v>
      </c>
      <c r="AB312" s="156">
        <f t="shared" si="104"/>
        <v>0</v>
      </c>
      <c r="AC312" s="121" t="str">
        <f t="shared" si="103"/>
        <v/>
      </c>
      <c r="AE312" s="121" t="str">
        <f t="shared" si="105"/>
        <v/>
      </c>
      <c r="AF312" s="111" t="str">
        <f t="shared" si="106"/>
        <v/>
      </c>
    </row>
    <row r="313" spans="1:32">
      <c r="A313" s="159"/>
      <c r="B313" s="160"/>
      <c r="C313" s="5"/>
      <c r="D313" s="5"/>
      <c r="E313" s="5"/>
      <c r="F313" s="5"/>
      <c r="G313" s="5"/>
      <c r="H313" s="5"/>
      <c r="I313" s="5"/>
      <c r="J313" s="5"/>
      <c r="K313" s="5"/>
      <c r="L313" s="5"/>
      <c r="M313" s="5"/>
      <c r="N313" s="5"/>
      <c r="O313" s="5"/>
      <c r="P313" s="5"/>
      <c r="Q313" s="5"/>
      <c r="R313" s="5"/>
      <c r="S313" s="5"/>
      <c r="T313" s="5"/>
      <c r="U313" s="5"/>
      <c r="V313" s="7"/>
      <c r="W313" s="7"/>
      <c r="X313" s="164" t="e">
        <f t="shared" si="101"/>
        <v>#N/A</v>
      </c>
      <c r="Y313" s="164" t="e">
        <f t="shared" si="102"/>
        <v>#N/A</v>
      </c>
      <c r="AB313" s="156">
        <f t="shared" si="104"/>
        <v>0</v>
      </c>
      <c r="AC313" s="121" t="str">
        <f t="shared" si="103"/>
        <v/>
      </c>
      <c r="AE313" s="121" t="str">
        <f t="shared" si="105"/>
        <v/>
      </c>
      <c r="AF313" s="111" t="str">
        <f t="shared" si="106"/>
        <v/>
      </c>
    </row>
    <row r="314" spans="1:32">
      <c r="A314" s="159"/>
      <c r="B314" s="160"/>
      <c r="C314" s="5"/>
      <c r="D314" s="5"/>
      <c r="E314" s="5"/>
      <c r="F314" s="5"/>
      <c r="G314" s="5"/>
      <c r="H314" s="5"/>
      <c r="I314" s="5"/>
      <c r="J314" s="5"/>
      <c r="K314" s="5"/>
      <c r="L314" s="5"/>
      <c r="M314" s="5"/>
      <c r="N314" s="5"/>
      <c r="O314" s="5"/>
      <c r="P314" s="5"/>
      <c r="Q314" s="5"/>
      <c r="R314" s="5"/>
      <c r="S314" s="5"/>
      <c r="T314" s="5"/>
      <c r="U314" s="5"/>
      <c r="V314" s="7"/>
      <c r="W314" s="7"/>
      <c r="X314" s="164" t="e">
        <f t="shared" si="101"/>
        <v>#N/A</v>
      </c>
      <c r="Y314" s="164" t="e">
        <f t="shared" si="102"/>
        <v>#N/A</v>
      </c>
      <c r="AB314" s="156">
        <f t="shared" si="104"/>
        <v>0</v>
      </c>
      <c r="AC314" s="121" t="str">
        <f t="shared" si="103"/>
        <v/>
      </c>
      <c r="AE314" s="121" t="str">
        <f t="shared" si="105"/>
        <v/>
      </c>
      <c r="AF314" s="111" t="str">
        <f t="shared" si="106"/>
        <v/>
      </c>
    </row>
    <row r="315" spans="1:32">
      <c r="A315" s="159"/>
      <c r="B315" s="160"/>
      <c r="C315" s="5"/>
      <c r="D315" s="5"/>
      <c r="E315" s="5"/>
      <c r="F315" s="5"/>
      <c r="G315" s="5"/>
      <c r="H315" s="5"/>
      <c r="I315" s="5"/>
      <c r="J315" s="5"/>
      <c r="K315" s="5"/>
      <c r="L315" s="5"/>
      <c r="M315" s="5"/>
      <c r="N315" s="5"/>
      <c r="O315" s="5"/>
      <c r="P315" s="5"/>
      <c r="Q315" s="5"/>
      <c r="R315" s="5"/>
      <c r="S315" s="5"/>
      <c r="T315" s="5"/>
      <c r="U315" s="5"/>
      <c r="V315" s="7"/>
      <c r="W315" s="7"/>
      <c r="X315" s="164" t="e">
        <f t="shared" si="101"/>
        <v>#N/A</v>
      </c>
      <c r="Y315" s="164" t="e">
        <f t="shared" si="102"/>
        <v>#N/A</v>
      </c>
      <c r="AB315" s="156">
        <f t="shared" si="104"/>
        <v>0</v>
      </c>
      <c r="AC315" s="121" t="str">
        <f t="shared" si="103"/>
        <v/>
      </c>
      <c r="AE315" s="121" t="str">
        <f t="shared" si="105"/>
        <v/>
      </c>
      <c r="AF315" s="111" t="str">
        <f t="shared" si="106"/>
        <v/>
      </c>
    </row>
    <row r="316" spans="1:32">
      <c r="A316" s="159"/>
      <c r="B316" s="160"/>
      <c r="C316" s="5"/>
      <c r="D316" s="5"/>
      <c r="E316" s="5"/>
      <c r="F316" s="5"/>
      <c r="G316" s="5"/>
      <c r="H316" s="5"/>
      <c r="I316" s="5"/>
      <c r="J316" s="5"/>
      <c r="K316" s="5"/>
      <c r="L316" s="5"/>
      <c r="M316" s="5"/>
      <c r="N316" s="5"/>
      <c r="O316" s="5"/>
      <c r="P316" s="5"/>
      <c r="Q316" s="5"/>
      <c r="R316" s="5"/>
      <c r="S316" s="5"/>
      <c r="T316" s="5"/>
      <c r="U316" s="5"/>
      <c r="V316" s="7"/>
      <c r="W316" s="7"/>
      <c r="X316" s="164" t="e">
        <f t="shared" si="101"/>
        <v>#N/A</v>
      </c>
      <c r="Y316" s="164" t="e">
        <f t="shared" si="102"/>
        <v>#N/A</v>
      </c>
      <c r="AB316" s="156">
        <f t="shared" si="104"/>
        <v>0</v>
      </c>
      <c r="AC316" s="121" t="str">
        <f t="shared" si="103"/>
        <v/>
      </c>
      <c r="AE316" s="121" t="str">
        <f t="shared" si="105"/>
        <v/>
      </c>
      <c r="AF316" s="111" t="str">
        <f t="shared" si="106"/>
        <v/>
      </c>
    </row>
    <row r="317" spans="1:32">
      <c r="A317" s="159"/>
      <c r="B317" s="160"/>
      <c r="C317" s="5"/>
      <c r="D317" s="5"/>
      <c r="E317" s="5"/>
      <c r="F317" s="5"/>
      <c r="G317" s="5"/>
      <c r="H317" s="5"/>
      <c r="I317" s="5"/>
      <c r="J317" s="5"/>
      <c r="K317" s="5"/>
      <c r="L317" s="5"/>
      <c r="M317" s="5"/>
      <c r="N317" s="5"/>
      <c r="O317" s="5"/>
      <c r="P317" s="5"/>
      <c r="Q317" s="5"/>
      <c r="R317" s="5"/>
      <c r="S317" s="5"/>
      <c r="T317" s="5"/>
      <c r="U317" s="5"/>
      <c r="V317" s="7"/>
      <c r="W317" s="7"/>
      <c r="X317" s="164" t="e">
        <f t="shared" si="101"/>
        <v>#N/A</v>
      </c>
      <c r="Y317" s="164" t="e">
        <f t="shared" si="102"/>
        <v>#N/A</v>
      </c>
      <c r="AB317" s="156">
        <f t="shared" si="104"/>
        <v>0</v>
      </c>
      <c r="AC317" s="121" t="str">
        <f t="shared" si="103"/>
        <v/>
      </c>
      <c r="AE317" s="121" t="str">
        <f t="shared" si="105"/>
        <v/>
      </c>
      <c r="AF317" s="111" t="str">
        <f t="shared" si="106"/>
        <v/>
      </c>
    </row>
    <row r="318" spans="1:32">
      <c r="A318" s="159"/>
      <c r="B318" s="160"/>
      <c r="C318" s="5"/>
      <c r="D318" s="5"/>
      <c r="E318" s="5"/>
      <c r="F318" s="5"/>
      <c r="G318" s="5"/>
      <c r="H318" s="5"/>
      <c r="I318" s="5"/>
      <c r="J318" s="5"/>
      <c r="K318" s="5"/>
      <c r="L318" s="5"/>
      <c r="M318" s="5"/>
      <c r="N318" s="5"/>
      <c r="O318" s="5"/>
      <c r="P318" s="5"/>
      <c r="Q318" s="5"/>
      <c r="R318" s="5"/>
      <c r="S318" s="5"/>
      <c r="T318" s="5"/>
      <c r="U318" s="5"/>
      <c r="V318" s="7"/>
      <c r="W318" s="7"/>
      <c r="X318" s="164" t="e">
        <f t="shared" si="101"/>
        <v>#N/A</v>
      </c>
      <c r="Y318" s="164" t="e">
        <f t="shared" si="102"/>
        <v>#N/A</v>
      </c>
      <c r="AB318" s="156">
        <f t="shared" si="104"/>
        <v>0</v>
      </c>
      <c r="AC318" s="121" t="str">
        <f t="shared" si="103"/>
        <v/>
      </c>
      <c r="AE318" s="121" t="str">
        <f t="shared" si="105"/>
        <v/>
      </c>
      <c r="AF318" s="111" t="str">
        <f t="shared" si="106"/>
        <v/>
      </c>
    </row>
    <row r="319" spans="1:32">
      <c r="A319" s="159"/>
      <c r="B319" s="160"/>
      <c r="C319" s="5"/>
      <c r="D319" s="5"/>
      <c r="E319" s="5"/>
      <c r="F319" s="5"/>
      <c r="G319" s="5"/>
      <c r="H319" s="5"/>
      <c r="I319" s="5"/>
      <c r="J319" s="5"/>
      <c r="K319" s="5"/>
      <c r="L319" s="5"/>
      <c r="M319" s="5"/>
      <c r="N319" s="5"/>
      <c r="O319" s="5"/>
      <c r="P319" s="5"/>
      <c r="Q319" s="5"/>
      <c r="R319" s="5"/>
      <c r="S319" s="5"/>
      <c r="T319" s="5"/>
      <c r="U319" s="5"/>
      <c r="V319" s="7"/>
      <c r="W319" s="7"/>
      <c r="X319" s="164" t="e">
        <f t="shared" si="101"/>
        <v>#N/A</v>
      </c>
      <c r="Y319" s="164" t="e">
        <f t="shared" si="102"/>
        <v>#N/A</v>
      </c>
      <c r="AB319" s="156">
        <f t="shared" si="104"/>
        <v>0</v>
      </c>
      <c r="AC319" s="121" t="str">
        <f t="shared" si="103"/>
        <v/>
      </c>
      <c r="AE319" s="121" t="str">
        <f t="shared" si="105"/>
        <v/>
      </c>
      <c r="AF319" s="111" t="str">
        <f t="shared" si="106"/>
        <v/>
      </c>
    </row>
    <row r="320" spans="1:32">
      <c r="A320" s="159"/>
      <c r="B320" s="160"/>
      <c r="C320" s="5"/>
      <c r="D320" s="5"/>
      <c r="E320" s="5"/>
      <c r="F320" s="5"/>
      <c r="G320" s="5"/>
      <c r="H320" s="5"/>
      <c r="I320" s="5"/>
      <c r="J320" s="5"/>
      <c r="K320" s="5"/>
      <c r="L320" s="5"/>
      <c r="M320" s="5"/>
      <c r="N320" s="5"/>
      <c r="O320" s="5"/>
      <c r="P320" s="5"/>
      <c r="Q320" s="5"/>
      <c r="R320" s="5"/>
      <c r="S320" s="5"/>
      <c r="T320" s="5"/>
      <c r="U320" s="5"/>
      <c r="V320" s="7"/>
      <c r="W320" s="7"/>
      <c r="X320" s="164" t="e">
        <f t="shared" si="101"/>
        <v>#N/A</v>
      </c>
      <c r="Y320" s="164" t="e">
        <f t="shared" si="102"/>
        <v>#N/A</v>
      </c>
      <c r="AB320" s="156">
        <f t="shared" si="104"/>
        <v>0</v>
      </c>
      <c r="AC320" s="121" t="str">
        <f t="shared" si="103"/>
        <v/>
      </c>
      <c r="AE320" s="121" t="str">
        <f t="shared" si="105"/>
        <v/>
      </c>
      <c r="AF320" s="111" t="str">
        <f t="shared" si="106"/>
        <v/>
      </c>
    </row>
    <row r="321" spans="1:32">
      <c r="A321" s="159"/>
      <c r="B321" s="160"/>
      <c r="C321" s="5"/>
      <c r="D321" s="5"/>
      <c r="E321" s="5"/>
      <c r="F321" s="5"/>
      <c r="G321" s="5"/>
      <c r="H321" s="5"/>
      <c r="I321" s="5"/>
      <c r="J321" s="5"/>
      <c r="K321" s="5"/>
      <c r="L321" s="5"/>
      <c r="M321" s="5"/>
      <c r="N321" s="5"/>
      <c r="O321" s="5"/>
      <c r="P321" s="5"/>
      <c r="Q321" s="5"/>
      <c r="R321" s="5"/>
      <c r="S321" s="5"/>
      <c r="T321" s="5"/>
      <c r="U321" s="5"/>
      <c r="V321" s="7"/>
      <c r="W321" s="7"/>
      <c r="X321" s="164" t="e">
        <f t="shared" si="101"/>
        <v>#N/A</v>
      </c>
      <c r="Y321" s="164" t="e">
        <f t="shared" si="102"/>
        <v>#N/A</v>
      </c>
      <c r="AB321" s="156">
        <f t="shared" si="104"/>
        <v>0</v>
      </c>
      <c r="AC321" s="121" t="str">
        <f t="shared" si="103"/>
        <v/>
      </c>
      <c r="AE321" s="121" t="str">
        <f t="shared" si="105"/>
        <v/>
      </c>
      <c r="AF321" s="111" t="str">
        <f t="shared" si="106"/>
        <v/>
      </c>
    </row>
    <row r="322" spans="1:32">
      <c r="A322" s="159"/>
      <c r="B322" s="160"/>
      <c r="C322" s="5"/>
      <c r="D322" s="5"/>
      <c r="E322" s="5"/>
      <c r="F322" s="5"/>
      <c r="G322" s="5"/>
      <c r="H322" s="5"/>
      <c r="I322" s="5"/>
      <c r="J322" s="5"/>
      <c r="K322" s="5"/>
      <c r="L322" s="5"/>
      <c r="M322" s="5"/>
      <c r="N322" s="5"/>
      <c r="O322" s="5"/>
      <c r="P322" s="5"/>
      <c r="Q322" s="5"/>
      <c r="R322" s="5"/>
      <c r="S322" s="5"/>
      <c r="T322" s="5"/>
      <c r="U322" s="5"/>
      <c r="V322" s="7"/>
      <c r="W322" s="7"/>
      <c r="X322" s="164" t="e">
        <f t="shared" ref="X322:X385" si="107">IF(AB322=1, A322,NA())</f>
        <v>#N/A</v>
      </c>
      <c r="Y322" s="164" t="e">
        <f t="shared" ref="Y322:Y385" si="108">IF(AB322=1,B322-($H$7+$I$7*X322),NA())</f>
        <v>#N/A</v>
      </c>
      <c r="AB322" s="156">
        <f t="shared" si="104"/>
        <v>0</v>
      </c>
      <c r="AC322" s="121" t="str">
        <f t="shared" ref="AC322:AC385" si="109">IF(ISBLANK(A322), "", Y322^2)</f>
        <v/>
      </c>
      <c r="AE322" s="121" t="str">
        <f t="shared" si="105"/>
        <v/>
      </c>
      <c r="AF322" s="111" t="str">
        <f t="shared" si="106"/>
        <v/>
      </c>
    </row>
    <row r="323" spans="1:32">
      <c r="A323" s="159"/>
      <c r="B323" s="160"/>
      <c r="C323" s="5"/>
      <c r="D323" s="5"/>
      <c r="E323" s="5"/>
      <c r="F323" s="5"/>
      <c r="G323" s="5"/>
      <c r="H323" s="5"/>
      <c r="I323" s="5"/>
      <c r="J323" s="5"/>
      <c r="K323" s="5"/>
      <c r="L323" s="5"/>
      <c r="M323" s="5"/>
      <c r="N323" s="5"/>
      <c r="O323" s="5"/>
      <c r="P323" s="5"/>
      <c r="Q323" s="5"/>
      <c r="R323" s="5"/>
      <c r="S323" s="5"/>
      <c r="T323" s="5"/>
      <c r="U323" s="5"/>
      <c r="V323" s="7"/>
      <c r="W323" s="7"/>
      <c r="X323" s="164" t="e">
        <f t="shared" si="107"/>
        <v>#N/A</v>
      </c>
      <c r="Y323" s="164" t="e">
        <f t="shared" si="108"/>
        <v>#N/A</v>
      </c>
      <c r="AB323" s="156">
        <f t="shared" ref="AB323:AB386" si="110">IF(ISBLANK(A323),0,1)</f>
        <v>0</v>
      </c>
      <c r="AC323" s="121" t="str">
        <f t="shared" si="109"/>
        <v/>
      </c>
      <c r="AE323" s="121" t="str">
        <f t="shared" ref="AE323:AE386" si="111">IF(AB323=1,(A323-$AA$2)^2, "")</f>
        <v/>
      </c>
      <c r="AF323" s="111" t="str">
        <f t="shared" si="106"/>
        <v/>
      </c>
    </row>
    <row r="324" spans="1:32">
      <c r="A324" s="159"/>
      <c r="B324" s="160"/>
      <c r="C324" s="5"/>
      <c r="D324" s="5"/>
      <c r="E324" s="5"/>
      <c r="F324" s="5"/>
      <c r="G324" s="5"/>
      <c r="H324" s="5"/>
      <c r="I324" s="5"/>
      <c r="J324" s="5"/>
      <c r="K324" s="5"/>
      <c r="L324" s="5"/>
      <c r="M324" s="5"/>
      <c r="N324" s="5"/>
      <c r="O324" s="5"/>
      <c r="P324" s="5"/>
      <c r="Q324" s="5"/>
      <c r="R324" s="5"/>
      <c r="S324" s="5"/>
      <c r="T324" s="5"/>
      <c r="U324" s="5"/>
      <c r="V324" s="7"/>
      <c r="W324" s="7"/>
      <c r="X324" s="164" t="e">
        <f t="shared" si="107"/>
        <v>#N/A</v>
      </c>
      <c r="Y324" s="164" t="e">
        <f t="shared" si="108"/>
        <v>#N/A</v>
      </c>
      <c r="AB324" s="156">
        <f t="shared" si="110"/>
        <v>0</v>
      </c>
      <c r="AC324" s="121" t="str">
        <f t="shared" si="109"/>
        <v/>
      </c>
      <c r="AE324" s="121" t="str">
        <f t="shared" si="111"/>
        <v/>
      </c>
      <c r="AF324" s="111" t="str">
        <f t="shared" ref="AF324:AF387" si="112">IFERROR(Y323, "")</f>
        <v/>
      </c>
    </row>
    <row r="325" spans="1:32">
      <c r="A325" s="159"/>
      <c r="B325" s="160"/>
      <c r="C325" s="5"/>
      <c r="D325" s="5"/>
      <c r="E325" s="5"/>
      <c r="F325" s="5"/>
      <c r="G325" s="5"/>
      <c r="H325" s="5"/>
      <c r="I325" s="5"/>
      <c r="J325" s="5"/>
      <c r="K325" s="5"/>
      <c r="L325" s="5"/>
      <c r="M325" s="5"/>
      <c r="N325" s="5"/>
      <c r="O325" s="5"/>
      <c r="P325" s="5"/>
      <c r="Q325" s="5"/>
      <c r="R325" s="5"/>
      <c r="S325" s="5"/>
      <c r="T325" s="5"/>
      <c r="U325" s="5"/>
      <c r="V325" s="7"/>
      <c r="W325" s="7"/>
      <c r="X325" s="164" t="e">
        <f t="shared" si="107"/>
        <v>#N/A</v>
      </c>
      <c r="Y325" s="164" t="e">
        <f t="shared" si="108"/>
        <v>#N/A</v>
      </c>
      <c r="AB325" s="156">
        <f t="shared" si="110"/>
        <v>0</v>
      </c>
      <c r="AC325" s="121" t="str">
        <f t="shared" si="109"/>
        <v/>
      </c>
      <c r="AE325" s="121" t="str">
        <f t="shared" si="111"/>
        <v/>
      </c>
      <c r="AF325" s="111" t="str">
        <f t="shared" si="112"/>
        <v/>
      </c>
    </row>
    <row r="326" spans="1:32">
      <c r="A326" s="159"/>
      <c r="B326" s="160"/>
      <c r="C326" s="5"/>
      <c r="D326" s="5"/>
      <c r="E326" s="5"/>
      <c r="F326" s="5"/>
      <c r="G326" s="5"/>
      <c r="H326" s="5"/>
      <c r="I326" s="5"/>
      <c r="J326" s="5"/>
      <c r="K326" s="5"/>
      <c r="L326" s="5"/>
      <c r="M326" s="5"/>
      <c r="N326" s="5"/>
      <c r="O326" s="5"/>
      <c r="P326" s="5"/>
      <c r="Q326" s="5"/>
      <c r="R326" s="5"/>
      <c r="S326" s="5"/>
      <c r="T326" s="5"/>
      <c r="U326" s="5"/>
      <c r="V326" s="7"/>
      <c r="W326" s="7"/>
      <c r="X326" s="164" t="e">
        <f t="shared" si="107"/>
        <v>#N/A</v>
      </c>
      <c r="Y326" s="164" t="e">
        <f t="shared" si="108"/>
        <v>#N/A</v>
      </c>
      <c r="AB326" s="156">
        <f t="shared" si="110"/>
        <v>0</v>
      </c>
      <c r="AC326" s="121" t="str">
        <f t="shared" si="109"/>
        <v/>
      </c>
      <c r="AE326" s="121" t="str">
        <f t="shared" si="111"/>
        <v/>
      </c>
      <c r="AF326" s="111" t="str">
        <f t="shared" si="112"/>
        <v/>
      </c>
    </row>
    <row r="327" spans="1:32">
      <c r="A327" s="159"/>
      <c r="B327" s="160"/>
      <c r="C327" s="5"/>
      <c r="D327" s="5"/>
      <c r="E327" s="5"/>
      <c r="F327" s="5"/>
      <c r="G327" s="5"/>
      <c r="H327" s="5"/>
      <c r="I327" s="5"/>
      <c r="J327" s="5"/>
      <c r="K327" s="5"/>
      <c r="L327" s="5"/>
      <c r="M327" s="5"/>
      <c r="N327" s="5"/>
      <c r="O327" s="5"/>
      <c r="P327" s="5"/>
      <c r="Q327" s="5"/>
      <c r="R327" s="5"/>
      <c r="S327" s="5"/>
      <c r="T327" s="5"/>
      <c r="U327" s="5"/>
      <c r="V327" s="7"/>
      <c r="W327" s="7"/>
      <c r="X327" s="164" t="e">
        <f t="shared" si="107"/>
        <v>#N/A</v>
      </c>
      <c r="Y327" s="164" t="e">
        <f t="shared" si="108"/>
        <v>#N/A</v>
      </c>
      <c r="AB327" s="156">
        <f t="shared" si="110"/>
        <v>0</v>
      </c>
      <c r="AC327" s="121" t="str">
        <f t="shared" si="109"/>
        <v/>
      </c>
      <c r="AE327" s="121" t="str">
        <f t="shared" si="111"/>
        <v/>
      </c>
      <c r="AF327" s="111" t="str">
        <f t="shared" si="112"/>
        <v/>
      </c>
    </row>
    <row r="328" spans="1:32">
      <c r="A328" s="159"/>
      <c r="B328" s="160"/>
      <c r="C328" s="5"/>
      <c r="D328" s="5"/>
      <c r="E328" s="5"/>
      <c r="F328" s="5"/>
      <c r="G328" s="5"/>
      <c r="H328" s="5"/>
      <c r="I328" s="5"/>
      <c r="J328" s="5"/>
      <c r="K328" s="5"/>
      <c r="L328" s="5"/>
      <c r="M328" s="5"/>
      <c r="N328" s="5"/>
      <c r="O328" s="5"/>
      <c r="P328" s="5"/>
      <c r="Q328" s="5"/>
      <c r="R328" s="5"/>
      <c r="S328" s="5"/>
      <c r="T328" s="5"/>
      <c r="U328" s="5"/>
      <c r="V328" s="7"/>
      <c r="W328" s="7"/>
      <c r="X328" s="164" t="e">
        <f t="shared" si="107"/>
        <v>#N/A</v>
      </c>
      <c r="Y328" s="164" t="e">
        <f t="shared" si="108"/>
        <v>#N/A</v>
      </c>
      <c r="AB328" s="156">
        <f t="shared" si="110"/>
        <v>0</v>
      </c>
      <c r="AC328" s="121" t="str">
        <f t="shared" si="109"/>
        <v/>
      </c>
      <c r="AE328" s="121" t="str">
        <f t="shared" si="111"/>
        <v/>
      </c>
      <c r="AF328" s="111" t="str">
        <f t="shared" si="112"/>
        <v/>
      </c>
    </row>
    <row r="329" spans="1:32">
      <c r="A329" s="159"/>
      <c r="B329" s="160"/>
      <c r="C329" s="5"/>
      <c r="D329" s="5"/>
      <c r="E329" s="5"/>
      <c r="F329" s="5"/>
      <c r="G329" s="5"/>
      <c r="H329" s="5"/>
      <c r="I329" s="5"/>
      <c r="J329" s="5"/>
      <c r="K329" s="5"/>
      <c r="L329" s="5"/>
      <c r="M329" s="5"/>
      <c r="N329" s="5"/>
      <c r="O329" s="5"/>
      <c r="P329" s="5"/>
      <c r="Q329" s="5"/>
      <c r="R329" s="5"/>
      <c r="S329" s="5"/>
      <c r="T329" s="5"/>
      <c r="U329" s="5"/>
      <c r="V329" s="7"/>
      <c r="W329" s="7"/>
      <c r="X329" s="164" t="e">
        <f t="shared" si="107"/>
        <v>#N/A</v>
      </c>
      <c r="Y329" s="164" t="e">
        <f t="shared" si="108"/>
        <v>#N/A</v>
      </c>
      <c r="AB329" s="156">
        <f t="shared" si="110"/>
        <v>0</v>
      </c>
      <c r="AC329" s="121" t="str">
        <f t="shared" si="109"/>
        <v/>
      </c>
      <c r="AE329" s="121" t="str">
        <f t="shared" si="111"/>
        <v/>
      </c>
      <c r="AF329" s="111" t="str">
        <f t="shared" si="112"/>
        <v/>
      </c>
    </row>
    <row r="330" spans="1:32">
      <c r="A330" s="159"/>
      <c r="B330" s="160"/>
      <c r="C330" s="5"/>
      <c r="D330" s="5"/>
      <c r="E330" s="5"/>
      <c r="F330" s="5"/>
      <c r="G330" s="5"/>
      <c r="H330" s="5"/>
      <c r="I330" s="5"/>
      <c r="J330" s="5"/>
      <c r="K330" s="5"/>
      <c r="L330" s="5"/>
      <c r="M330" s="5"/>
      <c r="N330" s="5"/>
      <c r="O330" s="5"/>
      <c r="P330" s="5"/>
      <c r="Q330" s="5"/>
      <c r="R330" s="5"/>
      <c r="S330" s="5"/>
      <c r="T330" s="5"/>
      <c r="U330" s="5"/>
      <c r="V330" s="7"/>
      <c r="W330" s="7"/>
      <c r="X330" s="164" t="e">
        <f t="shared" si="107"/>
        <v>#N/A</v>
      </c>
      <c r="Y330" s="164" t="e">
        <f t="shared" si="108"/>
        <v>#N/A</v>
      </c>
      <c r="AB330" s="156">
        <f t="shared" si="110"/>
        <v>0</v>
      </c>
      <c r="AC330" s="121" t="str">
        <f t="shared" si="109"/>
        <v/>
      </c>
      <c r="AE330" s="121" t="str">
        <f t="shared" si="111"/>
        <v/>
      </c>
      <c r="AF330" s="111" t="str">
        <f t="shared" si="112"/>
        <v/>
      </c>
    </row>
    <row r="331" spans="1:32">
      <c r="A331" s="159"/>
      <c r="B331" s="160"/>
      <c r="C331" s="5"/>
      <c r="D331" s="5"/>
      <c r="E331" s="5"/>
      <c r="F331" s="5"/>
      <c r="G331" s="5"/>
      <c r="H331" s="5"/>
      <c r="I331" s="5"/>
      <c r="J331" s="5"/>
      <c r="K331" s="5"/>
      <c r="L331" s="5"/>
      <c r="M331" s="5"/>
      <c r="N331" s="5"/>
      <c r="O331" s="5"/>
      <c r="P331" s="5"/>
      <c r="Q331" s="5"/>
      <c r="R331" s="5"/>
      <c r="S331" s="5"/>
      <c r="T331" s="5"/>
      <c r="U331" s="5"/>
      <c r="V331" s="7"/>
      <c r="W331" s="7"/>
      <c r="X331" s="164" t="e">
        <f t="shared" si="107"/>
        <v>#N/A</v>
      </c>
      <c r="Y331" s="164" t="e">
        <f t="shared" si="108"/>
        <v>#N/A</v>
      </c>
      <c r="AB331" s="156">
        <f t="shared" si="110"/>
        <v>0</v>
      </c>
      <c r="AC331" s="121" t="str">
        <f t="shared" si="109"/>
        <v/>
      </c>
      <c r="AE331" s="121" t="str">
        <f t="shared" si="111"/>
        <v/>
      </c>
      <c r="AF331" s="111" t="str">
        <f t="shared" si="112"/>
        <v/>
      </c>
    </row>
    <row r="332" spans="1:32">
      <c r="A332" s="159"/>
      <c r="B332" s="160"/>
      <c r="C332" s="5"/>
      <c r="D332" s="5"/>
      <c r="E332" s="5"/>
      <c r="F332" s="5"/>
      <c r="G332" s="5"/>
      <c r="H332" s="5"/>
      <c r="I332" s="5"/>
      <c r="J332" s="5"/>
      <c r="K332" s="5"/>
      <c r="L332" s="5"/>
      <c r="M332" s="5"/>
      <c r="N332" s="5"/>
      <c r="O332" s="5"/>
      <c r="P332" s="5"/>
      <c r="Q332" s="5"/>
      <c r="R332" s="5"/>
      <c r="S332" s="5"/>
      <c r="T332" s="5"/>
      <c r="U332" s="5"/>
      <c r="V332" s="7"/>
      <c r="W332" s="7"/>
      <c r="X332" s="164" t="e">
        <f t="shared" si="107"/>
        <v>#N/A</v>
      </c>
      <c r="Y332" s="164" t="e">
        <f t="shared" si="108"/>
        <v>#N/A</v>
      </c>
      <c r="AB332" s="156">
        <f t="shared" si="110"/>
        <v>0</v>
      </c>
      <c r="AC332" s="121" t="str">
        <f t="shared" si="109"/>
        <v/>
      </c>
      <c r="AE332" s="121" t="str">
        <f t="shared" si="111"/>
        <v/>
      </c>
      <c r="AF332" s="111" t="str">
        <f t="shared" si="112"/>
        <v/>
      </c>
    </row>
    <row r="333" spans="1:32">
      <c r="A333" s="159"/>
      <c r="B333" s="160"/>
      <c r="C333" s="5"/>
      <c r="D333" s="5"/>
      <c r="E333" s="5"/>
      <c r="F333" s="5"/>
      <c r="G333" s="5"/>
      <c r="H333" s="5"/>
      <c r="I333" s="5"/>
      <c r="J333" s="5"/>
      <c r="K333" s="5"/>
      <c r="L333" s="5"/>
      <c r="M333" s="5"/>
      <c r="N333" s="5"/>
      <c r="O333" s="5"/>
      <c r="P333" s="5"/>
      <c r="Q333" s="5"/>
      <c r="R333" s="5"/>
      <c r="S333" s="5"/>
      <c r="T333" s="5"/>
      <c r="U333" s="5"/>
      <c r="V333" s="7"/>
      <c r="W333" s="7"/>
      <c r="X333" s="164" t="e">
        <f t="shared" si="107"/>
        <v>#N/A</v>
      </c>
      <c r="Y333" s="164" t="e">
        <f t="shared" si="108"/>
        <v>#N/A</v>
      </c>
      <c r="AB333" s="156">
        <f t="shared" si="110"/>
        <v>0</v>
      </c>
      <c r="AC333" s="121" t="str">
        <f t="shared" si="109"/>
        <v/>
      </c>
      <c r="AE333" s="121" t="str">
        <f t="shared" si="111"/>
        <v/>
      </c>
      <c r="AF333" s="111" t="str">
        <f t="shared" si="112"/>
        <v/>
      </c>
    </row>
    <row r="334" spans="1:32">
      <c r="A334" s="159"/>
      <c r="B334" s="160"/>
      <c r="C334" s="5"/>
      <c r="D334" s="5"/>
      <c r="E334" s="5"/>
      <c r="F334" s="5"/>
      <c r="G334" s="5"/>
      <c r="H334" s="5"/>
      <c r="I334" s="5"/>
      <c r="J334" s="5"/>
      <c r="K334" s="5"/>
      <c r="L334" s="5"/>
      <c r="M334" s="5"/>
      <c r="N334" s="5"/>
      <c r="O334" s="5"/>
      <c r="P334" s="5"/>
      <c r="Q334" s="5"/>
      <c r="R334" s="5"/>
      <c r="S334" s="5"/>
      <c r="T334" s="5"/>
      <c r="U334" s="5"/>
      <c r="V334" s="7"/>
      <c r="W334" s="7"/>
      <c r="X334" s="164" t="e">
        <f t="shared" si="107"/>
        <v>#N/A</v>
      </c>
      <c r="Y334" s="164" t="e">
        <f t="shared" si="108"/>
        <v>#N/A</v>
      </c>
      <c r="AB334" s="156">
        <f t="shared" si="110"/>
        <v>0</v>
      </c>
      <c r="AC334" s="121" t="str">
        <f t="shared" si="109"/>
        <v/>
      </c>
      <c r="AE334" s="121" t="str">
        <f t="shared" si="111"/>
        <v/>
      </c>
      <c r="AF334" s="111" t="str">
        <f t="shared" si="112"/>
        <v/>
      </c>
    </row>
    <row r="335" spans="1:32">
      <c r="A335" s="159"/>
      <c r="B335" s="160"/>
      <c r="C335" s="5"/>
      <c r="D335" s="5"/>
      <c r="E335" s="5"/>
      <c r="F335" s="5"/>
      <c r="G335" s="5"/>
      <c r="H335" s="5"/>
      <c r="I335" s="5"/>
      <c r="J335" s="5"/>
      <c r="K335" s="5"/>
      <c r="L335" s="5"/>
      <c r="M335" s="5"/>
      <c r="N335" s="5"/>
      <c r="O335" s="5"/>
      <c r="P335" s="5"/>
      <c r="Q335" s="5"/>
      <c r="R335" s="5"/>
      <c r="S335" s="5"/>
      <c r="T335" s="5"/>
      <c r="U335" s="5"/>
      <c r="V335" s="7"/>
      <c r="W335" s="7"/>
      <c r="X335" s="164" t="e">
        <f t="shared" si="107"/>
        <v>#N/A</v>
      </c>
      <c r="Y335" s="164" t="e">
        <f t="shared" si="108"/>
        <v>#N/A</v>
      </c>
      <c r="AB335" s="156">
        <f t="shared" si="110"/>
        <v>0</v>
      </c>
      <c r="AC335" s="121" t="str">
        <f t="shared" si="109"/>
        <v/>
      </c>
      <c r="AE335" s="121" t="str">
        <f t="shared" si="111"/>
        <v/>
      </c>
      <c r="AF335" s="111" t="str">
        <f t="shared" si="112"/>
        <v/>
      </c>
    </row>
    <row r="336" spans="1:32">
      <c r="A336" s="159"/>
      <c r="B336" s="160"/>
      <c r="C336" s="5"/>
      <c r="D336" s="5"/>
      <c r="E336" s="5"/>
      <c r="F336" s="5"/>
      <c r="G336" s="5"/>
      <c r="H336" s="5"/>
      <c r="I336" s="5"/>
      <c r="J336" s="5"/>
      <c r="K336" s="5"/>
      <c r="L336" s="5"/>
      <c r="M336" s="5"/>
      <c r="N336" s="5"/>
      <c r="O336" s="5"/>
      <c r="P336" s="5"/>
      <c r="Q336" s="5"/>
      <c r="R336" s="5"/>
      <c r="S336" s="5"/>
      <c r="T336" s="5"/>
      <c r="U336" s="5"/>
      <c r="V336" s="7"/>
      <c r="W336" s="7"/>
      <c r="X336" s="164" t="e">
        <f t="shared" si="107"/>
        <v>#N/A</v>
      </c>
      <c r="Y336" s="164" t="e">
        <f t="shared" si="108"/>
        <v>#N/A</v>
      </c>
      <c r="AB336" s="156">
        <f t="shared" si="110"/>
        <v>0</v>
      </c>
      <c r="AC336" s="121" t="str">
        <f t="shared" si="109"/>
        <v/>
      </c>
      <c r="AE336" s="121" t="str">
        <f t="shared" si="111"/>
        <v/>
      </c>
      <c r="AF336" s="111" t="str">
        <f t="shared" si="112"/>
        <v/>
      </c>
    </row>
    <row r="337" spans="1:32">
      <c r="A337" s="159"/>
      <c r="B337" s="160"/>
      <c r="C337" s="5"/>
      <c r="D337" s="5"/>
      <c r="E337" s="5"/>
      <c r="F337" s="5"/>
      <c r="G337" s="5"/>
      <c r="H337" s="5"/>
      <c r="I337" s="5"/>
      <c r="J337" s="5"/>
      <c r="K337" s="5"/>
      <c r="L337" s="5"/>
      <c r="M337" s="5"/>
      <c r="N337" s="5"/>
      <c r="O337" s="5"/>
      <c r="P337" s="5"/>
      <c r="Q337" s="5"/>
      <c r="R337" s="5"/>
      <c r="S337" s="5"/>
      <c r="T337" s="5"/>
      <c r="U337" s="5"/>
      <c r="V337" s="7"/>
      <c r="W337" s="7"/>
      <c r="X337" s="164" t="e">
        <f t="shared" si="107"/>
        <v>#N/A</v>
      </c>
      <c r="Y337" s="164" t="e">
        <f t="shared" si="108"/>
        <v>#N/A</v>
      </c>
      <c r="AB337" s="156">
        <f t="shared" si="110"/>
        <v>0</v>
      </c>
      <c r="AC337" s="121" t="str">
        <f t="shared" si="109"/>
        <v/>
      </c>
      <c r="AE337" s="121" t="str">
        <f t="shared" si="111"/>
        <v/>
      </c>
      <c r="AF337" s="111" t="str">
        <f t="shared" si="112"/>
        <v/>
      </c>
    </row>
    <row r="338" spans="1:32">
      <c r="A338" s="159"/>
      <c r="B338" s="160"/>
      <c r="C338" s="5"/>
      <c r="D338" s="5"/>
      <c r="E338" s="5"/>
      <c r="F338" s="5"/>
      <c r="G338" s="5"/>
      <c r="H338" s="5"/>
      <c r="I338" s="5"/>
      <c r="J338" s="5"/>
      <c r="K338" s="5"/>
      <c r="L338" s="5"/>
      <c r="M338" s="5"/>
      <c r="N338" s="5"/>
      <c r="O338" s="5"/>
      <c r="P338" s="5"/>
      <c r="Q338" s="5"/>
      <c r="R338" s="5"/>
      <c r="S338" s="5"/>
      <c r="T338" s="5"/>
      <c r="U338" s="5"/>
      <c r="V338" s="7"/>
      <c r="W338" s="7"/>
      <c r="X338" s="164" t="e">
        <f t="shared" si="107"/>
        <v>#N/A</v>
      </c>
      <c r="Y338" s="164" t="e">
        <f t="shared" si="108"/>
        <v>#N/A</v>
      </c>
      <c r="AB338" s="156">
        <f t="shared" si="110"/>
        <v>0</v>
      </c>
      <c r="AC338" s="121" t="str">
        <f t="shared" si="109"/>
        <v/>
      </c>
      <c r="AE338" s="121" t="str">
        <f t="shared" si="111"/>
        <v/>
      </c>
      <c r="AF338" s="111" t="str">
        <f t="shared" si="112"/>
        <v/>
      </c>
    </row>
    <row r="339" spans="1:32">
      <c r="A339" s="159"/>
      <c r="B339" s="160"/>
      <c r="C339" s="5"/>
      <c r="D339" s="5"/>
      <c r="E339" s="5"/>
      <c r="F339" s="5"/>
      <c r="G339" s="5"/>
      <c r="H339" s="5"/>
      <c r="I339" s="5"/>
      <c r="J339" s="5"/>
      <c r="K339" s="5"/>
      <c r="L339" s="5"/>
      <c r="M339" s="5"/>
      <c r="N339" s="5"/>
      <c r="O339" s="5"/>
      <c r="P339" s="5"/>
      <c r="Q339" s="5"/>
      <c r="R339" s="5"/>
      <c r="S339" s="5"/>
      <c r="T339" s="5"/>
      <c r="U339" s="5"/>
      <c r="V339" s="7"/>
      <c r="W339" s="7"/>
      <c r="X339" s="164" t="e">
        <f t="shared" si="107"/>
        <v>#N/A</v>
      </c>
      <c r="Y339" s="164" t="e">
        <f t="shared" si="108"/>
        <v>#N/A</v>
      </c>
      <c r="AB339" s="156">
        <f t="shared" si="110"/>
        <v>0</v>
      </c>
      <c r="AC339" s="121" t="str">
        <f t="shared" si="109"/>
        <v/>
      </c>
      <c r="AE339" s="121" t="str">
        <f t="shared" si="111"/>
        <v/>
      </c>
      <c r="AF339" s="111" t="str">
        <f t="shared" si="112"/>
        <v/>
      </c>
    </row>
    <row r="340" spans="1:32">
      <c r="A340" s="159"/>
      <c r="B340" s="160"/>
      <c r="C340" s="5"/>
      <c r="D340" s="5"/>
      <c r="E340" s="5"/>
      <c r="F340" s="5"/>
      <c r="G340" s="5"/>
      <c r="H340" s="5"/>
      <c r="I340" s="5"/>
      <c r="J340" s="5"/>
      <c r="K340" s="5"/>
      <c r="L340" s="5"/>
      <c r="M340" s="5"/>
      <c r="N340" s="5"/>
      <c r="O340" s="5"/>
      <c r="P340" s="5"/>
      <c r="Q340" s="5"/>
      <c r="R340" s="5"/>
      <c r="S340" s="5"/>
      <c r="T340" s="5"/>
      <c r="U340" s="5"/>
      <c r="V340" s="7"/>
      <c r="W340" s="7"/>
      <c r="X340" s="164" t="e">
        <f t="shared" si="107"/>
        <v>#N/A</v>
      </c>
      <c r="Y340" s="164" t="e">
        <f t="shared" si="108"/>
        <v>#N/A</v>
      </c>
      <c r="AB340" s="156">
        <f t="shared" si="110"/>
        <v>0</v>
      </c>
      <c r="AC340" s="121" t="str">
        <f t="shared" si="109"/>
        <v/>
      </c>
      <c r="AE340" s="121" t="str">
        <f t="shared" si="111"/>
        <v/>
      </c>
      <c r="AF340" s="111" t="str">
        <f t="shared" si="112"/>
        <v/>
      </c>
    </row>
    <row r="341" spans="1:32">
      <c r="A341" s="159"/>
      <c r="B341" s="160"/>
      <c r="C341" s="5"/>
      <c r="D341" s="5"/>
      <c r="E341" s="5"/>
      <c r="F341" s="5"/>
      <c r="G341" s="5"/>
      <c r="H341" s="5"/>
      <c r="I341" s="5"/>
      <c r="J341" s="5"/>
      <c r="K341" s="5"/>
      <c r="L341" s="5"/>
      <c r="M341" s="5"/>
      <c r="N341" s="5"/>
      <c r="O341" s="5"/>
      <c r="P341" s="5"/>
      <c r="Q341" s="5"/>
      <c r="R341" s="5"/>
      <c r="S341" s="5"/>
      <c r="T341" s="5"/>
      <c r="U341" s="5"/>
      <c r="V341" s="7"/>
      <c r="W341" s="7"/>
      <c r="X341" s="164" t="e">
        <f t="shared" si="107"/>
        <v>#N/A</v>
      </c>
      <c r="Y341" s="164" t="e">
        <f t="shared" si="108"/>
        <v>#N/A</v>
      </c>
      <c r="AB341" s="156">
        <f t="shared" si="110"/>
        <v>0</v>
      </c>
      <c r="AC341" s="121" t="str">
        <f t="shared" si="109"/>
        <v/>
      </c>
      <c r="AE341" s="121" t="str">
        <f t="shared" si="111"/>
        <v/>
      </c>
      <c r="AF341" s="111" t="str">
        <f t="shared" si="112"/>
        <v/>
      </c>
    </row>
    <row r="342" spans="1:32">
      <c r="A342" s="159"/>
      <c r="B342" s="160"/>
      <c r="C342" s="5"/>
      <c r="D342" s="5"/>
      <c r="E342" s="5"/>
      <c r="F342" s="5"/>
      <c r="G342" s="5"/>
      <c r="H342" s="5"/>
      <c r="I342" s="5"/>
      <c r="J342" s="5"/>
      <c r="K342" s="5"/>
      <c r="L342" s="5"/>
      <c r="M342" s="5"/>
      <c r="N342" s="5"/>
      <c r="O342" s="5"/>
      <c r="P342" s="5"/>
      <c r="Q342" s="5"/>
      <c r="R342" s="5"/>
      <c r="S342" s="5"/>
      <c r="T342" s="5"/>
      <c r="U342" s="5"/>
      <c r="V342" s="7"/>
      <c r="W342" s="7"/>
      <c r="X342" s="164" t="e">
        <f t="shared" si="107"/>
        <v>#N/A</v>
      </c>
      <c r="Y342" s="164" t="e">
        <f t="shared" si="108"/>
        <v>#N/A</v>
      </c>
      <c r="AB342" s="156">
        <f t="shared" si="110"/>
        <v>0</v>
      </c>
      <c r="AC342" s="121" t="str">
        <f t="shared" si="109"/>
        <v/>
      </c>
      <c r="AE342" s="121" t="str">
        <f t="shared" si="111"/>
        <v/>
      </c>
      <c r="AF342" s="111" t="str">
        <f t="shared" si="112"/>
        <v/>
      </c>
    </row>
    <row r="343" spans="1:32">
      <c r="A343" s="159"/>
      <c r="B343" s="160"/>
      <c r="C343" s="5"/>
      <c r="D343" s="5"/>
      <c r="E343" s="5"/>
      <c r="F343" s="5"/>
      <c r="G343" s="5"/>
      <c r="H343" s="5"/>
      <c r="I343" s="5"/>
      <c r="J343" s="5"/>
      <c r="K343" s="5"/>
      <c r="L343" s="5"/>
      <c r="M343" s="5"/>
      <c r="N343" s="5"/>
      <c r="O343" s="5"/>
      <c r="P343" s="5"/>
      <c r="Q343" s="5"/>
      <c r="R343" s="5"/>
      <c r="S343" s="5"/>
      <c r="T343" s="5"/>
      <c r="U343" s="5"/>
      <c r="V343" s="7"/>
      <c r="W343" s="7"/>
      <c r="X343" s="164" t="e">
        <f t="shared" si="107"/>
        <v>#N/A</v>
      </c>
      <c r="Y343" s="164" t="e">
        <f t="shared" si="108"/>
        <v>#N/A</v>
      </c>
      <c r="AB343" s="156">
        <f t="shared" si="110"/>
        <v>0</v>
      </c>
      <c r="AC343" s="121" t="str">
        <f t="shared" si="109"/>
        <v/>
      </c>
      <c r="AE343" s="121" t="str">
        <f t="shared" si="111"/>
        <v/>
      </c>
      <c r="AF343" s="111" t="str">
        <f t="shared" si="112"/>
        <v/>
      </c>
    </row>
    <row r="344" spans="1:32">
      <c r="A344" s="159"/>
      <c r="B344" s="160"/>
      <c r="C344" s="5"/>
      <c r="D344" s="5"/>
      <c r="E344" s="5"/>
      <c r="F344" s="5"/>
      <c r="G344" s="5"/>
      <c r="H344" s="5"/>
      <c r="I344" s="5"/>
      <c r="J344" s="5"/>
      <c r="K344" s="5"/>
      <c r="L344" s="5"/>
      <c r="M344" s="5"/>
      <c r="N344" s="5"/>
      <c r="O344" s="5"/>
      <c r="P344" s="5"/>
      <c r="Q344" s="5"/>
      <c r="R344" s="5"/>
      <c r="S344" s="5"/>
      <c r="T344" s="5"/>
      <c r="U344" s="5"/>
      <c r="V344" s="7"/>
      <c r="W344" s="7"/>
      <c r="X344" s="164" t="e">
        <f t="shared" si="107"/>
        <v>#N/A</v>
      </c>
      <c r="Y344" s="164" t="e">
        <f t="shared" si="108"/>
        <v>#N/A</v>
      </c>
      <c r="AB344" s="156">
        <f t="shared" si="110"/>
        <v>0</v>
      </c>
      <c r="AC344" s="121" t="str">
        <f t="shared" si="109"/>
        <v/>
      </c>
      <c r="AE344" s="121" t="str">
        <f t="shared" si="111"/>
        <v/>
      </c>
      <c r="AF344" s="111" t="str">
        <f t="shared" si="112"/>
        <v/>
      </c>
    </row>
    <row r="345" spans="1:32">
      <c r="A345" s="159"/>
      <c r="B345" s="160"/>
      <c r="C345" s="5"/>
      <c r="D345" s="5"/>
      <c r="E345" s="5"/>
      <c r="F345" s="5"/>
      <c r="G345" s="5"/>
      <c r="H345" s="5"/>
      <c r="I345" s="5"/>
      <c r="J345" s="5"/>
      <c r="K345" s="5"/>
      <c r="L345" s="5"/>
      <c r="M345" s="5"/>
      <c r="N345" s="5"/>
      <c r="O345" s="5"/>
      <c r="P345" s="5"/>
      <c r="Q345" s="5"/>
      <c r="R345" s="5"/>
      <c r="S345" s="5"/>
      <c r="T345" s="5"/>
      <c r="U345" s="5"/>
      <c r="V345" s="7"/>
      <c r="W345" s="7"/>
      <c r="X345" s="164" t="e">
        <f t="shared" si="107"/>
        <v>#N/A</v>
      </c>
      <c r="Y345" s="164" t="e">
        <f t="shared" si="108"/>
        <v>#N/A</v>
      </c>
      <c r="AB345" s="156">
        <f t="shared" si="110"/>
        <v>0</v>
      </c>
      <c r="AC345" s="121" t="str">
        <f t="shared" si="109"/>
        <v/>
      </c>
      <c r="AE345" s="121" t="str">
        <f t="shared" si="111"/>
        <v/>
      </c>
      <c r="AF345" s="111" t="str">
        <f t="shared" si="112"/>
        <v/>
      </c>
    </row>
    <row r="346" spans="1:32">
      <c r="A346" s="159"/>
      <c r="B346" s="160"/>
      <c r="C346" s="5"/>
      <c r="D346" s="5"/>
      <c r="E346" s="5"/>
      <c r="F346" s="5"/>
      <c r="G346" s="5"/>
      <c r="H346" s="5"/>
      <c r="I346" s="5"/>
      <c r="J346" s="5"/>
      <c r="K346" s="5"/>
      <c r="L346" s="5"/>
      <c r="M346" s="5"/>
      <c r="N346" s="5"/>
      <c r="O346" s="5"/>
      <c r="P346" s="5"/>
      <c r="Q346" s="5"/>
      <c r="R346" s="5"/>
      <c r="S346" s="5"/>
      <c r="T346" s="5"/>
      <c r="U346" s="5"/>
      <c r="V346" s="7"/>
      <c r="W346" s="7"/>
      <c r="X346" s="164" t="e">
        <f t="shared" si="107"/>
        <v>#N/A</v>
      </c>
      <c r="Y346" s="164" t="e">
        <f t="shared" si="108"/>
        <v>#N/A</v>
      </c>
      <c r="AB346" s="156">
        <f t="shared" si="110"/>
        <v>0</v>
      </c>
      <c r="AC346" s="121" t="str">
        <f t="shared" si="109"/>
        <v/>
      </c>
      <c r="AE346" s="121" t="str">
        <f t="shared" si="111"/>
        <v/>
      </c>
      <c r="AF346" s="111" t="str">
        <f t="shared" si="112"/>
        <v/>
      </c>
    </row>
    <row r="347" spans="1:32">
      <c r="A347" s="159"/>
      <c r="B347" s="160"/>
      <c r="C347" s="5"/>
      <c r="D347" s="5"/>
      <c r="E347" s="5"/>
      <c r="F347" s="5"/>
      <c r="G347" s="5"/>
      <c r="H347" s="5"/>
      <c r="I347" s="5"/>
      <c r="J347" s="5"/>
      <c r="K347" s="5"/>
      <c r="L347" s="5"/>
      <c r="M347" s="5"/>
      <c r="N347" s="5"/>
      <c r="O347" s="5"/>
      <c r="P347" s="5"/>
      <c r="Q347" s="5"/>
      <c r="R347" s="5"/>
      <c r="S347" s="5"/>
      <c r="T347" s="5"/>
      <c r="U347" s="5"/>
      <c r="V347" s="7"/>
      <c r="W347" s="7"/>
      <c r="X347" s="164" t="e">
        <f t="shared" si="107"/>
        <v>#N/A</v>
      </c>
      <c r="Y347" s="164" t="e">
        <f t="shared" si="108"/>
        <v>#N/A</v>
      </c>
      <c r="AB347" s="156">
        <f t="shared" si="110"/>
        <v>0</v>
      </c>
      <c r="AC347" s="121" t="str">
        <f t="shared" si="109"/>
        <v/>
      </c>
      <c r="AE347" s="121" t="str">
        <f t="shared" si="111"/>
        <v/>
      </c>
      <c r="AF347" s="111" t="str">
        <f t="shared" si="112"/>
        <v/>
      </c>
    </row>
    <row r="348" spans="1:32">
      <c r="A348" s="159"/>
      <c r="B348" s="160"/>
      <c r="C348" s="5"/>
      <c r="D348" s="5"/>
      <c r="E348" s="5"/>
      <c r="F348" s="5"/>
      <c r="G348" s="5"/>
      <c r="H348" s="5"/>
      <c r="I348" s="5"/>
      <c r="J348" s="5"/>
      <c r="K348" s="5"/>
      <c r="L348" s="5"/>
      <c r="M348" s="5"/>
      <c r="N348" s="5"/>
      <c r="O348" s="5"/>
      <c r="P348" s="5"/>
      <c r="Q348" s="5"/>
      <c r="R348" s="5"/>
      <c r="S348" s="5"/>
      <c r="T348" s="5"/>
      <c r="U348" s="5"/>
      <c r="V348" s="7"/>
      <c r="W348" s="7"/>
      <c r="X348" s="164" t="e">
        <f t="shared" si="107"/>
        <v>#N/A</v>
      </c>
      <c r="Y348" s="164" t="e">
        <f t="shared" si="108"/>
        <v>#N/A</v>
      </c>
      <c r="AB348" s="156">
        <f t="shared" si="110"/>
        <v>0</v>
      </c>
      <c r="AC348" s="121" t="str">
        <f t="shared" si="109"/>
        <v/>
      </c>
      <c r="AE348" s="121" t="str">
        <f t="shared" si="111"/>
        <v/>
      </c>
      <c r="AF348" s="111" t="str">
        <f t="shared" si="112"/>
        <v/>
      </c>
    </row>
    <row r="349" spans="1:32">
      <c r="A349" s="159"/>
      <c r="B349" s="160"/>
      <c r="C349" s="5"/>
      <c r="D349" s="5"/>
      <c r="E349" s="5"/>
      <c r="F349" s="5"/>
      <c r="G349" s="5"/>
      <c r="H349" s="5"/>
      <c r="I349" s="5"/>
      <c r="J349" s="5"/>
      <c r="K349" s="5"/>
      <c r="L349" s="5"/>
      <c r="M349" s="5"/>
      <c r="N349" s="5"/>
      <c r="O349" s="5"/>
      <c r="P349" s="5"/>
      <c r="Q349" s="5"/>
      <c r="R349" s="5"/>
      <c r="S349" s="5"/>
      <c r="T349" s="5"/>
      <c r="U349" s="5"/>
      <c r="V349" s="7"/>
      <c r="W349" s="7"/>
      <c r="X349" s="164" t="e">
        <f t="shared" si="107"/>
        <v>#N/A</v>
      </c>
      <c r="Y349" s="164" t="e">
        <f t="shared" si="108"/>
        <v>#N/A</v>
      </c>
      <c r="AB349" s="156">
        <f t="shared" si="110"/>
        <v>0</v>
      </c>
      <c r="AC349" s="121" t="str">
        <f t="shared" si="109"/>
        <v/>
      </c>
      <c r="AE349" s="121" t="str">
        <f t="shared" si="111"/>
        <v/>
      </c>
      <c r="AF349" s="111" t="str">
        <f t="shared" si="112"/>
        <v/>
      </c>
    </row>
    <row r="350" spans="1:32">
      <c r="A350" s="159"/>
      <c r="B350" s="160"/>
      <c r="C350" s="5"/>
      <c r="D350" s="5"/>
      <c r="E350" s="5"/>
      <c r="F350" s="5"/>
      <c r="G350" s="5"/>
      <c r="H350" s="5"/>
      <c r="I350" s="5"/>
      <c r="J350" s="5"/>
      <c r="K350" s="5"/>
      <c r="L350" s="5"/>
      <c r="M350" s="5"/>
      <c r="N350" s="5"/>
      <c r="O350" s="5"/>
      <c r="P350" s="5"/>
      <c r="Q350" s="5"/>
      <c r="R350" s="5"/>
      <c r="S350" s="5"/>
      <c r="T350" s="5"/>
      <c r="U350" s="5"/>
      <c r="V350" s="7"/>
      <c r="W350" s="7"/>
      <c r="X350" s="164" t="e">
        <f t="shared" si="107"/>
        <v>#N/A</v>
      </c>
      <c r="Y350" s="164" t="e">
        <f t="shared" si="108"/>
        <v>#N/A</v>
      </c>
      <c r="AB350" s="156">
        <f t="shared" si="110"/>
        <v>0</v>
      </c>
      <c r="AC350" s="121" t="str">
        <f t="shared" si="109"/>
        <v/>
      </c>
      <c r="AE350" s="121" t="str">
        <f t="shared" si="111"/>
        <v/>
      </c>
      <c r="AF350" s="111" t="str">
        <f t="shared" si="112"/>
        <v/>
      </c>
    </row>
    <row r="351" spans="1:32">
      <c r="A351" s="159"/>
      <c r="B351" s="160"/>
      <c r="C351" s="5"/>
      <c r="D351" s="5"/>
      <c r="E351" s="5"/>
      <c r="F351" s="5"/>
      <c r="G351" s="5"/>
      <c r="H351" s="5"/>
      <c r="I351" s="5"/>
      <c r="J351" s="5"/>
      <c r="K351" s="5"/>
      <c r="L351" s="5"/>
      <c r="M351" s="5"/>
      <c r="N351" s="5"/>
      <c r="O351" s="5"/>
      <c r="P351" s="5"/>
      <c r="Q351" s="5"/>
      <c r="R351" s="5"/>
      <c r="S351" s="5"/>
      <c r="T351" s="5"/>
      <c r="U351" s="5"/>
      <c r="V351" s="7"/>
      <c r="W351" s="7"/>
      <c r="X351" s="164" t="e">
        <f t="shared" si="107"/>
        <v>#N/A</v>
      </c>
      <c r="Y351" s="164" t="e">
        <f t="shared" si="108"/>
        <v>#N/A</v>
      </c>
      <c r="AB351" s="156">
        <f t="shared" si="110"/>
        <v>0</v>
      </c>
      <c r="AC351" s="121" t="str">
        <f t="shared" si="109"/>
        <v/>
      </c>
      <c r="AE351" s="121" t="str">
        <f t="shared" si="111"/>
        <v/>
      </c>
      <c r="AF351" s="111" t="str">
        <f t="shared" si="112"/>
        <v/>
      </c>
    </row>
    <row r="352" spans="1:32">
      <c r="A352" s="159"/>
      <c r="B352" s="160"/>
      <c r="C352" s="5"/>
      <c r="D352" s="5"/>
      <c r="E352" s="5"/>
      <c r="F352" s="5"/>
      <c r="G352" s="5"/>
      <c r="H352" s="5"/>
      <c r="I352" s="5"/>
      <c r="J352" s="5"/>
      <c r="K352" s="5"/>
      <c r="L352" s="5"/>
      <c r="M352" s="5"/>
      <c r="N352" s="5"/>
      <c r="O352" s="5"/>
      <c r="P352" s="5"/>
      <c r="Q352" s="5"/>
      <c r="R352" s="5"/>
      <c r="S352" s="5"/>
      <c r="T352" s="5"/>
      <c r="U352" s="5"/>
      <c r="V352" s="7"/>
      <c r="W352" s="7"/>
      <c r="X352" s="164" t="e">
        <f t="shared" si="107"/>
        <v>#N/A</v>
      </c>
      <c r="Y352" s="164" t="e">
        <f t="shared" si="108"/>
        <v>#N/A</v>
      </c>
      <c r="AB352" s="156">
        <f t="shared" si="110"/>
        <v>0</v>
      </c>
      <c r="AC352" s="121" t="str">
        <f t="shared" si="109"/>
        <v/>
      </c>
      <c r="AE352" s="121" t="str">
        <f t="shared" si="111"/>
        <v/>
      </c>
      <c r="AF352" s="111" t="str">
        <f t="shared" si="112"/>
        <v/>
      </c>
    </row>
    <row r="353" spans="1:32">
      <c r="A353" s="159"/>
      <c r="B353" s="160"/>
      <c r="C353" s="5"/>
      <c r="D353" s="5"/>
      <c r="E353" s="5"/>
      <c r="F353" s="5"/>
      <c r="G353" s="5"/>
      <c r="H353" s="5"/>
      <c r="I353" s="5"/>
      <c r="J353" s="5"/>
      <c r="K353" s="5"/>
      <c r="L353" s="5"/>
      <c r="M353" s="5"/>
      <c r="N353" s="5"/>
      <c r="O353" s="5"/>
      <c r="P353" s="5"/>
      <c r="Q353" s="5"/>
      <c r="R353" s="5"/>
      <c r="S353" s="5"/>
      <c r="T353" s="5"/>
      <c r="U353" s="5"/>
      <c r="V353" s="7"/>
      <c r="W353" s="7"/>
      <c r="X353" s="164" t="e">
        <f t="shared" si="107"/>
        <v>#N/A</v>
      </c>
      <c r="Y353" s="164" t="e">
        <f t="shared" si="108"/>
        <v>#N/A</v>
      </c>
      <c r="AB353" s="156">
        <f t="shared" si="110"/>
        <v>0</v>
      </c>
      <c r="AC353" s="121" t="str">
        <f t="shared" si="109"/>
        <v/>
      </c>
      <c r="AE353" s="121" t="str">
        <f t="shared" si="111"/>
        <v/>
      </c>
      <c r="AF353" s="111" t="str">
        <f t="shared" si="112"/>
        <v/>
      </c>
    </row>
    <row r="354" spans="1:32">
      <c r="A354" s="159"/>
      <c r="B354" s="160"/>
      <c r="C354" s="5"/>
      <c r="D354" s="5"/>
      <c r="E354" s="5"/>
      <c r="F354" s="5"/>
      <c r="G354" s="5"/>
      <c r="H354" s="5"/>
      <c r="I354" s="5"/>
      <c r="J354" s="5"/>
      <c r="K354" s="5"/>
      <c r="L354" s="5"/>
      <c r="M354" s="5"/>
      <c r="N354" s="5"/>
      <c r="O354" s="5"/>
      <c r="P354" s="5"/>
      <c r="Q354" s="5"/>
      <c r="R354" s="5"/>
      <c r="S354" s="5"/>
      <c r="T354" s="5"/>
      <c r="U354" s="5"/>
      <c r="V354" s="7"/>
      <c r="W354" s="7"/>
      <c r="X354" s="164" t="e">
        <f t="shared" si="107"/>
        <v>#N/A</v>
      </c>
      <c r="Y354" s="164" t="e">
        <f t="shared" si="108"/>
        <v>#N/A</v>
      </c>
      <c r="AB354" s="156">
        <f t="shared" si="110"/>
        <v>0</v>
      </c>
      <c r="AC354" s="121" t="str">
        <f t="shared" si="109"/>
        <v/>
      </c>
      <c r="AE354" s="121" t="str">
        <f t="shared" si="111"/>
        <v/>
      </c>
      <c r="AF354" s="111" t="str">
        <f t="shared" si="112"/>
        <v/>
      </c>
    </row>
    <row r="355" spans="1:32">
      <c r="A355" s="159"/>
      <c r="B355" s="160"/>
      <c r="C355" s="5"/>
      <c r="D355" s="5"/>
      <c r="E355" s="5"/>
      <c r="F355" s="5"/>
      <c r="G355" s="5"/>
      <c r="H355" s="5"/>
      <c r="I355" s="5"/>
      <c r="J355" s="5"/>
      <c r="K355" s="5"/>
      <c r="L355" s="5"/>
      <c r="M355" s="5"/>
      <c r="N355" s="5"/>
      <c r="O355" s="5"/>
      <c r="P355" s="5"/>
      <c r="Q355" s="5"/>
      <c r="R355" s="5"/>
      <c r="S355" s="5"/>
      <c r="T355" s="5"/>
      <c r="U355" s="5"/>
      <c r="V355" s="7"/>
      <c r="W355" s="7"/>
      <c r="X355" s="164" t="e">
        <f t="shared" si="107"/>
        <v>#N/A</v>
      </c>
      <c r="Y355" s="164" t="e">
        <f t="shared" si="108"/>
        <v>#N/A</v>
      </c>
      <c r="AB355" s="156">
        <f t="shared" si="110"/>
        <v>0</v>
      </c>
      <c r="AC355" s="121" t="str">
        <f t="shared" si="109"/>
        <v/>
      </c>
      <c r="AE355" s="121" t="str">
        <f t="shared" si="111"/>
        <v/>
      </c>
      <c r="AF355" s="111" t="str">
        <f t="shared" si="112"/>
        <v/>
      </c>
    </row>
    <row r="356" spans="1:32">
      <c r="A356" s="159"/>
      <c r="B356" s="160"/>
      <c r="C356" s="5"/>
      <c r="D356" s="5"/>
      <c r="E356" s="5"/>
      <c r="F356" s="5"/>
      <c r="G356" s="5"/>
      <c r="H356" s="5"/>
      <c r="I356" s="5"/>
      <c r="J356" s="5"/>
      <c r="K356" s="5"/>
      <c r="L356" s="5"/>
      <c r="M356" s="5"/>
      <c r="N356" s="5"/>
      <c r="O356" s="5"/>
      <c r="P356" s="5"/>
      <c r="Q356" s="5"/>
      <c r="R356" s="5"/>
      <c r="S356" s="5"/>
      <c r="T356" s="5"/>
      <c r="U356" s="5"/>
      <c r="V356" s="7"/>
      <c r="W356" s="7"/>
      <c r="X356" s="164" t="e">
        <f t="shared" si="107"/>
        <v>#N/A</v>
      </c>
      <c r="Y356" s="164" t="e">
        <f t="shared" si="108"/>
        <v>#N/A</v>
      </c>
      <c r="AB356" s="156">
        <f t="shared" si="110"/>
        <v>0</v>
      </c>
      <c r="AC356" s="121" t="str">
        <f t="shared" si="109"/>
        <v/>
      </c>
      <c r="AE356" s="121" t="str">
        <f t="shared" si="111"/>
        <v/>
      </c>
      <c r="AF356" s="111" t="str">
        <f t="shared" si="112"/>
        <v/>
      </c>
    </row>
    <row r="357" spans="1:32">
      <c r="A357" s="159"/>
      <c r="B357" s="160"/>
      <c r="C357" s="5"/>
      <c r="D357" s="5"/>
      <c r="E357" s="5"/>
      <c r="F357" s="5"/>
      <c r="G357" s="5"/>
      <c r="H357" s="5"/>
      <c r="I357" s="5"/>
      <c r="J357" s="5"/>
      <c r="K357" s="5"/>
      <c r="L357" s="5"/>
      <c r="M357" s="5"/>
      <c r="N357" s="5"/>
      <c r="O357" s="5"/>
      <c r="P357" s="5"/>
      <c r="Q357" s="5"/>
      <c r="R357" s="5"/>
      <c r="S357" s="5"/>
      <c r="T357" s="5"/>
      <c r="U357" s="5"/>
      <c r="V357" s="7"/>
      <c r="W357" s="7"/>
      <c r="X357" s="164" t="e">
        <f t="shared" si="107"/>
        <v>#N/A</v>
      </c>
      <c r="Y357" s="164" t="e">
        <f t="shared" si="108"/>
        <v>#N/A</v>
      </c>
      <c r="AB357" s="156">
        <f t="shared" si="110"/>
        <v>0</v>
      </c>
      <c r="AC357" s="121" t="str">
        <f t="shared" si="109"/>
        <v/>
      </c>
      <c r="AE357" s="121" t="str">
        <f t="shared" si="111"/>
        <v/>
      </c>
      <c r="AF357" s="111" t="str">
        <f t="shared" si="112"/>
        <v/>
      </c>
    </row>
    <row r="358" spans="1:32">
      <c r="A358" s="159"/>
      <c r="B358" s="160"/>
      <c r="C358" s="5"/>
      <c r="D358" s="5"/>
      <c r="E358" s="5"/>
      <c r="F358" s="5"/>
      <c r="G358" s="5"/>
      <c r="H358" s="5"/>
      <c r="I358" s="5"/>
      <c r="J358" s="5"/>
      <c r="K358" s="5"/>
      <c r="L358" s="5"/>
      <c r="M358" s="5"/>
      <c r="N358" s="5"/>
      <c r="O358" s="5"/>
      <c r="P358" s="5"/>
      <c r="Q358" s="5"/>
      <c r="R358" s="5"/>
      <c r="S358" s="5"/>
      <c r="T358" s="5"/>
      <c r="U358" s="5"/>
      <c r="V358" s="7"/>
      <c r="W358" s="7"/>
      <c r="X358" s="164" t="e">
        <f t="shared" si="107"/>
        <v>#N/A</v>
      </c>
      <c r="Y358" s="164" t="e">
        <f t="shared" si="108"/>
        <v>#N/A</v>
      </c>
      <c r="AB358" s="156">
        <f t="shared" si="110"/>
        <v>0</v>
      </c>
      <c r="AC358" s="121" t="str">
        <f t="shared" si="109"/>
        <v/>
      </c>
      <c r="AE358" s="121" t="str">
        <f t="shared" si="111"/>
        <v/>
      </c>
      <c r="AF358" s="111" t="str">
        <f t="shared" si="112"/>
        <v/>
      </c>
    </row>
    <row r="359" spans="1:32">
      <c r="A359" s="159"/>
      <c r="B359" s="160"/>
      <c r="C359" s="5"/>
      <c r="D359" s="5"/>
      <c r="E359" s="5"/>
      <c r="F359" s="5"/>
      <c r="G359" s="5"/>
      <c r="H359" s="5"/>
      <c r="I359" s="5"/>
      <c r="J359" s="5"/>
      <c r="K359" s="5"/>
      <c r="L359" s="5"/>
      <c r="M359" s="5"/>
      <c r="N359" s="5"/>
      <c r="O359" s="5"/>
      <c r="P359" s="5"/>
      <c r="Q359" s="5"/>
      <c r="R359" s="5"/>
      <c r="S359" s="5"/>
      <c r="T359" s="5"/>
      <c r="U359" s="5"/>
      <c r="V359" s="7"/>
      <c r="W359" s="7"/>
      <c r="X359" s="164" t="e">
        <f t="shared" si="107"/>
        <v>#N/A</v>
      </c>
      <c r="Y359" s="164" t="e">
        <f t="shared" si="108"/>
        <v>#N/A</v>
      </c>
      <c r="AB359" s="156">
        <f t="shared" si="110"/>
        <v>0</v>
      </c>
      <c r="AC359" s="121" t="str">
        <f t="shared" si="109"/>
        <v/>
      </c>
      <c r="AE359" s="121" t="str">
        <f t="shared" si="111"/>
        <v/>
      </c>
      <c r="AF359" s="111" t="str">
        <f t="shared" si="112"/>
        <v/>
      </c>
    </row>
    <row r="360" spans="1:32">
      <c r="A360" s="159"/>
      <c r="B360" s="160"/>
      <c r="C360" s="5"/>
      <c r="D360" s="5"/>
      <c r="E360" s="5"/>
      <c r="F360" s="5"/>
      <c r="G360" s="5"/>
      <c r="H360" s="5"/>
      <c r="I360" s="5"/>
      <c r="J360" s="5"/>
      <c r="K360" s="5"/>
      <c r="L360" s="5"/>
      <c r="M360" s="5"/>
      <c r="N360" s="5"/>
      <c r="O360" s="5"/>
      <c r="P360" s="5"/>
      <c r="Q360" s="5"/>
      <c r="R360" s="5"/>
      <c r="S360" s="5"/>
      <c r="T360" s="5"/>
      <c r="U360" s="5"/>
      <c r="V360" s="7"/>
      <c r="W360" s="7"/>
      <c r="X360" s="164" t="e">
        <f t="shared" si="107"/>
        <v>#N/A</v>
      </c>
      <c r="Y360" s="164" t="e">
        <f t="shared" si="108"/>
        <v>#N/A</v>
      </c>
      <c r="AB360" s="156">
        <f t="shared" si="110"/>
        <v>0</v>
      </c>
      <c r="AC360" s="121" t="str">
        <f t="shared" si="109"/>
        <v/>
      </c>
      <c r="AE360" s="121" t="str">
        <f t="shared" si="111"/>
        <v/>
      </c>
      <c r="AF360" s="111" t="str">
        <f t="shared" si="112"/>
        <v/>
      </c>
    </row>
    <row r="361" spans="1:32">
      <c r="A361" s="159"/>
      <c r="B361" s="160"/>
      <c r="C361" s="5"/>
      <c r="D361" s="5"/>
      <c r="E361" s="5"/>
      <c r="F361" s="5"/>
      <c r="G361" s="5"/>
      <c r="H361" s="5"/>
      <c r="I361" s="5"/>
      <c r="J361" s="5"/>
      <c r="K361" s="5"/>
      <c r="L361" s="5"/>
      <c r="M361" s="5"/>
      <c r="N361" s="5"/>
      <c r="O361" s="5"/>
      <c r="P361" s="5"/>
      <c r="Q361" s="5"/>
      <c r="R361" s="5"/>
      <c r="S361" s="5"/>
      <c r="T361" s="5"/>
      <c r="U361" s="5"/>
      <c r="V361" s="7"/>
      <c r="W361" s="7"/>
      <c r="X361" s="164" t="e">
        <f t="shared" si="107"/>
        <v>#N/A</v>
      </c>
      <c r="Y361" s="164" t="e">
        <f t="shared" si="108"/>
        <v>#N/A</v>
      </c>
      <c r="AB361" s="156">
        <f t="shared" si="110"/>
        <v>0</v>
      </c>
      <c r="AC361" s="121" t="str">
        <f t="shared" si="109"/>
        <v/>
      </c>
      <c r="AE361" s="121" t="str">
        <f t="shared" si="111"/>
        <v/>
      </c>
      <c r="AF361" s="111" t="str">
        <f t="shared" si="112"/>
        <v/>
      </c>
    </row>
    <row r="362" spans="1:32">
      <c r="A362" s="159"/>
      <c r="B362" s="160"/>
      <c r="C362" s="5"/>
      <c r="D362" s="5"/>
      <c r="E362" s="5"/>
      <c r="F362" s="5"/>
      <c r="G362" s="5"/>
      <c r="H362" s="5"/>
      <c r="I362" s="5"/>
      <c r="J362" s="5"/>
      <c r="K362" s="5"/>
      <c r="L362" s="5"/>
      <c r="M362" s="5"/>
      <c r="N362" s="5"/>
      <c r="O362" s="5"/>
      <c r="P362" s="5"/>
      <c r="Q362" s="5"/>
      <c r="R362" s="5"/>
      <c r="S362" s="5"/>
      <c r="T362" s="5"/>
      <c r="U362" s="5"/>
      <c r="V362" s="7"/>
      <c r="W362" s="7"/>
      <c r="X362" s="164" t="e">
        <f t="shared" si="107"/>
        <v>#N/A</v>
      </c>
      <c r="Y362" s="164" t="e">
        <f t="shared" si="108"/>
        <v>#N/A</v>
      </c>
      <c r="AB362" s="156">
        <f t="shared" si="110"/>
        <v>0</v>
      </c>
      <c r="AC362" s="121" t="str">
        <f t="shared" si="109"/>
        <v/>
      </c>
      <c r="AE362" s="121" t="str">
        <f t="shared" si="111"/>
        <v/>
      </c>
      <c r="AF362" s="111" t="str">
        <f t="shared" si="112"/>
        <v/>
      </c>
    </row>
    <row r="363" spans="1:32">
      <c r="A363" s="159"/>
      <c r="B363" s="160"/>
      <c r="C363" s="5"/>
      <c r="D363" s="5"/>
      <c r="E363" s="5"/>
      <c r="F363" s="5"/>
      <c r="G363" s="5"/>
      <c r="H363" s="5"/>
      <c r="I363" s="5"/>
      <c r="J363" s="5"/>
      <c r="K363" s="5"/>
      <c r="L363" s="5"/>
      <c r="M363" s="5"/>
      <c r="N363" s="5"/>
      <c r="O363" s="5"/>
      <c r="P363" s="5"/>
      <c r="Q363" s="5"/>
      <c r="R363" s="5"/>
      <c r="S363" s="5"/>
      <c r="T363" s="5"/>
      <c r="U363" s="5"/>
      <c r="V363" s="7"/>
      <c r="W363" s="7"/>
      <c r="X363" s="164" t="e">
        <f t="shared" si="107"/>
        <v>#N/A</v>
      </c>
      <c r="Y363" s="164" t="e">
        <f t="shared" si="108"/>
        <v>#N/A</v>
      </c>
      <c r="AB363" s="156">
        <f t="shared" si="110"/>
        <v>0</v>
      </c>
      <c r="AC363" s="121" t="str">
        <f t="shared" si="109"/>
        <v/>
      </c>
      <c r="AE363" s="121" t="str">
        <f t="shared" si="111"/>
        <v/>
      </c>
      <c r="AF363" s="111" t="str">
        <f t="shared" si="112"/>
        <v/>
      </c>
    </row>
    <row r="364" spans="1:32">
      <c r="A364" s="159"/>
      <c r="B364" s="160"/>
      <c r="C364" s="5"/>
      <c r="D364" s="5"/>
      <c r="E364" s="5"/>
      <c r="F364" s="5"/>
      <c r="G364" s="5"/>
      <c r="H364" s="5"/>
      <c r="I364" s="5"/>
      <c r="J364" s="5"/>
      <c r="K364" s="5"/>
      <c r="L364" s="5"/>
      <c r="M364" s="5"/>
      <c r="N364" s="5"/>
      <c r="O364" s="5"/>
      <c r="P364" s="5"/>
      <c r="Q364" s="5"/>
      <c r="R364" s="5"/>
      <c r="S364" s="5"/>
      <c r="T364" s="5"/>
      <c r="U364" s="5"/>
      <c r="V364" s="7"/>
      <c r="W364" s="7"/>
      <c r="X364" s="164" t="e">
        <f t="shared" si="107"/>
        <v>#N/A</v>
      </c>
      <c r="Y364" s="164" t="e">
        <f t="shared" si="108"/>
        <v>#N/A</v>
      </c>
      <c r="AB364" s="156">
        <f t="shared" si="110"/>
        <v>0</v>
      </c>
      <c r="AC364" s="121" t="str">
        <f t="shared" si="109"/>
        <v/>
      </c>
      <c r="AE364" s="121" t="str">
        <f t="shared" si="111"/>
        <v/>
      </c>
      <c r="AF364" s="111" t="str">
        <f t="shared" si="112"/>
        <v/>
      </c>
    </row>
    <row r="365" spans="1:32">
      <c r="A365" s="159"/>
      <c r="B365" s="160"/>
      <c r="C365" s="5"/>
      <c r="D365" s="5"/>
      <c r="E365" s="5"/>
      <c r="F365" s="5"/>
      <c r="G365" s="5"/>
      <c r="H365" s="5"/>
      <c r="I365" s="5"/>
      <c r="J365" s="5"/>
      <c r="K365" s="5"/>
      <c r="L365" s="5"/>
      <c r="M365" s="5"/>
      <c r="N365" s="5"/>
      <c r="O365" s="5"/>
      <c r="P365" s="5"/>
      <c r="Q365" s="5"/>
      <c r="R365" s="5"/>
      <c r="S365" s="5"/>
      <c r="T365" s="5"/>
      <c r="U365" s="5"/>
      <c r="V365" s="7"/>
      <c r="W365" s="7"/>
      <c r="X365" s="164" t="e">
        <f t="shared" si="107"/>
        <v>#N/A</v>
      </c>
      <c r="Y365" s="164" t="e">
        <f t="shared" si="108"/>
        <v>#N/A</v>
      </c>
      <c r="AB365" s="156">
        <f t="shared" si="110"/>
        <v>0</v>
      </c>
      <c r="AC365" s="121" t="str">
        <f t="shared" si="109"/>
        <v/>
      </c>
      <c r="AE365" s="121" t="str">
        <f t="shared" si="111"/>
        <v/>
      </c>
      <c r="AF365" s="111" t="str">
        <f t="shared" si="112"/>
        <v/>
      </c>
    </row>
    <row r="366" spans="1:32">
      <c r="A366" s="159"/>
      <c r="B366" s="160"/>
      <c r="C366" s="5"/>
      <c r="D366" s="5"/>
      <c r="E366" s="5"/>
      <c r="F366" s="5"/>
      <c r="G366" s="5"/>
      <c r="H366" s="5"/>
      <c r="I366" s="5"/>
      <c r="J366" s="5"/>
      <c r="K366" s="5"/>
      <c r="L366" s="5"/>
      <c r="M366" s="5"/>
      <c r="N366" s="5"/>
      <c r="O366" s="5"/>
      <c r="P366" s="5"/>
      <c r="Q366" s="5"/>
      <c r="R366" s="5"/>
      <c r="S366" s="5"/>
      <c r="T366" s="5"/>
      <c r="U366" s="5"/>
      <c r="V366" s="7"/>
      <c r="W366" s="7"/>
      <c r="X366" s="164" t="e">
        <f t="shared" si="107"/>
        <v>#N/A</v>
      </c>
      <c r="Y366" s="164" t="e">
        <f t="shared" si="108"/>
        <v>#N/A</v>
      </c>
      <c r="AB366" s="156">
        <f t="shared" si="110"/>
        <v>0</v>
      </c>
      <c r="AC366" s="121" t="str">
        <f t="shared" si="109"/>
        <v/>
      </c>
      <c r="AE366" s="121" t="str">
        <f t="shared" si="111"/>
        <v/>
      </c>
      <c r="AF366" s="111" t="str">
        <f t="shared" si="112"/>
        <v/>
      </c>
    </row>
    <row r="367" spans="1:32">
      <c r="A367" s="159"/>
      <c r="B367" s="160"/>
      <c r="C367" s="5"/>
      <c r="D367" s="5"/>
      <c r="E367" s="5"/>
      <c r="F367" s="5"/>
      <c r="G367" s="5"/>
      <c r="H367" s="5"/>
      <c r="I367" s="5"/>
      <c r="J367" s="5"/>
      <c r="K367" s="5"/>
      <c r="L367" s="5"/>
      <c r="M367" s="5"/>
      <c r="N367" s="5"/>
      <c r="O367" s="5"/>
      <c r="P367" s="5"/>
      <c r="Q367" s="5"/>
      <c r="R367" s="5"/>
      <c r="S367" s="5"/>
      <c r="T367" s="5"/>
      <c r="U367" s="5"/>
      <c r="V367" s="7"/>
      <c r="W367" s="7"/>
      <c r="X367" s="164" t="e">
        <f t="shared" si="107"/>
        <v>#N/A</v>
      </c>
      <c r="Y367" s="164" t="e">
        <f t="shared" si="108"/>
        <v>#N/A</v>
      </c>
      <c r="AB367" s="156">
        <f t="shared" si="110"/>
        <v>0</v>
      </c>
      <c r="AC367" s="121" t="str">
        <f t="shared" si="109"/>
        <v/>
      </c>
      <c r="AE367" s="121" t="str">
        <f t="shared" si="111"/>
        <v/>
      </c>
      <c r="AF367" s="111" t="str">
        <f t="shared" si="112"/>
        <v/>
      </c>
    </row>
    <row r="368" spans="1:32">
      <c r="A368" s="159"/>
      <c r="B368" s="160"/>
      <c r="C368" s="5"/>
      <c r="D368" s="5"/>
      <c r="E368" s="5"/>
      <c r="F368" s="5"/>
      <c r="G368" s="5"/>
      <c r="H368" s="5"/>
      <c r="I368" s="5"/>
      <c r="J368" s="5"/>
      <c r="K368" s="5"/>
      <c r="L368" s="5"/>
      <c r="M368" s="5"/>
      <c r="N368" s="5"/>
      <c r="O368" s="5"/>
      <c r="P368" s="5"/>
      <c r="Q368" s="5"/>
      <c r="R368" s="5"/>
      <c r="S368" s="5"/>
      <c r="T368" s="5"/>
      <c r="U368" s="5"/>
      <c r="V368" s="7"/>
      <c r="W368" s="7"/>
      <c r="X368" s="164" t="e">
        <f t="shared" si="107"/>
        <v>#N/A</v>
      </c>
      <c r="Y368" s="164" t="e">
        <f t="shared" si="108"/>
        <v>#N/A</v>
      </c>
      <c r="AB368" s="156">
        <f t="shared" si="110"/>
        <v>0</v>
      </c>
      <c r="AC368" s="121" t="str">
        <f t="shared" si="109"/>
        <v/>
      </c>
      <c r="AE368" s="121" t="str">
        <f t="shared" si="111"/>
        <v/>
      </c>
      <c r="AF368" s="111" t="str">
        <f t="shared" si="112"/>
        <v/>
      </c>
    </row>
    <row r="369" spans="1:32">
      <c r="A369" s="159"/>
      <c r="B369" s="160"/>
      <c r="C369" s="5"/>
      <c r="D369" s="5"/>
      <c r="E369" s="5"/>
      <c r="F369" s="5"/>
      <c r="G369" s="5"/>
      <c r="H369" s="5"/>
      <c r="I369" s="5"/>
      <c r="J369" s="5"/>
      <c r="K369" s="5"/>
      <c r="L369" s="5"/>
      <c r="M369" s="5"/>
      <c r="N369" s="5"/>
      <c r="O369" s="5"/>
      <c r="P369" s="5"/>
      <c r="Q369" s="5"/>
      <c r="R369" s="5"/>
      <c r="S369" s="5"/>
      <c r="T369" s="5"/>
      <c r="U369" s="5"/>
      <c r="V369" s="7"/>
      <c r="W369" s="7"/>
      <c r="X369" s="164" t="e">
        <f t="shared" si="107"/>
        <v>#N/A</v>
      </c>
      <c r="Y369" s="164" t="e">
        <f t="shared" si="108"/>
        <v>#N/A</v>
      </c>
      <c r="AB369" s="156">
        <f t="shared" si="110"/>
        <v>0</v>
      </c>
      <c r="AC369" s="121" t="str">
        <f t="shared" si="109"/>
        <v/>
      </c>
      <c r="AE369" s="121" t="str">
        <f t="shared" si="111"/>
        <v/>
      </c>
      <c r="AF369" s="111" t="str">
        <f t="shared" si="112"/>
        <v/>
      </c>
    </row>
    <row r="370" spans="1:32">
      <c r="A370" s="159"/>
      <c r="B370" s="160"/>
      <c r="C370" s="5"/>
      <c r="D370" s="5"/>
      <c r="E370" s="5"/>
      <c r="F370" s="5"/>
      <c r="G370" s="5"/>
      <c r="H370" s="5"/>
      <c r="I370" s="5"/>
      <c r="J370" s="5"/>
      <c r="K370" s="5"/>
      <c r="L370" s="5"/>
      <c r="M370" s="5"/>
      <c r="N370" s="5"/>
      <c r="O370" s="5"/>
      <c r="P370" s="5"/>
      <c r="Q370" s="5"/>
      <c r="R370" s="5"/>
      <c r="S370" s="5"/>
      <c r="T370" s="5"/>
      <c r="U370" s="5"/>
      <c r="V370" s="7"/>
      <c r="W370" s="7"/>
      <c r="X370" s="164" t="e">
        <f t="shared" si="107"/>
        <v>#N/A</v>
      </c>
      <c r="Y370" s="164" t="e">
        <f t="shared" si="108"/>
        <v>#N/A</v>
      </c>
      <c r="AB370" s="156">
        <f t="shared" si="110"/>
        <v>0</v>
      </c>
      <c r="AC370" s="121" t="str">
        <f t="shared" si="109"/>
        <v/>
      </c>
      <c r="AE370" s="121" t="str">
        <f t="shared" si="111"/>
        <v/>
      </c>
      <c r="AF370" s="111" t="str">
        <f t="shared" si="112"/>
        <v/>
      </c>
    </row>
    <row r="371" spans="1:32">
      <c r="A371" s="159"/>
      <c r="B371" s="160"/>
      <c r="C371" s="5"/>
      <c r="D371" s="5"/>
      <c r="E371" s="5"/>
      <c r="F371" s="5"/>
      <c r="G371" s="5"/>
      <c r="H371" s="5"/>
      <c r="I371" s="5"/>
      <c r="J371" s="5"/>
      <c r="K371" s="5"/>
      <c r="L371" s="5"/>
      <c r="M371" s="5"/>
      <c r="N371" s="5"/>
      <c r="O371" s="5"/>
      <c r="P371" s="5"/>
      <c r="Q371" s="5"/>
      <c r="R371" s="5"/>
      <c r="S371" s="5"/>
      <c r="T371" s="5"/>
      <c r="U371" s="5"/>
      <c r="V371" s="7"/>
      <c r="W371" s="7"/>
      <c r="X371" s="164" t="e">
        <f t="shared" si="107"/>
        <v>#N/A</v>
      </c>
      <c r="Y371" s="164" t="e">
        <f t="shared" si="108"/>
        <v>#N/A</v>
      </c>
      <c r="AB371" s="156">
        <f t="shared" si="110"/>
        <v>0</v>
      </c>
      <c r="AC371" s="121" t="str">
        <f t="shared" si="109"/>
        <v/>
      </c>
      <c r="AE371" s="121" t="str">
        <f t="shared" si="111"/>
        <v/>
      </c>
      <c r="AF371" s="111" t="str">
        <f t="shared" si="112"/>
        <v/>
      </c>
    </row>
    <row r="372" spans="1:32">
      <c r="A372" s="159"/>
      <c r="B372" s="160"/>
      <c r="C372" s="5"/>
      <c r="D372" s="5"/>
      <c r="E372" s="5"/>
      <c r="F372" s="5"/>
      <c r="G372" s="5"/>
      <c r="H372" s="5"/>
      <c r="I372" s="5"/>
      <c r="J372" s="5"/>
      <c r="K372" s="5"/>
      <c r="L372" s="5"/>
      <c r="M372" s="5"/>
      <c r="N372" s="5"/>
      <c r="O372" s="5"/>
      <c r="P372" s="5"/>
      <c r="Q372" s="5"/>
      <c r="R372" s="5"/>
      <c r="S372" s="5"/>
      <c r="T372" s="5"/>
      <c r="U372" s="5"/>
      <c r="V372" s="7"/>
      <c r="W372" s="7"/>
      <c r="X372" s="164" t="e">
        <f t="shared" si="107"/>
        <v>#N/A</v>
      </c>
      <c r="Y372" s="164" t="e">
        <f t="shared" si="108"/>
        <v>#N/A</v>
      </c>
      <c r="AB372" s="156">
        <f t="shared" si="110"/>
        <v>0</v>
      </c>
      <c r="AC372" s="121" t="str">
        <f t="shared" si="109"/>
        <v/>
      </c>
      <c r="AE372" s="121" t="str">
        <f t="shared" si="111"/>
        <v/>
      </c>
      <c r="AF372" s="111" t="str">
        <f t="shared" si="112"/>
        <v/>
      </c>
    </row>
    <row r="373" spans="1:32">
      <c r="A373" s="159"/>
      <c r="B373" s="160"/>
      <c r="C373" s="5"/>
      <c r="D373" s="5"/>
      <c r="E373" s="5"/>
      <c r="F373" s="5"/>
      <c r="G373" s="5"/>
      <c r="H373" s="5"/>
      <c r="I373" s="5"/>
      <c r="J373" s="5"/>
      <c r="K373" s="5"/>
      <c r="L373" s="5"/>
      <c r="M373" s="5"/>
      <c r="N373" s="5"/>
      <c r="O373" s="5"/>
      <c r="P373" s="5"/>
      <c r="Q373" s="5"/>
      <c r="R373" s="5"/>
      <c r="S373" s="5"/>
      <c r="T373" s="5"/>
      <c r="U373" s="5"/>
      <c r="V373" s="7"/>
      <c r="W373" s="7"/>
      <c r="X373" s="164" t="e">
        <f t="shared" si="107"/>
        <v>#N/A</v>
      </c>
      <c r="Y373" s="164" t="e">
        <f t="shared" si="108"/>
        <v>#N/A</v>
      </c>
      <c r="AB373" s="156">
        <f t="shared" si="110"/>
        <v>0</v>
      </c>
      <c r="AC373" s="121" t="str">
        <f t="shared" si="109"/>
        <v/>
      </c>
      <c r="AE373" s="121" t="str">
        <f t="shared" si="111"/>
        <v/>
      </c>
      <c r="AF373" s="111" t="str">
        <f t="shared" si="112"/>
        <v/>
      </c>
    </row>
    <row r="374" spans="1:32">
      <c r="A374" s="159"/>
      <c r="B374" s="160"/>
      <c r="C374" s="5"/>
      <c r="D374" s="5"/>
      <c r="E374" s="5"/>
      <c r="F374" s="5"/>
      <c r="G374" s="5"/>
      <c r="H374" s="5"/>
      <c r="I374" s="5"/>
      <c r="J374" s="5"/>
      <c r="K374" s="5"/>
      <c r="L374" s="5"/>
      <c r="M374" s="5"/>
      <c r="N374" s="5"/>
      <c r="O374" s="5"/>
      <c r="P374" s="5"/>
      <c r="Q374" s="5"/>
      <c r="R374" s="5"/>
      <c r="S374" s="5"/>
      <c r="T374" s="5"/>
      <c r="U374" s="5"/>
      <c r="V374" s="7"/>
      <c r="W374" s="7"/>
      <c r="X374" s="164" t="e">
        <f t="shared" si="107"/>
        <v>#N/A</v>
      </c>
      <c r="Y374" s="164" t="e">
        <f t="shared" si="108"/>
        <v>#N/A</v>
      </c>
      <c r="AB374" s="156">
        <f t="shared" si="110"/>
        <v>0</v>
      </c>
      <c r="AC374" s="121" t="str">
        <f t="shared" si="109"/>
        <v/>
      </c>
      <c r="AE374" s="121" t="str">
        <f t="shared" si="111"/>
        <v/>
      </c>
      <c r="AF374" s="111" t="str">
        <f t="shared" si="112"/>
        <v/>
      </c>
    </row>
    <row r="375" spans="1:32">
      <c r="A375" s="159"/>
      <c r="B375" s="160"/>
      <c r="C375" s="5"/>
      <c r="D375" s="5"/>
      <c r="E375" s="5"/>
      <c r="F375" s="5"/>
      <c r="G375" s="5"/>
      <c r="H375" s="5"/>
      <c r="I375" s="5"/>
      <c r="J375" s="5"/>
      <c r="K375" s="5"/>
      <c r="L375" s="5"/>
      <c r="M375" s="5"/>
      <c r="N375" s="5"/>
      <c r="O375" s="5"/>
      <c r="P375" s="5"/>
      <c r="Q375" s="5"/>
      <c r="R375" s="5"/>
      <c r="S375" s="5"/>
      <c r="T375" s="5"/>
      <c r="U375" s="5"/>
      <c r="V375" s="7"/>
      <c r="W375" s="7"/>
      <c r="X375" s="164" t="e">
        <f t="shared" si="107"/>
        <v>#N/A</v>
      </c>
      <c r="Y375" s="164" t="e">
        <f t="shared" si="108"/>
        <v>#N/A</v>
      </c>
      <c r="AB375" s="156">
        <f t="shared" si="110"/>
        <v>0</v>
      </c>
      <c r="AC375" s="121" t="str">
        <f t="shared" si="109"/>
        <v/>
      </c>
      <c r="AE375" s="121" t="str">
        <f t="shared" si="111"/>
        <v/>
      </c>
      <c r="AF375" s="111" t="str">
        <f t="shared" si="112"/>
        <v/>
      </c>
    </row>
    <row r="376" spans="1:32">
      <c r="A376" s="159"/>
      <c r="B376" s="160"/>
      <c r="C376" s="5"/>
      <c r="D376" s="5"/>
      <c r="E376" s="5"/>
      <c r="F376" s="5"/>
      <c r="G376" s="5"/>
      <c r="H376" s="5"/>
      <c r="I376" s="5"/>
      <c r="J376" s="5"/>
      <c r="K376" s="5"/>
      <c r="L376" s="5"/>
      <c r="M376" s="5"/>
      <c r="N376" s="5"/>
      <c r="O376" s="5"/>
      <c r="P376" s="5"/>
      <c r="Q376" s="5"/>
      <c r="R376" s="5"/>
      <c r="S376" s="5"/>
      <c r="T376" s="5"/>
      <c r="U376" s="5"/>
      <c r="V376" s="7"/>
      <c r="W376" s="7"/>
      <c r="X376" s="164" t="e">
        <f t="shared" si="107"/>
        <v>#N/A</v>
      </c>
      <c r="Y376" s="164" t="e">
        <f t="shared" si="108"/>
        <v>#N/A</v>
      </c>
      <c r="AB376" s="156">
        <f t="shared" si="110"/>
        <v>0</v>
      </c>
      <c r="AC376" s="121" t="str">
        <f t="shared" si="109"/>
        <v/>
      </c>
      <c r="AE376" s="121" t="str">
        <f t="shared" si="111"/>
        <v/>
      </c>
      <c r="AF376" s="111" t="str">
        <f t="shared" si="112"/>
        <v/>
      </c>
    </row>
    <row r="377" spans="1:32">
      <c r="A377" s="159"/>
      <c r="B377" s="160"/>
      <c r="C377" s="5"/>
      <c r="D377" s="5"/>
      <c r="E377" s="5"/>
      <c r="F377" s="5"/>
      <c r="G377" s="5"/>
      <c r="H377" s="5"/>
      <c r="I377" s="5"/>
      <c r="J377" s="5"/>
      <c r="K377" s="5"/>
      <c r="L377" s="5"/>
      <c r="M377" s="5"/>
      <c r="N377" s="5"/>
      <c r="O377" s="5"/>
      <c r="P377" s="5"/>
      <c r="Q377" s="5"/>
      <c r="R377" s="5"/>
      <c r="S377" s="5"/>
      <c r="T377" s="5"/>
      <c r="U377" s="5"/>
      <c r="V377" s="7"/>
      <c r="W377" s="7"/>
      <c r="X377" s="164" t="e">
        <f t="shared" si="107"/>
        <v>#N/A</v>
      </c>
      <c r="Y377" s="164" t="e">
        <f t="shared" si="108"/>
        <v>#N/A</v>
      </c>
      <c r="AB377" s="156">
        <f t="shared" si="110"/>
        <v>0</v>
      </c>
      <c r="AC377" s="121" t="str">
        <f t="shared" si="109"/>
        <v/>
      </c>
      <c r="AE377" s="121" t="str">
        <f t="shared" si="111"/>
        <v/>
      </c>
      <c r="AF377" s="111" t="str">
        <f t="shared" si="112"/>
        <v/>
      </c>
    </row>
    <row r="378" spans="1:32">
      <c r="A378" s="159"/>
      <c r="B378" s="160"/>
      <c r="C378" s="5"/>
      <c r="D378" s="5"/>
      <c r="E378" s="5"/>
      <c r="F378" s="5"/>
      <c r="G378" s="5"/>
      <c r="H378" s="5"/>
      <c r="I378" s="5"/>
      <c r="J378" s="5"/>
      <c r="K378" s="5"/>
      <c r="L378" s="5"/>
      <c r="M378" s="5"/>
      <c r="N378" s="5"/>
      <c r="O378" s="5"/>
      <c r="P378" s="5"/>
      <c r="Q378" s="5"/>
      <c r="R378" s="5"/>
      <c r="S378" s="5"/>
      <c r="T378" s="5"/>
      <c r="U378" s="5"/>
      <c r="V378" s="7"/>
      <c r="W378" s="7"/>
      <c r="X378" s="164" t="e">
        <f t="shared" si="107"/>
        <v>#N/A</v>
      </c>
      <c r="Y378" s="164" t="e">
        <f t="shared" si="108"/>
        <v>#N/A</v>
      </c>
      <c r="AB378" s="156">
        <f t="shared" si="110"/>
        <v>0</v>
      </c>
      <c r="AC378" s="121" t="str">
        <f t="shared" si="109"/>
        <v/>
      </c>
      <c r="AE378" s="121" t="str">
        <f t="shared" si="111"/>
        <v/>
      </c>
      <c r="AF378" s="111" t="str">
        <f t="shared" si="112"/>
        <v/>
      </c>
    </row>
    <row r="379" spans="1:32">
      <c r="A379" s="159"/>
      <c r="B379" s="160"/>
      <c r="C379" s="5"/>
      <c r="D379" s="5"/>
      <c r="E379" s="5"/>
      <c r="F379" s="5"/>
      <c r="G379" s="5"/>
      <c r="H379" s="5"/>
      <c r="I379" s="5"/>
      <c r="J379" s="5"/>
      <c r="K379" s="5"/>
      <c r="L379" s="5"/>
      <c r="M379" s="5"/>
      <c r="N379" s="5"/>
      <c r="O379" s="5"/>
      <c r="P379" s="5"/>
      <c r="Q379" s="5"/>
      <c r="R379" s="5"/>
      <c r="S379" s="5"/>
      <c r="T379" s="5"/>
      <c r="U379" s="5"/>
      <c r="V379" s="7"/>
      <c r="W379" s="7"/>
      <c r="X379" s="164" t="e">
        <f t="shared" si="107"/>
        <v>#N/A</v>
      </c>
      <c r="Y379" s="164" t="e">
        <f t="shared" si="108"/>
        <v>#N/A</v>
      </c>
      <c r="AB379" s="156">
        <f t="shared" si="110"/>
        <v>0</v>
      </c>
      <c r="AC379" s="121" t="str">
        <f t="shared" si="109"/>
        <v/>
      </c>
      <c r="AE379" s="121" t="str">
        <f t="shared" si="111"/>
        <v/>
      </c>
      <c r="AF379" s="111" t="str">
        <f t="shared" si="112"/>
        <v/>
      </c>
    </row>
    <row r="380" spans="1:32">
      <c r="A380" s="159"/>
      <c r="B380" s="160"/>
      <c r="C380" s="5"/>
      <c r="D380" s="5"/>
      <c r="E380" s="5"/>
      <c r="F380" s="5"/>
      <c r="G380" s="5"/>
      <c r="H380" s="5"/>
      <c r="I380" s="5"/>
      <c r="J380" s="5"/>
      <c r="K380" s="5"/>
      <c r="L380" s="5"/>
      <c r="M380" s="5"/>
      <c r="N380" s="5"/>
      <c r="O380" s="5"/>
      <c r="P380" s="5"/>
      <c r="Q380" s="5"/>
      <c r="R380" s="5"/>
      <c r="S380" s="5"/>
      <c r="T380" s="5"/>
      <c r="U380" s="5"/>
      <c r="V380" s="7"/>
      <c r="W380" s="7"/>
      <c r="X380" s="164" t="e">
        <f t="shared" si="107"/>
        <v>#N/A</v>
      </c>
      <c r="Y380" s="164" t="e">
        <f t="shared" si="108"/>
        <v>#N/A</v>
      </c>
      <c r="AB380" s="156">
        <f t="shared" si="110"/>
        <v>0</v>
      </c>
      <c r="AC380" s="121" t="str">
        <f t="shared" si="109"/>
        <v/>
      </c>
      <c r="AE380" s="121" t="str">
        <f t="shared" si="111"/>
        <v/>
      </c>
      <c r="AF380" s="111" t="str">
        <f t="shared" si="112"/>
        <v/>
      </c>
    </row>
    <row r="381" spans="1:32">
      <c r="A381" s="159"/>
      <c r="B381" s="160"/>
      <c r="C381" s="5"/>
      <c r="D381" s="5"/>
      <c r="E381" s="5"/>
      <c r="F381" s="5"/>
      <c r="G381" s="5"/>
      <c r="H381" s="5"/>
      <c r="I381" s="5"/>
      <c r="J381" s="5"/>
      <c r="K381" s="5"/>
      <c r="L381" s="5"/>
      <c r="M381" s="5"/>
      <c r="N381" s="5"/>
      <c r="O381" s="5"/>
      <c r="P381" s="5"/>
      <c r="Q381" s="5"/>
      <c r="R381" s="5"/>
      <c r="S381" s="5"/>
      <c r="T381" s="5"/>
      <c r="U381" s="5"/>
      <c r="V381" s="7"/>
      <c r="W381" s="7"/>
      <c r="X381" s="164" t="e">
        <f t="shared" si="107"/>
        <v>#N/A</v>
      </c>
      <c r="Y381" s="164" t="e">
        <f t="shared" si="108"/>
        <v>#N/A</v>
      </c>
      <c r="AB381" s="156">
        <f t="shared" si="110"/>
        <v>0</v>
      </c>
      <c r="AC381" s="121" t="str">
        <f t="shared" si="109"/>
        <v/>
      </c>
      <c r="AE381" s="121" t="str">
        <f t="shared" si="111"/>
        <v/>
      </c>
      <c r="AF381" s="111" t="str">
        <f t="shared" si="112"/>
        <v/>
      </c>
    </row>
    <row r="382" spans="1:32">
      <c r="A382" s="159"/>
      <c r="B382" s="160"/>
      <c r="C382" s="5"/>
      <c r="D382" s="5"/>
      <c r="E382" s="5"/>
      <c r="F382" s="5"/>
      <c r="G382" s="5"/>
      <c r="H382" s="5"/>
      <c r="I382" s="5"/>
      <c r="J382" s="5"/>
      <c r="K382" s="5"/>
      <c r="L382" s="5"/>
      <c r="M382" s="5"/>
      <c r="N382" s="5"/>
      <c r="O382" s="5"/>
      <c r="P382" s="5"/>
      <c r="Q382" s="5"/>
      <c r="R382" s="5"/>
      <c r="S382" s="5"/>
      <c r="T382" s="5"/>
      <c r="U382" s="5"/>
      <c r="V382" s="7"/>
      <c r="W382" s="7"/>
      <c r="X382" s="164" t="e">
        <f t="shared" si="107"/>
        <v>#N/A</v>
      </c>
      <c r="Y382" s="164" t="e">
        <f t="shared" si="108"/>
        <v>#N/A</v>
      </c>
      <c r="AB382" s="156">
        <f t="shared" si="110"/>
        <v>0</v>
      </c>
      <c r="AC382" s="121" t="str">
        <f t="shared" si="109"/>
        <v/>
      </c>
      <c r="AE382" s="121" t="str">
        <f t="shared" si="111"/>
        <v/>
      </c>
      <c r="AF382" s="111" t="str">
        <f t="shared" si="112"/>
        <v/>
      </c>
    </row>
    <row r="383" spans="1:32">
      <c r="A383" s="159"/>
      <c r="B383" s="160"/>
      <c r="C383" s="5"/>
      <c r="D383" s="5"/>
      <c r="E383" s="5"/>
      <c r="F383" s="5"/>
      <c r="G383" s="5"/>
      <c r="H383" s="5"/>
      <c r="I383" s="5"/>
      <c r="J383" s="5"/>
      <c r="K383" s="5"/>
      <c r="L383" s="5"/>
      <c r="M383" s="5"/>
      <c r="N383" s="5"/>
      <c r="O383" s="5"/>
      <c r="P383" s="5"/>
      <c r="Q383" s="5"/>
      <c r="R383" s="5"/>
      <c r="S383" s="5"/>
      <c r="T383" s="5"/>
      <c r="U383" s="5"/>
      <c r="V383" s="7"/>
      <c r="W383" s="7"/>
      <c r="X383" s="164" t="e">
        <f t="shared" si="107"/>
        <v>#N/A</v>
      </c>
      <c r="Y383" s="164" t="e">
        <f t="shared" si="108"/>
        <v>#N/A</v>
      </c>
      <c r="AB383" s="156">
        <f t="shared" si="110"/>
        <v>0</v>
      </c>
      <c r="AC383" s="121" t="str">
        <f t="shared" si="109"/>
        <v/>
      </c>
      <c r="AE383" s="121" t="str">
        <f t="shared" si="111"/>
        <v/>
      </c>
      <c r="AF383" s="111" t="str">
        <f t="shared" si="112"/>
        <v/>
      </c>
    </row>
    <row r="384" spans="1:32">
      <c r="A384" s="159"/>
      <c r="B384" s="160"/>
      <c r="C384" s="5"/>
      <c r="D384" s="5"/>
      <c r="E384" s="5"/>
      <c r="F384" s="5"/>
      <c r="G384" s="5"/>
      <c r="H384" s="5"/>
      <c r="I384" s="5"/>
      <c r="J384" s="5"/>
      <c r="K384" s="5"/>
      <c r="L384" s="5"/>
      <c r="M384" s="5"/>
      <c r="N384" s="5"/>
      <c r="O384" s="5"/>
      <c r="P384" s="5"/>
      <c r="Q384" s="5"/>
      <c r="R384" s="5"/>
      <c r="S384" s="5"/>
      <c r="T384" s="5"/>
      <c r="U384" s="5"/>
      <c r="V384" s="7"/>
      <c r="W384" s="7"/>
      <c r="X384" s="164" t="e">
        <f t="shared" si="107"/>
        <v>#N/A</v>
      </c>
      <c r="Y384" s="164" t="e">
        <f t="shared" si="108"/>
        <v>#N/A</v>
      </c>
      <c r="AB384" s="156">
        <f t="shared" si="110"/>
        <v>0</v>
      </c>
      <c r="AC384" s="121" t="str">
        <f t="shared" si="109"/>
        <v/>
      </c>
      <c r="AE384" s="121" t="str">
        <f t="shared" si="111"/>
        <v/>
      </c>
      <c r="AF384" s="111" t="str">
        <f t="shared" si="112"/>
        <v/>
      </c>
    </row>
    <row r="385" spans="1:32">
      <c r="A385" s="159"/>
      <c r="B385" s="160"/>
      <c r="C385" s="5"/>
      <c r="D385" s="5"/>
      <c r="E385" s="5"/>
      <c r="F385" s="5"/>
      <c r="G385" s="5"/>
      <c r="H385" s="5"/>
      <c r="I385" s="5"/>
      <c r="J385" s="5"/>
      <c r="K385" s="5"/>
      <c r="L385" s="5"/>
      <c r="M385" s="5"/>
      <c r="N385" s="5"/>
      <c r="O385" s="5"/>
      <c r="P385" s="5"/>
      <c r="Q385" s="5"/>
      <c r="R385" s="5"/>
      <c r="S385" s="5"/>
      <c r="T385" s="5"/>
      <c r="U385" s="5"/>
      <c r="V385" s="7"/>
      <c r="W385" s="7"/>
      <c r="X385" s="164" t="e">
        <f t="shared" si="107"/>
        <v>#N/A</v>
      </c>
      <c r="Y385" s="164" t="e">
        <f t="shared" si="108"/>
        <v>#N/A</v>
      </c>
      <c r="AB385" s="156">
        <f t="shared" si="110"/>
        <v>0</v>
      </c>
      <c r="AC385" s="121" t="str">
        <f t="shared" si="109"/>
        <v/>
      </c>
      <c r="AE385" s="121" t="str">
        <f t="shared" si="111"/>
        <v/>
      </c>
      <c r="AF385" s="111" t="str">
        <f t="shared" si="112"/>
        <v/>
      </c>
    </row>
    <row r="386" spans="1:32">
      <c r="A386" s="159"/>
      <c r="B386" s="160"/>
      <c r="C386" s="5"/>
      <c r="D386" s="5"/>
      <c r="E386" s="5"/>
      <c r="F386" s="5"/>
      <c r="G386" s="5"/>
      <c r="H386" s="5"/>
      <c r="I386" s="5"/>
      <c r="J386" s="5"/>
      <c r="K386" s="5"/>
      <c r="L386" s="5"/>
      <c r="M386" s="5"/>
      <c r="N386" s="5"/>
      <c r="O386" s="5"/>
      <c r="P386" s="5"/>
      <c r="Q386" s="5"/>
      <c r="R386" s="5"/>
      <c r="S386" s="5"/>
      <c r="T386" s="5"/>
      <c r="U386" s="5"/>
      <c r="V386" s="7"/>
      <c r="W386" s="7"/>
      <c r="X386" s="164" t="e">
        <f t="shared" ref="X386:X449" si="113">IF(AB386=1, A386,NA())</f>
        <v>#N/A</v>
      </c>
      <c r="Y386" s="164" t="e">
        <f t="shared" ref="Y386:Y449" si="114">IF(AB386=1,B386-($H$7+$I$7*X386),NA())</f>
        <v>#N/A</v>
      </c>
      <c r="AB386" s="156">
        <f t="shared" si="110"/>
        <v>0</v>
      </c>
      <c r="AC386" s="121" t="str">
        <f t="shared" ref="AC386:AC449" si="115">IF(ISBLANK(A386), "", Y386^2)</f>
        <v/>
      </c>
      <c r="AE386" s="121" t="str">
        <f t="shared" si="111"/>
        <v/>
      </c>
      <c r="AF386" s="111" t="str">
        <f t="shared" si="112"/>
        <v/>
      </c>
    </row>
    <row r="387" spans="1:32">
      <c r="A387" s="159"/>
      <c r="B387" s="160"/>
      <c r="C387" s="5"/>
      <c r="D387" s="5"/>
      <c r="E387" s="5"/>
      <c r="F387" s="5"/>
      <c r="G387" s="5"/>
      <c r="H387" s="5"/>
      <c r="I387" s="5"/>
      <c r="J387" s="5"/>
      <c r="K387" s="5"/>
      <c r="L387" s="5"/>
      <c r="M387" s="5"/>
      <c r="N387" s="5"/>
      <c r="O387" s="5"/>
      <c r="P387" s="5"/>
      <c r="Q387" s="5"/>
      <c r="R387" s="5"/>
      <c r="S387" s="5"/>
      <c r="T387" s="5"/>
      <c r="U387" s="5"/>
      <c r="V387" s="7"/>
      <c r="W387" s="7"/>
      <c r="X387" s="164" t="e">
        <f t="shared" si="113"/>
        <v>#N/A</v>
      </c>
      <c r="Y387" s="164" t="e">
        <f t="shared" si="114"/>
        <v>#N/A</v>
      </c>
      <c r="AB387" s="156">
        <f t="shared" ref="AB387:AB450" si="116">IF(ISBLANK(A387),0,1)</f>
        <v>0</v>
      </c>
      <c r="AC387" s="121" t="str">
        <f t="shared" si="115"/>
        <v/>
      </c>
      <c r="AE387" s="121" t="str">
        <f t="shared" ref="AE387:AE450" si="117">IF(AB387=1,(A387-$AA$2)^2, "")</f>
        <v/>
      </c>
      <c r="AF387" s="111" t="str">
        <f t="shared" si="112"/>
        <v/>
      </c>
    </row>
    <row r="388" spans="1:32">
      <c r="A388" s="159"/>
      <c r="B388" s="160"/>
      <c r="C388" s="5"/>
      <c r="D388" s="5"/>
      <c r="E388" s="5"/>
      <c r="F388" s="5"/>
      <c r="G388" s="5"/>
      <c r="H388" s="5"/>
      <c r="I388" s="5"/>
      <c r="J388" s="5"/>
      <c r="K388" s="5"/>
      <c r="L388" s="5"/>
      <c r="M388" s="5"/>
      <c r="N388" s="5"/>
      <c r="O388" s="5"/>
      <c r="P388" s="5"/>
      <c r="Q388" s="5"/>
      <c r="R388" s="5"/>
      <c r="S388" s="5"/>
      <c r="T388" s="5"/>
      <c r="U388" s="5"/>
      <c r="V388" s="7"/>
      <c r="W388" s="7"/>
      <c r="X388" s="164" t="e">
        <f t="shared" si="113"/>
        <v>#N/A</v>
      </c>
      <c r="Y388" s="164" t="e">
        <f t="shared" si="114"/>
        <v>#N/A</v>
      </c>
      <c r="AB388" s="156">
        <f t="shared" si="116"/>
        <v>0</v>
      </c>
      <c r="AC388" s="121" t="str">
        <f t="shared" si="115"/>
        <v/>
      </c>
      <c r="AE388" s="121" t="str">
        <f t="shared" si="117"/>
        <v/>
      </c>
      <c r="AF388" s="111" t="str">
        <f t="shared" ref="AF388:AF451" si="118">IFERROR(Y387, "")</f>
        <v/>
      </c>
    </row>
    <row r="389" spans="1:32">
      <c r="A389" s="159"/>
      <c r="B389" s="160"/>
      <c r="C389" s="5"/>
      <c r="D389" s="5"/>
      <c r="E389" s="5"/>
      <c r="F389" s="5"/>
      <c r="G389" s="5"/>
      <c r="H389" s="5"/>
      <c r="I389" s="5"/>
      <c r="J389" s="5"/>
      <c r="K389" s="5"/>
      <c r="L389" s="5"/>
      <c r="M389" s="5"/>
      <c r="N389" s="5"/>
      <c r="O389" s="5"/>
      <c r="P389" s="5"/>
      <c r="Q389" s="5"/>
      <c r="R389" s="5"/>
      <c r="S389" s="5"/>
      <c r="T389" s="5"/>
      <c r="U389" s="5"/>
      <c r="V389" s="7"/>
      <c r="W389" s="7"/>
      <c r="X389" s="164" t="e">
        <f t="shared" si="113"/>
        <v>#N/A</v>
      </c>
      <c r="Y389" s="164" t="e">
        <f t="shared" si="114"/>
        <v>#N/A</v>
      </c>
      <c r="AB389" s="156">
        <f t="shared" si="116"/>
        <v>0</v>
      </c>
      <c r="AC389" s="121" t="str">
        <f t="shared" si="115"/>
        <v/>
      </c>
      <c r="AE389" s="121" t="str">
        <f t="shared" si="117"/>
        <v/>
      </c>
      <c r="AF389" s="111" t="str">
        <f t="shared" si="118"/>
        <v/>
      </c>
    </row>
    <row r="390" spans="1:32">
      <c r="A390" s="159"/>
      <c r="B390" s="160"/>
      <c r="C390" s="5"/>
      <c r="D390" s="5"/>
      <c r="E390" s="5"/>
      <c r="F390" s="5"/>
      <c r="G390" s="5"/>
      <c r="H390" s="5"/>
      <c r="I390" s="5"/>
      <c r="J390" s="5"/>
      <c r="K390" s="5"/>
      <c r="L390" s="5"/>
      <c r="M390" s="5"/>
      <c r="N390" s="5"/>
      <c r="O390" s="5"/>
      <c r="P390" s="5"/>
      <c r="Q390" s="5"/>
      <c r="R390" s="5"/>
      <c r="S390" s="5"/>
      <c r="T390" s="5"/>
      <c r="U390" s="5"/>
      <c r="V390" s="7"/>
      <c r="W390" s="7"/>
      <c r="X390" s="164" t="e">
        <f t="shared" si="113"/>
        <v>#N/A</v>
      </c>
      <c r="Y390" s="164" t="e">
        <f t="shared" si="114"/>
        <v>#N/A</v>
      </c>
      <c r="AB390" s="156">
        <f t="shared" si="116"/>
        <v>0</v>
      </c>
      <c r="AC390" s="121" t="str">
        <f t="shared" si="115"/>
        <v/>
      </c>
      <c r="AE390" s="121" t="str">
        <f t="shared" si="117"/>
        <v/>
      </c>
      <c r="AF390" s="111" t="str">
        <f t="shared" si="118"/>
        <v/>
      </c>
    </row>
    <row r="391" spans="1:32">
      <c r="A391" s="159"/>
      <c r="B391" s="160"/>
      <c r="C391" s="5"/>
      <c r="D391" s="5"/>
      <c r="E391" s="5"/>
      <c r="F391" s="5"/>
      <c r="G391" s="5"/>
      <c r="H391" s="5"/>
      <c r="I391" s="5"/>
      <c r="J391" s="5"/>
      <c r="K391" s="5"/>
      <c r="L391" s="5"/>
      <c r="M391" s="5"/>
      <c r="N391" s="5"/>
      <c r="O391" s="5"/>
      <c r="P391" s="5"/>
      <c r="Q391" s="5"/>
      <c r="R391" s="5"/>
      <c r="S391" s="5"/>
      <c r="T391" s="5"/>
      <c r="U391" s="5"/>
      <c r="V391" s="7"/>
      <c r="W391" s="7"/>
      <c r="X391" s="164" t="e">
        <f t="shared" si="113"/>
        <v>#N/A</v>
      </c>
      <c r="Y391" s="164" t="e">
        <f t="shared" si="114"/>
        <v>#N/A</v>
      </c>
      <c r="AB391" s="156">
        <f t="shared" si="116"/>
        <v>0</v>
      </c>
      <c r="AC391" s="121" t="str">
        <f t="shared" si="115"/>
        <v/>
      </c>
      <c r="AE391" s="121" t="str">
        <f t="shared" si="117"/>
        <v/>
      </c>
      <c r="AF391" s="111" t="str">
        <f t="shared" si="118"/>
        <v/>
      </c>
    </row>
    <row r="392" spans="1:32">
      <c r="A392" s="159"/>
      <c r="B392" s="160"/>
      <c r="C392" s="5"/>
      <c r="D392" s="5"/>
      <c r="E392" s="5"/>
      <c r="F392" s="5"/>
      <c r="G392" s="5"/>
      <c r="H392" s="5"/>
      <c r="I392" s="5"/>
      <c r="J392" s="5"/>
      <c r="K392" s="5"/>
      <c r="L392" s="5"/>
      <c r="M392" s="5"/>
      <c r="N392" s="5"/>
      <c r="O392" s="5"/>
      <c r="P392" s="5"/>
      <c r="Q392" s="5"/>
      <c r="R392" s="5"/>
      <c r="S392" s="5"/>
      <c r="T392" s="5"/>
      <c r="U392" s="5"/>
      <c r="V392" s="7"/>
      <c r="W392" s="7"/>
      <c r="X392" s="164" t="e">
        <f t="shared" si="113"/>
        <v>#N/A</v>
      </c>
      <c r="Y392" s="164" t="e">
        <f t="shared" si="114"/>
        <v>#N/A</v>
      </c>
      <c r="AB392" s="156">
        <f t="shared" si="116"/>
        <v>0</v>
      </c>
      <c r="AC392" s="121" t="str">
        <f t="shared" si="115"/>
        <v/>
      </c>
      <c r="AE392" s="121" t="str">
        <f t="shared" si="117"/>
        <v/>
      </c>
      <c r="AF392" s="111" t="str">
        <f t="shared" si="118"/>
        <v/>
      </c>
    </row>
    <row r="393" spans="1:32">
      <c r="A393" s="159"/>
      <c r="B393" s="160"/>
      <c r="C393" s="5"/>
      <c r="D393" s="5"/>
      <c r="E393" s="5"/>
      <c r="F393" s="5"/>
      <c r="G393" s="5"/>
      <c r="H393" s="5"/>
      <c r="I393" s="5"/>
      <c r="J393" s="5"/>
      <c r="K393" s="5"/>
      <c r="L393" s="5"/>
      <c r="M393" s="5"/>
      <c r="N393" s="5"/>
      <c r="O393" s="5"/>
      <c r="P393" s="5"/>
      <c r="Q393" s="5"/>
      <c r="R393" s="5"/>
      <c r="S393" s="5"/>
      <c r="T393" s="5"/>
      <c r="U393" s="5"/>
      <c r="V393" s="7"/>
      <c r="W393" s="7"/>
      <c r="X393" s="164" t="e">
        <f t="shared" si="113"/>
        <v>#N/A</v>
      </c>
      <c r="Y393" s="164" t="e">
        <f t="shared" si="114"/>
        <v>#N/A</v>
      </c>
      <c r="AB393" s="156">
        <f t="shared" si="116"/>
        <v>0</v>
      </c>
      <c r="AC393" s="121" t="str">
        <f t="shared" si="115"/>
        <v/>
      </c>
      <c r="AE393" s="121" t="str">
        <f t="shared" si="117"/>
        <v/>
      </c>
      <c r="AF393" s="111" t="str">
        <f t="shared" si="118"/>
        <v/>
      </c>
    </row>
    <row r="394" spans="1:32">
      <c r="A394" s="159"/>
      <c r="B394" s="160"/>
      <c r="C394" s="5"/>
      <c r="D394" s="5"/>
      <c r="E394" s="5"/>
      <c r="F394" s="5"/>
      <c r="G394" s="5"/>
      <c r="H394" s="5"/>
      <c r="I394" s="5"/>
      <c r="J394" s="5"/>
      <c r="K394" s="5"/>
      <c r="L394" s="5"/>
      <c r="M394" s="5"/>
      <c r="N394" s="5"/>
      <c r="O394" s="5"/>
      <c r="P394" s="5"/>
      <c r="Q394" s="5"/>
      <c r="R394" s="5"/>
      <c r="S394" s="5"/>
      <c r="T394" s="5"/>
      <c r="U394" s="5"/>
      <c r="V394" s="7"/>
      <c r="W394" s="7"/>
      <c r="X394" s="164" t="e">
        <f t="shared" si="113"/>
        <v>#N/A</v>
      </c>
      <c r="Y394" s="164" t="e">
        <f t="shared" si="114"/>
        <v>#N/A</v>
      </c>
      <c r="AB394" s="156">
        <f t="shared" si="116"/>
        <v>0</v>
      </c>
      <c r="AC394" s="121" t="str">
        <f t="shared" si="115"/>
        <v/>
      </c>
      <c r="AE394" s="121" t="str">
        <f t="shared" si="117"/>
        <v/>
      </c>
      <c r="AF394" s="111" t="str">
        <f t="shared" si="118"/>
        <v/>
      </c>
    </row>
    <row r="395" spans="1:32">
      <c r="A395" s="159"/>
      <c r="B395" s="160"/>
      <c r="C395" s="5"/>
      <c r="D395" s="5"/>
      <c r="E395" s="5"/>
      <c r="F395" s="5"/>
      <c r="G395" s="5"/>
      <c r="H395" s="5"/>
      <c r="I395" s="5"/>
      <c r="J395" s="5"/>
      <c r="K395" s="5"/>
      <c r="L395" s="5"/>
      <c r="M395" s="5"/>
      <c r="N395" s="5"/>
      <c r="O395" s="5"/>
      <c r="P395" s="5"/>
      <c r="Q395" s="5"/>
      <c r="R395" s="5"/>
      <c r="S395" s="5"/>
      <c r="T395" s="5"/>
      <c r="U395" s="5"/>
      <c r="V395" s="7"/>
      <c r="W395" s="7"/>
      <c r="X395" s="164" t="e">
        <f t="shared" si="113"/>
        <v>#N/A</v>
      </c>
      <c r="Y395" s="164" t="e">
        <f t="shared" si="114"/>
        <v>#N/A</v>
      </c>
      <c r="AB395" s="156">
        <f t="shared" si="116"/>
        <v>0</v>
      </c>
      <c r="AC395" s="121" t="str">
        <f t="shared" si="115"/>
        <v/>
      </c>
      <c r="AE395" s="121" t="str">
        <f t="shared" si="117"/>
        <v/>
      </c>
      <c r="AF395" s="111" t="str">
        <f t="shared" si="118"/>
        <v/>
      </c>
    </row>
    <row r="396" spans="1:32">
      <c r="A396" s="159"/>
      <c r="B396" s="160"/>
      <c r="C396" s="5"/>
      <c r="D396" s="5"/>
      <c r="E396" s="5"/>
      <c r="F396" s="5"/>
      <c r="G396" s="5"/>
      <c r="H396" s="5"/>
      <c r="I396" s="5"/>
      <c r="J396" s="5"/>
      <c r="K396" s="5"/>
      <c r="L396" s="5"/>
      <c r="M396" s="5"/>
      <c r="N396" s="5"/>
      <c r="O396" s="5"/>
      <c r="P396" s="5"/>
      <c r="Q396" s="5"/>
      <c r="R396" s="5"/>
      <c r="S396" s="5"/>
      <c r="T396" s="5"/>
      <c r="U396" s="5"/>
      <c r="V396" s="7"/>
      <c r="W396" s="7"/>
      <c r="X396" s="164" t="e">
        <f t="shared" si="113"/>
        <v>#N/A</v>
      </c>
      <c r="Y396" s="164" t="e">
        <f t="shared" si="114"/>
        <v>#N/A</v>
      </c>
      <c r="AB396" s="156">
        <f t="shared" si="116"/>
        <v>0</v>
      </c>
      <c r="AC396" s="121" t="str">
        <f t="shared" si="115"/>
        <v/>
      </c>
      <c r="AE396" s="121" t="str">
        <f t="shared" si="117"/>
        <v/>
      </c>
      <c r="AF396" s="111" t="str">
        <f t="shared" si="118"/>
        <v/>
      </c>
    </row>
    <row r="397" spans="1:32">
      <c r="A397" s="159"/>
      <c r="B397" s="160"/>
      <c r="C397" s="5"/>
      <c r="D397" s="5"/>
      <c r="E397" s="5"/>
      <c r="F397" s="5"/>
      <c r="G397" s="5"/>
      <c r="H397" s="5"/>
      <c r="I397" s="5"/>
      <c r="J397" s="5"/>
      <c r="K397" s="5"/>
      <c r="L397" s="5"/>
      <c r="M397" s="5"/>
      <c r="N397" s="5"/>
      <c r="O397" s="5"/>
      <c r="P397" s="5"/>
      <c r="Q397" s="5"/>
      <c r="R397" s="5"/>
      <c r="S397" s="5"/>
      <c r="T397" s="5"/>
      <c r="U397" s="5"/>
      <c r="V397" s="7"/>
      <c r="W397" s="7"/>
      <c r="X397" s="164" t="e">
        <f t="shared" si="113"/>
        <v>#N/A</v>
      </c>
      <c r="Y397" s="164" t="e">
        <f t="shared" si="114"/>
        <v>#N/A</v>
      </c>
      <c r="AB397" s="156">
        <f t="shared" si="116"/>
        <v>0</v>
      </c>
      <c r="AC397" s="121" t="str">
        <f t="shared" si="115"/>
        <v/>
      </c>
      <c r="AE397" s="121" t="str">
        <f t="shared" si="117"/>
        <v/>
      </c>
      <c r="AF397" s="111" t="str">
        <f t="shared" si="118"/>
        <v/>
      </c>
    </row>
    <row r="398" spans="1:32">
      <c r="A398" s="159"/>
      <c r="B398" s="160"/>
      <c r="C398" s="5"/>
      <c r="D398" s="5"/>
      <c r="E398" s="5"/>
      <c r="F398" s="5"/>
      <c r="G398" s="5"/>
      <c r="H398" s="5"/>
      <c r="I398" s="5"/>
      <c r="J398" s="5"/>
      <c r="K398" s="5"/>
      <c r="L398" s="5"/>
      <c r="M398" s="5"/>
      <c r="N398" s="5"/>
      <c r="O398" s="5"/>
      <c r="P398" s="5"/>
      <c r="Q398" s="5"/>
      <c r="R398" s="5"/>
      <c r="S398" s="5"/>
      <c r="T398" s="5"/>
      <c r="U398" s="5"/>
      <c r="V398" s="7"/>
      <c r="W398" s="7"/>
      <c r="X398" s="164" t="e">
        <f t="shared" si="113"/>
        <v>#N/A</v>
      </c>
      <c r="Y398" s="164" t="e">
        <f t="shared" si="114"/>
        <v>#N/A</v>
      </c>
      <c r="AB398" s="156">
        <f t="shared" si="116"/>
        <v>0</v>
      </c>
      <c r="AC398" s="121" t="str">
        <f t="shared" si="115"/>
        <v/>
      </c>
      <c r="AE398" s="121" t="str">
        <f t="shared" si="117"/>
        <v/>
      </c>
      <c r="AF398" s="111" t="str">
        <f t="shared" si="118"/>
        <v/>
      </c>
    </row>
    <row r="399" spans="1:32">
      <c r="A399" s="159"/>
      <c r="B399" s="160"/>
      <c r="C399" s="5"/>
      <c r="D399" s="5"/>
      <c r="E399" s="5"/>
      <c r="F399" s="5"/>
      <c r="G399" s="5"/>
      <c r="H399" s="5"/>
      <c r="I399" s="5"/>
      <c r="J399" s="5"/>
      <c r="K399" s="5"/>
      <c r="L399" s="5"/>
      <c r="M399" s="5"/>
      <c r="N399" s="5"/>
      <c r="O399" s="5"/>
      <c r="P399" s="5"/>
      <c r="Q399" s="5"/>
      <c r="R399" s="5"/>
      <c r="S399" s="5"/>
      <c r="T399" s="5"/>
      <c r="U399" s="5"/>
      <c r="V399" s="7"/>
      <c r="W399" s="7"/>
      <c r="X399" s="164" t="e">
        <f t="shared" si="113"/>
        <v>#N/A</v>
      </c>
      <c r="Y399" s="164" t="e">
        <f t="shared" si="114"/>
        <v>#N/A</v>
      </c>
      <c r="AB399" s="156">
        <f t="shared" si="116"/>
        <v>0</v>
      </c>
      <c r="AC399" s="121" t="str">
        <f t="shared" si="115"/>
        <v/>
      </c>
      <c r="AE399" s="121" t="str">
        <f t="shared" si="117"/>
        <v/>
      </c>
      <c r="AF399" s="111" t="str">
        <f t="shared" si="118"/>
        <v/>
      </c>
    </row>
    <row r="400" spans="1:32">
      <c r="A400" s="159"/>
      <c r="B400" s="160"/>
      <c r="C400" s="5"/>
      <c r="D400" s="5"/>
      <c r="E400" s="5"/>
      <c r="F400" s="5"/>
      <c r="G400" s="5"/>
      <c r="H400" s="5"/>
      <c r="I400" s="5"/>
      <c r="J400" s="5"/>
      <c r="K400" s="5"/>
      <c r="L400" s="5"/>
      <c r="M400" s="5"/>
      <c r="N400" s="5"/>
      <c r="O400" s="5"/>
      <c r="P400" s="5"/>
      <c r="Q400" s="5"/>
      <c r="R400" s="5"/>
      <c r="S400" s="5"/>
      <c r="T400" s="5"/>
      <c r="U400" s="5"/>
      <c r="V400" s="7"/>
      <c r="W400" s="7"/>
      <c r="X400" s="164" t="e">
        <f t="shared" si="113"/>
        <v>#N/A</v>
      </c>
      <c r="Y400" s="164" t="e">
        <f t="shared" si="114"/>
        <v>#N/A</v>
      </c>
      <c r="AB400" s="156">
        <f t="shared" si="116"/>
        <v>0</v>
      </c>
      <c r="AC400" s="121" t="str">
        <f t="shared" si="115"/>
        <v/>
      </c>
      <c r="AE400" s="121" t="str">
        <f t="shared" si="117"/>
        <v/>
      </c>
      <c r="AF400" s="111" t="str">
        <f t="shared" si="118"/>
        <v/>
      </c>
    </row>
    <row r="401" spans="1:32">
      <c r="A401" s="159"/>
      <c r="B401" s="160"/>
      <c r="C401" s="5"/>
      <c r="D401" s="5"/>
      <c r="E401" s="5"/>
      <c r="F401" s="5"/>
      <c r="G401" s="5"/>
      <c r="H401" s="5"/>
      <c r="I401" s="5"/>
      <c r="J401" s="5"/>
      <c r="K401" s="5"/>
      <c r="L401" s="5"/>
      <c r="M401" s="5"/>
      <c r="N401" s="5"/>
      <c r="O401" s="5"/>
      <c r="P401" s="5"/>
      <c r="Q401" s="5"/>
      <c r="R401" s="5"/>
      <c r="S401" s="5"/>
      <c r="T401" s="5"/>
      <c r="U401" s="5"/>
      <c r="V401" s="7"/>
      <c r="W401" s="7"/>
      <c r="X401" s="164" t="e">
        <f t="shared" si="113"/>
        <v>#N/A</v>
      </c>
      <c r="Y401" s="164" t="e">
        <f t="shared" si="114"/>
        <v>#N/A</v>
      </c>
      <c r="AB401" s="156">
        <f t="shared" si="116"/>
        <v>0</v>
      </c>
      <c r="AC401" s="121" t="str">
        <f t="shared" si="115"/>
        <v/>
      </c>
      <c r="AE401" s="121" t="str">
        <f t="shared" si="117"/>
        <v/>
      </c>
      <c r="AF401" s="111" t="str">
        <f t="shared" si="118"/>
        <v/>
      </c>
    </row>
    <row r="402" spans="1:32">
      <c r="A402" s="159"/>
      <c r="B402" s="160"/>
      <c r="C402" s="5"/>
      <c r="D402" s="5"/>
      <c r="E402" s="5"/>
      <c r="F402" s="5"/>
      <c r="G402" s="5"/>
      <c r="H402" s="5"/>
      <c r="I402" s="5"/>
      <c r="J402" s="5"/>
      <c r="K402" s="5"/>
      <c r="L402" s="5"/>
      <c r="M402" s="5"/>
      <c r="N402" s="5"/>
      <c r="O402" s="5"/>
      <c r="P402" s="5"/>
      <c r="Q402" s="5"/>
      <c r="R402" s="5"/>
      <c r="S402" s="5"/>
      <c r="T402" s="5"/>
      <c r="U402" s="5"/>
      <c r="V402" s="7"/>
      <c r="W402" s="7"/>
      <c r="X402" s="164" t="e">
        <f t="shared" si="113"/>
        <v>#N/A</v>
      </c>
      <c r="Y402" s="164" t="e">
        <f t="shared" si="114"/>
        <v>#N/A</v>
      </c>
      <c r="AB402" s="156">
        <f t="shared" si="116"/>
        <v>0</v>
      </c>
      <c r="AC402" s="121" t="str">
        <f t="shared" si="115"/>
        <v/>
      </c>
      <c r="AE402" s="121" t="str">
        <f t="shared" si="117"/>
        <v/>
      </c>
      <c r="AF402" s="111" t="str">
        <f t="shared" si="118"/>
        <v/>
      </c>
    </row>
    <row r="403" spans="1:32">
      <c r="A403" s="159"/>
      <c r="B403" s="160"/>
      <c r="C403" s="5"/>
      <c r="D403" s="5"/>
      <c r="E403" s="5"/>
      <c r="F403" s="5"/>
      <c r="G403" s="5"/>
      <c r="H403" s="5"/>
      <c r="I403" s="5"/>
      <c r="J403" s="5"/>
      <c r="K403" s="5"/>
      <c r="L403" s="5"/>
      <c r="M403" s="5"/>
      <c r="N403" s="5"/>
      <c r="O403" s="5"/>
      <c r="P403" s="5"/>
      <c r="Q403" s="5"/>
      <c r="R403" s="5"/>
      <c r="S403" s="5"/>
      <c r="T403" s="5"/>
      <c r="U403" s="5"/>
      <c r="V403" s="7"/>
      <c r="W403" s="7"/>
      <c r="X403" s="164" t="e">
        <f t="shared" si="113"/>
        <v>#N/A</v>
      </c>
      <c r="Y403" s="164" t="e">
        <f t="shared" si="114"/>
        <v>#N/A</v>
      </c>
      <c r="AB403" s="156">
        <f t="shared" si="116"/>
        <v>0</v>
      </c>
      <c r="AC403" s="121" t="str">
        <f t="shared" si="115"/>
        <v/>
      </c>
      <c r="AE403" s="121" t="str">
        <f t="shared" si="117"/>
        <v/>
      </c>
      <c r="AF403" s="111" t="str">
        <f t="shared" si="118"/>
        <v/>
      </c>
    </row>
    <row r="404" spans="1:32">
      <c r="A404" s="159"/>
      <c r="B404" s="160"/>
      <c r="C404" s="5"/>
      <c r="D404" s="5"/>
      <c r="E404" s="5"/>
      <c r="F404" s="5"/>
      <c r="G404" s="5"/>
      <c r="H404" s="5"/>
      <c r="I404" s="5"/>
      <c r="J404" s="5"/>
      <c r="K404" s="5"/>
      <c r="L404" s="5"/>
      <c r="M404" s="5"/>
      <c r="N404" s="5"/>
      <c r="O404" s="5"/>
      <c r="P404" s="5"/>
      <c r="Q404" s="5"/>
      <c r="R404" s="5"/>
      <c r="S404" s="5"/>
      <c r="T404" s="5"/>
      <c r="U404" s="5"/>
      <c r="V404" s="7"/>
      <c r="W404" s="7"/>
      <c r="X404" s="164" t="e">
        <f t="shared" si="113"/>
        <v>#N/A</v>
      </c>
      <c r="Y404" s="164" t="e">
        <f t="shared" si="114"/>
        <v>#N/A</v>
      </c>
      <c r="AB404" s="156">
        <f t="shared" si="116"/>
        <v>0</v>
      </c>
      <c r="AC404" s="121" t="str">
        <f t="shared" si="115"/>
        <v/>
      </c>
      <c r="AE404" s="121" t="str">
        <f t="shared" si="117"/>
        <v/>
      </c>
      <c r="AF404" s="111" t="str">
        <f t="shared" si="118"/>
        <v/>
      </c>
    </row>
    <row r="405" spans="1:32">
      <c r="A405" s="159"/>
      <c r="B405" s="160"/>
      <c r="C405" s="5"/>
      <c r="D405" s="5"/>
      <c r="E405" s="5"/>
      <c r="F405" s="5"/>
      <c r="G405" s="5"/>
      <c r="H405" s="5"/>
      <c r="I405" s="5"/>
      <c r="J405" s="5"/>
      <c r="K405" s="5"/>
      <c r="L405" s="5"/>
      <c r="M405" s="5"/>
      <c r="N405" s="5"/>
      <c r="O405" s="5"/>
      <c r="P405" s="5"/>
      <c r="Q405" s="5"/>
      <c r="R405" s="5"/>
      <c r="S405" s="5"/>
      <c r="T405" s="5"/>
      <c r="U405" s="5"/>
      <c r="V405" s="7"/>
      <c r="W405" s="7"/>
      <c r="X405" s="164" t="e">
        <f t="shared" si="113"/>
        <v>#N/A</v>
      </c>
      <c r="Y405" s="164" t="e">
        <f t="shared" si="114"/>
        <v>#N/A</v>
      </c>
      <c r="AB405" s="156">
        <f t="shared" si="116"/>
        <v>0</v>
      </c>
      <c r="AC405" s="121" t="str">
        <f t="shared" si="115"/>
        <v/>
      </c>
      <c r="AE405" s="121" t="str">
        <f t="shared" si="117"/>
        <v/>
      </c>
      <c r="AF405" s="111" t="str">
        <f t="shared" si="118"/>
        <v/>
      </c>
    </row>
    <row r="406" spans="1:32">
      <c r="A406" s="159"/>
      <c r="B406" s="160"/>
      <c r="C406" s="5"/>
      <c r="D406" s="5"/>
      <c r="E406" s="5"/>
      <c r="F406" s="5"/>
      <c r="G406" s="5"/>
      <c r="H406" s="5"/>
      <c r="I406" s="5"/>
      <c r="J406" s="5"/>
      <c r="K406" s="5"/>
      <c r="L406" s="5"/>
      <c r="M406" s="5"/>
      <c r="N406" s="5"/>
      <c r="O406" s="5"/>
      <c r="P406" s="5"/>
      <c r="Q406" s="5"/>
      <c r="R406" s="5"/>
      <c r="S406" s="5"/>
      <c r="T406" s="5"/>
      <c r="U406" s="5"/>
      <c r="V406" s="7"/>
      <c r="W406" s="7"/>
      <c r="X406" s="164" t="e">
        <f t="shared" si="113"/>
        <v>#N/A</v>
      </c>
      <c r="Y406" s="164" t="e">
        <f t="shared" si="114"/>
        <v>#N/A</v>
      </c>
      <c r="AB406" s="156">
        <f t="shared" si="116"/>
        <v>0</v>
      </c>
      <c r="AC406" s="121" t="str">
        <f t="shared" si="115"/>
        <v/>
      </c>
      <c r="AE406" s="121" t="str">
        <f t="shared" si="117"/>
        <v/>
      </c>
      <c r="AF406" s="111" t="str">
        <f t="shared" si="118"/>
        <v/>
      </c>
    </row>
    <row r="407" spans="1:32">
      <c r="A407" s="159"/>
      <c r="B407" s="160"/>
      <c r="C407" s="5"/>
      <c r="D407" s="5"/>
      <c r="E407" s="5"/>
      <c r="F407" s="5"/>
      <c r="G407" s="5"/>
      <c r="H407" s="5"/>
      <c r="I407" s="5"/>
      <c r="J407" s="5"/>
      <c r="K407" s="5"/>
      <c r="L407" s="5"/>
      <c r="M407" s="5"/>
      <c r="N407" s="5"/>
      <c r="O407" s="5"/>
      <c r="P407" s="5"/>
      <c r="Q407" s="5"/>
      <c r="R407" s="5"/>
      <c r="S407" s="5"/>
      <c r="T407" s="5"/>
      <c r="U407" s="5"/>
      <c r="V407" s="7"/>
      <c r="W407" s="7"/>
      <c r="X407" s="164" t="e">
        <f t="shared" si="113"/>
        <v>#N/A</v>
      </c>
      <c r="Y407" s="164" t="e">
        <f t="shared" si="114"/>
        <v>#N/A</v>
      </c>
      <c r="AB407" s="156">
        <f t="shared" si="116"/>
        <v>0</v>
      </c>
      <c r="AC407" s="121" t="str">
        <f t="shared" si="115"/>
        <v/>
      </c>
      <c r="AE407" s="121" t="str">
        <f t="shared" si="117"/>
        <v/>
      </c>
      <c r="AF407" s="111" t="str">
        <f t="shared" si="118"/>
        <v/>
      </c>
    </row>
    <row r="408" spans="1:32">
      <c r="A408" s="159"/>
      <c r="B408" s="160"/>
      <c r="C408" s="5"/>
      <c r="D408" s="5"/>
      <c r="E408" s="5"/>
      <c r="F408" s="5"/>
      <c r="G408" s="5"/>
      <c r="H408" s="5"/>
      <c r="I408" s="5"/>
      <c r="J408" s="5"/>
      <c r="K408" s="5"/>
      <c r="L408" s="5"/>
      <c r="M408" s="5"/>
      <c r="N408" s="5"/>
      <c r="O408" s="5"/>
      <c r="P408" s="5"/>
      <c r="Q408" s="5"/>
      <c r="R408" s="5"/>
      <c r="S408" s="5"/>
      <c r="T408" s="5"/>
      <c r="U408" s="5"/>
      <c r="V408" s="7"/>
      <c r="W408" s="7"/>
      <c r="X408" s="164" t="e">
        <f t="shared" si="113"/>
        <v>#N/A</v>
      </c>
      <c r="Y408" s="164" t="e">
        <f t="shared" si="114"/>
        <v>#N/A</v>
      </c>
      <c r="AB408" s="156">
        <f t="shared" si="116"/>
        <v>0</v>
      </c>
      <c r="AC408" s="121" t="str">
        <f t="shared" si="115"/>
        <v/>
      </c>
      <c r="AE408" s="121" t="str">
        <f t="shared" si="117"/>
        <v/>
      </c>
      <c r="AF408" s="111" t="str">
        <f t="shared" si="118"/>
        <v/>
      </c>
    </row>
    <row r="409" spans="1:32">
      <c r="A409" s="159"/>
      <c r="B409" s="160"/>
      <c r="C409" s="5"/>
      <c r="D409" s="5"/>
      <c r="E409" s="5"/>
      <c r="F409" s="5"/>
      <c r="G409" s="5"/>
      <c r="H409" s="5"/>
      <c r="I409" s="5"/>
      <c r="J409" s="5"/>
      <c r="K409" s="5"/>
      <c r="L409" s="5"/>
      <c r="M409" s="5"/>
      <c r="N409" s="5"/>
      <c r="O409" s="5"/>
      <c r="P409" s="5"/>
      <c r="Q409" s="5"/>
      <c r="R409" s="5"/>
      <c r="S409" s="5"/>
      <c r="T409" s="5"/>
      <c r="U409" s="5"/>
      <c r="V409" s="7"/>
      <c r="W409" s="7"/>
      <c r="X409" s="164" t="e">
        <f t="shared" si="113"/>
        <v>#N/A</v>
      </c>
      <c r="Y409" s="164" t="e">
        <f t="shared" si="114"/>
        <v>#N/A</v>
      </c>
      <c r="AB409" s="156">
        <f t="shared" si="116"/>
        <v>0</v>
      </c>
      <c r="AC409" s="121" t="str">
        <f t="shared" si="115"/>
        <v/>
      </c>
      <c r="AE409" s="121" t="str">
        <f t="shared" si="117"/>
        <v/>
      </c>
      <c r="AF409" s="111" t="str">
        <f t="shared" si="118"/>
        <v/>
      </c>
    </row>
    <row r="410" spans="1:32">
      <c r="A410" s="159"/>
      <c r="B410" s="160"/>
      <c r="C410" s="5"/>
      <c r="D410" s="5"/>
      <c r="E410" s="5"/>
      <c r="F410" s="5"/>
      <c r="G410" s="5"/>
      <c r="H410" s="5"/>
      <c r="I410" s="5"/>
      <c r="J410" s="5"/>
      <c r="K410" s="5"/>
      <c r="L410" s="5"/>
      <c r="M410" s="5"/>
      <c r="N410" s="5"/>
      <c r="O410" s="5"/>
      <c r="P410" s="5"/>
      <c r="Q410" s="5"/>
      <c r="R410" s="5"/>
      <c r="S410" s="5"/>
      <c r="T410" s="5"/>
      <c r="U410" s="5"/>
      <c r="V410" s="7"/>
      <c r="W410" s="7"/>
      <c r="X410" s="164" t="e">
        <f t="shared" si="113"/>
        <v>#N/A</v>
      </c>
      <c r="Y410" s="164" t="e">
        <f t="shared" si="114"/>
        <v>#N/A</v>
      </c>
      <c r="AB410" s="156">
        <f t="shared" si="116"/>
        <v>0</v>
      </c>
      <c r="AC410" s="121" t="str">
        <f t="shared" si="115"/>
        <v/>
      </c>
      <c r="AE410" s="121" t="str">
        <f t="shared" si="117"/>
        <v/>
      </c>
      <c r="AF410" s="111" t="str">
        <f t="shared" si="118"/>
        <v/>
      </c>
    </row>
    <row r="411" spans="1:32">
      <c r="A411" s="159"/>
      <c r="B411" s="160"/>
      <c r="C411" s="5"/>
      <c r="D411" s="5"/>
      <c r="E411" s="5"/>
      <c r="F411" s="5"/>
      <c r="G411" s="5"/>
      <c r="H411" s="5"/>
      <c r="I411" s="5"/>
      <c r="J411" s="5"/>
      <c r="K411" s="5"/>
      <c r="L411" s="5"/>
      <c r="M411" s="5"/>
      <c r="N411" s="5"/>
      <c r="O411" s="5"/>
      <c r="P411" s="5"/>
      <c r="Q411" s="5"/>
      <c r="R411" s="5"/>
      <c r="S411" s="5"/>
      <c r="T411" s="5"/>
      <c r="U411" s="5"/>
      <c r="V411" s="7"/>
      <c r="W411" s="7"/>
      <c r="X411" s="164" t="e">
        <f t="shared" si="113"/>
        <v>#N/A</v>
      </c>
      <c r="Y411" s="164" t="e">
        <f t="shared" si="114"/>
        <v>#N/A</v>
      </c>
      <c r="AB411" s="156">
        <f t="shared" si="116"/>
        <v>0</v>
      </c>
      <c r="AC411" s="121" t="str">
        <f t="shared" si="115"/>
        <v/>
      </c>
      <c r="AE411" s="121" t="str">
        <f t="shared" si="117"/>
        <v/>
      </c>
      <c r="AF411" s="111" t="str">
        <f t="shared" si="118"/>
        <v/>
      </c>
    </row>
    <row r="412" spans="1:32">
      <c r="A412" s="159"/>
      <c r="B412" s="160"/>
      <c r="C412" s="5"/>
      <c r="D412" s="5"/>
      <c r="E412" s="5"/>
      <c r="F412" s="5"/>
      <c r="G412" s="5"/>
      <c r="H412" s="5"/>
      <c r="I412" s="5"/>
      <c r="J412" s="5"/>
      <c r="K412" s="5"/>
      <c r="L412" s="5"/>
      <c r="M412" s="5"/>
      <c r="N412" s="5"/>
      <c r="O412" s="5"/>
      <c r="P412" s="5"/>
      <c r="Q412" s="5"/>
      <c r="R412" s="5"/>
      <c r="S412" s="5"/>
      <c r="T412" s="5"/>
      <c r="U412" s="5"/>
      <c r="V412" s="7"/>
      <c r="W412" s="7"/>
      <c r="X412" s="164" t="e">
        <f t="shared" si="113"/>
        <v>#N/A</v>
      </c>
      <c r="Y412" s="164" t="e">
        <f t="shared" si="114"/>
        <v>#N/A</v>
      </c>
      <c r="AB412" s="156">
        <f t="shared" si="116"/>
        <v>0</v>
      </c>
      <c r="AC412" s="121" t="str">
        <f t="shared" si="115"/>
        <v/>
      </c>
      <c r="AE412" s="121" t="str">
        <f t="shared" si="117"/>
        <v/>
      </c>
      <c r="AF412" s="111" t="str">
        <f t="shared" si="118"/>
        <v/>
      </c>
    </row>
    <row r="413" spans="1:32">
      <c r="A413" s="159"/>
      <c r="B413" s="160"/>
      <c r="C413" s="5"/>
      <c r="D413" s="5"/>
      <c r="E413" s="5"/>
      <c r="F413" s="5"/>
      <c r="G413" s="5"/>
      <c r="H413" s="5"/>
      <c r="I413" s="5"/>
      <c r="J413" s="5"/>
      <c r="K413" s="5"/>
      <c r="L413" s="5"/>
      <c r="M413" s="5"/>
      <c r="N413" s="5"/>
      <c r="O413" s="5"/>
      <c r="P413" s="5"/>
      <c r="Q413" s="5"/>
      <c r="R413" s="5"/>
      <c r="S413" s="5"/>
      <c r="T413" s="5"/>
      <c r="U413" s="5"/>
      <c r="V413" s="7"/>
      <c r="W413" s="7"/>
      <c r="X413" s="164" t="e">
        <f t="shared" si="113"/>
        <v>#N/A</v>
      </c>
      <c r="Y413" s="164" t="e">
        <f t="shared" si="114"/>
        <v>#N/A</v>
      </c>
      <c r="AB413" s="156">
        <f t="shared" si="116"/>
        <v>0</v>
      </c>
      <c r="AC413" s="121" t="str">
        <f t="shared" si="115"/>
        <v/>
      </c>
      <c r="AE413" s="121" t="str">
        <f t="shared" si="117"/>
        <v/>
      </c>
      <c r="AF413" s="111" t="str">
        <f t="shared" si="118"/>
        <v/>
      </c>
    </row>
    <row r="414" spans="1:32">
      <c r="A414" s="159"/>
      <c r="B414" s="160"/>
      <c r="C414" s="5"/>
      <c r="D414" s="5"/>
      <c r="E414" s="5"/>
      <c r="F414" s="5"/>
      <c r="G414" s="5"/>
      <c r="H414" s="5"/>
      <c r="I414" s="5"/>
      <c r="J414" s="5"/>
      <c r="K414" s="5"/>
      <c r="L414" s="5"/>
      <c r="M414" s="5"/>
      <c r="N414" s="5"/>
      <c r="O414" s="5"/>
      <c r="P414" s="5"/>
      <c r="Q414" s="5"/>
      <c r="R414" s="5"/>
      <c r="S414" s="5"/>
      <c r="T414" s="5"/>
      <c r="U414" s="5"/>
      <c r="V414" s="7"/>
      <c r="W414" s="7"/>
      <c r="X414" s="164" t="e">
        <f t="shared" si="113"/>
        <v>#N/A</v>
      </c>
      <c r="Y414" s="164" t="e">
        <f t="shared" si="114"/>
        <v>#N/A</v>
      </c>
      <c r="AB414" s="156">
        <f t="shared" si="116"/>
        <v>0</v>
      </c>
      <c r="AC414" s="121" t="str">
        <f t="shared" si="115"/>
        <v/>
      </c>
      <c r="AE414" s="121" t="str">
        <f t="shared" si="117"/>
        <v/>
      </c>
      <c r="AF414" s="111" t="str">
        <f t="shared" si="118"/>
        <v/>
      </c>
    </row>
    <row r="415" spans="1:32">
      <c r="A415" s="159"/>
      <c r="B415" s="160"/>
      <c r="C415" s="5"/>
      <c r="D415" s="5"/>
      <c r="E415" s="5"/>
      <c r="F415" s="5"/>
      <c r="G415" s="5"/>
      <c r="H415" s="5"/>
      <c r="I415" s="5"/>
      <c r="J415" s="5"/>
      <c r="K415" s="5"/>
      <c r="L415" s="5"/>
      <c r="M415" s="5"/>
      <c r="N415" s="5"/>
      <c r="O415" s="5"/>
      <c r="P415" s="5"/>
      <c r="Q415" s="5"/>
      <c r="R415" s="5"/>
      <c r="S415" s="5"/>
      <c r="T415" s="5"/>
      <c r="U415" s="5"/>
      <c r="V415" s="7"/>
      <c r="W415" s="7"/>
      <c r="X415" s="164" t="e">
        <f t="shared" si="113"/>
        <v>#N/A</v>
      </c>
      <c r="Y415" s="164" t="e">
        <f t="shared" si="114"/>
        <v>#N/A</v>
      </c>
      <c r="AB415" s="156">
        <f t="shared" si="116"/>
        <v>0</v>
      </c>
      <c r="AC415" s="121" t="str">
        <f t="shared" si="115"/>
        <v/>
      </c>
      <c r="AE415" s="121" t="str">
        <f t="shared" si="117"/>
        <v/>
      </c>
      <c r="AF415" s="111" t="str">
        <f t="shared" si="118"/>
        <v/>
      </c>
    </row>
    <row r="416" spans="1:32">
      <c r="A416" s="159"/>
      <c r="B416" s="160"/>
      <c r="C416" s="5"/>
      <c r="D416" s="5"/>
      <c r="E416" s="5"/>
      <c r="F416" s="5"/>
      <c r="G416" s="5"/>
      <c r="H416" s="5"/>
      <c r="I416" s="5"/>
      <c r="J416" s="5"/>
      <c r="K416" s="5"/>
      <c r="L416" s="5"/>
      <c r="M416" s="5"/>
      <c r="N416" s="5"/>
      <c r="O416" s="5"/>
      <c r="P416" s="5"/>
      <c r="Q416" s="5"/>
      <c r="R416" s="5"/>
      <c r="S416" s="5"/>
      <c r="T416" s="5"/>
      <c r="U416" s="5"/>
      <c r="V416" s="7"/>
      <c r="W416" s="7"/>
      <c r="X416" s="164" t="e">
        <f t="shared" si="113"/>
        <v>#N/A</v>
      </c>
      <c r="Y416" s="164" t="e">
        <f t="shared" si="114"/>
        <v>#N/A</v>
      </c>
      <c r="AB416" s="156">
        <f t="shared" si="116"/>
        <v>0</v>
      </c>
      <c r="AC416" s="121" t="str">
        <f t="shared" si="115"/>
        <v/>
      </c>
      <c r="AE416" s="121" t="str">
        <f t="shared" si="117"/>
        <v/>
      </c>
      <c r="AF416" s="111" t="str">
        <f t="shared" si="118"/>
        <v/>
      </c>
    </row>
    <row r="417" spans="1:32">
      <c r="A417" s="159"/>
      <c r="B417" s="160"/>
      <c r="C417" s="5"/>
      <c r="D417" s="5"/>
      <c r="E417" s="5"/>
      <c r="F417" s="5"/>
      <c r="G417" s="5"/>
      <c r="H417" s="5"/>
      <c r="I417" s="5"/>
      <c r="J417" s="5"/>
      <c r="K417" s="5"/>
      <c r="L417" s="5"/>
      <c r="M417" s="5"/>
      <c r="N417" s="5"/>
      <c r="O417" s="5"/>
      <c r="P417" s="5"/>
      <c r="Q417" s="5"/>
      <c r="R417" s="5"/>
      <c r="S417" s="5"/>
      <c r="T417" s="5"/>
      <c r="U417" s="5"/>
      <c r="V417" s="7"/>
      <c r="W417" s="7"/>
      <c r="X417" s="164" t="e">
        <f t="shared" si="113"/>
        <v>#N/A</v>
      </c>
      <c r="Y417" s="164" t="e">
        <f t="shared" si="114"/>
        <v>#N/A</v>
      </c>
      <c r="AB417" s="156">
        <f t="shared" si="116"/>
        <v>0</v>
      </c>
      <c r="AC417" s="121" t="str">
        <f t="shared" si="115"/>
        <v/>
      </c>
      <c r="AE417" s="121" t="str">
        <f t="shared" si="117"/>
        <v/>
      </c>
      <c r="AF417" s="111" t="str">
        <f t="shared" si="118"/>
        <v/>
      </c>
    </row>
    <row r="418" spans="1:32">
      <c r="A418" s="159"/>
      <c r="B418" s="160"/>
      <c r="C418" s="5"/>
      <c r="D418" s="5"/>
      <c r="E418" s="5"/>
      <c r="F418" s="5"/>
      <c r="G418" s="5"/>
      <c r="H418" s="5"/>
      <c r="I418" s="5"/>
      <c r="J418" s="5"/>
      <c r="K418" s="5"/>
      <c r="L418" s="5"/>
      <c r="M418" s="5"/>
      <c r="N418" s="5"/>
      <c r="O418" s="5"/>
      <c r="P418" s="5"/>
      <c r="Q418" s="5"/>
      <c r="R418" s="5"/>
      <c r="S418" s="5"/>
      <c r="T418" s="5"/>
      <c r="U418" s="5"/>
      <c r="V418" s="7"/>
      <c r="W418" s="7"/>
      <c r="X418" s="164" t="e">
        <f t="shared" si="113"/>
        <v>#N/A</v>
      </c>
      <c r="Y418" s="164" t="e">
        <f t="shared" si="114"/>
        <v>#N/A</v>
      </c>
      <c r="AB418" s="156">
        <f t="shared" si="116"/>
        <v>0</v>
      </c>
      <c r="AC418" s="121" t="str">
        <f t="shared" si="115"/>
        <v/>
      </c>
      <c r="AE418" s="121" t="str">
        <f t="shared" si="117"/>
        <v/>
      </c>
      <c r="AF418" s="111" t="str">
        <f t="shared" si="118"/>
        <v/>
      </c>
    </row>
    <row r="419" spans="1:32">
      <c r="A419" s="159"/>
      <c r="B419" s="160"/>
      <c r="C419" s="5"/>
      <c r="D419" s="5"/>
      <c r="E419" s="5"/>
      <c r="F419" s="5"/>
      <c r="G419" s="5"/>
      <c r="H419" s="5"/>
      <c r="I419" s="5"/>
      <c r="J419" s="5"/>
      <c r="K419" s="5"/>
      <c r="L419" s="5"/>
      <c r="M419" s="5"/>
      <c r="N419" s="5"/>
      <c r="O419" s="5"/>
      <c r="P419" s="5"/>
      <c r="Q419" s="5"/>
      <c r="R419" s="5"/>
      <c r="S419" s="5"/>
      <c r="T419" s="5"/>
      <c r="U419" s="5"/>
      <c r="V419" s="7"/>
      <c r="W419" s="7"/>
      <c r="X419" s="164" t="e">
        <f t="shared" si="113"/>
        <v>#N/A</v>
      </c>
      <c r="Y419" s="164" t="e">
        <f t="shared" si="114"/>
        <v>#N/A</v>
      </c>
      <c r="AB419" s="156">
        <f t="shared" si="116"/>
        <v>0</v>
      </c>
      <c r="AC419" s="121" t="str">
        <f t="shared" si="115"/>
        <v/>
      </c>
      <c r="AE419" s="121" t="str">
        <f t="shared" si="117"/>
        <v/>
      </c>
      <c r="AF419" s="111" t="str">
        <f t="shared" si="118"/>
        <v/>
      </c>
    </row>
    <row r="420" spans="1:32">
      <c r="A420" s="159"/>
      <c r="B420" s="160"/>
      <c r="C420" s="5"/>
      <c r="D420" s="5"/>
      <c r="E420" s="5"/>
      <c r="F420" s="5"/>
      <c r="G420" s="5"/>
      <c r="H420" s="5"/>
      <c r="I420" s="5"/>
      <c r="J420" s="5"/>
      <c r="K420" s="5"/>
      <c r="L420" s="5"/>
      <c r="M420" s="5"/>
      <c r="N420" s="5"/>
      <c r="O420" s="5"/>
      <c r="P420" s="5"/>
      <c r="Q420" s="5"/>
      <c r="R420" s="5"/>
      <c r="S420" s="5"/>
      <c r="T420" s="5"/>
      <c r="U420" s="5"/>
      <c r="V420" s="7"/>
      <c r="W420" s="7"/>
      <c r="X420" s="164" t="e">
        <f t="shared" si="113"/>
        <v>#N/A</v>
      </c>
      <c r="Y420" s="164" t="e">
        <f t="shared" si="114"/>
        <v>#N/A</v>
      </c>
      <c r="AB420" s="156">
        <f t="shared" si="116"/>
        <v>0</v>
      </c>
      <c r="AC420" s="121" t="str">
        <f t="shared" si="115"/>
        <v/>
      </c>
      <c r="AE420" s="121" t="str">
        <f t="shared" si="117"/>
        <v/>
      </c>
      <c r="AF420" s="111" t="str">
        <f t="shared" si="118"/>
        <v/>
      </c>
    </row>
    <row r="421" spans="1:32">
      <c r="A421" s="159"/>
      <c r="B421" s="160"/>
      <c r="C421" s="5"/>
      <c r="D421" s="5"/>
      <c r="E421" s="5"/>
      <c r="F421" s="5"/>
      <c r="G421" s="5"/>
      <c r="H421" s="5"/>
      <c r="I421" s="5"/>
      <c r="J421" s="5"/>
      <c r="K421" s="5"/>
      <c r="L421" s="5"/>
      <c r="M421" s="5"/>
      <c r="N421" s="5"/>
      <c r="O421" s="5"/>
      <c r="P421" s="5"/>
      <c r="Q421" s="5"/>
      <c r="R421" s="5"/>
      <c r="S421" s="5"/>
      <c r="T421" s="5"/>
      <c r="U421" s="5"/>
      <c r="V421" s="7"/>
      <c r="W421" s="7"/>
      <c r="X421" s="164" t="e">
        <f t="shared" si="113"/>
        <v>#N/A</v>
      </c>
      <c r="Y421" s="164" t="e">
        <f t="shared" si="114"/>
        <v>#N/A</v>
      </c>
      <c r="AB421" s="156">
        <f t="shared" si="116"/>
        <v>0</v>
      </c>
      <c r="AC421" s="121" t="str">
        <f t="shared" si="115"/>
        <v/>
      </c>
      <c r="AE421" s="121" t="str">
        <f t="shared" si="117"/>
        <v/>
      </c>
      <c r="AF421" s="111" t="str">
        <f t="shared" si="118"/>
        <v/>
      </c>
    </row>
    <row r="422" spans="1:32">
      <c r="A422" s="159"/>
      <c r="B422" s="160"/>
      <c r="C422" s="5"/>
      <c r="D422" s="5"/>
      <c r="E422" s="5"/>
      <c r="F422" s="5"/>
      <c r="G422" s="5"/>
      <c r="H422" s="5"/>
      <c r="I422" s="5"/>
      <c r="J422" s="5"/>
      <c r="K422" s="5"/>
      <c r="L422" s="5"/>
      <c r="M422" s="5"/>
      <c r="N422" s="5"/>
      <c r="O422" s="5"/>
      <c r="P422" s="5"/>
      <c r="Q422" s="5"/>
      <c r="R422" s="5"/>
      <c r="S422" s="5"/>
      <c r="T422" s="5"/>
      <c r="U422" s="5"/>
      <c r="V422" s="7"/>
      <c r="W422" s="7"/>
      <c r="X422" s="164" t="e">
        <f t="shared" si="113"/>
        <v>#N/A</v>
      </c>
      <c r="Y422" s="164" t="e">
        <f t="shared" si="114"/>
        <v>#N/A</v>
      </c>
      <c r="AB422" s="156">
        <f t="shared" si="116"/>
        <v>0</v>
      </c>
      <c r="AC422" s="121" t="str">
        <f t="shared" si="115"/>
        <v/>
      </c>
      <c r="AE422" s="121" t="str">
        <f t="shared" si="117"/>
        <v/>
      </c>
      <c r="AF422" s="111" t="str">
        <f t="shared" si="118"/>
        <v/>
      </c>
    </row>
    <row r="423" spans="1:32">
      <c r="A423" s="159"/>
      <c r="B423" s="160"/>
      <c r="C423" s="5"/>
      <c r="D423" s="5"/>
      <c r="E423" s="5"/>
      <c r="F423" s="5"/>
      <c r="G423" s="5"/>
      <c r="H423" s="5"/>
      <c r="I423" s="5"/>
      <c r="J423" s="5"/>
      <c r="K423" s="5"/>
      <c r="L423" s="5"/>
      <c r="M423" s="5"/>
      <c r="N423" s="5"/>
      <c r="O423" s="5"/>
      <c r="P423" s="5"/>
      <c r="Q423" s="5"/>
      <c r="R423" s="5"/>
      <c r="S423" s="5"/>
      <c r="T423" s="5"/>
      <c r="U423" s="5"/>
      <c r="V423" s="7"/>
      <c r="W423" s="7"/>
      <c r="X423" s="164" t="e">
        <f t="shared" si="113"/>
        <v>#N/A</v>
      </c>
      <c r="Y423" s="164" t="e">
        <f t="shared" si="114"/>
        <v>#N/A</v>
      </c>
      <c r="AB423" s="156">
        <f t="shared" si="116"/>
        <v>0</v>
      </c>
      <c r="AC423" s="121" t="str">
        <f t="shared" si="115"/>
        <v/>
      </c>
      <c r="AE423" s="121" t="str">
        <f t="shared" si="117"/>
        <v/>
      </c>
      <c r="AF423" s="111" t="str">
        <f t="shared" si="118"/>
        <v/>
      </c>
    </row>
    <row r="424" spans="1:32">
      <c r="A424" s="159"/>
      <c r="B424" s="160"/>
      <c r="C424" s="5"/>
      <c r="D424" s="5"/>
      <c r="E424" s="5"/>
      <c r="F424" s="5"/>
      <c r="G424" s="5"/>
      <c r="H424" s="5"/>
      <c r="I424" s="5"/>
      <c r="J424" s="5"/>
      <c r="K424" s="5"/>
      <c r="L424" s="5"/>
      <c r="M424" s="5"/>
      <c r="N424" s="5"/>
      <c r="O424" s="5"/>
      <c r="P424" s="5"/>
      <c r="Q424" s="5"/>
      <c r="R424" s="5"/>
      <c r="S424" s="5"/>
      <c r="T424" s="5"/>
      <c r="U424" s="5"/>
      <c r="V424" s="7"/>
      <c r="W424" s="7"/>
      <c r="X424" s="164" t="e">
        <f t="shared" si="113"/>
        <v>#N/A</v>
      </c>
      <c r="Y424" s="164" t="e">
        <f t="shared" si="114"/>
        <v>#N/A</v>
      </c>
      <c r="AB424" s="156">
        <f t="shared" si="116"/>
        <v>0</v>
      </c>
      <c r="AC424" s="121" t="str">
        <f t="shared" si="115"/>
        <v/>
      </c>
      <c r="AE424" s="121" t="str">
        <f t="shared" si="117"/>
        <v/>
      </c>
      <c r="AF424" s="111" t="str">
        <f t="shared" si="118"/>
        <v/>
      </c>
    </row>
    <row r="425" spans="1:32">
      <c r="A425" s="159"/>
      <c r="B425" s="160"/>
      <c r="C425" s="5"/>
      <c r="D425" s="5"/>
      <c r="E425" s="5"/>
      <c r="F425" s="5"/>
      <c r="G425" s="5"/>
      <c r="H425" s="5"/>
      <c r="I425" s="5"/>
      <c r="J425" s="5"/>
      <c r="K425" s="5"/>
      <c r="L425" s="5"/>
      <c r="M425" s="5"/>
      <c r="N425" s="5"/>
      <c r="O425" s="5"/>
      <c r="P425" s="5"/>
      <c r="Q425" s="5"/>
      <c r="R425" s="5"/>
      <c r="S425" s="5"/>
      <c r="T425" s="5"/>
      <c r="U425" s="5"/>
      <c r="V425" s="7"/>
      <c r="W425" s="7"/>
      <c r="X425" s="164" t="e">
        <f t="shared" si="113"/>
        <v>#N/A</v>
      </c>
      <c r="Y425" s="164" t="e">
        <f t="shared" si="114"/>
        <v>#N/A</v>
      </c>
      <c r="AB425" s="156">
        <f t="shared" si="116"/>
        <v>0</v>
      </c>
      <c r="AC425" s="121" t="str">
        <f t="shared" si="115"/>
        <v/>
      </c>
      <c r="AE425" s="121" t="str">
        <f t="shared" si="117"/>
        <v/>
      </c>
      <c r="AF425" s="111" t="str">
        <f t="shared" si="118"/>
        <v/>
      </c>
    </row>
    <row r="426" spans="1:32">
      <c r="A426" s="159"/>
      <c r="B426" s="160"/>
      <c r="C426" s="5"/>
      <c r="D426" s="5"/>
      <c r="E426" s="5"/>
      <c r="F426" s="5"/>
      <c r="G426" s="5"/>
      <c r="H426" s="5"/>
      <c r="I426" s="5"/>
      <c r="J426" s="5"/>
      <c r="K426" s="5"/>
      <c r="L426" s="5"/>
      <c r="M426" s="5"/>
      <c r="N426" s="5"/>
      <c r="O426" s="5"/>
      <c r="P426" s="5"/>
      <c r="Q426" s="5"/>
      <c r="R426" s="5"/>
      <c r="S426" s="5"/>
      <c r="T426" s="5"/>
      <c r="U426" s="5"/>
      <c r="V426" s="7"/>
      <c r="W426" s="7"/>
      <c r="X426" s="164" t="e">
        <f t="shared" si="113"/>
        <v>#N/A</v>
      </c>
      <c r="Y426" s="164" t="e">
        <f t="shared" si="114"/>
        <v>#N/A</v>
      </c>
      <c r="AB426" s="156">
        <f t="shared" si="116"/>
        <v>0</v>
      </c>
      <c r="AC426" s="121" t="str">
        <f t="shared" si="115"/>
        <v/>
      </c>
      <c r="AE426" s="121" t="str">
        <f t="shared" si="117"/>
        <v/>
      </c>
      <c r="AF426" s="111" t="str">
        <f t="shared" si="118"/>
        <v/>
      </c>
    </row>
    <row r="427" spans="1:32">
      <c r="A427" s="159"/>
      <c r="B427" s="160"/>
      <c r="C427" s="5"/>
      <c r="D427" s="5"/>
      <c r="E427" s="5"/>
      <c r="F427" s="5"/>
      <c r="G427" s="5"/>
      <c r="H427" s="5"/>
      <c r="I427" s="5"/>
      <c r="J427" s="5"/>
      <c r="K427" s="5"/>
      <c r="L427" s="5"/>
      <c r="M427" s="5"/>
      <c r="N427" s="5"/>
      <c r="O427" s="5"/>
      <c r="P427" s="5"/>
      <c r="Q427" s="5"/>
      <c r="R427" s="5"/>
      <c r="S427" s="5"/>
      <c r="T427" s="5"/>
      <c r="U427" s="5"/>
      <c r="V427" s="7"/>
      <c r="W427" s="7"/>
      <c r="X427" s="164" t="e">
        <f t="shared" si="113"/>
        <v>#N/A</v>
      </c>
      <c r="Y427" s="164" t="e">
        <f t="shared" si="114"/>
        <v>#N/A</v>
      </c>
      <c r="AB427" s="156">
        <f t="shared" si="116"/>
        <v>0</v>
      </c>
      <c r="AC427" s="121" t="str">
        <f t="shared" si="115"/>
        <v/>
      </c>
      <c r="AE427" s="121" t="str">
        <f t="shared" si="117"/>
        <v/>
      </c>
      <c r="AF427" s="111" t="str">
        <f t="shared" si="118"/>
        <v/>
      </c>
    </row>
    <row r="428" spans="1:32">
      <c r="A428" s="159"/>
      <c r="B428" s="160"/>
      <c r="C428" s="5"/>
      <c r="D428" s="5"/>
      <c r="E428" s="5"/>
      <c r="F428" s="5"/>
      <c r="G428" s="5"/>
      <c r="H428" s="5"/>
      <c r="I428" s="5"/>
      <c r="J428" s="5"/>
      <c r="K428" s="5"/>
      <c r="L428" s="5"/>
      <c r="M428" s="5"/>
      <c r="N428" s="5"/>
      <c r="O428" s="5"/>
      <c r="P428" s="5"/>
      <c r="Q428" s="5"/>
      <c r="R428" s="5"/>
      <c r="S428" s="5"/>
      <c r="T428" s="5"/>
      <c r="U428" s="5"/>
      <c r="V428" s="7"/>
      <c r="W428" s="7"/>
      <c r="X428" s="164" t="e">
        <f t="shared" si="113"/>
        <v>#N/A</v>
      </c>
      <c r="Y428" s="164" t="e">
        <f t="shared" si="114"/>
        <v>#N/A</v>
      </c>
      <c r="AB428" s="156">
        <f t="shared" si="116"/>
        <v>0</v>
      </c>
      <c r="AC428" s="121" t="str">
        <f t="shared" si="115"/>
        <v/>
      </c>
      <c r="AE428" s="121" t="str">
        <f t="shared" si="117"/>
        <v/>
      </c>
      <c r="AF428" s="111" t="str">
        <f t="shared" si="118"/>
        <v/>
      </c>
    </row>
    <row r="429" spans="1:32">
      <c r="A429" s="159"/>
      <c r="B429" s="160"/>
      <c r="C429" s="5"/>
      <c r="D429" s="5"/>
      <c r="E429" s="5"/>
      <c r="F429" s="5"/>
      <c r="G429" s="5"/>
      <c r="H429" s="5"/>
      <c r="I429" s="5"/>
      <c r="J429" s="5"/>
      <c r="K429" s="5"/>
      <c r="L429" s="5"/>
      <c r="M429" s="5"/>
      <c r="N429" s="5"/>
      <c r="O429" s="5"/>
      <c r="P429" s="5"/>
      <c r="Q429" s="5"/>
      <c r="R429" s="5"/>
      <c r="S429" s="5"/>
      <c r="T429" s="5"/>
      <c r="U429" s="5"/>
      <c r="V429" s="7"/>
      <c r="W429" s="7"/>
      <c r="X429" s="164" t="e">
        <f t="shared" si="113"/>
        <v>#N/A</v>
      </c>
      <c r="Y429" s="164" t="e">
        <f t="shared" si="114"/>
        <v>#N/A</v>
      </c>
      <c r="AB429" s="156">
        <f t="shared" si="116"/>
        <v>0</v>
      </c>
      <c r="AC429" s="121" t="str">
        <f t="shared" si="115"/>
        <v/>
      </c>
      <c r="AE429" s="121" t="str">
        <f t="shared" si="117"/>
        <v/>
      </c>
      <c r="AF429" s="111" t="str">
        <f t="shared" si="118"/>
        <v/>
      </c>
    </row>
    <row r="430" spans="1:32">
      <c r="A430" s="159"/>
      <c r="B430" s="160"/>
      <c r="C430" s="5"/>
      <c r="D430" s="5"/>
      <c r="E430" s="5"/>
      <c r="F430" s="5"/>
      <c r="G430" s="5"/>
      <c r="H430" s="5"/>
      <c r="I430" s="5"/>
      <c r="J430" s="5"/>
      <c r="K430" s="5"/>
      <c r="L430" s="5"/>
      <c r="M430" s="5"/>
      <c r="N430" s="5"/>
      <c r="O430" s="5"/>
      <c r="P430" s="5"/>
      <c r="Q430" s="5"/>
      <c r="R430" s="5"/>
      <c r="S430" s="5"/>
      <c r="T430" s="5"/>
      <c r="U430" s="5"/>
      <c r="V430" s="7"/>
      <c r="W430" s="7"/>
      <c r="X430" s="164" t="e">
        <f t="shared" si="113"/>
        <v>#N/A</v>
      </c>
      <c r="Y430" s="164" t="e">
        <f t="shared" si="114"/>
        <v>#N/A</v>
      </c>
      <c r="AB430" s="156">
        <f t="shared" si="116"/>
        <v>0</v>
      </c>
      <c r="AC430" s="121" t="str">
        <f t="shared" si="115"/>
        <v/>
      </c>
      <c r="AE430" s="121" t="str">
        <f t="shared" si="117"/>
        <v/>
      </c>
      <c r="AF430" s="111" t="str">
        <f t="shared" si="118"/>
        <v/>
      </c>
    </row>
    <row r="431" spans="1:32">
      <c r="A431" s="159"/>
      <c r="B431" s="160"/>
      <c r="C431" s="5"/>
      <c r="D431" s="5"/>
      <c r="E431" s="5"/>
      <c r="F431" s="5"/>
      <c r="G431" s="5"/>
      <c r="H431" s="5"/>
      <c r="I431" s="5"/>
      <c r="J431" s="5"/>
      <c r="K431" s="5"/>
      <c r="L431" s="5"/>
      <c r="M431" s="5"/>
      <c r="N431" s="5"/>
      <c r="O431" s="5"/>
      <c r="P431" s="5"/>
      <c r="Q431" s="5"/>
      <c r="R431" s="5"/>
      <c r="S431" s="5"/>
      <c r="T431" s="5"/>
      <c r="U431" s="5"/>
      <c r="V431" s="7"/>
      <c r="W431" s="7"/>
      <c r="X431" s="164" t="e">
        <f t="shared" si="113"/>
        <v>#N/A</v>
      </c>
      <c r="Y431" s="164" t="e">
        <f t="shared" si="114"/>
        <v>#N/A</v>
      </c>
      <c r="AB431" s="156">
        <f t="shared" si="116"/>
        <v>0</v>
      </c>
      <c r="AC431" s="121" t="str">
        <f t="shared" si="115"/>
        <v/>
      </c>
      <c r="AE431" s="121" t="str">
        <f t="shared" si="117"/>
        <v/>
      </c>
      <c r="AF431" s="111" t="str">
        <f t="shared" si="118"/>
        <v/>
      </c>
    </row>
    <row r="432" spans="1:32">
      <c r="A432" s="159"/>
      <c r="B432" s="160"/>
      <c r="C432" s="5"/>
      <c r="D432" s="5"/>
      <c r="E432" s="5"/>
      <c r="F432" s="5"/>
      <c r="G432" s="5"/>
      <c r="H432" s="5"/>
      <c r="I432" s="5"/>
      <c r="J432" s="5"/>
      <c r="K432" s="5"/>
      <c r="L432" s="5"/>
      <c r="M432" s="5"/>
      <c r="N432" s="5"/>
      <c r="O432" s="5"/>
      <c r="P432" s="5"/>
      <c r="Q432" s="5"/>
      <c r="R432" s="5"/>
      <c r="S432" s="5"/>
      <c r="T432" s="5"/>
      <c r="U432" s="5"/>
      <c r="V432" s="7"/>
      <c r="W432" s="7"/>
      <c r="X432" s="164" t="e">
        <f t="shared" si="113"/>
        <v>#N/A</v>
      </c>
      <c r="Y432" s="164" t="e">
        <f t="shared" si="114"/>
        <v>#N/A</v>
      </c>
      <c r="AB432" s="156">
        <f t="shared" si="116"/>
        <v>0</v>
      </c>
      <c r="AC432" s="121" t="str">
        <f t="shared" si="115"/>
        <v/>
      </c>
      <c r="AE432" s="121" t="str">
        <f t="shared" si="117"/>
        <v/>
      </c>
      <c r="AF432" s="111" t="str">
        <f t="shared" si="118"/>
        <v/>
      </c>
    </row>
    <row r="433" spans="1:32">
      <c r="A433" s="159"/>
      <c r="B433" s="160"/>
      <c r="C433" s="5"/>
      <c r="D433" s="5"/>
      <c r="E433" s="5"/>
      <c r="F433" s="5"/>
      <c r="G433" s="5"/>
      <c r="H433" s="5"/>
      <c r="I433" s="5"/>
      <c r="J433" s="5"/>
      <c r="K433" s="5"/>
      <c r="L433" s="5"/>
      <c r="M433" s="5"/>
      <c r="N433" s="5"/>
      <c r="O433" s="5"/>
      <c r="P433" s="5"/>
      <c r="Q433" s="5"/>
      <c r="R433" s="5"/>
      <c r="S433" s="5"/>
      <c r="T433" s="5"/>
      <c r="U433" s="5"/>
      <c r="V433" s="7"/>
      <c r="W433" s="7"/>
      <c r="X433" s="164" t="e">
        <f t="shared" si="113"/>
        <v>#N/A</v>
      </c>
      <c r="Y433" s="164" t="e">
        <f t="shared" si="114"/>
        <v>#N/A</v>
      </c>
      <c r="AB433" s="156">
        <f t="shared" si="116"/>
        <v>0</v>
      </c>
      <c r="AC433" s="121" t="str">
        <f t="shared" si="115"/>
        <v/>
      </c>
      <c r="AE433" s="121" t="str">
        <f t="shared" si="117"/>
        <v/>
      </c>
      <c r="AF433" s="111" t="str">
        <f t="shared" si="118"/>
        <v/>
      </c>
    </row>
    <row r="434" spans="1:32">
      <c r="A434" s="159"/>
      <c r="B434" s="160"/>
      <c r="C434" s="5"/>
      <c r="D434" s="5"/>
      <c r="E434" s="5"/>
      <c r="F434" s="5"/>
      <c r="G434" s="5"/>
      <c r="H434" s="5"/>
      <c r="I434" s="5"/>
      <c r="J434" s="5"/>
      <c r="K434" s="5"/>
      <c r="L434" s="5"/>
      <c r="M434" s="5"/>
      <c r="N434" s="5"/>
      <c r="O434" s="5"/>
      <c r="P434" s="5"/>
      <c r="Q434" s="5"/>
      <c r="R434" s="5"/>
      <c r="S434" s="5"/>
      <c r="T434" s="5"/>
      <c r="U434" s="5"/>
      <c r="V434" s="7"/>
      <c r="W434" s="7"/>
      <c r="X434" s="164" t="e">
        <f t="shared" si="113"/>
        <v>#N/A</v>
      </c>
      <c r="Y434" s="164" t="e">
        <f t="shared" si="114"/>
        <v>#N/A</v>
      </c>
      <c r="AB434" s="156">
        <f t="shared" si="116"/>
        <v>0</v>
      </c>
      <c r="AC434" s="121" t="str">
        <f t="shared" si="115"/>
        <v/>
      </c>
      <c r="AE434" s="121" t="str">
        <f t="shared" si="117"/>
        <v/>
      </c>
      <c r="AF434" s="111" t="str">
        <f t="shared" si="118"/>
        <v/>
      </c>
    </row>
    <row r="435" spans="1:32">
      <c r="A435" s="159"/>
      <c r="B435" s="160"/>
      <c r="C435" s="5"/>
      <c r="D435" s="5"/>
      <c r="E435" s="5"/>
      <c r="F435" s="5"/>
      <c r="G435" s="5"/>
      <c r="H435" s="5"/>
      <c r="I435" s="5"/>
      <c r="J435" s="5"/>
      <c r="K435" s="5"/>
      <c r="L435" s="5"/>
      <c r="M435" s="5"/>
      <c r="N435" s="5"/>
      <c r="O435" s="5"/>
      <c r="P435" s="5"/>
      <c r="Q435" s="5"/>
      <c r="R435" s="5"/>
      <c r="S435" s="5"/>
      <c r="T435" s="5"/>
      <c r="U435" s="5"/>
      <c r="V435" s="7"/>
      <c r="W435" s="7"/>
      <c r="X435" s="164" t="e">
        <f t="shared" si="113"/>
        <v>#N/A</v>
      </c>
      <c r="Y435" s="164" t="e">
        <f t="shared" si="114"/>
        <v>#N/A</v>
      </c>
      <c r="AB435" s="156">
        <f t="shared" si="116"/>
        <v>0</v>
      </c>
      <c r="AC435" s="121" t="str">
        <f t="shared" si="115"/>
        <v/>
      </c>
      <c r="AE435" s="121" t="str">
        <f t="shared" si="117"/>
        <v/>
      </c>
      <c r="AF435" s="111" t="str">
        <f t="shared" si="118"/>
        <v/>
      </c>
    </row>
    <row r="436" spans="1:32">
      <c r="A436" s="159"/>
      <c r="B436" s="160"/>
      <c r="C436" s="5"/>
      <c r="D436" s="5"/>
      <c r="E436" s="5"/>
      <c r="F436" s="5"/>
      <c r="G436" s="5"/>
      <c r="H436" s="5"/>
      <c r="I436" s="5"/>
      <c r="J436" s="5"/>
      <c r="K436" s="5"/>
      <c r="L436" s="5"/>
      <c r="M436" s="5"/>
      <c r="N436" s="5"/>
      <c r="O436" s="5"/>
      <c r="P436" s="5"/>
      <c r="Q436" s="5"/>
      <c r="R436" s="5"/>
      <c r="S436" s="5"/>
      <c r="T436" s="5"/>
      <c r="U436" s="5"/>
      <c r="V436" s="7"/>
      <c r="W436" s="7"/>
      <c r="X436" s="164" t="e">
        <f t="shared" si="113"/>
        <v>#N/A</v>
      </c>
      <c r="Y436" s="164" t="e">
        <f t="shared" si="114"/>
        <v>#N/A</v>
      </c>
      <c r="AB436" s="156">
        <f t="shared" si="116"/>
        <v>0</v>
      </c>
      <c r="AC436" s="121" t="str">
        <f t="shared" si="115"/>
        <v/>
      </c>
      <c r="AE436" s="121" t="str">
        <f t="shared" si="117"/>
        <v/>
      </c>
      <c r="AF436" s="111" t="str">
        <f t="shared" si="118"/>
        <v/>
      </c>
    </row>
    <row r="437" spans="1:32">
      <c r="A437" s="159"/>
      <c r="B437" s="160"/>
      <c r="C437" s="5"/>
      <c r="D437" s="5"/>
      <c r="E437" s="5"/>
      <c r="F437" s="5"/>
      <c r="G437" s="5"/>
      <c r="H437" s="5"/>
      <c r="I437" s="5"/>
      <c r="J437" s="5"/>
      <c r="K437" s="5"/>
      <c r="L437" s="5"/>
      <c r="M437" s="5"/>
      <c r="N437" s="5"/>
      <c r="O437" s="5"/>
      <c r="P437" s="5"/>
      <c r="Q437" s="5"/>
      <c r="R437" s="5"/>
      <c r="S437" s="5"/>
      <c r="T437" s="5"/>
      <c r="U437" s="5"/>
      <c r="V437" s="7"/>
      <c r="W437" s="7"/>
      <c r="X437" s="164" t="e">
        <f t="shared" si="113"/>
        <v>#N/A</v>
      </c>
      <c r="Y437" s="164" t="e">
        <f t="shared" si="114"/>
        <v>#N/A</v>
      </c>
      <c r="AB437" s="156">
        <f t="shared" si="116"/>
        <v>0</v>
      </c>
      <c r="AC437" s="121" t="str">
        <f t="shared" si="115"/>
        <v/>
      </c>
      <c r="AE437" s="121" t="str">
        <f t="shared" si="117"/>
        <v/>
      </c>
      <c r="AF437" s="111" t="str">
        <f t="shared" si="118"/>
        <v/>
      </c>
    </row>
    <row r="438" spans="1:32">
      <c r="A438" s="159"/>
      <c r="B438" s="160"/>
      <c r="C438" s="5"/>
      <c r="D438" s="5"/>
      <c r="E438" s="5"/>
      <c r="F438" s="5"/>
      <c r="G438" s="5"/>
      <c r="H438" s="5"/>
      <c r="I438" s="5"/>
      <c r="J438" s="5"/>
      <c r="K438" s="5"/>
      <c r="L438" s="5"/>
      <c r="M438" s="5"/>
      <c r="N438" s="5"/>
      <c r="O438" s="5"/>
      <c r="P438" s="5"/>
      <c r="Q438" s="5"/>
      <c r="R438" s="5"/>
      <c r="S438" s="5"/>
      <c r="T438" s="5"/>
      <c r="U438" s="5"/>
      <c r="V438" s="7"/>
      <c r="W438" s="7"/>
      <c r="X438" s="164" t="e">
        <f t="shared" si="113"/>
        <v>#N/A</v>
      </c>
      <c r="Y438" s="164" t="e">
        <f t="shared" si="114"/>
        <v>#N/A</v>
      </c>
      <c r="AB438" s="156">
        <f t="shared" si="116"/>
        <v>0</v>
      </c>
      <c r="AC438" s="121" t="str">
        <f t="shared" si="115"/>
        <v/>
      </c>
      <c r="AE438" s="121" t="str">
        <f t="shared" si="117"/>
        <v/>
      </c>
      <c r="AF438" s="111" t="str">
        <f t="shared" si="118"/>
        <v/>
      </c>
    </row>
    <row r="439" spans="1:32">
      <c r="A439" s="159"/>
      <c r="B439" s="160"/>
      <c r="C439" s="5"/>
      <c r="D439" s="5"/>
      <c r="E439" s="5"/>
      <c r="F439" s="5"/>
      <c r="G439" s="5"/>
      <c r="H439" s="5"/>
      <c r="I439" s="5"/>
      <c r="J439" s="5"/>
      <c r="K439" s="5"/>
      <c r="L439" s="5"/>
      <c r="M439" s="5"/>
      <c r="N439" s="5"/>
      <c r="O439" s="5"/>
      <c r="P439" s="5"/>
      <c r="Q439" s="5"/>
      <c r="R439" s="5"/>
      <c r="S439" s="5"/>
      <c r="T439" s="5"/>
      <c r="U439" s="5"/>
      <c r="V439" s="7"/>
      <c r="W439" s="7"/>
      <c r="X439" s="164" t="e">
        <f t="shared" si="113"/>
        <v>#N/A</v>
      </c>
      <c r="Y439" s="164" t="e">
        <f t="shared" si="114"/>
        <v>#N/A</v>
      </c>
      <c r="AB439" s="156">
        <f t="shared" si="116"/>
        <v>0</v>
      </c>
      <c r="AC439" s="121" t="str">
        <f t="shared" si="115"/>
        <v/>
      </c>
      <c r="AE439" s="121" t="str">
        <f t="shared" si="117"/>
        <v/>
      </c>
      <c r="AF439" s="111" t="str">
        <f t="shared" si="118"/>
        <v/>
      </c>
    </row>
    <row r="440" spans="1:32">
      <c r="A440" s="159"/>
      <c r="B440" s="160"/>
      <c r="C440" s="5"/>
      <c r="D440" s="5"/>
      <c r="E440" s="5"/>
      <c r="F440" s="5"/>
      <c r="G440" s="5"/>
      <c r="H440" s="5"/>
      <c r="I440" s="5"/>
      <c r="J440" s="5"/>
      <c r="K440" s="5"/>
      <c r="L440" s="5"/>
      <c r="M440" s="5"/>
      <c r="N440" s="5"/>
      <c r="O440" s="5"/>
      <c r="P440" s="5"/>
      <c r="Q440" s="5"/>
      <c r="R440" s="5"/>
      <c r="S440" s="5"/>
      <c r="T440" s="5"/>
      <c r="U440" s="5"/>
      <c r="V440" s="7"/>
      <c r="W440" s="7"/>
      <c r="X440" s="164" t="e">
        <f t="shared" si="113"/>
        <v>#N/A</v>
      </c>
      <c r="Y440" s="164" t="e">
        <f t="shared" si="114"/>
        <v>#N/A</v>
      </c>
      <c r="AB440" s="156">
        <f t="shared" si="116"/>
        <v>0</v>
      </c>
      <c r="AC440" s="121" t="str">
        <f t="shared" si="115"/>
        <v/>
      </c>
      <c r="AE440" s="121" t="str">
        <f t="shared" si="117"/>
        <v/>
      </c>
      <c r="AF440" s="111" t="str">
        <f t="shared" si="118"/>
        <v/>
      </c>
    </row>
    <row r="441" spans="1:32">
      <c r="A441" s="159"/>
      <c r="B441" s="160"/>
      <c r="C441" s="5"/>
      <c r="D441" s="5"/>
      <c r="E441" s="5"/>
      <c r="F441" s="5"/>
      <c r="G441" s="5"/>
      <c r="H441" s="5"/>
      <c r="I441" s="5"/>
      <c r="J441" s="5"/>
      <c r="K441" s="5"/>
      <c r="L441" s="5"/>
      <c r="M441" s="5"/>
      <c r="N441" s="5"/>
      <c r="O441" s="5"/>
      <c r="P441" s="5"/>
      <c r="Q441" s="5"/>
      <c r="R441" s="5"/>
      <c r="S441" s="5"/>
      <c r="T441" s="5"/>
      <c r="U441" s="5"/>
      <c r="V441" s="7"/>
      <c r="W441" s="7"/>
      <c r="X441" s="164" t="e">
        <f t="shared" si="113"/>
        <v>#N/A</v>
      </c>
      <c r="Y441" s="164" t="e">
        <f t="shared" si="114"/>
        <v>#N/A</v>
      </c>
      <c r="AB441" s="156">
        <f t="shared" si="116"/>
        <v>0</v>
      </c>
      <c r="AC441" s="121" t="str">
        <f t="shared" si="115"/>
        <v/>
      </c>
      <c r="AE441" s="121" t="str">
        <f t="shared" si="117"/>
        <v/>
      </c>
      <c r="AF441" s="111" t="str">
        <f t="shared" si="118"/>
        <v/>
      </c>
    </row>
    <row r="442" spans="1:32">
      <c r="A442" s="159"/>
      <c r="B442" s="160"/>
      <c r="C442" s="5"/>
      <c r="D442" s="5"/>
      <c r="E442" s="5"/>
      <c r="F442" s="5"/>
      <c r="G442" s="5"/>
      <c r="H442" s="5"/>
      <c r="I442" s="5"/>
      <c r="J442" s="5"/>
      <c r="K442" s="5"/>
      <c r="L442" s="5"/>
      <c r="M442" s="5"/>
      <c r="N442" s="5"/>
      <c r="O442" s="5"/>
      <c r="P442" s="5"/>
      <c r="Q442" s="5"/>
      <c r="R442" s="5"/>
      <c r="S442" s="5"/>
      <c r="T442" s="5"/>
      <c r="U442" s="5"/>
      <c r="V442" s="7"/>
      <c r="W442" s="7"/>
      <c r="X442" s="164" t="e">
        <f t="shared" si="113"/>
        <v>#N/A</v>
      </c>
      <c r="Y442" s="164" t="e">
        <f t="shared" si="114"/>
        <v>#N/A</v>
      </c>
      <c r="AB442" s="156">
        <f t="shared" si="116"/>
        <v>0</v>
      </c>
      <c r="AC442" s="121" t="str">
        <f t="shared" si="115"/>
        <v/>
      </c>
      <c r="AE442" s="121" t="str">
        <f t="shared" si="117"/>
        <v/>
      </c>
      <c r="AF442" s="111" t="str">
        <f t="shared" si="118"/>
        <v/>
      </c>
    </row>
    <row r="443" spans="1:32">
      <c r="A443" s="159"/>
      <c r="B443" s="160"/>
      <c r="C443" s="5"/>
      <c r="D443" s="5"/>
      <c r="E443" s="5"/>
      <c r="F443" s="5"/>
      <c r="G443" s="5"/>
      <c r="H443" s="5"/>
      <c r="I443" s="5"/>
      <c r="J443" s="5"/>
      <c r="K443" s="5"/>
      <c r="L443" s="5"/>
      <c r="M443" s="5"/>
      <c r="N443" s="5"/>
      <c r="O443" s="5"/>
      <c r="P443" s="5"/>
      <c r="Q443" s="5"/>
      <c r="R443" s="5"/>
      <c r="S443" s="5"/>
      <c r="T443" s="5"/>
      <c r="U443" s="5"/>
      <c r="V443" s="7"/>
      <c r="W443" s="7"/>
      <c r="X443" s="164" t="e">
        <f t="shared" si="113"/>
        <v>#N/A</v>
      </c>
      <c r="Y443" s="164" t="e">
        <f t="shared" si="114"/>
        <v>#N/A</v>
      </c>
      <c r="AB443" s="156">
        <f t="shared" si="116"/>
        <v>0</v>
      </c>
      <c r="AC443" s="121" t="str">
        <f t="shared" si="115"/>
        <v/>
      </c>
      <c r="AE443" s="121" t="str">
        <f t="shared" si="117"/>
        <v/>
      </c>
      <c r="AF443" s="111" t="str">
        <f t="shared" si="118"/>
        <v/>
      </c>
    </row>
    <row r="444" spans="1:32">
      <c r="A444" s="159"/>
      <c r="B444" s="160"/>
      <c r="C444" s="5"/>
      <c r="D444" s="5"/>
      <c r="E444" s="5"/>
      <c r="F444" s="5"/>
      <c r="G444" s="5"/>
      <c r="H444" s="5"/>
      <c r="I444" s="5"/>
      <c r="J444" s="5"/>
      <c r="K444" s="5"/>
      <c r="L444" s="5"/>
      <c r="M444" s="5"/>
      <c r="N444" s="5"/>
      <c r="O444" s="5"/>
      <c r="P444" s="5"/>
      <c r="Q444" s="5"/>
      <c r="R444" s="5"/>
      <c r="S444" s="5"/>
      <c r="T444" s="5"/>
      <c r="U444" s="5"/>
      <c r="V444" s="7"/>
      <c r="W444" s="7"/>
      <c r="X444" s="164" t="e">
        <f t="shared" si="113"/>
        <v>#N/A</v>
      </c>
      <c r="Y444" s="164" t="e">
        <f t="shared" si="114"/>
        <v>#N/A</v>
      </c>
      <c r="AB444" s="156">
        <f t="shared" si="116"/>
        <v>0</v>
      </c>
      <c r="AC444" s="121" t="str">
        <f t="shared" si="115"/>
        <v/>
      </c>
      <c r="AE444" s="121" t="str">
        <f t="shared" si="117"/>
        <v/>
      </c>
      <c r="AF444" s="111" t="str">
        <f t="shared" si="118"/>
        <v/>
      </c>
    </row>
    <row r="445" spans="1:32">
      <c r="A445" s="159"/>
      <c r="B445" s="160"/>
      <c r="C445" s="5"/>
      <c r="D445" s="5"/>
      <c r="E445" s="5"/>
      <c r="F445" s="5"/>
      <c r="G445" s="5"/>
      <c r="H445" s="5"/>
      <c r="I445" s="5"/>
      <c r="J445" s="5"/>
      <c r="K445" s="5"/>
      <c r="L445" s="5"/>
      <c r="M445" s="5"/>
      <c r="N445" s="5"/>
      <c r="O445" s="5"/>
      <c r="P445" s="5"/>
      <c r="Q445" s="5"/>
      <c r="R445" s="5"/>
      <c r="S445" s="5"/>
      <c r="T445" s="5"/>
      <c r="U445" s="5"/>
      <c r="V445" s="7"/>
      <c r="W445" s="7"/>
      <c r="X445" s="164" t="e">
        <f t="shared" si="113"/>
        <v>#N/A</v>
      </c>
      <c r="Y445" s="164" t="e">
        <f t="shared" si="114"/>
        <v>#N/A</v>
      </c>
      <c r="AB445" s="156">
        <f t="shared" si="116"/>
        <v>0</v>
      </c>
      <c r="AC445" s="121" t="str">
        <f t="shared" si="115"/>
        <v/>
      </c>
      <c r="AE445" s="121" t="str">
        <f t="shared" si="117"/>
        <v/>
      </c>
      <c r="AF445" s="111" t="str">
        <f t="shared" si="118"/>
        <v/>
      </c>
    </row>
    <row r="446" spans="1:32">
      <c r="A446" s="159"/>
      <c r="B446" s="160"/>
      <c r="C446" s="5"/>
      <c r="D446" s="5"/>
      <c r="E446" s="5"/>
      <c r="F446" s="5"/>
      <c r="G446" s="5"/>
      <c r="H446" s="5"/>
      <c r="I446" s="5"/>
      <c r="J446" s="5"/>
      <c r="K446" s="5"/>
      <c r="L446" s="5"/>
      <c r="M446" s="5"/>
      <c r="N446" s="5"/>
      <c r="O446" s="5"/>
      <c r="P446" s="5"/>
      <c r="Q446" s="5"/>
      <c r="R446" s="5"/>
      <c r="S446" s="5"/>
      <c r="T446" s="5"/>
      <c r="U446" s="5"/>
      <c r="V446" s="7"/>
      <c r="W446" s="7"/>
      <c r="X446" s="164" t="e">
        <f t="shared" si="113"/>
        <v>#N/A</v>
      </c>
      <c r="Y446" s="164" t="e">
        <f t="shared" si="114"/>
        <v>#N/A</v>
      </c>
      <c r="AB446" s="156">
        <f t="shared" si="116"/>
        <v>0</v>
      </c>
      <c r="AC446" s="121" t="str">
        <f t="shared" si="115"/>
        <v/>
      </c>
      <c r="AE446" s="121" t="str">
        <f t="shared" si="117"/>
        <v/>
      </c>
      <c r="AF446" s="111" t="str">
        <f t="shared" si="118"/>
        <v/>
      </c>
    </row>
    <row r="447" spans="1:32">
      <c r="A447" s="159"/>
      <c r="B447" s="160"/>
      <c r="C447" s="5"/>
      <c r="D447" s="5"/>
      <c r="E447" s="5"/>
      <c r="F447" s="5"/>
      <c r="G447" s="5"/>
      <c r="H447" s="5"/>
      <c r="I447" s="5"/>
      <c r="J447" s="5"/>
      <c r="K447" s="5"/>
      <c r="L447" s="5"/>
      <c r="M447" s="5"/>
      <c r="N447" s="5"/>
      <c r="O447" s="5"/>
      <c r="P447" s="5"/>
      <c r="Q447" s="5"/>
      <c r="R447" s="5"/>
      <c r="S447" s="5"/>
      <c r="T447" s="5"/>
      <c r="U447" s="5"/>
      <c r="V447" s="7"/>
      <c r="W447" s="7"/>
      <c r="X447" s="164" t="e">
        <f t="shared" si="113"/>
        <v>#N/A</v>
      </c>
      <c r="Y447" s="164" t="e">
        <f t="shared" si="114"/>
        <v>#N/A</v>
      </c>
      <c r="AB447" s="156">
        <f t="shared" si="116"/>
        <v>0</v>
      </c>
      <c r="AC447" s="121" t="str">
        <f t="shared" si="115"/>
        <v/>
      </c>
      <c r="AE447" s="121" t="str">
        <f t="shared" si="117"/>
        <v/>
      </c>
      <c r="AF447" s="111" t="str">
        <f t="shared" si="118"/>
        <v/>
      </c>
    </row>
    <row r="448" spans="1:32">
      <c r="A448" s="159"/>
      <c r="B448" s="160"/>
      <c r="C448" s="5"/>
      <c r="D448" s="5"/>
      <c r="E448" s="5"/>
      <c r="F448" s="5"/>
      <c r="G448" s="5"/>
      <c r="H448" s="5"/>
      <c r="I448" s="5"/>
      <c r="J448" s="5"/>
      <c r="K448" s="5"/>
      <c r="L448" s="5"/>
      <c r="M448" s="5"/>
      <c r="N448" s="5"/>
      <c r="O448" s="5"/>
      <c r="P448" s="5"/>
      <c r="Q448" s="5"/>
      <c r="R448" s="5"/>
      <c r="S448" s="5"/>
      <c r="T448" s="5"/>
      <c r="U448" s="5"/>
      <c r="V448" s="7"/>
      <c r="W448" s="7"/>
      <c r="X448" s="164" t="e">
        <f t="shared" si="113"/>
        <v>#N/A</v>
      </c>
      <c r="Y448" s="164" t="e">
        <f t="shared" si="114"/>
        <v>#N/A</v>
      </c>
      <c r="AB448" s="156">
        <f t="shared" si="116"/>
        <v>0</v>
      </c>
      <c r="AC448" s="121" t="str">
        <f t="shared" si="115"/>
        <v/>
      </c>
      <c r="AE448" s="121" t="str">
        <f t="shared" si="117"/>
        <v/>
      </c>
      <c r="AF448" s="111" t="str">
        <f t="shared" si="118"/>
        <v/>
      </c>
    </row>
    <row r="449" spans="1:32">
      <c r="A449" s="159"/>
      <c r="B449" s="160"/>
      <c r="C449" s="5"/>
      <c r="D449" s="5"/>
      <c r="E449" s="5"/>
      <c r="F449" s="5"/>
      <c r="G449" s="5"/>
      <c r="H449" s="5"/>
      <c r="I449" s="5"/>
      <c r="J449" s="5"/>
      <c r="K449" s="5"/>
      <c r="L449" s="5"/>
      <c r="M449" s="5"/>
      <c r="N449" s="5"/>
      <c r="O449" s="5"/>
      <c r="P449" s="5"/>
      <c r="Q449" s="5"/>
      <c r="R449" s="5"/>
      <c r="S449" s="5"/>
      <c r="T449" s="5"/>
      <c r="U449" s="5"/>
      <c r="V449" s="7"/>
      <c r="W449" s="7"/>
      <c r="X449" s="164" t="e">
        <f t="shared" si="113"/>
        <v>#N/A</v>
      </c>
      <c r="Y449" s="164" t="e">
        <f t="shared" si="114"/>
        <v>#N/A</v>
      </c>
      <c r="AB449" s="156">
        <f t="shared" si="116"/>
        <v>0</v>
      </c>
      <c r="AC449" s="121" t="str">
        <f t="shared" si="115"/>
        <v/>
      </c>
      <c r="AE449" s="121" t="str">
        <f t="shared" si="117"/>
        <v/>
      </c>
      <c r="AF449" s="111" t="str">
        <f t="shared" si="118"/>
        <v/>
      </c>
    </row>
    <row r="450" spans="1:32">
      <c r="A450" s="159"/>
      <c r="B450" s="160"/>
      <c r="C450" s="5"/>
      <c r="D450" s="5"/>
      <c r="E450" s="5"/>
      <c r="F450" s="5"/>
      <c r="G450" s="5"/>
      <c r="H450" s="5"/>
      <c r="I450" s="5"/>
      <c r="J450" s="5"/>
      <c r="K450" s="5"/>
      <c r="L450" s="5"/>
      <c r="M450" s="5"/>
      <c r="N450" s="5"/>
      <c r="O450" s="5"/>
      <c r="P450" s="5"/>
      <c r="Q450" s="5"/>
      <c r="R450" s="5"/>
      <c r="S450" s="5"/>
      <c r="T450" s="5"/>
      <c r="U450" s="5"/>
      <c r="V450" s="7"/>
      <c r="W450" s="7"/>
      <c r="X450" s="164" t="e">
        <f t="shared" ref="X450:X513" si="119">IF(AB450=1, A450,NA())</f>
        <v>#N/A</v>
      </c>
      <c r="Y450" s="164" t="e">
        <f t="shared" ref="Y450:Y513" si="120">IF(AB450=1,B450-($H$7+$I$7*X450),NA())</f>
        <v>#N/A</v>
      </c>
      <c r="AB450" s="156">
        <f t="shared" si="116"/>
        <v>0</v>
      </c>
      <c r="AC450" s="121" t="str">
        <f t="shared" ref="AC450:AC513" si="121">IF(ISBLANK(A450), "", Y450^2)</f>
        <v/>
      </c>
      <c r="AE450" s="121" t="str">
        <f t="shared" si="117"/>
        <v/>
      </c>
      <c r="AF450" s="111" t="str">
        <f t="shared" si="118"/>
        <v/>
      </c>
    </row>
    <row r="451" spans="1:32">
      <c r="A451" s="159"/>
      <c r="B451" s="160"/>
      <c r="C451" s="5"/>
      <c r="D451" s="5"/>
      <c r="E451" s="5"/>
      <c r="F451" s="5"/>
      <c r="G451" s="5"/>
      <c r="H451" s="5"/>
      <c r="I451" s="5"/>
      <c r="J451" s="5"/>
      <c r="K451" s="5"/>
      <c r="L451" s="5"/>
      <c r="M451" s="5"/>
      <c r="N451" s="5"/>
      <c r="O451" s="5"/>
      <c r="P451" s="5"/>
      <c r="Q451" s="5"/>
      <c r="R451" s="5"/>
      <c r="S451" s="5"/>
      <c r="T451" s="5"/>
      <c r="U451" s="5"/>
      <c r="V451" s="7"/>
      <c r="W451" s="7"/>
      <c r="X451" s="164" t="e">
        <f t="shared" si="119"/>
        <v>#N/A</v>
      </c>
      <c r="Y451" s="164" t="e">
        <f t="shared" si="120"/>
        <v>#N/A</v>
      </c>
      <c r="AB451" s="156">
        <f t="shared" ref="AB451:AB514" si="122">IF(ISBLANK(A451),0,1)</f>
        <v>0</v>
      </c>
      <c r="AC451" s="121" t="str">
        <f t="shared" si="121"/>
        <v/>
      </c>
      <c r="AE451" s="121" t="str">
        <f t="shared" ref="AE451:AE514" si="123">IF(AB451=1,(A451-$AA$2)^2, "")</f>
        <v/>
      </c>
      <c r="AF451" s="111" t="str">
        <f t="shared" si="118"/>
        <v/>
      </c>
    </row>
    <row r="452" spans="1:32">
      <c r="A452" s="159"/>
      <c r="B452" s="160"/>
      <c r="C452" s="5"/>
      <c r="D452" s="5"/>
      <c r="E452" s="5"/>
      <c r="F452" s="5"/>
      <c r="G452" s="5"/>
      <c r="H452" s="5"/>
      <c r="I452" s="5"/>
      <c r="J452" s="5"/>
      <c r="K452" s="5"/>
      <c r="L452" s="5"/>
      <c r="M452" s="5"/>
      <c r="N452" s="5"/>
      <c r="O452" s="5"/>
      <c r="P452" s="5"/>
      <c r="Q452" s="5"/>
      <c r="R452" s="5"/>
      <c r="S452" s="5"/>
      <c r="T452" s="5"/>
      <c r="U452" s="5"/>
      <c r="V452" s="7"/>
      <c r="W452" s="7"/>
      <c r="X452" s="164" t="e">
        <f t="shared" si="119"/>
        <v>#N/A</v>
      </c>
      <c r="Y452" s="164" t="e">
        <f t="shared" si="120"/>
        <v>#N/A</v>
      </c>
      <c r="AB452" s="156">
        <f t="shared" si="122"/>
        <v>0</v>
      </c>
      <c r="AC452" s="121" t="str">
        <f t="shared" si="121"/>
        <v/>
      </c>
      <c r="AE452" s="121" t="str">
        <f t="shared" si="123"/>
        <v/>
      </c>
      <c r="AF452" s="111" t="str">
        <f t="shared" ref="AF452:AF515" si="124">IFERROR(Y451, "")</f>
        <v/>
      </c>
    </row>
    <row r="453" spans="1:32">
      <c r="A453" s="159"/>
      <c r="B453" s="160"/>
      <c r="C453" s="5"/>
      <c r="D453" s="5"/>
      <c r="E453" s="5"/>
      <c r="F453" s="5"/>
      <c r="G453" s="5"/>
      <c r="H453" s="5"/>
      <c r="I453" s="5"/>
      <c r="J453" s="5"/>
      <c r="K453" s="5"/>
      <c r="L453" s="5"/>
      <c r="M453" s="5"/>
      <c r="N453" s="5"/>
      <c r="O453" s="5"/>
      <c r="P453" s="5"/>
      <c r="Q453" s="5"/>
      <c r="R453" s="5"/>
      <c r="S453" s="5"/>
      <c r="T453" s="5"/>
      <c r="U453" s="5"/>
      <c r="V453" s="7"/>
      <c r="W453" s="7"/>
      <c r="X453" s="164" t="e">
        <f t="shared" si="119"/>
        <v>#N/A</v>
      </c>
      <c r="Y453" s="164" t="e">
        <f t="shared" si="120"/>
        <v>#N/A</v>
      </c>
      <c r="AB453" s="156">
        <f t="shared" si="122"/>
        <v>0</v>
      </c>
      <c r="AC453" s="121" t="str">
        <f t="shared" si="121"/>
        <v/>
      </c>
      <c r="AE453" s="121" t="str">
        <f t="shared" si="123"/>
        <v/>
      </c>
      <c r="AF453" s="111" t="str">
        <f t="shared" si="124"/>
        <v/>
      </c>
    </row>
    <row r="454" spans="1:32">
      <c r="A454" s="159"/>
      <c r="B454" s="160"/>
      <c r="C454" s="5"/>
      <c r="D454" s="5"/>
      <c r="E454" s="5"/>
      <c r="F454" s="5"/>
      <c r="G454" s="5"/>
      <c r="H454" s="5"/>
      <c r="I454" s="5"/>
      <c r="J454" s="5"/>
      <c r="K454" s="5"/>
      <c r="L454" s="5"/>
      <c r="M454" s="5"/>
      <c r="N454" s="5"/>
      <c r="O454" s="5"/>
      <c r="P454" s="5"/>
      <c r="Q454" s="5"/>
      <c r="R454" s="5"/>
      <c r="S454" s="5"/>
      <c r="T454" s="5"/>
      <c r="U454" s="5"/>
      <c r="V454" s="7"/>
      <c r="W454" s="7"/>
      <c r="X454" s="164" t="e">
        <f t="shared" si="119"/>
        <v>#N/A</v>
      </c>
      <c r="Y454" s="164" t="e">
        <f t="shared" si="120"/>
        <v>#N/A</v>
      </c>
      <c r="AB454" s="156">
        <f t="shared" si="122"/>
        <v>0</v>
      </c>
      <c r="AC454" s="121" t="str">
        <f t="shared" si="121"/>
        <v/>
      </c>
      <c r="AE454" s="121" t="str">
        <f t="shared" si="123"/>
        <v/>
      </c>
      <c r="AF454" s="111" t="str">
        <f t="shared" si="124"/>
        <v/>
      </c>
    </row>
    <row r="455" spans="1:32">
      <c r="A455" s="159"/>
      <c r="B455" s="160"/>
      <c r="C455" s="5"/>
      <c r="D455" s="5"/>
      <c r="E455" s="5"/>
      <c r="F455" s="5"/>
      <c r="G455" s="5"/>
      <c r="H455" s="5"/>
      <c r="I455" s="5"/>
      <c r="J455" s="5"/>
      <c r="K455" s="5"/>
      <c r="L455" s="5"/>
      <c r="M455" s="5"/>
      <c r="N455" s="5"/>
      <c r="O455" s="5"/>
      <c r="P455" s="5"/>
      <c r="Q455" s="5"/>
      <c r="R455" s="5"/>
      <c r="S455" s="5"/>
      <c r="T455" s="5"/>
      <c r="U455" s="5"/>
      <c r="V455" s="7"/>
      <c r="W455" s="7"/>
      <c r="X455" s="164" t="e">
        <f t="shared" si="119"/>
        <v>#N/A</v>
      </c>
      <c r="Y455" s="164" t="e">
        <f t="shared" si="120"/>
        <v>#N/A</v>
      </c>
      <c r="AB455" s="156">
        <f t="shared" si="122"/>
        <v>0</v>
      </c>
      <c r="AC455" s="121" t="str">
        <f t="shared" si="121"/>
        <v/>
      </c>
      <c r="AE455" s="121" t="str">
        <f t="shared" si="123"/>
        <v/>
      </c>
      <c r="AF455" s="111" t="str">
        <f t="shared" si="124"/>
        <v/>
      </c>
    </row>
    <row r="456" spans="1:32">
      <c r="A456" s="159"/>
      <c r="B456" s="160"/>
      <c r="C456" s="5"/>
      <c r="D456" s="5"/>
      <c r="E456" s="5"/>
      <c r="F456" s="5"/>
      <c r="G456" s="5"/>
      <c r="H456" s="5"/>
      <c r="I456" s="5"/>
      <c r="J456" s="5"/>
      <c r="K456" s="5"/>
      <c r="L456" s="5"/>
      <c r="M456" s="5"/>
      <c r="N456" s="5"/>
      <c r="O456" s="5"/>
      <c r="P456" s="5"/>
      <c r="Q456" s="5"/>
      <c r="R456" s="5"/>
      <c r="S456" s="5"/>
      <c r="T456" s="5"/>
      <c r="U456" s="5"/>
      <c r="V456" s="7"/>
      <c r="W456" s="7"/>
      <c r="X456" s="164" t="e">
        <f t="shared" si="119"/>
        <v>#N/A</v>
      </c>
      <c r="Y456" s="164" t="e">
        <f t="shared" si="120"/>
        <v>#N/A</v>
      </c>
      <c r="AB456" s="156">
        <f t="shared" si="122"/>
        <v>0</v>
      </c>
      <c r="AC456" s="121" t="str">
        <f t="shared" si="121"/>
        <v/>
      </c>
      <c r="AE456" s="121" t="str">
        <f t="shared" si="123"/>
        <v/>
      </c>
      <c r="AF456" s="111" t="str">
        <f t="shared" si="124"/>
        <v/>
      </c>
    </row>
    <row r="457" spans="1:32">
      <c r="A457" s="159"/>
      <c r="B457" s="160"/>
      <c r="C457" s="5"/>
      <c r="D457" s="5"/>
      <c r="E457" s="5"/>
      <c r="F457" s="5"/>
      <c r="G457" s="5"/>
      <c r="H457" s="5"/>
      <c r="I457" s="5"/>
      <c r="J457" s="5"/>
      <c r="K457" s="5"/>
      <c r="L457" s="5"/>
      <c r="M457" s="5"/>
      <c r="N457" s="5"/>
      <c r="O457" s="5"/>
      <c r="P457" s="5"/>
      <c r="Q457" s="5"/>
      <c r="R457" s="5"/>
      <c r="S457" s="5"/>
      <c r="T457" s="5"/>
      <c r="U457" s="5"/>
      <c r="V457" s="7"/>
      <c r="W457" s="7"/>
      <c r="X457" s="164" t="e">
        <f t="shared" si="119"/>
        <v>#N/A</v>
      </c>
      <c r="Y457" s="164" t="e">
        <f t="shared" si="120"/>
        <v>#N/A</v>
      </c>
      <c r="AB457" s="156">
        <f t="shared" si="122"/>
        <v>0</v>
      </c>
      <c r="AC457" s="121" t="str">
        <f t="shared" si="121"/>
        <v/>
      </c>
      <c r="AE457" s="121" t="str">
        <f t="shared" si="123"/>
        <v/>
      </c>
      <c r="AF457" s="111" t="str">
        <f t="shared" si="124"/>
        <v/>
      </c>
    </row>
    <row r="458" spans="1:32">
      <c r="A458" s="159"/>
      <c r="B458" s="160"/>
      <c r="C458" s="5"/>
      <c r="D458" s="5"/>
      <c r="E458" s="5"/>
      <c r="F458" s="5"/>
      <c r="G458" s="5"/>
      <c r="H458" s="5"/>
      <c r="I458" s="5"/>
      <c r="J458" s="5"/>
      <c r="K458" s="5"/>
      <c r="L458" s="5"/>
      <c r="M458" s="5"/>
      <c r="N458" s="5"/>
      <c r="O458" s="5"/>
      <c r="P458" s="5"/>
      <c r="Q458" s="5"/>
      <c r="R458" s="5"/>
      <c r="S458" s="5"/>
      <c r="T458" s="5"/>
      <c r="U458" s="5"/>
      <c r="V458" s="7"/>
      <c r="W458" s="7"/>
      <c r="X458" s="164" t="e">
        <f t="shared" si="119"/>
        <v>#N/A</v>
      </c>
      <c r="Y458" s="164" t="e">
        <f t="shared" si="120"/>
        <v>#N/A</v>
      </c>
      <c r="AB458" s="156">
        <f t="shared" si="122"/>
        <v>0</v>
      </c>
      <c r="AC458" s="121" t="str">
        <f t="shared" si="121"/>
        <v/>
      </c>
      <c r="AE458" s="121" t="str">
        <f t="shared" si="123"/>
        <v/>
      </c>
      <c r="AF458" s="111" t="str">
        <f t="shared" si="124"/>
        <v/>
      </c>
    </row>
    <row r="459" spans="1:32">
      <c r="A459" s="159"/>
      <c r="B459" s="160"/>
      <c r="C459" s="5"/>
      <c r="D459" s="5"/>
      <c r="E459" s="5"/>
      <c r="F459" s="5"/>
      <c r="G459" s="5"/>
      <c r="H459" s="5"/>
      <c r="I459" s="5"/>
      <c r="J459" s="5"/>
      <c r="K459" s="5"/>
      <c r="L459" s="5"/>
      <c r="M459" s="5"/>
      <c r="N459" s="5"/>
      <c r="O459" s="5"/>
      <c r="P459" s="5"/>
      <c r="Q459" s="5"/>
      <c r="R459" s="5"/>
      <c r="S459" s="5"/>
      <c r="T459" s="5"/>
      <c r="U459" s="5"/>
      <c r="V459" s="7"/>
      <c r="W459" s="7"/>
      <c r="X459" s="164" t="e">
        <f t="shared" si="119"/>
        <v>#N/A</v>
      </c>
      <c r="Y459" s="164" t="e">
        <f t="shared" si="120"/>
        <v>#N/A</v>
      </c>
      <c r="AB459" s="156">
        <f t="shared" si="122"/>
        <v>0</v>
      </c>
      <c r="AC459" s="121" t="str">
        <f t="shared" si="121"/>
        <v/>
      </c>
      <c r="AE459" s="121" t="str">
        <f t="shared" si="123"/>
        <v/>
      </c>
      <c r="AF459" s="111" t="str">
        <f t="shared" si="124"/>
        <v/>
      </c>
    </row>
    <row r="460" spans="1:32">
      <c r="A460" s="159"/>
      <c r="B460" s="160"/>
      <c r="C460" s="5"/>
      <c r="D460" s="5"/>
      <c r="E460" s="5"/>
      <c r="F460" s="5"/>
      <c r="G460" s="5"/>
      <c r="H460" s="5"/>
      <c r="I460" s="5"/>
      <c r="J460" s="5"/>
      <c r="K460" s="5"/>
      <c r="L460" s="5"/>
      <c r="M460" s="5"/>
      <c r="N460" s="5"/>
      <c r="O460" s="5"/>
      <c r="P460" s="5"/>
      <c r="Q460" s="5"/>
      <c r="R460" s="5"/>
      <c r="S460" s="5"/>
      <c r="T460" s="5"/>
      <c r="U460" s="5"/>
      <c r="V460" s="7"/>
      <c r="W460" s="7"/>
      <c r="X460" s="164" t="e">
        <f t="shared" si="119"/>
        <v>#N/A</v>
      </c>
      <c r="Y460" s="164" t="e">
        <f t="shared" si="120"/>
        <v>#N/A</v>
      </c>
      <c r="AB460" s="156">
        <f t="shared" si="122"/>
        <v>0</v>
      </c>
      <c r="AC460" s="121" t="str">
        <f t="shared" si="121"/>
        <v/>
      </c>
      <c r="AE460" s="121" t="str">
        <f t="shared" si="123"/>
        <v/>
      </c>
      <c r="AF460" s="111" t="str">
        <f t="shared" si="124"/>
        <v/>
      </c>
    </row>
    <row r="461" spans="1:32">
      <c r="A461" s="159"/>
      <c r="B461" s="160"/>
      <c r="C461" s="5"/>
      <c r="D461" s="5"/>
      <c r="E461" s="5"/>
      <c r="F461" s="5"/>
      <c r="G461" s="5"/>
      <c r="H461" s="5"/>
      <c r="I461" s="5"/>
      <c r="J461" s="5"/>
      <c r="K461" s="5"/>
      <c r="L461" s="5"/>
      <c r="M461" s="5"/>
      <c r="N461" s="5"/>
      <c r="O461" s="5"/>
      <c r="P461" s="5"/>
      <c r="Q461" s="5"/>
      <c r="R461" s="5"/>
      <c r="S461" s="5"/>
      <c r="T461" s="5"/>
      <c r="U461" s="5"/>
      <c r="V461" s="7"/>
      <c r="W461" s="7"/>
      <c r="X461" s="164" t="e">
        <f t="shared" si="119"/>
        <v>#N/A</v>
      </c>
      <c r="Y461" s="164" t="e">
        <f t="shared" si="120"/>
        <v>#N/A</v>
      </c>
      <c r="AB461" s="156">
        <f t="shared" si="122"/>
        <v>0</v>
      </c>
      <c r="AC461" s="121" t="str">
        <f t="shared" si="121"/>
        <v/>
      </c>
      <c r="AE461" s="121" t="str">
        <f t="shared" si="123"/>
        <v/>
      </c>
      <c r="AF461" s="111" t="str">
        <f t="shared" si="124"/>
        <v/>
      </c>
    </row>
    <row r="462" spans="1:32">
      <c r="A462" s="159"/>
      <c r="B462" s="160"/>
      <c r="C462" s="5"/>
      <c r="D462" s="5"/>
      <c r="E462" s="5"/>
      <c r="F462" s="5"/>
      <c r="G462" s="5"/>
      <c r="H462" s="5"/>
      <c r="I462" s="5"/>
      <c r="J462" s="5"/>
      <c r="K462" s="5"/>
      <c r="L462" s="5"/>
      <c r="M462" s="5"/>
      <c r="N462" s="5"/>
      <c r="O462" s="5"/>
      <c r="P462" s="5"/>
      <c r="Q462" s="5"/>
      <c r="R462" s="5"/>
      <c r="S462" s="5"/>
      <c r="T462" s="5"/>
      <c r="U462" s="5"/>
      <c r="V462" s="7"/>
      <c r="W462" s="7"/>
      <c r="X462" s="164" t="e">
        <f t="shared" si="119"/>
        <v>#N/A</v>
      </c>
      <c r="Y462" s="164" t="e">
        <f t="shared" si="120"/>
        <v>#N/A</v>
      </c>
      <c r="AB462" s="156">
        <f t="shared" si="122"/>
        <v>0</v>
      </c>
      <c r="AC462" s="121" t="str">
        <f t="shared" si="121"/>
        <v/>
      </c>
      <c r="AE462" s="121" t="str">
        <f t="shared" si="123"/>
        <v/>
      </c>
      <c r="AF462" s="111" t="str">
        <f t="shared" si="124"/>
        <v/>
      </c>
    </row>
    <row r="463" spans="1:32">
      <c r="A463" s="159"/>
      <c r="B463" s="160"/>
      <c r="C463" s="5"/>
      <c r="D463" s="5"/>
      <c r="E463" s="5"/>
      <c r="F463" s="5"/>
      <c r="G463" s="5"/>
      <c r="H463" s="5"/>
      <c r="I463" s="5"/>
      <c r="J463" s="5"/>
      <c r="K463" s="5"/>
      <c r="L463" s="5"/>
      <c r="M463" s="5"/>
      <c r="N463" s="5"/>
      <c r="O463" s="5"/>
      <c r="P463" s="5"/>
      <c r="Q463" s="5"/>
      <c r="R463" s="5"/>
      <c r="S463" s="5"/>
      <c r="T463" s="5"/>
      <c r="U463" s="5"/>
      <c r="V463" s="7"/>
      <c r="W463" s="7"/>
      <c r="X463" s="164" t="e">
        <f t="shared" si="119"/>
        <v>#N/A</v>
      </c>
      <c r="Y463" s="164" t="e">
        <f t="shared" si="120"/>
        <v>#N/A</v>
      </c>
      <c r="AB463" s="156">
        <f t="shared" si="122"/>
        <v>0</v>
      </c>
      <c r="AC463" s="121" t="str">
        <f t="shared" si="121"/>
        <v/>
      </c>
      <c r="AE463" s="121" t="str">
        <f t="shared" si="123"/>
        <v/>
      </c>
      <c r="AF463" s="111" t="str">
        <f t="shared" si="124"/>
        <v/>
      </c>
    </row>
    <row r="464" spans="1:32">
      <c r="A464" s="159"/>
      <c r="B464" s="160"/>
      <c r="C464" s="5"/>
      <c r="D464" s="5"/>
      <c r="E464" s="5"/>
      <c r="F464" s="5"/>
      <c r="G464" s="5"/>
      <c r="H464" s="5"/>
      <c r="I464" s="5"/>
      <c r="J464" s="5"/>
      <c r="K464" s="5"/>
      <c r="L464" s="5"/>
      <c r="M464" s="5"/>
      <c r="N464" s="5"/>
      <c r="O464" s="5"/>
      <c r="P464" s="5"/>
      <c r="Q464" s="5"/>
      <c r="R464" s="5"/>
      <c r="S464" s="5"/>
      <c r="T464" s="5"/>
      <c r="U464" s="5"/>
      <c r="V464" s="7"/>
      <c r="W464" s="7"/>
      <c r="X464" s="164" t="e">
        <f t="shared" si="119"/>
        <v>#N/A</v>
      </c>
      <c r="Y464" s="164" t="e">
        <f t="shared" si="120"/>
        <v>#N/A</v>
      </c>
      <c r="AB464" s="156">
        <f t="shared" si="122"/>
        <v>0</v>
      </c>
      <c r="AC464" s="121" t="str">
        <f t="shared" si="121"/>
        <v/>
      </c>
      <c r="AE464" s="121" t="str">
        <f t="shared" si="123"/>
        <v/>
      </c>
      <c r="AF464" s="111" t="str">
        <f t="shared" si="124"/>
        <v/>
      </c>
    </row>
    <row r="465" spans="1:32">
      <c r="A465" s="159"/>
      <c r="B465" s="160"/>
      <c r="C465" s="5"/>
      <c r="D465" s="5"/>
      <c r="E465" s="5"/>
      <c r="F465" s="5"/>
      <c r="G465" s="5"/>
      <c r="H465" s="5"/>
      <c r="I465" s="5"/>
      <c r="J465" s="5"/>
      <c r="K465" s="5"/>
      <c r="L465" s="5"/>
      <c r="M465" s="5"/>
      <c r="N465" s="5"/>
      <c r="O465" s="5"/>
      <c r="P465" s="5"/>
      <c r="Q465" s="5"/>
      <c r="R465" s="5"/>
      <c r="S465" s="5"/>
      <c r="T465" s="5"/>
      <c r="U465" s="5"/>
      <c r="V465" s="7"/>
      <c r="W465" s="7"/>
      <c r="X465" s="164" t="e">
        <f t="shared" si="119"/>
        <v>#N/A</v>
      </c>
      <c r="Y465" s="164" t="e">
        <f t="shared" si="120"/>
        <v>#N/A</v>
      </c>
      <c r="AB465" s="156">
        <f t="shared" si="122"/>
        <v>0</v>
      </c>
      <c r="AC465" s="121" t="str">
        <f t="shared" si="121"/>
        <v/>
      </c>
      <c r="AE465" s="121" t="str">
        <f t="shared" si="123"/>
        <v/>
      </c>
      <c r="AF465" s="111" t="str">
        <f t="shared" si="124"/>
        <v/>
      </c>
    </row>
    <row r="466" spans="1:32">
      <c r="A466" s="159"/>
      <c r="B466" s="160"/>
      <c r="C466" s="5"/>
      <c r="D466" s="5"/>
      <c r="E466" s="5"/>
      <c r="F466" s="5"/>
      <c r="G466" s="5"/>
      <c r="H466" s="5"/>
      <c r="I466" s="5"/>
      <c r="J466" s="5"/>
      <c r="K466" s="5"/>
      <c r="L466" s="5"/>
      <c r="M466" s="5"/>
      <c r="N466" s="5"/>
      <c r="O466" s="5"/>
      <c r="P466" s="5"/>
      <c r="Q466" s="5"/>
      <c r="R466" s="5"/>
      <c r="S466" s="5"/>
      <c r="T466" s="5"/>
      <c r="U466" s="5"/>
      <c r="V466" s="7"/>
      <c r="W466" s="7"/>
      <c r="X466" s="164" t="e">
        <f t="shared" si="119"/>
        <v>#N/A</v>
      </c>
      <c r="Y466" s="164" t="e">
        <f t="shared" si="120"/>
        <v>#N/A</v>
      </c>
      <c r="AB466" s="156">
        <f t="shared" si="122"/>
        <v>0</v>
      </c>
      <c r="AC466" s="121" t="str">
        <f t="shared" si="121"/>
        <v/>
      </c>
      <c r="AE466" s="121" t="str">
        <f t="shared" si="123"/>
        <v/>
      </c>
      <c r="AF466" s="111" t="str">
        <f t="shared" si="124"/>
        <v/>
      </c>
    </row>
    <row r="467" spans="1:32">
      <c r="A467" s="159"/>
      <c r="B467" s="160"/>
      <c r="C467" s="5"/>
      <c r="D467" s="5"/>
      <c r="E467" s="5"/>
      <c r="F467" s="5"/>
      <c r="G467" s="5"/>
      <c r="H467" s="5"/>
      <c r="I467" s="5"/>
      <c r="J467" s="5"/>
      <c r="K467" s="5"/>
      <c r="L467" s="5"/>
      <c r="M467" s="5"/>
      <c r="N467" s="5"/>
      <c r="O467" s="5"/>
      <c r="P467" s="5"/>
      <c r="Q467" s="5"/>
      <c r="R467" s="5"/>
      <c r="S467" s="5"/>
      <c r="T467" s="5"/>
      <c r="U467" s="5"/>
      <c r="V467" s="7"/>
      <c r="W467" s="7"/>
      <c r="X467" s="164" t="e">
        <f t="shared" si="119"/>
        <v>#N/A</v>
      </c>
      <c r="Y467" s="164" t="e">
        <f t="shared" si="120"/>
        <v>#N/A</v>
      </c>
      <c r="AB467" s="156">
        <f t="shared" si="122"/>
        <v>0</v>
      </c>
      <c r="AC467" s="121" t="str">
        <f t="shared" si="121"/>
        <v/>
      </c>
      <c r="AE467" s="121" t="str">
        <f t="shared" si="123"/>
        <v/>
      </c>
      <c r="AF467" s="111" t="str">
        <f t="shared" si="124"/>
        <v/>
      </c>
    </row>
    <row r="468" spans="1:32">
      <c r="A468" s="159"/>
      <c r="B468" s="160"/>
      <c r="C468" s="5"/>
      <c r="D468" s="5"/>
      <c r="E468" s="5"/>
      <c r="F468" s="5"/>
      <c r="G468" s="5"/>
      <c r="H468" s="5"/>
      <c r="I468" s="5"/>
      <c r="J468" s="5"/>
      <c r="K468" s="5"/>
      <c r="L468" s="5"/>
      <c r="M468" s="5"/>
      <c r="N468" s="5"/>
      <c r="O468" s="5"/>
      <c r="P468" s="5"/>
      <c r="Q468" s="5"/>
      <c r="R468" s="5"/>
      <c r="S468" s="5"/>
      <c r="T468" s="5"/>
      <c r="U468" s="5"/>
      <c r="V468" s="7"/>
      <c r="W468" s="7"/>
      <c r="X468" s="164" t="e">
        <f t="shared" si="119"/>
        <v>#N/A</v>
      </c>
      <c r="Y468" s="164" t="e">
        <f t="shared" si="120"/>
        <v>#N/A</v>
      </c>
      <c r="AB468" s="156">
        <f t="shared" si="122"/>
        <v>0</v>
      </c>
      <c r="AC468" s="121" t="str">
        <f t="shared" si="121"/>
        <v/>
      </c>
      <c r="AE468" s="121" t="str">
        <f t="shared" si="123"/>
        <v/>
      </c>
      <c r="AF468" s="111" t="str">
        <f t="shared" si="124"/>
        <v/>
      </c>
    </row>
    <row r="469" spans="1:32">
      <c r="A469" s="159"/>
      <c r="B469" s="160"/>
      <c r="C469" s="5"/>
      <c r="D469" s="5"/>
      <c r="E469" s="5"/>
      <c r="F469" s="5"/>
      <c r="G469" s="5"/>
      <c r="H469" s="5"/>
      <c r="I469" s="5"/>
      <c r="J469" s="5"/>
      <c r="K469" s="5"/>
      <c r="L469" s="5"/>
      <c r="M469" s="5"/>
      <c r="N469" s="5"/>
      <c r="O469" s="5"/>
      <c r="P469" s="5"/>
      <c r="Q469" s="5"/>
      <c r="R469" s="5"/>
      <c r="S469" s="5"/>
      <c r="T469" s="5"/>
      <c r="U469" s="5"/>
      <c r="V469" s="7"/>
      <c r="W469" s="7"/>
      <c r="X469" s="164" t="e">
        <f t="shared" si="119"/>
        <v>#N/A</v>
      </c>
      <c r="Y469" s="164" t="e">
        <f t="shared" si="120"/>
        <v>#N/A</v>
      </c>
      <c r="AB469" s="156">
        <f t="shared" si="122"/>
        <v>0</v>
      </c>
      <c r="AC469" s="121" t="str">
        <f t="shared" si="121"/>
        <v/>
      </c>
      <c r="AE469" s="121" t="str">
        <f t="shared" si="123"/>
        <v/>
      </c>
      <c r="AF469" s="111" t="str">
        <f t="shared" si="124"/>
        <v/>
      </c>
    </row>
    <row r="470" spans="1:32">
      <c r="A470" s="159"/>
      <c r="B470" s="160"/>
      <c r="C470" s="5"/>
      <c r="D470" s="5"/>
      <c r="E470" s="5"/>
      <c r="F470" s="5"/>
      <c r="G470" s="5"/>
      <c r="H470" s="5"/>
      <c r="I470" s="5"/>
      <c r="J470" s="5"/>
      <c r="K470" s="5"/>
      <c r="L470" s="5"/>
      <c r="M470" s="5"/>
      <c r="N470" s="5"/>
      <c r="O470" s="5"/>
      <c r="P470" s="5"/>
      <c r="Q470" s="5"/>
      <c r="R470" s="5"/>
      <c r="S470" s="5"/>
      <c r="T470" s="5"/>
      <c r="U470" s="5"/>
      <c r="V470" s="7"/>
      <c r="W470" s="7"/>
      <c r="X470" s="164" t="e">
        <f t="shared" si="119"/>
        <v>#N/A</v>
      </c>
      <c r="Y470" s="164" t="e">
        <f t="shared" si="120"/>
        <v>#N/A</v>
      </c>
      <c r="AB470" s="156">
        <f t="shared" si="122"/>
        <v>0</v>
      </c>
      <c r="AC470" s="121" t="str">
        <f t="shared" si="121"/>
        <v/>
      </c>
      <c r="AE470" s="121" t="str">
        <f t="shared" si="123"/>
        <v/>
      </c>
      <c r="AF470" s="111" t="str">
        <f t="shared" si="124"/>
        <v/>
      </c>
    </row>
    <row r="471" spans="1:32">
      <c r="A471" s="159"/>
      <c r="B471" s="160"/>
      <c r="C471" s="5"/>
      <c r="D471" s="5"/>
      <c r="E471" s="5"/>
      <c r="F471" s="5"/>
      <c r="G471" s="5"/>
      <c r="H471" s="5"/>
      <c r="I471" s="5"/>
      <c r="J471" s="5"/>
      <c r="K471" s="5"/>
      <c r="L471" s="5"/>
      <c r="M471" s="5"/>
      <c r="N471" s="5"/>
      <c r="O471" s="5"/>
      <c r="P471" s="5"/>
      <c r="Q471" s="5"/>
      <c r="R471" s="5"/>
      <c r="S471" s="5"/>
      <c r="T471" s="5"/>
      <c r="U471" s="5"/>
      <c r="V471" s="7"/>
      <c r="W471" s="7"/>
      <c r="X471" s="164" t="e">
        <f t="shared" si="119"/>
        <v>#N/A</v>
      </c>
      <c r="Y471" s="164" t="e">
        <f t="shared" si="120"/>
        <v>#N/A</v>
      </c>
      <c r="AB471" s="156">
        <f t="shared" si="122"/>
        <v>0</v>
      </c>
      <c r="AC471" s="121" t="str">
        <f t="shared" si="121"/>
        <v/>
      </c>
      <c r="AE471" s="121" t="str">
        <f t="shared" si="123"/>
        <v/>
      </c>
      <c r="AF471" s="111" t="str">
        <f t="shared" si="124"/>
        <v/>
      </c>
    </row>
    <row r="472" spans="1:32">
      <c r="A472" s="159"/>
      <c r="B472" s="160"/>
      <c r="C472" s="5"/>
      <c r="D472" s="5"/>
      <c r="E472" s="5"/>
      <c r="F472" s="5"/>
      <c r="G472" s="5"/>
      <c r="H472" s="5"/>
      <c r="I472" s="5"/>
      <c r="J472" s="5"/>
      <c r="K472" s="5"/>
      <c r="L472" s="5"/>
      <c r="M472" s="5"/>
      <c r="N472" s="5"/>
      <c r="O472" s="5"/>
      <c r="P472" s="5"/>
      <c r="Q472" s="5"/>
      <c r="R472" s="5"/>
      <c r="S472" s="5"/>
      <c r="T472" s="5"/>
      <c r="U472" s="5"/>
      <c r="V472" s="7"/>
      <c r="W472" s="7"/>
      <c r="X472" s="164" t="e">
        <f t="shared" si="119"/>
        <v>#N/A</v>
      </c>
      <c r="Y472" s="164" t="e">
        <f t="shared" si="120"/>
        <v>#N/A</v>
      </c>
      <c r="AB472" s="156">
        <f t="shared" si="122"/>
        <v>0</v>
      </c>
      <c r="AC472" s="121" t="str">
        <f t="shared" si="121"/>
        <v/>
      </c>
      <c r="AE472" s="121" t="str">
        <f t="shared" si="123"/>
        <v/>
      </c>
      <c r="AF472" s="111" t="str">
        <f t="shared" si="124"/>
        <v/>
      </c>
    </row>
    <row r="473" spans="1:32">
      <c r="A473" s="159"/>
      <c r="B473" s="160"/>
      <c r="C473" s="5"/>
      <c r="D473" s="5"/>
      <c r="E473" s="5"/>
      <c r="F473" s="5"/>
      <c r="G473" s="5"/>
      <c r="H473" s="5"/>
      <c r="I473" s="5"/>
      <c r="J473" s="5"/>
      <c r="K473" s="5"/>
      <c r="L473" s="5"/>
      <c r="M473" s="5"/>
      <c r="N473" s="5"/>
      <c r="O473" s="5"/>
      <c r="P473" s="5"/>
      <c r="Q473" s="5"/>
      <c r="R473" s="5"/>
      <c r="S473" s="5"/>
      <c r="T473" s="5"/>
      <c r="U473" s="5"/>
      <c r="V473" s="7"/>
      <c r="W473" s="7"/>
      <c r="X473" s="164" t="e">
        <f t="shared" si="119"/>
        <v>#N/A</v>
      </c>
      <c r="Y473" s="164" t="e">
        <f t="shared" si="120"/>
        <v>#N/A</v>
      </c>
      <c r="AB473" s="156">
        <f t="shared" si="122"/>
        <v>0</v>
      </c>
      <c r="AC473" s="121" t="str">
        <f t="shared" si="121"/>
        <v/>
      </c>
      <c r="AE473" s="121" t="str">
        <f t="shared" si="123"/>
        <v/>
      </c>
      <c r="AF473" s="111" t="str">
        <f t="shared" si="124"/>
        <v/>
      </c>
    </row>
    <row r="474" spans="1:32">
      <c r="A474" s="159"/>
      <c r="B474" s="160"/>
      <c r="C474" s="5"/>
      <c r="D474" s="5"/>
      <c r="E474" s="5"/>
      <c r="F474" s="5"/>
      <c r="G474" s="5"/>
      <c r="H474" s="5"/>
      <c r="I474" s="5"/>
      <c r="J474" s="5"/>
      <c r="K474" s="5"/>
      <c r="L474" s="5"/>
      <c r="M474" s="5"/>
      <c r="N474" s="5"/>
      <c r="O474" s="5"/>
      <c r="P474" s="5"/>
      <c r="Q474" s="5"/>
      <c r="R474" s="5"/>
      <c r="S474" s="5"/>
      <c r="T474" s="5"/>
      <c r="U474" s="5"/>
      <c r="V474" s="7"/>
      <c r="W474" s="7"/>
      <c r="X474" s="164" t="e">
        <f t="shared" si="119"/>
        <v>#N/A</v>
      </c>
      <c r="Y474" s="164" t="e">
        <f t="shared" si="120"/>
        <v>#N/A</v>
      </c>
      <c r="AB474" s="156">
        <f t="shared" si="122"/>
        <v>0</v>
      </c>
      <c r="AC474" s="121" t="str">
        <f t="shared" si="121"/>
        <v/>
      </c>
      <c r="AE474" s="121" t="str">
        <f t="shared" si="123"/>
        <v/>
      </c>
      <c r="AF474" s="111" t="str">
        <f t="shared" si="124"/>
        <v/>
      </c>
    </row>
    <row r="475" spans="1:32">
      <c r="A475" s="159"/>
      <c r="B475" s="160"/>
      <c r="C475" s="5"/>
      <c r="D475" s="5"/>
      <c r="E475" s="5"/>
      <c r="F475" s="5"/>
      <c r="G475" s="5"/>
      <c r="H475" s="5"/>
      <c r="I475" s="5"/>
      <c r="J475" s="5"/>
      <c r="K475" s="5"/>
      <c r="L475" s="5"/>
      <c r="M475" s="5"/>
      <c r="N475" s="5"/>
      <c r="O475" s="5"/>
      <c r="P475" s="5"/>
      <c r="Q475" s="5"/>
      <c r="R475" s="5"/>
      <c r="S475" s="5"/>
      <c r="T475" s="5"/>
      <c r="U475" s="5"/>
      <c r="V475" s="7"/>
      <c r="W475" s="7"/>
      <c r="X475" s="164" t="e">
        <f t="shared" si="119"/>
        <v>#N/A</v>
      </c>
      <c r="Y475" s="164" t="e">
        <f t="shared" si="120"/>
        <v>#N/A</v>
      </c>
      <c r="AB475" s="156">
        <f t="shared" si="122"/>
        <v>0</v>
      </c>
      <c r="AC475" s="121" t="str">
        <f t="shared" si="121"/>
        <v/>
      </c>
      <c r="AE475" s="121" t="str">
        <f t="shared" si="123"/>
        <v/>
      </c>
      <c r="AF475" s="111" t="str">
        <f t="shared" si="124"/>
        <v/>
      </c>
    </row>
    <row r="476" spans="1:32">
      <c r="A476" s="159"/>
      <c r="B476" s="160"/>
      <c r="C476" s="5"/>
      <c r="D476" s="5"/>
      <c r="E476" s="5"/>
      <c r="F476" s="5"/>
      <c r="G476" s="5"/>
      <c r="H476" s="5"/>
      <c r="I476" s="5"/>
      <c r="J476" s="5"/>
      <c r="K476" s="5"/>
      <c r="L476" s="5"/>
      <c r="M476" s="5"/>
      <c r="N476" s="5"/>
      <c r="O476" s="5"/>
      <c r="P476" s="5"/>
      <c r="Q476" s="5"/>
      <c r="R476" s="5"/>
      <c r="S476" s="5"/>
      <c r="T476" s="5"/>
      <c r="U476" s="5"/>
      <c r="V476" s="7"/>
      <c r="W476" s="7"/>
      <c r="X476" s="164" t="e">
        <f t="shared" si="119"/>
        <v>#N/A</v>
      </c>
      <c r="Y476" s="164" t="e">
        <f t="shared" si="120"/>
        <v>#N/A</v>
      </c>
      <c r="AB476" s="156">
        <f t="shared" si="122"/>
        <v>0</v>
      </c>
      <c r="AC476" s="121" t="str">
        <f t="shared" si="121"/>
        <v/>
      </c>
      <c r="AE476" s="121" t="str">
        <f t="shared" si="123"/>
        <v/>
      </c>
      <c r="AF476" s="111" t="str">
        <f t="shared" si="124"/>
        <v/>
      </c>
    </row>
    <row r="477" spans="1:32">
      <c r="A477" s="159"/>
      <c r="B477" s="160"/>
      <c r="C477" s="5"/>
      <c r="D477" s="5"/>
      <c r="E477" s="5"/>
      <c r="F477" s="5"/>
      <c r="G477" s="5"/>
      <c r="H477" s="5"/>
      <c r="I477" s="5"/>
      <c r="J477" s="5"/>
      <c r="K477" s="5"/>
      <c r="L477" s="5"/>
      <c r="M477" s="5"/>
      <c r="N477" s="5"/>
      <c r="O477" s="5"/>
      <c r="P477" s="5"/>
      <c r="Q477" s="5"/>
      <c r="R477" s="5"/>
      <c r="S477" s="5"/>
      <c r="T477" s="5"/>
      <c r="U477" s="5"/>
      <c r="V477" s="7"/>
      <c r="W477" s="7"/>
      <c r="X477" s="164" t="e">
        <f t="shared" si="119"/>
        <v>#N/A</v>
      </c>
      <c r="Y477" s="164" t="e">
        <f t="shared" si="120"/>
        <v>#N/A</v>
      </c>
      <c r="AB477" s="156">
        <f t="shared" si="122"/>
        <v>0</v>
      </c>
      <c r="AC477" s="121" t="str">
        <f t="shared" si="121"/>
        <v/>
      </c>
      <c r="AE477" s="121" t="str">
        <f t="shared" si="123"/>
        <v/>
      </c>
      <c r="AF477" s="111" t="str">
        <f t="shared" si="124"/>
        <v/>
      </c>
    </row>
    <row r="478" spans="1:32">
      <c r="A478" s="159"/>
      <c r="B478" s="160"/>
      <c r="C478" s="5"/>
      <c r="D478" s="5"/>
      <c r="E478" s="5"/>
      <c r="F478" s="5"/>
      <c r="G478" s="5"/>
      <c r="H478" s="5"/>
      <c r="I478" s="5"/>
      <c r="J478" s="5"/>
      <c r="K478" s="5"/>
      <c r="L478" s="5"/>
      <c r="M478" s="5"/>
      <c r="N478" s="5"/>
      <c r="O478" s="5"/>
      <c r="P478" s="5"/>
      <c r="Q478" s="5"/>
      <c r="R478" s="5"/>
      <c r="S478" s="5"/>
      <c r="T478" s="5"/>
      <c r="U478" s="5"/>
      <c r="V478" s="7"/>
      <c r="W478" s="7"/>
      <c r="X478" s="164" t="e">
        <f t="shared" si="119"/>
        <v>#N/A</v>
      </c>
      <c r="Y478" s="164" t="e">
        <f t="shared" si="120"/>
        <v>#N/A</v>
      </c>
      <c r="AB478" s="156">
        <f t="shared" si="122"/>
        <v>0</v>
      </c>
      <c r="AC478" s="121" t="str">
        <f t="shared" si="121"/>
        <v/>
      </c>
      <c r="AE478" s="121" t="str">
        <f t="shared" si="123"/>
        <v/>
      </c>
      <c r="AF478" s="111" t="str">
        <f t="shared" si="124"/>
        <v/>
      </c>
    </row>
    <row r="479" spans="1:32">
      <c r="A479" s="159"/>
      <c r="B479" s="160"/>
      <c r="C479" s="5"/>
      <c r="D479" s="5"/>
      <c r="E479" s="5"/>
      <c r="F479" s="5"/>
      <c r="G479" s="5"/>
      <c r="H479" s="5"/>
      <c r="I479" s="5"/>
      <c r="J479" s="5"/>
      <c r="K479" s="5"/>
      <c r="L479" s="5"/>
      <c r="M479" s="5"/>
      <c r="N479" s="5"/>
      <c r="O479" s="5"/>
      <c r="P479" s="5"/>
      <c r="Q479" s="5"/>
      <c r="R479" s="5"/>
      <c r="S479" s="5"/>
      <c r="T479" s="5"/>
      <c r="U479" s="5"/>
      <c r="V479" s="7"/>
      <c r="W479" s="7"/>
      <c r="X479" s="164" t="e">
        <f t="shared" si="119"/>
        <v>#N/A</v>
      </c>
      <c r="Y479" s="164" t="e">
        <f t="shared" si="120"/>
        <v>#N/A</v>
      </c>
      <c r="AB479" s="156">
        <f t="shared" si="122"/>
        <v>0</v>
      </c>
      <c r="AC479" s="121" t="str">
        <f t="shared" si="121"/>
        <v/>
      </c>
      <c r="AE479" s="121" t="str">
        <f t="shared" si="123"/>
        <v/>
      </c>
      <c r="AF479" s="111" t="str">
        <f t="shared" si="124"/>
        <v/>
      </c>
    </row>
    <row r="480" spans="1:32">
      <c r="A480" s="159"/>
      <c r="B480" s="160"/>
      <c r="C480" s="5"/>
      <c r="D480" s="5"/>
      <c r="E480" s="5"/>
      <c r="F480" s="5"/>
      <c r="G480" s="5"/>
      <c r="H480" s="5"/>
      <c r="I480" s="5"/>
      <c r="J480" s="5"/>
      <c r="K480" s="5"/>
      <c r="L480" s="5"/>
      <c r="M480" s="5"/>
      <c r="N480" s="5"/>
      <c r="O480" s="5"/>
      <c r="P480" s="5"/>
      <c r="Q480" s="5"/>
      <c r="R480" s="5"/>
      <c r="S480" s="5"/>
      <c r="T480" s="5"/>
      <c r="U480" s="5"/>
      <c r="V480" s="7"/>
      <c r="W480" s="7"/>
      <c r="X480" s="164" t="e">
        <f t="shared" si="119"/>
        <v>#N/A</v>
      </c>
      <c r="Y480" s="164" t="e">
        <f t="shared" si="120"/>
        <v>#N/A</v>
      </c>
      <c r="AB480" s="156">
        <f t="shared" si="122"/>
        <v>0</v>
      </c>
      <c r="AC480" s="121" t="str">
        <f t="shared" si="121"/>
        <v/>
      </c>
      <c r="AE480" s="121" t="str">
        <f t="shared" si="123"/>
        <v/>
      </c>
      <c r="AF480" s="111" t="str">
        <f t="shared" si="124"/>
        <v/>
      </c>
    </row>
    <row r="481" spans="1:32">
      <c r="A481" s="159"/>
      <c r="B481" s="160"/>
      <c r="C481" s="5"/>
      <c r="D481" s="5"/>
      <c r="E481" s="5"/>
      <c r="F481" s="5"/>
      <c r="G481" s="5"/>
      <c r="H481" s="5"/>
      <c r="I481" s="5"/>
      <c r="J481" s="5"/>
      <c r="K481" s="5"/>
      <c r="L481" s="5"/>
      <c r="M481" s="5"/>
      <c r="N481" s="5"/>
      <c r="O481" s="5"/>
      <c r="P481" s="5"/>
      <c r="Q481" s="5"/>
      <c r="R481" s="5"/>
      <c r="S481" s="5"/>
      <c r="T481" s="5"/>
      <c r="U481" s="5"/>
      <c r="V481" s="7"/>
      <c r="W481" s="7"/>
      <c r="X481" s="164" t="e">
        <f t="shared" si="119"/>
        <v>#N/A</v>
      </c>
      <c r="Y481" s="164" t="e">
        <f t="shared" si="120"/>
        <v>#N/A</v>
      </c>
      <c r="AB481" s="156">
        <f t="shared" si="122"/>
        <v>0</v>
      </c>
      <c r="AC481" s="121" t="str">
        <f t="shared" si="121"/>
        <v/>
      </c>
      <c r="AE481" s="121" t="str">
        <f t="shared" si="123"/>
        <v/>
      </c>
      <c r="AF481" s="111" t="str">
        <f t="shared" si="124"/>
        <v/>
      </c>
    </row>
    <row r="482" spans="1:32">
      <c r="A482" s="159"/>
      <c r="B482" s="160"/>
      <c r="C482" s="5"/>
      <c r="D482" s="5"/>
      <c r="E482" s="5"/>
      <c r="F482" s="5"/>
      <c r="G482" s="5"/>
      <c r="H482" s="5"/>
      <c r="I482" s="5"/>
      <c r="J482" s="5"/>
      <c r="K482" s="5"/>
      <c r="L482" s="5"/>
      <c r="M482" s="5"/>
      <c r="N482" s="5"/>
      <c r="O482" s="5"/>
      <c r="P482" s="5"/>
      <c r="Q482" s="5"/>
      <c r="R482" s="5"/>
      <c r="S482" s="5"/>
      <c r="T482" s="5"/>
      <c r="U482" s="5"/>
      <c r="V482" s="7"/>
      <c r="W482" s="7"/>
      <c r="X482" s="164" t="e">
        <f t="shared" si="119"/>
        <v>#N/A</v>
      </c>
      <c r="Y482" s="164" t="e">
        <f t="shared" si="120"/>
        <v>#N/A</v>
      </c>
      <c r="AB482" s="156">
        <f t="shared" si="122"/>
        <v>0</v>
      </c>
      <c r="AC482" s="121" t="str">
        <f t="shared" si="121"/>
        <v/>
      </c>
      <c r="AE482" s="121" t="str">
        <f t="shared" si="123"/>
        <v/>
      </c>
      <c r="AF482" s="111" t="str">
        <f t="shared" si="124"/>
        <v/>
      </c>
    </row>
    <row r="483" spans="1:32">
      <c r="A483" s="159"/>
      <c r="B483" s="160"/>
      <c r="C483" s="5"/>
      <c r="D483" s="5"/>
      <c r="E483" s="5"/>
      <c r="F483" s="5"/>
      <c r="G483" s="5"/>
      <c r="H483" s="5"/>
      <c r="I483" s="5"/>
      <c r="J483" s="5"/>
      <c r="K483" s="5"/>
      <c r="L483" s="5"/>
      <c r="M483" s="5"/>
      <c r="N483" s="5"/>
      <c r="O483" s="5"/>
      <c r="P483" s="5"/>
      <c r="Q483" s="5"/>
      <c r="R483" s="5"/>
      <c r="S483" s="5"/>
      <c r="T483" s="5"/>
      <c r="U483" s="5"/>
      <c r="V483" s="7"/>
      <c r="W483" s="7"/>
      <c r="X483" s="164" t="e">
        <f t="shared" si="119"/>
        <v>#N/A</v>
      </c>
      <c r="Y483" s="164" t="e">
        <f t="shared" si="120"/>
        <v>#N/A</v>
      </c>
      <c r="AB483" s="156">
        <f t="shared" si="122"/>
        <v>0</v>
      </c>
      <c r="AC483" s="121" t="str">
        <f t="shared" si="121"/>
        <v/>
      </c>
      <c r="AE483" s="121" t="str">
        <f t="shared" si="123"/>
        <v/>
      </c>
      <c r="AF483" s="111" t="str">
        <f t="shared" si="124"/>
        <v/>
      </c>
    </row>
    <row r="484" spans="1:32">
      <c r="A484" s="159"/>
      <c r="B484" s="160"/>
      <c r="C484" s="5"/>
      <c r="D484" s="5"/>
      <c r="E484" s="5"/>
      <c r="F484" s="5"/>
      <c r="G484" s="5"/>
      <c r="H484" s="5"/>
      <c r="I484" s="5"/>
      <c r="J484" s="5"/>
      <c r="K484" s="5"/>
      <c r="L484" s="5"/>
      <c r="M484" s="5"/>
      <c r="N484" s="5"/>
      <c r="O484" s="5"/>
      <c r="P484" s="5"/>
      <c r="Q484" s="5"/>
      <c r="R484" s="5"/>
      <c r="S484" s="5"/>
      <c r="T484" s="5"/>
      <c r="U484" s="5"/>
      <c r="V484" s="7"/>
      <c r="W484" s="7"/>
      <c r="X484" s="164" t="e">
        <f t="shared" si="119"/>
        <v>#N/A</v>
      </c>
      <c r="Y484" s="164" t="e">
        <f t="shared" si="120"/>
        <v>#N/A</v>
      </c>
      <c r="AB484" s="156">
        <f t="shared" si="122"/>
        <v>0</v>
      </c>
      <c r="AC484" s="121" t="str">
        <f t="shared" si="121"/>
        <v/>
      </c>
      <c r="AE484" s="121" t="str">
        <f t="shared" si="123"/>
        <v/>
      </c>
      <c r="AF484" s="111" t="str">
        <f t="shared" si="124"/>
        <v/>
      </c>
    </row>
    <row r="485" spans="1:32">
      <c r="A485" s="159"/>
      <c r="B485" s="160"/>
      <c r="C485" s="5"/>
      <c r="D485" s="5"/>
      <c r="E485" s="5"/>
      <c r="F485" s="5"/>
      <c r="G485" s="5"/>
      <c r="H485" s="5"/>
      <c r="I485" s="5"/>
      <c r="J485" s="5"/>
      <c r="K485" s="5"/>
      <c r="L485" s="5"/>
      <c r="M485" s="5"/>
      <c r="N485" s="5"/>
      <c r="O485" s="5"/>
      <c r="P485" s="5"/>
      <c r="Q485" s="5"/>
      <c r="R485" s="5"/>
      <c r="S485" s="5"/>
      <c r="T485" s="5"/>
      <c r="U485" s="5"/>
      <c r="V485" s="7"/>
      <c r="W485" s="7"/>
      <c r="X485" s="164" t="e">
        <f t="shared" si="119"/>
        <v>#N/A</v>
      </c>
      <c r="Y485" s="164" t="e">
        <f t="shared" si="120"/>
        <v>#N/A</v>
      </c>
      <c r="AB485" s="156">
        <f t="shared" si="122"/>
        <v>0</v>
      </c>
      <c r="AC485" s="121" t="str">
        <f t="shared" si="121"/>
        <v/>
      </c>
      <c r="AE485" s="121" t="str">
        <f t="shared" si="123"/>
        <v/>
      </c>
      <c r="AF485" s="111" t="str">
        <f t="shared" si="124"/>
        <v/>
      </c>
    </row>
    <row r="486" spans="1:32">
      <c r="A486" s="159"/>
      <c r="B486" s="160"/>
      <c r="C486" s="5"/>
      <c r="D486" s="5"/>
      <c r="E486" s="5"/>
      <c r="F486" s="5"/>
      <c r="G486" s="5"/>
      <c r="H486" s="5"/>
      <c r="I486" s="5"/>
      <c r="J486" s="5"/>
      <c r="K486" s="5"/>
      <c r="L486" s="5"/>
      <c r="M486" s="5"/>
      <c r="N486" s="5"/>
      <c r="O486" s="5"/>
      <c r="P486" s="5"/>
      <c r="Q486" s="5"/>
      <c r="R486" s="5"/>
      <c r="S486" s="5"/>
      <c r="T486" s="5"/>
      <c r="U486" s="5"/>
      <c r="V486" s="7"/>
      <c r="W486" s="7"/>
      <c r="X486" s="164" t="e">
        <f t="shared" si="119"/>
        <v>#N/A</v>
      </c>
      <c r="Y486" s="164" t="e">
        <f t="shared" si="120"/>
        <v>#N/A</v>
      </c>
      <c r="AB486" s="156">
        <f t="shared" si="122"/>
        <v>0</v>
      </c>
      <c r="AC486" s="121" t="str">
        <f t="shared" si="121"/>
        <v/>
      </c>
      <c r="AE486" s="121" t="str">
        <f t="shared" si="123"/>
        <v/>
      </c>
      <c r="AF486" s="111" t="str">
        <f t="shared" si="124"/>
        <v/>
      </c>
    </row>
    <row r="487" spans="1:32">
      <c r="A487" s="159"/>
      <c r="B487" s="160"/>
      <c r="C487" s="5"/>
      <c r="D487" s="5"/>
      <c r="E487" s="5"/>
      <c r="F487" s="5"/>
      <c r="G487" s="5"/>
      <c r="H487" s="5"/>
      <c r="I487" s="5"/>
      <c r="J487" s="5"/>
      <c r="K487" s="5"/>
      <c r="L487" s="5"/>
      <c r="M487" s="5"/>
      <c r="N487" s="5"/>
      <c r="O487" s="5"/>
      <c r="P487" s="5"/>
      <c r="Q487" s="5"/>
      <c r="R487" s="5"/>
      <c r="S487" s="5"/>
      <c r="T487" s="5"/>
      <c r="U487" s="5"/>
      <c r="V487" s="7"/>
      <c r="W487" s="7"/>
      <c r="X487" s="164" t="e">
        <f t="shared" si="119"/>
        <v>#N/A</v>
      </c>
      <c r="Y487" s="164" t="e">
        <f t="shared" si="120"/>
        <v>#N/A</v>
      </c>
      <c r="AB487" s="156">
        <f t="shared" si="122"/>
        <v>0</v>
      </c>
      <c r="AC487" s="121" t="str">
        <f t="shared" si="121"/>
        <v/>
      </c>
      <c r="AE487" s="121" t="str">
        <f t="shared" si="123"/>
        <v/>
      </c>
      <c r="AF487" s="111" t="str">
        <f t="shared" si="124"/>
        <v/>
      </c>
    </row>
    <row r="488" spans="1:32">
      <c r="A488" s="159"/>
      <c r="B488" s="160"/>
      <c r="C488" s="5"/>
      <c r="D488" s="5"/>
      <c r="E488" s="5"/>
      <c r="F488" s="5"/>
      <c r="G488" s="5"/>
      <c r="H488" s="5"/>
      <c r="I488" s="5"/>
      <c r="J488" s="5"/>
      <c r="K488" s="5"/>
      <c r="L488" s="5"/>
      <c r="M488" s="5"/>
      <c r="N488" s="5"/>
      <c r="O488" s="5"/>
      <c r="P488" s="5"/>
      <c r="Q488" s="5"/>
      <c r="R488" s="5"/>
      <c r="S488" s="5"/>
      <c r="T488" s="5"/>
      <c r="U488" s="5"/>
      <c r="V488" s="7"/>
      <c r="W488" s="7"/>
      <c r="X488" s="164" t="e">
        <f t="shared" si="119"/>
        <v>#N/A</v>
      </c>
      <c r="Y488" s="164" t="e">
        <f t="shared" si="120"/>
        <v>#N/A</v>
      </c>
      <c r="AB488" s="156">
        <f t="shared" si="122"/>
        <v>0</v>
      </c>
      <c r="AC488" s="121" t="str">
        <f t="shared" si="121"/>
        <v/>
      </c>
      <c r="AE488" s="121" t="str">
        <f t="shared" si="123"/>
        <v/>
      </c>
      <c r="AF488" s="111" t="str">
        <f t="shared" si="124"/>
        <v/>
      </c>
    </row>
    <row r="489" spans="1:32">
      <c r="A489" s="159"/>
      <c r="B489" s="160"/>
      <c r="C489" s="5"/>
      <c r="D489" s="5"/>
      <c r="E489" s="5"/>
      <c r="F489" s="5"/>
      <c r="G489" s="5"/>
      <c r="H489" s="5"/>
      <c r="I489" s="5"/>
      <c r="J489" s="5"/>
      <c r="K489" s="5"/>
      <c r="L489" s="5"/>
      <c r="M489" s="5"/>
      <c r="N489" s="5"/>
      <c r="O489" s="5"/>
      <c r="P489" s="5"/>
      <c r="Q489" s="5"/>
      <c r="R489" s="5"/>
      <c r="S489" s="5"/>
      <c r="T489" s="5"/>
      <c r="U489" s="5"/>
      <c r="V489" s="7"/>
      <c r="W489" s="7"/>
      <c r="X489" s="164" t="e">
        <f t="shared" si="119"/>
        <v>#N/A</v>
      </c>
      <c r="Y489" s="164" t="e">
        <f t="shared" si="120"/>
        <v>#N/A</v>
      </c>
      <c r="AB489" s="156">
        <f t="shared" si="122"/>
        <v>0</v>
      </c>
      <c r="AC489" s="121" t="str">
        <f t="shared" si="121"/>
        <v/>
      </c>
      <c r="AE489" s="121" t="str">
        <f t="shared" si="123"/>
        <v/>
      </c>
      <c r="AF489" s="111" t="str">
        <f t="shared" si="124"/>
        <v/>
      </c>
    </row>
    <row r="490" spans="1:32">
      <c r="A490" s="159"/>
      <c r="B490" s="160"/>
      <c r="C490" s="5"/>
      <c r="D490" s="5"/>
      <c r="E490" s="5"/>
      <c r="F490" s="5"/>
      <c r="G490" s="5"/>
      <c r="H490" s="5"/>
      <c r="I490" s="5"/>
      <c r="J490" s="5"/>
      <c r="K490" s="5"/>
      <c r="L490" s="5"/>
      <c r="M490" s="5"/>
      <c r="N490" s="5"/>
      <c r="O490" s="5"/>
      <c r="P490" s="5"/>
      <c r="Q490" s="5"/>
      <c r="R490" s="5"/>
      <c r="S490" s="5"/>
      <c r="T490" s="5"/>
      <c r="U490" s="5"/>
      <c r="V490" s="7"/>
      <c r="W490" s="7"/>
      <c r="X490" s="164" t="e">
        <f t="shared" si="119"/>
        <v>#N/A</v>
      </c>
      <c r="Y490" s="164" t="e">
        <f t="shared" si="120"/>
        <v>#N/A</v>
      </c>
      <c r="AB490" s="156">
        <f t="shared" si="122"/>
        <v>0</v>
      </c>
      <c r="AC490" s="121" t="str">
        <f t="shared" si="121"/>
        <v/>
      </c>
      <c r="AE490" s="121" t="str">
        <f t="shared" si="123"/>
        <v/>
      </c>
      <c r="AF490" s="111" t="str">
        <f t="shared" si="124"/>
        <v/>
      </c>
    </row>
    <row r="491" spans="1:32">
      <c r="A491" s="159"/>
      <c r="B491" s="160"/>
      <c r="C491" s="5"/>
      <c r="D491" s="5"/>
      <c r="E491" s="5"/>
      <c r="F491" s="5"/>
      <c r="G491" s="5"/>
      <c r="H491" s="5"/>
      <c r="I491" s="5"/>
      <c r="J491" s="5"/>
      <c r="K491" s="5"/>
      <c r="L491" s="5"/>
      <c r="M491" s="5"/>
      <c r="N491" s="5"/>
      <c r="O491" s="5"/>
      <c r="P491" s="5"/>
      <c r="Q491" s="5"/>
      <c r="R491" s="5"/>
      <c r="S491" s="5"/>
      <c r="T491" s="5"/>
      <c r="U491" s="5"/>
      <c r="V491" s="7"/>
      <c r="W491" s="7"/>
      <c r="X491" s="164" t="e">
        <f t="shared" si="119"/>
        <v>#N/A</v>
      </c>
      <c r="Y491" s="164" t="e">
        <f t="shared" si="120"/>
        <v>#N/A</v>
      </c>
      <c r="AB491" s="156">
        <f t="shared" si="122"/>
        <v>0</v>
      </c>
      <c r="AC491" s="121" t="str">
        <f t="shared" si="121"/>
        <v/>
      </c>
      <c r="AE491" s="121" t="str">
        <f t="shared" si="123"/>
        <v/>
      </c>
      <c r="AF491" s="111" t="str">
        <f t="shared" si="124"/>
        <v/>
      </c>
    </row>
    <row r="492" spans="1:32">
      <c r="A492" s="159"/>
      <c r="B492" s="160"/>
      <c r="C492" s="5"/>
      <c r="D492" s="5"/>
      <c r="E492" s="5"/>
      <c r="F492" s="5"/>
      <c r="G492" s="5"/>
      <c r="H492" s="5"/>
      <c r="I492" s="5"/>
      <c r="J492" s="5"/>
      <c r="K492" s="5"/>
      <c r="L492" s="5"/>
      <c r="M492" s="5"/>
      <c r="N492" s="5"/>
      <c r="O492" s="5"/>
      <c r="P492" s="5"/>
      <c r="Q492" s="5"/>
      <c r="R492" s="5"/>
      <c r="S492" s="5"/>
      <c r="T492" s="5"/>
      <c r="U492" s="5"/>
      <c r="V492" s="7"/>
      <c r="W492" s="7"/>
      <c r="X492" s="164" t="e">
        <f t="shared" si="119"/>
        <v>#N/A</v>
      </c>
      <c r="Y492" s="164" t="e">
        <f t="shared" si="120"/>
        <v>#N/A</v>
      </c>
      <c r="AB492" s="156">
        <f t="shared" si="122"/>
        <v>0</v>
      </c>
      <c r="AC492" s="121" t="str">
        <f t="shared" si="121"/>
        <v/>
      </c>
      <c r="AE492" s="121" t="str">
        <f t="shared" si="123"/>
        <v/>
      </c>
      <c r="AF492" s="111" t="str">
        <f t="shared" si="124"/>
        <v/>
      </c>
    </row>
    <row r="493" spans="1:32">
      <c r="A493" s="159"/>
      <c r="B493" s="160"/>
      <c r="C493" s="5"/>
      <c r="D493" s="5"/>
      <c r="E493" s="5"/>
      <c r="F493" s="5"/>
      <c r="G493" s="5"/>
      <c r="H493" s="5"/>
      <c r="I493" s="5"/>
      <c r="J493" s="5"/>
      <c r="K493" s="5"/>
      <c r="L493" s="5"/>
      <c r="M493" s="5"/>
      <c r="N493" s="5"/>
      <c r="O493" s="5"/>
      <c r="P493" s="5"/>
      <c r="Q493" s="5"/>
      <c r="R493" s="5"/>
      <c r="S493" s="5"/>
      <c r="T493" s="5"/>
      <c r="U493" s="5"/>
      <c r="V493" s="7"/>
      <c r="W493" s="7"/>
      <c r="X493" s="164" t="e">
        <f t="shared" si="119"/>
        <v>#N/A</v>
      </c>
      <c r="Y493" s="164" t="e">
        <f t="shared" si="120"/>
        <v>#N/A</v>
      </c>
      <c r="AB493" s="156">
        <f t="shared" si="122"/>
        <v>0</v>
      </c>
      <c r="AC493" s="121" t="str">
        <f t="shared" si="121"/>
        <v/>
      </c>
      <c r="AE493" s="121" t="str">
        <f t="shared" si="123"/>
        <v/>
      </c>
      <c r="AF493" s="111" t="str">
        <f t="shared" si="124"/>
        <v/>
      </c>
    </row>
    <row r="494" spans="1:32">
      <c r="A494" s="159"/>
      <c r="B494" s="160"/>
      <c r="C494" s="5"/>
      <c r="D494" s="5"/>
      <c r="E494" s="5"/>
      <c r="F494" s="5"/>
      <c r="G494" s="5"/>
      <c r="H494" s="5"/>
      <c r="I494" s="5"/>
      <c r="J494" s="5"/>
      <c r="K494" s="5"/>
      <c r="L494" s="5"/>
      <c r="M494" s="5"/>
      <c r="N494" s="5"/>
      <c r="O494" s="5"/>
      <c r="P494" s="5"/>
      <c r="Q494" s="5"/>
      <c r="R494" s="5"/>
      <c r="S494" s="5"/>
      <c r="T494" s="5"/>
      <c r="U494" s="5"/>
      <c r="V494" s="7"/>
      <c r="W494" s="7"/>
      <c r="X494" s="164" t="e">
        <f t="shared" si="119"/>
        <v>#N/A</v>
      </c>
      <c r="Y494" s="164" t="e">
        <f t="shared" si="120"/>
        <v>#N/A</v>
      </c>
      <c r="AB494" s="156">
        <f t="shared" si="122"/>
        <v>0</v>
      </c>
      <c r="AC494" s="121" t="str">
        <f t="shared" si="121"/>
        <v/>
      </c>
      <c r="AE494" s="121" t="str">
        <f t="shared" si="123"/>
        <v/>
      </c>
      <c r="AF494" s="111" t="str">
        <f t="shared" si="124"/>
        <v/>
      </c>
    </row>
    <row r="495" spans="1:32">
      <c r="A495" s="159"/>
      <c r="B495" s="160"/>
      <c r="C495" s="5"/>
      <c r="D495" s="5"/>
      <c r="E495" s="5"/>
      <c r="F495" s="5"/>
      <c r="G495" s="5"/>
      <c r="H495" s="5"/>
      <c r="I495" s="5"/>
      <c r="J495" s="5"/>
      <c r="K495" s="5"/>
      <c r="L495" s="5"/>
      <c r="M495" s="5"/>
      <c r="N495" s="5"/>
      <c r="O495" s="5"/>
      <c r="P495" s="5"/>
      <c r="Q495" s="5"/>
      <c r="R495" s="5"/>
      <c r="S495" s="5"/>
      <c r="T495" s="5"/>
      <c r="U495" s="5"/>
      <c r="V495" s="7"/>
      <c r="W495" s="7"/>
      <c r="X495" s="164" t="e">
        <f t="shared" si="119"/>
        <v>#N/A</v>
      </c>
      <c r="Y495" s="164" t="e">
        <f t="shared" si="120"/>
        <v>#N/A</v>
      </c>
      <c r="AB495" s="156">
        <f t="shared" si="122"/>
        <v>0</v>
      </c>
      <c r="AC495" s="121" t="str">
        <f t="shared" si="121"/>
        <v/>
      </c>
      <c r="AE495" s="121" t="str">
        <f t="shared" si="123"/>
        <v/>
      </c>
      <c r="AF495" s="111" t="str">
        <f t="shared" si="124"/>
        <v/>
      </c>
    </row>
    <row r="496" spans="1:32">
      <c r="A496" s="159"/>
      <c r="B496" s="160"/>
      <c r="C496" s="5"/>
      <c r="D496" s="5"/>
      <c r="E496" s="5"/>
      <c r="F496" s="5"/>
      <c r="G496" s="5"/>
      <c r="H496" s="5"/>
      <c r="I496" s="5"/>
      <c r="J496" s="5"/>
      <c r="K496" s="5"/>
      <c r="L496" s="5"/>
      <c r="M496" s="5"/>
      <c r="N496" s="5"/>
      <c r="O496" s="5"/>
      <c r="P496" s="5"/>
      <c r="Q496" s="5"/>
      <c r="R496" s="5"/>
      <c r="S496" s="5"/>
      <c r="T496" s="5"/>
      <c r="U496" s="5"/>
      <c r="V496" s="7"/>
      <c r="W496" s="7"/>
      <c r="X496" s="164" t="e">
        <f t="shared" si="119"/>
        <v>#N/A</v>
      </c>
      <c r="Y496" s="164" t="e">
        <f t="shared" si="120"/>
        <v>#N/A</v>
      </c>
      <c r="AB496" s="156">
        <f t="shared" si="122"/>
        <v>0</v>
      </c>
      <c r="AC496" s="121" t="str">
        <f t="shared" si="121"/>
        <v/>
      </c>
      <c r="AE496" s="121" t="str">
        <f t="shared" si="123"/>
        <v/>
      </c>
      <c r="AF496" s="111" t="str">
        <f t="shared" si="124"/>
        <v/>
      </c>
    </row>
    <row r="497" spans="1:32">
      <c r="A497" s="159"/>
      <c r="B497" s="160"/>
      <c r="C497" s="5"/>
      <c r="D497" s="5"/>
      <c r="E497" s="5"/>
      <c r="F497" s="5"/>
      <c r="G497" s="5"/>
      <c r="H497" s="5"/>
      <c r="I497" s="5"/>
      <c r="J497" s="5"/>
      <c r="K497" s="5"/>
      <c r="L497" s="5"/>
      <c r="M497" s="5"/>
      <c r="N497" s="5"/>
      <c r="O497" s="5"/>
      <c r="P497" s="5"/>
      <c r="Q497" s="5"/>
      <c r="R497" s="5"/>
      <c r="S497" s="5"/>
      <c r="T497" s="5"/>
      <c r="U497" s="5"/>
      <c r="V497" s="7"/>
      <c r="W497" s="7"/>
      <c r="X497" s="164" t="e">
        <f t="shared" si="119"/>
        <v>#N/A</v>
      </c>
      <c r="Y497" s="164" t="e">
        <f t="shared" si="120"/>
        <v>#N/A</v>
      </c>
      <c r="AB497" s="156">
        <f t="shared" si="122"/>
        <v>0</v>
      </c>
      <c r="AC497" s="121" t="str">
        <f t="shared" si="121"/>
        <v/>
      </c>
      <c r="AE497" s="121" t="str">
        <f t="shared" si="123"/>
        <v/>
      </c>
      <c r="AF497" s="111" t="str">
        <f t="shared" si="124"/>
        <v/>
      </c>
    </row>
    <row r="498" spans="1:32">
      <c r="A498" s="159"/>
      <c r="B498" s="160"/>
      <c r="C498" s="5"/>
      <c r="D498" s="5"/>
      <c r="E498" s="5"/>
      <c r="F498" s="5"/>
      <c r="G498" s="5"/>
      <c r="H498" s="5"/>
      <c r="I498" s="5"/>
      <c r="J498" s="5"/>
      <c r="K498" s="5"/>
      <c r="L498" s="5"/>
      <c r="M498" s="5"/>
      <c r="N498" s="5"/>
      <c r="O498" s="5"/>
      <c r="P498" s="5"/>
      <c r="Q498" s="5"/>
      <c r="R498" s="5"/>
      <c r="S498" s="5"/>
      <c r="T498" s="5"/>
      <c r="U498" s="5"/>
      <c r="V498" s="7"/>
      <c r="W498" s="7"/>
      <c r="X498" s="164" t="e">
        <f t="shared" si="119"/>
        <v>#N/A</v>
      </c>
      <c r="Y498" s="164" t="e">
        <f t="shared" si="120"/>
        <v>#N/A</v>
      </c>
      <c r="AB498" s="156">
        <f t="shared" si="122"/>
        <v>0</v>
      </c>
      <c r="AC498" s="121" t="str">
        <f t="shared" si="121"/>
        <v/>
      </c>
      <c r="AE498" s="121" t="str">
        <f t="shared" si="123"/>
        <v/>
      </c>
      <c r="AF498" s="111" t="str">
        <f t="shared" si="124"/>
        <v/>
      </c>
    </row>
    <row r="499" spans="1:32">
      <c r="A499" s="159"/>
      <c r="B499" s="160"/>
      <c r="C499" s="5"/>
      <c r="D499" s="5"/>
      <c r="E499" s="5"/>
      <c r="F499" s="5"/>
      <c r="G499" s="5"/>
      <c r="H499" s="5"/>
      <c r="I499" s="5"/>
      <c r="J499" s="5"/>
      <c r="K499" s="5"/>
      <c r="L499" s="5"/>
      <c r="M499" s="5"/>
      <c r="N499" s="5"/>
      <c r="O499" s="5"/>
      <c r="P499" s="5"/>
      <c r="Q499" s="5"/>
      <c r="R499" s="5"/>
      <c r="S499" s="5"/>
      <c r="T499" s="5"/>
      <c r="U499" s="5"/>
      <c r="V499" s="7"/>
      <c r="W499" s="7"/>
      <c r="X499" s="164" t="e">
        <f t="shared" si="119"/>
        <v>#N/A</v>
      </c>
      <c r="Y499" s="164" t="e">
        <f t="shared" si="120"/>
        <v>#N/A</v>
      </c>
      <c r="AB499" s="156">
        <f t="shared" si="122"/>
        <v>0</v>
      </c>
      <c r="AC499" s="121" t="str">
        <f t="shared" si="121"/>
        <v/>
      </c>
      <c r="AE499" s="121" t="str">
        <f t="shared" si="123"/>
        <v/>
      </c>
      <c r="AF499" s="111" t="str">
        <f t="shared" si="124"/>
        <v/>
      </c>
    </row>
    <row r="500" spans="1:32">
      <c r="A500" s="159"/>
      <c r="B500" s="160"/>
      <c r="C500" s="5"/>
      <c r="D500" s="5"/>
      <c r="E500" s="5"/>
      <c r="F500" s="5"/>
      <c r="G500" s="5"/>
      <c r="H500" s="5"/>
      <c r="I500" s="5"/>
      <c r="J500" s="5"/>
      <c r="K500" s="5"/>
      <c r="L500" s="5"/>
      <c r="M500" s="5"/>
      <c r="N500" s="5"/>
      <c r="O500" s="5"/>
      <c r="P500" s="5"/>
      <c r="Q500" s="5"/>
      <c r="R500" s="5"/>
      <c r="S500" s="5"/>
      <c r="T500" s="5"/>
      <c r="U500" s="5"/>
      <c r="V500" s="7"/>
      <c r="W500" s="7"/>
      <c r="X500" s="164" t="e">
        <f t="shared" si="119"/>
        <v>#N/A</v>
      </c>
      <c r="Y500" s="164" t="e">
        <f t="shared" si="120"/>
        <v>#N/A</v>
      </c>
      <c r="AB500" s="156">
        <f t="shared" si="122"/>
        <v>0</v>
      </c>
      <c r="AC500" s="121" t="str">
        <f t="shared" si="121"/>
        <v/>
      </c>
      <c r="AE500" s="121" t="str">
        <f t="shared" si="123"/>
        <v/>
      </c>
      <c r="AF500" s="111" t="str">
        <f t="shared" si="124"/>
        <v/>
      </c>
    </row>
    <row r="501" spans="1:32">
      <c r="A501" s="159"/>
      <c r="B501" s="160"/>
      <c r="C501" s="5"/>
      <c r="D501" s="5"/>
      <c r="E501" s="5"/>
      <c r="F501" s="5"/>
      <c r="G501" s="5"/>
      <c r="H501" s="5"/>
      <c r="I501" s="5"/>
      <c r="J501" s="5"/>
      <c r="K501" s="5"/>
      <c r="L501" s="5"/>
      <c r="M501" s="5"/>
      <c r="N501" s="5"/>
      <c r="O501" s="5"/>
      <c r="P501" s="5"/>
      <c r="Q501" s="5"/>
      <c r="R501" s="5"/>
      <c r="S501" s="5"/>
      <c r="T501" s="5"/>
      <c r="U501" s="5"/>
      <c r="V501" s="7"/>
      <c r="W501" s="7"/>
      <c r="X501" s="164" t="e">
        <f t="shared" si="119"/>
        <v>#N/A</v>
      </c>
      <c r="Y501" s="164" t="e">
        <f t="shared" si="120"/>
        <v>#N/A</v>
      </c>
      <c r="AB501" s="156">
        <f t="shared" si="122"/>
        <v>0</v>
      </c>
      <c r="AC501" s="121" t="str">
        <f t="shared" si="121"/>
        <v/>
      </c>
      <c r="AE501" s="121" t="str">
        <f t="shared" si="123"/>
        <v/>
      </c>
      <c r="AF501" s="111" t="str">
        <f t="shared" si="124"/>
        <v/>
      </c>
    </row>
    <row r="502" spans="1:32">
      <c r="A502" s="159"/>
      <c r="B502" s="160"/>
      <c r="C502" s="5"/>
      <c r="D502" s="5"/>
      <c r="E502" s="5"/>
      <c r="F502" s="5"/>
      <c r="G502" s="5"/>
      <c r="H502" s="5"/>
      <c r="I502" s="5"/>
      <c r="J502" s="5"/>
      <c r="K502" s="5"/>
      <c r="L502" s="5"/>
      <c r="M502" s="5"/>
      <c r="N502" s="5"/>
      <c r="O502" s="5"/>
      <c r="P502" s="5"/>
      <c r="Q502" s="5"/>
      <c r="R502" s="5"/>
      <c r="S502" s="5"/>
      <c r="T502" s="5"/>
      <c r="U502" s="5"/>
      <c r="V502" s="7"/>
      <c r="W502" s="7"/>
      <c r="X502" s="164" t="e">
        <f t="shared" si="119"/>
        <v>#N/A</v>
      </c>
      <c r="Y502" s="164" t="e">
        <f t="shared" si="120"/>
        <v>#N/A</v>
      </c>
      <c r="AB502" s="156">
        <f t="shared" si="122"/>
        <v>0</v>
      </c>
      <c r="AC502" s="121" t="str">
        <f t="shared" si="121"/>
        <v/>
      </c>
      <c r="AE502" s="121" t="str">
        <f t="shared" si="123"/>
        <v/>
      </c>
      <c r="AF502" s="111" t="str">
        <f t="shared" si="124"/>
        <v/>
      </c>
    </row>
    <row r="503" spans="1:32">
      <c r="A503" s="159"/>
      <c r="B503" s="160"/>
      <c r="C503" s="5"/>
      <c r="D503" s="5"/>
      <c r="E503" s="5"/>
      <c r="F503" s="5"/>
      <c r="G503" s="5"/>
      <c r="H503" s="5"/>
      <c r="I503" s="5"/>
      <c r="J503" s="5"/>
      <c r="K503" s="5"/>
      <c r="L503" s="5"/>
      <c r="M503" s="5"/>
      <c r="N503" s="5"/>
      <c r="O503" s="5"/>
      <c r="P503" s="5"/>
      <c r="Q503" s="5"/>
      <c r="R503" s="5"/>
      <c r="S503" s="5"/>
      <c r="T503" s="5"/>
      <c r="U503" s="5"/>
      <c r="V503" s="7"/>
      <c r="W503" s="7"/>
      <c r="X503" s="164" t="e">
        <f t="shared" si="119"/>
        <v>#N/A</v>
      </c>
      <c r="Y503" s="164" t="e">
        <f t="shared" si="120"/>
        <v>#N/A</v>
      </c>
      <c r="AB503" s="156">
        <f t="shared" si="122"/>
        <v>0</v>
      </c>
      <c r="AC503" s="121" t="str">
        <f t="shared" si="121"/>
        <v/>
      </c>
      <c r="AE503" s="121" t="str">
        <f t="shared" si="123"/>
        <v/>
      </c>
      <c r="AF503" s="111" t="str">
        <f t="shared" si="124"/>
        <v/>
      </c>
    </row>
    <row r="504" spans="1:32">
      <c r="A504" s="159"/>
      <c r="B504" s="160"/>
      <c r="C504" s="5"/>
      <c r="D504" s="5"/>
      <c r="E504" s="5"/>
      <c r="F504" s="5"/>
      <c r="G504" s="5"/>
      <c r="H504" s="5"/>
      <c r="I504" s="5"/>
      <c r="J504" s="5"/>
      <c r="K504" s="5"/>
      <c r="L504" s="5"/>
      <c r="M504" s="5"/>
      <c r="N504" s="5"/>
      <c r="O504" s="5"/>
      <c r="P504" s="5"/>
      <c r="Q504" s="5"/>
      <c r="R504" s="5"/>
      <c r="S504" s="5"/>
      <c r="T504" s="5"/>
      <c r="U504" s="5"/>
      <c r="V504" s="7"/>
      <c r="W504" s="7"/>
      <c r="X504" s="164" t="e">
        <f t="shared" si="119"/>
        <v>#N/A</v>
      </c>
      <c r="Y504" s="164" t="e">
        <f t="shared" si="120"/>
        <v>#N/A</v>
      </c>
      <c r="AB504" s="156">
        <f t="shared" si="122"/>
        <v>0</v>
      </c>
      <c r="AC504" s="121" t="str">
        <f t="shared" si="121"/>
        <v/>
      </c>
      <c r="AE504" s="121" t="str">
        <f t="shared" si="123"/>
        <v/>
      </c>
      <c r="AF504" s="111" t="str">
        <f t="shared" si="124"/>
        <v/>
      </c>
    </row>
    <row r="505" spans="1:32">
      <c r="A505" s="159"/>
      <c r="B505" s="160"/>
      <c r="C505" s="5"/>
      <c r="D505" s="5"/>
      <c r="E505" s="5"/>
      <c r="F505" s="5"/>
      <c r="G505" s="5"/>
      <c r="H505" s="5"/>
      <c r="I505" s="5"/>
      <c r="J505" s="5"/>
      <c r="K505" s="5"/>
      <c r="L505" s="5"/>
      <c r="M505" s="5"/>
      <c r="N505" s="5"/>
      <c r="O505" s="5"/>
      <c r="P505" s="5"/>
      <c r="Q505" s="5"/>
      <c r="R505" s="5"/>
      <c r="S505" s="5"/>
      <c r="T505" s="5"/>
      <c r="U505" s="5"/>
      <c r="V505" s="7"/>
      <c r="W505" s="7"/>
      <c r="X505" s="164" t="e">
        <f t="shared" si="119"/>
        <v>#N/A</v>
      </c>
      <c r="Y505" s="164" t="e">
        <f t="shared" si="120"/>
        <v>#N/A</v>
      </c>
      <c r="AB505" s="156">
        <f t="shared" si="122"/>
        <v>0</v>
      </c>
      <c r="AC505" s="121" t="str">
        <f t="shared" si="121"/>
        <v/>
      </c>
      <c r="AE505" s="121" t="str">
        <f t="shared" si="123"/>
        <v/>
      </c>
      <c r="AF505" s="111" t="str">
        <f t="shared" si="124"/>
        <v/>
      </c>
    </row>
    <row r="506" spans="1:32">
      <c r="A506" s="159"/>
      <c r="B506" s="160"/>
      <c r="C506" s="5"/>
      <c r="D506" s="5"/>
      <c r="E506" s="5"/>
      <c r="F506" s="5"/>
      <c r="G506" s="5"/>
      <c r="H506" s="5"/>
      <c r="I506" s="5"/>
      <c r="J506" s="5"/>
      <c r="K506" s="5"/>
      <c r="L506" s="5"/>
      <c r="M506" s="5"/>
      <c r="N506" s="5"/>
      <c r="O506" s="5"/>
      <c r="P506" s="5"/>
      <c r="Q506" s="5"/>
      <c r="R506" s="5"/>
      <c r="S506" s="5"/>
      <c r="T506" s="5"/>
      <c r="U506" s="5"/>
      <c r="V506" s="7"/>
      <c r="W506" s="7"/>
      <c r="X506" s="164" t="e">
        <f t="shared" si="119"/>
        <v>#N/A</v>
      </c>
      <c r="Y506" s="164" t="e">
        <f t="shared" si="120"/>
        <v>#N/A</v>
      </c>
      <c r="AB506" s="156">
        <f t="shared" si="122"/>
        <v>0</v>
      </c>
      <c r="AC506" s="121" t="str">
        <f t="shared" si="121"/>
        <v/>
      </c>
      <c r="AE506" s="121" t="str">
        <f t="shared" si="123"/>
        <v/>
      </c>
      <c r="AF506" s="111" t="str">
        <f t="shared" si="124"/>
        <v/>
      </c>
    </row>
    <row r="507" spans="1:32">
      <c r="A507" s="159"/>
      <c r="B507" s="160"/>
      <c r="C507" s="5"/>
      <c r="D507" s="5"/>
      <c r="E507" s="5"/>
      <c r="F507" s="5"/>
      <c r="G507" s="5"/>
      <c r="H507" s="5"/>
      <c r="I507" s="5"/>
      <c r="J507" s="5"/>
      <c r="K507" s="5"/>
      <c r="L507" s="5"/>
      <c r="M507" s="5"/>
      <c r="N507" s="5"/>
      <c r="O507" s="5"/>
      <c r="P507" s="5"/>
      <c r="Q507" s="5"/>
      <c r="R507" s="5"/>
      <c r="S507" s="5"/>
      <c r="T507" s="5"/>
      <c r="U507" s="5"/>
      <c r="V507" s="7"/>
      <c r="W507" s="7"/>
      <c r="X507" s="164" t="e">
        <f t="shared" si="119"/>
        <v>#N/A</v>
      </c>
      <c r="Y507" s="164" t="e">
        <f t="shared" si="120"/>
        <v>#N/A</v>
      </c>
      <c r="AB507" s="156">
        <f t="shared" si="122"/>
        <v>0</v>
      </c>
      <c r="AC507" s="121" t="str">
        <f t="shared" si="121"/>
        <v/>
      </c>
      <c r="AE507" s="121" t="str">
        <f t="shared" si="123"/>
        <v/>
      </c>
      <c r="AF507" s="111" t="str">
        <f t="shared" si="124"/>
        <v/>
      </c>
    </row>
    <row r="508" spans="1:32">
      <c r="A508" s="159"/>
      <c r="B508" s="160"/>
      <c r="C508" s="5"/>
      <c r="D508" s="5"/>
      <c r="E508" s="5"/>
      <c r="F508" s="5"/>
      <c r="G508" s="5"/>
      <c r="H508" s="5"/>
      <c r="I508" s="5"/>
      <c r="J508" s="5"/>
      <c r="K508" s="5"/>
      <c r="L508" s="5"/>
      <c r="M508" s="5"/>
      <c r="N508" s="5"/>
      <c r="O508" s="5"/>
      <c r="P508" s="5"/>
      <c r="Q508" s="5"/>
      <c r="R508" s="5"/>
      <c r="S508" s="5"/>
      <c r="T508" s="5"/>
      <c r="U508" s="5"/>
      <c r="V508" s="7"/>
      <c r="W508" s="7"/>
      <c r="X508" s="164" t="e">
        <f t="shared" si="119"/>
        <v>#N/A</v>
      </c>
      <c r="Y508" s="164" t="e">
        <f t="shared" si="120"/>
        <v>#N/A</v>
      </c>
      <c r="AB508" s="156">
        <f t="shared" si="122"/>
        <v>0</v>
      </c>
      <c r="AC508" s="121" t="str">
        <f t="shared" si="121"/>
        <v/>
      </c>
      <c r="AE508" s="121" t="str">
        <f t="shared" si="123"/>
        <v/>
      </c>
      <c r="AF508" s="111" t="str">
        <f t="shared" si="124"/>
        <v/>
      </c>
    </row>
    <row r="509" spans="1:32">
      <c r="A509" s="159"/>
      <c r="B509" s="160"/>
      <c r="C509" s="5"/>
      <c r="D509" s="5"/>
      <c r="E509" s="5"/>
      <c r="F509" s="5"/>
      <c r="G509" s="5"/>
      <c r="H509" s="5"/>
      <c r="I509" s="5"/>
      <c r="J509" s="5"/>
      <c r="K509" s="5"/>
      <c r="L509" s="5"/>
      <c r="M509" s="5"/>
      <c r="N509" s="5"/>
      <c r="O509" s="5"/>
      <c r="P509" s="5"/>
      <c r="Q509" s="5"/>
      <c r="R509" s="5"/>
      <c r="S509" s="5"/>
      <c r="T509" s="5"/>
      <c r="U509" s="5"/>
      <c r="V509" s="7"/>
      <c r="W509" s="7"/>
      <c r="X509" s="164" t="e">
        <f t="shared" si="119"/>
        <v>#N/A</v>
      </c>
      <c r="Y509" s="164" t="e">
        <f t="shared" si="120"/>
        <v>#N/A</v>
      </c>
      <c r="AB509" s="156">
        <f t="shared" si="122"/>
        <v>0</v>
      </c>
      <c r="AC509" s="121" t="str">
        <f t="shared" si="121"/>
        <v/>
      </c>
      <c r="AE509" s="121" t="str">
        <f t="shared" si="123"/>
        <v/>
      </c>
      <c r="AF509" s="111" t="str">
        <f t="shared" si="124"/>
        <v/>
      </c>
    </row>
    <row r="510" spans="1:32">
      <c r="A510" s="159"/>
      <c r="B510" s="160"/>
      <c r="C510" s="5"/>
      <c r="D510" s="5"/>
      <c r="E510" s="5"/>
      <c r="F510" s="5"/>
      <c r="G510" s="5"/>
      <c r="H510" s="5"/>
      <c r="I510" s="5"/>
      <c r="J510" s="5"/>
      <c r="K510" s="5"/>
      <c r="L510" s="5"/>
      <c r="M510" s="5"/>
      <c r="N510" s="5"/>
      <c r="O510" s="5"/>
      <c r="P510" s="5"/>
      <c r="Q510" s="5"/>
      <c r="R510" s="5"/>
      <c r="S510" s="5"/>
      <c r="T510" s="5"/>
      <c r="U510" s="5"/>
      <c r="V510" s="7"/>
      <c r="W510" s="7"/>
      <c r="X510" s="164" t="e">
        <f t="shared" si="119"/>
        <v>#N/A</v>
      </c>
      <c r="Y510" s="164" t="e">
        <f t="shared" si="120"/>
        <v>#N/A</v>
      </c>
      <c r="AB510" s="156">
        <f t="shared" si="122"/>
        <v>0</v>
      </c>
      <c r="AC510" s="121" t="str">
        <f t="shared" si="121"/>
        <v/>
      </c>
      <c r="AE510" s="121" t="str">
        <f t="shared" si="123"/>
        <v/>
      </c>
      <c r="AF510" s="111" t="str">
        <f t="shared" si="124"/>
        <v/>
      </c>
    </row>
    <row r="511" spans="1:32">
      <c r="A511" s="159"/>
      <c r="B511" s="160"/>
      <c r="C511" s="5"/>
      <c r="D511" s="5"/>
      <c r="E511" s="5"/>
      <c r="F511" s="5"/>
      <c r="G511" s="5"/>
      <c r="H511" s="5"/>
      <c r="I511" s="5"/>
      <c r="J511" s="5"/>
      <c r="K511" s="5"/>
      <c r="L511" s="5"/>
      <c r="M511" s="5"/>
      <c r="N511" s="5"/>
      <c r="O511" s="5"/>
      <c r="P511" s="5"/>
      <c r="Q511" s="5"/>
      <c r="R511" s="5"/>
      <c r="S511" s="5"/>
      <c r="T511" s="5"/>
      <c r="U511" s="5"/>
      <c r="V511" s="7"/>
      <c r="W511" s="7"/>
      <c r="X511" s="164" t="e">
        <f t="shared" si="119"/>
        <v>#N/A</v>
      </c>
      <c r="Y511" s="164" t="e">
        <f t="shared" si="120"/>
        <v>#N/A</v>
      </c>
      <c r="AB511" s="156">
        <f t="shared" si="122"/>
        <v>0</v>
      </c>
      <c r="AC511" s="121" t="str">
        <f t="shared" si="121"/>
        <v/>
      </c>
      <c r="AE511" s="121" t="str">
        <f t="shared" si="123"/>
        <v/>
      </c>
      <c r="AF511" s="111" t="str">
        <f t="shared" si="124"/>
        <v/>
      </c>
    </row>
    <row r="512" spans="1:32">
      <c r="A512" s="159"/>
      <c r="B512" s="160"/>
      <c r="C512" s="5"/>
      <c r="D512" s="5"/>
      <c r="E512" s="5"/>
      <c r="F512" s="5"/>
      <c r="G512" s="5"/>
      <c r="H512" s="5"/>
      <c r="I512" s="5"/>
      <c r="J512" s="5"/>
      <c r="K512" s="5"/>
      <c r="L512" s="5"/>
      <c r="M512" s="5"/>
      <c r="N512" s="5"/>
      <c r="O512" s="5"/>
      <c r="P512" s="5"/>
      <c r="Q512" s="5"/>
      <c r="R512" s="5"/>
      <c r="S512" s="5"/>
      <c r="T512" s="5"/>
      <c r="U512" s="5"/>
      <c r="V512" s="7"/>
      <c r="W512" s="7"/>
      <c r="X512" s="164" t="e">
        <f t="shared" si="119"/>
        <v>#N/A</v>
      </c>
      <c r="Y512" s="164" t="e">
        <f t="shared" si="120"/>
        <v>#N/A</v>
      </c>
      <c r="AB512" s="156">
        <f t="shared" si="122"/>
        <v>0</v>
      </c>
      <c r="AC512" s="121" t="str">
        <f t="shared" si="121"/>
        <v/>
      </c>
      <c r="AE512" s="121" t="str">
        <f t="shared" si="123"/>
        <v/>
      </c>
      <c r="AF512" s="111" t="str">
        <f t="shared" si="124"/>
        <v/>
      </c>
    </row>
    <row r="513" spans="1:32">
      <c r="A513" s="159"/>
      <c r="B513" s="160"/>
      <c r="C513" s="5"/>
      <c r="D513" s="5"/>
      <c r="E513" s="5"/>
      <c r="F513" s="5"/>
      <c r="G513" s="5"/>
      <c r="H513" s="5"/>
      <c r="I513" s="5"/>
      <c r="J513" s="5"/>
      <c r="K513" s="5"/>
      <c r="L513" s="5"/>
      <c r="M513" s="5"/>
      <c r="N513" s="5"/>
      <c r="O513" s="5"/>
      <c r="P513" s="5"/>
      <c r="Q513" s="5"/>
      <c r="R513" s="5"/>
      <c r="S513" s="5"/>
      <c r="T513" s="5"/>
      <c r="U513" s="5"/>
      <c r="V513" s="7"/>
      <c r="W513" s="7"/>
      <c r="X513" s="164" t="e">
        <f t="shared" si="119"/>
        <v>#N/A</v>
      </c>
      <c r="Y513" s="164" t="e">
        <f t="shared" si="120"/>
        <v>#N/A</v>
      </c>
      <c r="AB513" s="156">
        <f t="shared" si="122"/>
        <v>0</v>
      </c>
      <c r="AC513" s="121" t="str">
        <f t="shared" si="121"/>
        <v/>
      </c>
      <c r="AE513" s="121" t="str">
        <f t="shared" si="123"/>
        <v/>
      </c>
      <c r="AF513" s="111" t="str">
        <f t="shared" si="124"/>
        <v/>
      </c>
    </row>
    <row r="514" spans="1:32">
      <c r="A514" s="159"/>
      <c r="B514" s="160"/>
      <c r="C514" s="5"/>
      <c r="D514" s="5"/>
      <c r="E514" s="5"/>
      <c r="F514" s="5"/>
      <c r="G514" s="5"/>
      <c r="H514" s="5"/>
      <c r="I514" s="5"/>
      <c r="J514" s="5"/>
      <c r="K514" s="5"/>
      <c r="L514" s="5"/>
      <c r="M514" s="5"/>
      <c r="N514" s="5"/>
      <c r="O514" s="5"/>
      <c r="P514" s="5"/>
      <c r="Q514" s="5"/>
      <c r="R514" s="5"/>
      <c r="S514" s="5"/>
      <c r="T514" s="5"/>
      <c r="U514" s="5"/>
      <c r="V514" s="7"/>
      <c r="W514" s="7"/>
      <c r="X514" s="164" t="e">
        <f t="shared" ref="X514:X577" si="125">IF(AB514=1, A514,NA())</f>
        <v>#N/A</v>
      </c>
      <c r="Y514" s="164" t="e">
        <f t="shared" ref="Y514:Y577" si="126">IF(AB514=1,B514-($H$7+$I$7*X514),NA())</f>
        <v>#N/A</v>
      </c>
      <c r="AB514" s="156">
        <f t="shared" si="122"/>
        <v>0</v>
      </c>
      <c r="AC514" s="121" t="str">
        <f t="shared" ref="AC514:AC577" si="127">IF(ISBLANK(A514), "", Y514^2)</f>
        <v/>
      </c>
      <c r="AE514" s="121" t="str">
        <f t="shared" si="123"/>
        <v/>
      </c>
      <c r="AF514" s="111" t="str">
        <f t="shared" si="124"/>
        <v/>
      </c>
    </row>
    <row r="515" spans="1:32">
      <c r="A515" s="159"/>
      <c r="B515" s="160"/>
      <c r="C515" s="5"/>
      <c r="D515" s="5"/>
      <c r="E515" s="5"/>
      <c r="F515" s="5"/>
      <c r="G515" s="5"/>
      <c r="H515" s="5"/>
      <c r="I515" s="5"/>
      <c r="J515" s="5"/>
      <c r="K515" s="5"/>
      <c r="L515" s="5"/>
      <c r="M515" s="5"/>
      <c r="N515" s="5"/>
      <c r="O515" s="5"/>
      <c r="P515" s="5"/>
      <c r="Q515" s="5"/>
      <c r="R515" s="5"/>
      <c r="S515" s="5"/>
      <c r="T515" s="5"/>
      <c r="U515" s="5"/>
      <c r="V515" s="7"/>
      <c r="W515" s="7"/>
      <c r="X515" s="164" t="e">
        <f t="shared" si="125"/>
        <v>#N/A</v>
      </c>
      <c r="Y515" s="164" t="e">
        <f t="shared" si="126"/>
        <v>#N/A</v>
      </c>
      <c r="AB515" s="156">
        <f t="shared" ref="AB515:AB578" si="128">IF(ISBLANK(A515),0,1)</f>
        <v>0</v>
      </c>
      <c r="AC515" s="121" t="str">
        <f t="shared" si="127"/>
        <v/>
      </c>
      <c r="AE515" s="121" t="str">
        <f t="shared" ref="AE515:AE578" si="129">IF(AB515=1,(A515-$AA$2)^2, "")</f>
        <v/>
      </c>
      <c r="AF515" s="111" t="str">
        <f t="shared" si="124"/>
        <v/>
      </c>
    </row>
    <row r="516" spans="1:32">
      <c r="A516" s="159"/>
      <c r="B516" s="160"/>
      <c r="C516" s="5"/>
      <c r="D516" s="5"/>
      <c r="E516" s="5"/>
      <c r="F516" s="5"/>
      <c r="G516" s="5"/>
      <c r="H516" s="5"/>
      <c r="I516" s="5"/>
      <c r="J516" s="5"/>
      <c r="K516" s="5"/>
      <c r="L516" s="5"/>
      <c r="M516" s="5"/>
      <c r="N516" s="5"/>
      <c r="O516" s="5"/>
      <c r="P516" s="5"/>
      <c r="Q516" s="5"/>
      <c r="R516" s="5"/>
      <c r="S516" s="5"/>
      <c r="T516" s="5"/>
      <c r="U516" s="5"/>
      <c r="V516" s="7"/>
      <c r="W516" s="7"/>
      <c r="X516" s="164" t="e">
        <f t="shared" si="125"/>
        <v>#N/A</v>
      </c>
      <c r="Y516" s="164" t="e">
        <f t="shared" si="126"/>
        <v>#N/A</v>
      </c>
      <c r="AB516" s="156">
        <f t="shared" si="128"/>
        <v>0</v>
      </c>
      <c r="AC516" s="121" t="str">
        <f t="shared" si="127"/>
        <v/>
      </c>
      <c r="AE516" s="121" t="str">
        <f t="shared" si="129"/>
        <v/>
      </c>
      <c r="AF516" s="111" t="str">
        <f t="shared" ref="AF516:AF579" si="130">IFERROR(Y515, "")</f>
        <v/>
      </c>
    </row>
    <row r="517" spans="1:32">
      <c r="A517" s="159"/>
      <c r="B517" s="160"/>
      <c r="C517" s="5"/>
      <c r="D517" s="5"/>
      <c r="E517" s="5"/>
      <c r="F517" s="5"/>
      <c r="G517" s="5"/>
      <c r="H517" s="5"/>
      <c r="I517" s="5"/>
      <c r="J517" s="5"/>
      <c r="K517" s="5"/>
      <c r="L517" s="5"/>
      <c r="M517" s="5"/>
      <c r="N517" s="5"/>
      <c r="O517" s="5"/>
      <c r="P517" s="5"/>
      <c r="Q517" s="5"/>
      <c r="R517" s="5"/>
      <c r="S517" s="5"/>
      <c r="T517" s="5"/>
      <c r="U517" s="5"/>
      <c r="V517" s="7"/>
      <c r="W517" s="7"/>
      <c r="X517" s="164" t="e">
        <f t="shared" si="125"/>
        <v>#N/A</v>
      </c>
      <c r="Y517" s="164" t="e">
        <f t="shared" si="126"/>
        <v>#N/A</v>
      </c>
      <c r="AB517" s="156">
        <f t="shared" si="128"/>
        <v>0</v>
      </c>
      <c r="AC517" s="121" t="str">
        <f t="shared" si="127"/>
        <v/>
      </c>
      <c r="AE517" s="121" t="str">
        <f t="shared" si="129"/>
        <v/>
      </c>
      <c r="AF517" s="111" t="str">
        <f t="shared" si="130"/>
        <v/>
      </c>
    </row>
    <row r="518" spans="1:32">
      <c r="A518" s="159"/>
      <c r="B518" s="160"/>
      <c r="C518" s="5"/>
      <c r="D518" s="5"/>
      <c r="E518" s="5"/>
      <c r="F518" s="5"/>
      <c r="G518" s="5"/>
      <c r="H518" s="5"/>
      <c r="I518" s="5"/>
      <c r="J518" s="5"/>
      <c r="K518" s="5"/>
      <c r="L518" s="5"/>
      <c r="M518" s="5"/>
      <c r="N518" s="5"/>
      <c r="O518" s="5"/>
      <c r="P518" s="5"/>
      <c r="Q518" s="5"/>
      <c r="R518" s="5"/>
      <c r="S518" s="5"/>
      <c r="T518" s="5"/>
      <c r="U518" s="5"/>
      <c r="V518" s="7"/>
      <c r="W518" s="7"/>
      <c r="X518" s="164" t="e">
        <f t="shared" si="125"/>
        <v>#N/A</v>
      </c>
      <c r="Y518" s="164" t="e">
        <f t="shared" si="126"/>
        <v>#N/A</v>
      </c>
      <c r="AB518" s="156">
        <f t="shared" si="128"/>
        <v>0</v>
      </c>
      <c r="AC518" s="121" t="str">
        <f t="shared" si="127"/>
        <v/>
      </c>
      <c r="AE518" s="121" t="str">
        <f t="shared" si="129"/>
        <v/>
      </c>
      <c r="AF518" s="111" t="str">
        <f t="shared" si="130"/>
        <v/>
      </c>
    </row>
    <row r="519" spans="1:32">
      <c r="A519" s="159"/>
      <c r="B519" s="160"/>
      <c r="C519" s="5"/>
      <c r="D519" s="5"/>
      <c r="E519" s="5"/>
      <c r="F519" s="5"/>
      <c r="G519" s="5"/>
      <c r="H519" s="5"/>
      <c r="I519" s="5"/>
      <c r="J519" s="5"/>
      <c r="K519" s="5"/>
      <c r="L519" s="5"/>
      <c r="M519" s="5"/>
      <c r="N519" s="5"/>
      <c r="O519" s="5"/>
      <c r="P519" s="5"/>
      <c r="Q519" s="5"/>
      <c r="R519" s="5"/>
      <c r="S519" s="5"/>
      <c r="T519" s="5"/>
      <c r="U519" s="5"/>
      <c r="V519" s="7"/>
      <c r="W519" s="7"/>
      <c r="X519" s="164" t="e">
        <f t="shared" si="125"/>
        <v>#N/A</v>
      </c>
      <c r="Y519" s="164" t="e">
        <f t="shared" si="126"/>
        <v>#N/A</v>
      </c>
      <c r="AB519" s="156">
        <f t="shared" si="128"/>
        <v>0</v>
      </c>
      <c r="AC519" s="121" t="str">
        <f t="shared" si="127"/>
        <v/>
      </c>
      <c r="AE519" s="121" t="str">
        <f t="shared" si="129"/>
        <v/>
      </c>
      <c r="AF519" s="111" t="str">
        <f t="shared" si="130"/>
        <v/>
      </c>
    </row>
    <row r="520" spans="1:32">
      <c r="A520" s="159"/>
      <c r="B520" s="160"/>
      <c r="C520" s="5"/>
      <c r="D520" s="5"/>
      <c r="E520" s="5"/>
      <c r="F520" s="5"/>
      <c r="G520" s="5"/>
      <c r="H520" s="5"/>
      <c r="I520" s="5"/>
      <c r="J520" s="5"/>
      <c r="K520" s="5"/>
      <c r="L520" s="5"/>
      <c r="M520" s="5"/>
      <c r="N520" s="5"/>
      <c r="O520" s="5"/>
      <c r="P520" s="5"/>
      <c r="Q520" s="5"/>
      <c r="R520" s="5"/>
      <c r="S520" s="5"/>
      <c r="T520" s="5"/>
      <c r="U520" s="5"/>
      <c r="V520" s="7"/>
      <c r="W520" s="7"/>
      <c r="X520" s="164" t="e">
        <f t="shared" si="125"/>
        <v>#N/A</v>
      </c>
      <c r="Y520" s="164" t="e">
        <f t="shared" si="126"/>
        <v>#N/A</v>
      </c>
      <c r="AB520" s="156">
        <f t="shared" si="128"/>
        <v>0</v>
      </c>
      <c r="AC520" s="121" t="str">
        <f t="shared" si="127"/>
        <v/>
      </c>
      <c r="AE520" s="121" t="str">
        <f t="shared" si="129"/>
        <v/>
      </c>
      <c r="AF520" s="111" t="str">
        <f t="shared" si="130"/>
        <v/>
      </c>
    </row>
    <row r="521" spans="1:32">
      <c r="A521" s="159"/>
      <c r="B521" s="160"/>
      <c r="C521" s="5"/>
      <c r="D521" s="5"/>
      <c r="E521" s="5"/>
      <c r="F521" s="5"/>
      <c r="G521" s="5"/>
      <c r="H521" s="5"/>
      <c r="I521" s="5"/>
      <c r="J521" s="5"/>
      <c r="K521" s="5"/>
      <c r="L521" s="5"/>
      <c r="M521" s="5"/>
      <c r="N521" s="5"/>
      <c r="O521" s="5"/>
      <c r="P521" s="5"/>
      <c r="Q521" s="5"/>
      <c r="R521" s="5"/>
      <c r="S521" s="5"/>
      <c r="T521" s="5"/>
      <c r="U521" s="5"/>
      <c r="V521" s="7"/>
      <c r="W521" s="7"/>
      <c r="X521" s="164" t="e">
        <f t="shared" si="125"/>
        <v>#N/A</v>
      </c>
      <c r="Y521" s="164" t="e">
        <f t="shared" si="126"/>
        <v>#N/A</v>
      </c>
      <c r="AB521" s="156">
        <f t="shared" si="128"/>
        <v>0</v>
      </c>
      <c r="AC521" s="121" t="str">
        <f t="shared" si="127"/>
        <v/>
      </c>
      <c r="AE521" s="121" t="str">
        <f t="shared" si="129"/>
        <v/>
      </c>
      <c r="AF521" s="111" t="str">
        <f t="shared" si="130"/>
        <v/>
      </c>
    </row>
    <row r="522" spans="1:32">
      <c r="A522" s="159"/>
      <c r="B522" s="160"/>
      <c r="C522" s="5"/>
      <c r="D522" s="5"/>
      <c r="E522" s="5"/>
      <c r="F522" s="5"/>
      <c r="G522" s="5"/>
      <c r="H522" s="5"/>
      <c r="I522" s="5"/>
      <c r="J522" s="5"/>
      <c r="K522" s="5"/>
      <c r="L522" s="5"/>
      <c r="M522" s="5"/>
      <c r="N522" s="5"/>
      <c r="O522" s="5"/>
      <c r="P522" s="5"/>
      <c r="Q522" s="5"/>
      <c r="R522" s="5"/>
      <c r="S522" s="5"/>
      <c r="T522" s="5"/>
      <c r="U522" s="5"/>
      <c r="V522" s="7"/>
      <c r="W522" s="7"/>
      <c r="X522" s="164" t="e">
        <f t="shared" si="125"/>
        <v>#N/A</v>
      </c>
      <c r="Y522" s="164" t="e">
        <f t="shared" si="126"/>
        <v>#N/A</v>
      </c>
      <c r="AB522" s="156">
        <f t="shared" si="128"/>
        <v>0</v>
      </c>
      <c r="AC522" s="121" t="str">
        <f t="shared" si="127"/>
        <v/>
      </c>
      <c r="AE522" s="121" t="str">
        <f t="shared" si="129"/>
        <v/>
      </c>
      <c r="AF522" s="111" t="str">
        <f t="shared" si="130"/>
        <v/>
      </c>
    </row>
    <row r="523" spans="1:32">
      <c r="A523" s="159"/>
      <c r="B523" s="160"/>
      <c r="C523" s="5"/>
      <c r="D523" s="5"/>
      <c r="E523" s="5"/>
      <c r="F523" s="5"/>
      <c r="G523" s="5"/>
      <c r="H523" s="5"/>
      <c r="I523" s="5"/>
      <c r="J523" s="5"/>
      <c r="K523" s="5"/>
      <c r="L523" s="5"/>
      <c r="M523" s="5"/>
      <c r="N523" s="5"/>
      <c r="O523" s="5"/>
      <c r="P523" s="5"/>
      <c r="Q523" s="5"/>
      <c r="R523" s="5"/>
      <c r="S523" s="5"/>
      <c r="T523" s="5"/>
      <c r="U523" s="5"/>
      <c r="V523" s="7"/>
      <c r="W523" s="7"/>
      <c r="X523" s="164" t="e">
        <f t="shared" si="125"/>
        <v>#N/A</v>
      </c>
      <c r="Y523" s="164" t="e">
        <f t="shared" si="126"/>
        <v>#N/A</v>
      </c>
      <c r="AB523" s="156">
        <f t="shared" si="128"/>
        <v>0</v>
      </c>
      <c r="AC523" s="121" t="str">
        <f t="shared" si="127"/>
        <v/>
      </c>
      <c r="AE523" s="121" t="str">
        <f t="shared" si="129"/>
        <v/>
      </c>
      <c r="AF523" s="111" t="str">
        <f t="shared" si="130"/>
        <v/>
      </c>
    </row>
    <row r="524" spans="1:32">
      <c r="A524" s="159"/>
      <c r="B524" s="160"/>
      <c r="C524" s="5"/>
      <c r="D524" s="5"/>
      <c r="E524" s="5"/>
      <c r="F524" s="5"/>
      <c r="G524" s="5"/>
      <c r="H524" s="5"/>
      <c r="I524" s="5"/>
      <c r="J524" s="5"/>
      <c r="K524" s="5"/>
      <c r="L524" s="5"/>
      <c r="M524" s="5"/>
      <c r="N524" s="5"/>
      <c r="O524" s="5"/>
      <c r="P524" s="5"/>
      <c r="Q524" s="5"/>
      <c r="R524" s="5"/>
      <c r="S524" s="5"/>
      <c r="T524" s="5"/>
      <c r="U524" s="5"/>
      <c r="V524" s="7"/>
      <c r="W524" s="7"/>
      <c r="X524" s="164" t="e">
        <f t="shared" si="125"/>
        <v>#N/A</v>
      </c>
      <c r="Y524" s="164" t="e">
        <f t="shared" si="126"/>
        <v>#N/A</v>
      </c>
      <c r="AB524" s="156">
        <f t="shared" si="128"/>
        <v>0</v>
      </c>
      <c r="AC524" s="121" t="str">
        <f t="shared" si="127"/>
        <v/>
      </c>
      <c r="AE524" s="121" t="str">
        <f t="shared" si="129"/>
        <v/>
      </c>
      <c r="AF524" s="111" t="str">
        <f t="shared" si="130"/>
        <v/>
      </c>
    </row>
    <row r="525" spans="1:32">
      <c r="A525" s="159"/>
      <c r="B525" s="160"/>
      <c r="C525" s="5"/>
      <c r="D525" s="5"/>
      <c r="E525" s="5"/>
      <c r="F525" s="5"/>
      <c r="G525" s="5"/>
      <c r="H525" s="5"/>
      <c r="I525" s="5"/>
      <c r="J525" s="5"/>
      <c r="K525" s="5"/>
      <c r="L525" s="5"/>
      <c r="M525" s="5"/>
      <c r="N525" s="5"/>
      <c r="O525" s="5"/>
      <c r="P525" s="5"/>
      <c r="Q525" s="5"/>
      <c r="R525" s="5"/>
      <c r="S525" s="5"/>
      <c r="T525" s="5"/>
      <c r="U525" s="5"/>
      <c r="V525" s="7"/>
      <c r="W525" s="7"/>
      <c r="X525" s="164" t="e">
        <f t="shared" si="125"/>
        <v>#N/A</v>
      </c>
      <c r="Y525" s="164" t="e">
        <f t="shared" si="126"/>
        <v>#N/A</v>
      </c>
      <c r="AB525" s="156">
        <f t="shared" si="128"/>
        <v>0</v>
      </c>
      <c r="AC525" s="121" t="str">
        <f t="shared" si="127"/>
        <v/>
      </c>
      <c r="AE525" s="121" t="str">
        <f t="shared" si="129"/>
        <v/>
      </c>
      <c r="AF525" s="111" t="str">
        <f t="shared" si="130"/>
        <v/>
      </c>
    </row>
    <row r="526" spans="1:32">
      <c r="A526" s="159"/>
      <c r="B526" s="160"/>
      <c r="C526" s="5"/>
      <c r="D526" s="5"/>
      <c r="E526" s="5"/>
      <c r="F526" s="5"/>
      <c r="G526" s="5"/>
      <c r="H526" s="5"/>
      <c r="I526" s="5"/>
      <c r="J526" s="5"/>
      <c r="K526" s="5"/>
      <c r="L526" s="5"/>
      <c r="M526" s="5"/>
      <c r="N526" s="5"/>
      <c r="O526" s="5"/>
      <c r="P526" s="5"/>
      <c r="Q526" s="5"/>
      <c r="R526" s="5"/>
      <c r="S526" s="5"/>
      <c r="T526" s="5"/>
      <c r="U526" s="5"/>
      <c r="V526" s="7"/>
      <c r="W526" s="7"/>
      <c r="X526" s="164" t="e">
        <f t="shared" si="125"/>
        <v>#N/A</v>
      </c>
      <c r="Y526" s="164" t="e">
        <f t="shared" si="126"/>
        <v>#N/A</v>
      </c>
      <c r="AB526" s="156">
        <f t="shared" si="128"/>
        <v>0</v>
      </c>
      <c r="AC526" s="121" t="str">
        <f t="shared" si="127"/>
        <v/>
      </c>
      <c r="AE526" s="121" t="str">
        <f t="shared" si="129"/>
        <v/>
      </c>
      <c r="AF526" s="111" t="str">
        <f t="shared" si="130"/>
        <v/>
      </c>
    </row>
    <row r="527" spans="1:32">
      <c r="A527" s="159"/>
      <c r="B527" s="160"/>
      <c r="C527" s="5"/>
      <c r="D527" s="5"/>
      <c r="E527" s="5"/>
      <c r="F527" s="5"/>
      <c r="G527" s="5"/>
      <c r="H527" s="5"/>
      <c r="I527" s="5"/>
      <c r="J527" s="5"/>
      <c r="K527" s="5"/>
      <c r="L527" s="5"/>
      <c r="M527" s="5"/>
      <c r="N527" s="5"/>
      <c r="O527" s="5"/>
      <c r="P527" s="5"/>
      <c r="Q527" s="5"/>
      <c r="R527" s="5"/>
      <c r="S527" s="5"/>
      <c r="T527" s="5"/>
      <c r="U527" s="5"/>
      <c r="V527" s="7"/>
      <c r="W527" s="7"/>
      <c r="X527" s="164" t="e">
        <f t="shared" si="125"/>
        <v>#N/A</v>
      </c>
      <c r="Y527" s="164" t="e">
        <f t="shared" si="126"/>
        <v>#N/A</v>
      </c>
      <c r="AB527" s="156">
        <f t="shared" si="128"/>
        <v>0</v>
      </c>
      <c r="AC527" s="121" t="str">
        <f t="shared" si="127"/>
        <v/>
      </c>
      <c r="AE527" s="121" t="str">
        <f t="shared" si="129"/>
        <v/>
      </c>
      <c r="AF527" s="111" t="str">
        <f t="shared" si="130"/>
        <v/>
      </c>
    </row>
    <row r="528" spans="1:32">
      <c r="A528" s="159"/>
      <c r="B528" s="160"/>
      <c r="C528" s="5"/>
      <c r="D528" s="5"/>
      <c r="E528" s="5"/>
      <c r="F528" s="5"/>
      <c r="G528" s="5"/>
      <c r="H528" s="5"/>
      <c r="I528" s="5"/>
      <c r="J528" s="5"/>
      <c r="K528" s="5"/>
      <c r="L528" s="5"/>
      <c r="M528" s="5"/>
      <c r="N528" s="5"/>
      <c r="O528" s="5"/>
      <c r="P528" s="5"/>
      <c r="Q528" s="5"/>
      <c r="R528" s="5"/>
      <c r="S528" s="5"/>
      <c r="T528" s="5"/>
      <c r="U528" s="5"/>
      <c r="V528" s="7"/>
      <c r="W528" s="7"/>
      <c r="X528" s="164" t="e">
        <f t="shared" si="125"/>
        <v>#N/A</v>
      </c>
      <c r="Y528" s="164" t="e">
        <f t="shared" si="126"/>
        <v>#N/A</v>
      </c>
      <c r="AB528" s="156">
        <f t="shared" si="128"/>
        <v>0</v>
      </c>
      <c r="AC528" s="121" t="str">
        <f t="shared" si="127"/>
        <v/>
      </c>
      <c r="AE528" s="121" t="str">
        <f t="shared" si="129"/>
        <v/>
      </c>
      <c r="AF528" s="111" t="str">
        <f t="shared" si="130"/>
        <v/>
      </c>
    </row>
    <row r="529" spans="1:32">
      <c r="A529" s="159"/>
      <c r="B529" s="160"/>
      <c r="C529" s="5"/>
      <c r="D529" s="5"/>
      <c r="E529" s="5"/>
      <c r="F529" s="5"/>
      <c r="G529" s="5"/>
      <c r="H529" s="5"/>
      <c r="I529" s="5"/>
      <c r="J529" s="5"/>
      <c r="K529" s="5"/>
      <c r="L529" s="5"/>
      <c r="M529" s="5"/>
      <c r="N529" s="5"/>
      <c r="O529" s="5"/>
      <c r="P529" s="5"/>
      <c r="Q529" s="5"/>
      <c r="R529" s="5"/>
      <c r="S529" s="5"/>
      <c r="T529" s="5"/>
      <c r="U529" s="5"/>
      <c r="V529" s="7"/>
      <c r="W529" s="7"/>
      <c r="X529" s="164" t="e">
        <f t="shared" si="125"/>
        <v>#N/A</v>
      </c>
      <c r="Y529" s="164" t="e">
        <f t="shared" si="126"/>
        <v>#N/A</v>
      </c>
      <c r="AB529" s="156">
        <f t="shared" si="128"/>
        <v>0</v>
      </c>
      <c r="AC529" s="121" t="str">
        <f t="shared" si="127"/>
        <v/>
      </c>
      <c r="AE529" s="121" t="str">
        <f t="shared" si="129"/>
        <v/>
      </c>
      <c r="AF529" s="111" t="str">
        <f t="shared" si="130"/>
        <v/>
      </c>
    </row>
    <row r="530" spans="1:32">
      <c r="A530" s="159"/>
      <c r="B530" s="160"/>
      <c r="C530" s="5"/>
      <c r="D530" s="5"/>
      <c r="E530" s="5"/>
      <c r="F530" s="5"/>
      <c r="G530" s="5"/>
      <c r="H530" s="5"/>
      <c r="I530" s="5"/>
      <c r="J530" s="5"/>
      <c r="K530" s="5"/>
      <c r="L530" s="5"/>
      <c r="M530" s="5"/>
      <c r="N530" s="5"/>
      <c r="O530" s="5"/>
      <c r="P530" s="5"/>
      <c r="Q530" s="5"/>
      <c r="R530" s="5"/>
      <c r="S530" s="5"/>
      <c r="T530" s="5"/>
      <c r="U530" s="5"/>
      <c r="V530" s="7"/>
      <c r="W530" s="7"/>
      <c r="X530" s="164" t="e">
        <f t="shared" si="125"/>
        <v>#N/A</v>
      </c>
      <c r="Y530" s="164" t="e">
        <f t="shared" si="126"/>
        <v>#N/A</v>
      </c>
      <c r="AB530" s="156">
        <f t="shared" si="128"/>
        <v>0</v>
      </c>
      <c r="AC530" s="121" t="str">
        <f t="shared" si="127"/>
        <v/>
      </c>
      <c r="AE530" s="121" t="str">
        <f t="shared" si="129"/>
        <v/>
      </c>
      <c r="AF530" s="111" t="str">
        <f t="shared" si="130"/>
        <v/>
      </c>
    </row>
    <row r="531" spans="1:32">
      <c r="A531" s="159"/>
      <c r="B531" s="160"/>
      <c r="C531" s="5"/>
      <c r="D531" s="5"/>
      <c r="E531" s="5"/>
      <c r="F531" s="5"/>
      <c r="G531" s="5"/>
      <c r="H531" s="5"/>
      <c r="I531" s="5"/>
      <c r="J531" s="5"/>
      <c r="K531" s="5"/>
      <c r="L531" s="5"/>
      <c r="M531" s="5"/>
      <c r="N531" s="5"/>
      <c r="O531" s="5"/>
      <c r="P531" s="5"/>
      <c r="Q531" s="5"/>
      <c r="R531" s="5"/>
      <c r="S531" s="5"/>
      <c r="T531" s="5"/>
      <c r="U531" s="5"/>
      <c r="V531" s="7"/>
      <c r="W531" s="7"/>
      <c r="X531" s="164" t="e">
        <f t="shared" si="125"/>
        <v>#N/A</v>
      </c>
      <c r="Y531" s="164" t="e">
        <f t="shared" si="126"/>
        <v>#N/A</v>
      </c>
      <c r="AB531" s="156">
        <f t="shared" si="128"/>
        <v>0</v>
      </c>
      <c r="AC531" s="121" t="str">
        <f t="shared" si="127"/>
        <v/>
      </c>
      <c r="AE531" s="121" t="str">
        <f t="shared" si="129"/>
        <v/>
      </c>
      <c r="AF531" s="111" t="str">
        <f t="shared" si="130"/>
        <v/>
      </c>
    </row>
    <row r="532" spans="1:32">
      <c r="A532" s="159"/>
      <c r="B532" s="160"/>
      <c r="C532" s="5"/>
      <c r="D532" s="5"/>
      <c r="E532" s="5"/>
      <c r="F532" s="5"/>
      <c r="G532" s="5"/>
      <c r="H532" s="5"/>
      <c r="I532" s="5"/>
      <c r="J532" s="5"/>
      <c r="K532" s="5"/>
      <c r="L532" s="5"/>
      <c r="M532" s="5"/>
      <c r="N532" s="5"/>
      <c r="O532" s="5"/>
      <c r="P532" s="5"/>
      <c r="Q532" s="5"/>
      <c r="R532" s="5"/>
      <c r="S532" s="5"/>
      <c r="T532" s="5"/>
      <c r="U532" s="5"/>
      <c r="V532" s="7"/>
      <c r="W532" s="7"/>
      <c r="X532" s="164" t="e">
        <f t="shared" si="125"/>
        <v>#N/A</v>
      </c>
      <c r="Y532" s="164" t="e">
        <f t="shared" si="126"/>
        <v>#N/A</v>
      </c>
      <c r="AB532" s="156">
        <f t="shared" si="128"/>
        <v>0</v>
      </c>
      <c r="AC532" s="121" t="str">
        <f t="shared" si="127"/>
        <v/>
      </c>
      <c r="AE532" s="121" t="str">
        <f t="shared" si="129"/>
        <v/>
      </c>
      <c r="AF532" s="111" t="str">
        <f t="shared" si="130"/>
        <v/>
      </c>
    </row>
    <row r="533" spans="1:32">
      <c r="A533" s="159"/>
      <c r="B533" s="160"/>
      <c r="C533" s="5"/>
      <c r="D533" s="5"/>
      <c r="E533" s="5"/>
      <c r="F533" s="5"/>
      <c r="G533" s="5"/>
      <c r="H533" s="5"/>
      <c r="I533" s="5"/>
      <c r="J533" s="5"/>
      <c r="K533" s="5"/>
      <c r="L533" s="5"/>
      <c r="M533" s="5"/>
      <c r="N533" s="5"/>
      <c r="O533" s="5"/>
      <c r="P533" s="5"/>
      <c r="Q533" s="5"/>
      <c r="R533" s="5"/>
      <c r="S533" s="5"/>
      <c r="T533" s="5"/>
      <c r="U533" s="5"/>
      <c r="V533" s="7"/>
      <c r="W533" s="7"/>
      <c r="X533" s="164" t="e">
        <f t="shared" si="125"/>
        <v>#N/A</v>
      </c>
      <c r="Y533" s="164" t="e">
        <f t="shared" si="126"/>
        <v>#N/A</v>
      </c>
      <c r="AB533" s="156">
        <f t="shared" si="128"/>
        <v>0</v>
      </c>
      <c r="AC533" s="121" t="str">
        <f t="shared" si="127"/>
        <v/>
      </c>
      <c r="AE533" s="121" t="str">
        <f t="shared" si="129"/>
        <v/>
      </c>
      <c r="AF533" s="111" t="str">
        <f t="shared" si="130"/>
        <v/>
      </c>
    </row>
    <row r="534" spans="1:32">
      <c r="A534" s="159"/>
      <c r="B534" s="160"/>
      <c r="C534" s="5"/>
      <c r="D534" s="5"/>
      <c r="E534" s="5"/>
      <c r="F534" s="5"/>
      <c r="G534" s="5"/>
      <c r="H534" s="5"/>
      <c r="I534" s="5"/>
      <c r="J534" s="5"/>
      <c r="K534" s="5"/>
      <c r="L534" s="5"/>
      <c r="M534" s="5"/>
      <c r="N534" s="5"/>
      <c r="O534" s="5"/>
      <c r="P534" s="5"/>
      <c r="Q534" s="5"/>
      <c r="R534" s="5"/>
      <c r="S534" s="5"/>
      <c r="T534" s="5"/>
      <c r="U534" s="5"/>
      <c r="V534" s="7"/>
      <c r="W534" s="7"/>
      <c r="X534" s="164" t="e">
        <f t="shared" si="125"/>
        <v>#N/A</v>
      </c>
      <c r="Y534" s="164" t="e">
        <f t="shared" si="126"/>
        <v>#N/A</v>
      </c>
      <c r="AB534" s="156">
        <f t="shared" si="128"/>
        <v>0</v>
      </c>
      <c r="AC534" s="121" t="str">
        <f t="shared" si="127"/>
        <v/>
      </c>
      <c r="AE534" s="121" t="str">
        <f t="shared" si="129"/>
        <v/>
      </c>
      <c r="AF534" s="111" t="str">
        <f t="shared" si="130"/>
        <v/>
      </c>
    </row>
    <row r="535" spans="1:32">
      <c r="A535" s="159"/>
      <c r="B535" s="160"/>
      <c r="C535" s="5"/>
      <c r="D535" s="5"/>
      <c r="E535" s="5"/>
      <c r="F535" s="5"/>
      <c r="G535" s="5"/>
      <c r="H535" s="5"/>
      <c r="I535" s="5"/>
      <c r="J535" s="5"/>
      <c r="K535" s="5"/>
      <c r="L535" s="5"/>
      <c r="M535" s="5"/>
      <c r="N535" s="5"/>
      <c r="O535" s="5"/>
      <c r="P535" s="5"/>
      <c r="Q535" s="5"/>
      <c r="R535" s="5"/>
      <c r="S535" s="5"/>
      <c r="T535" s="5"/>
      <c r="U535" s="5"/>
      <c r="V535" s="7"/>
      <c r="W535" s="7"/>
      <c r="X535" s="164" t="e">
        <f t="shared" si="125"/>
        <v>#N/A</v>
      </c>
      <c r="Y535" s="164" t="e">
        <f t="shared" si="126"/>
        <v>#N/A</v>
      </c>
      <c r="AB535" s="156">
        <f t="shared" si="128"/>
        <v>0</v>
      </c>
      <c r="AC535" s="121" t="str">
        <f t="shared" si="127"/>
        <v/>
      </c>
      <c r="AE535" s="121" t="str">
        <f t="shared" si="129"/>
        <v/>
      </c>
      <c r="AF535" s="111" t="str">
        <f t="shared" si="130"/>
        <v/>
      </c>
    </row>
    <row r="536" spans="1:32">
      <c r="A536" s="159"/>
      <c r="B536" s="160"/>
      <c r="C536" s="5"/>
      <c r="D536" s="5"/>
      <c r="E536" s="5"/>
      <c r="F536" s="5"/>
      <c r="G536" s="5"/>
      <c r="H536" s="5"/>
      <c r="I536" s="5"/>
      <c r="J536" s="5"/>
      <c r="K536" s="5"/>
      <c r="L536" s="5"/>
      <c r="M536" s="5"/>
      <c r="N536" s="5"/>
      <c r="O536" s="5"/>
      <c r="P536" s="5"/>
      <c r="Q536" s="5"/>
      <c r="R536" s="5"/>
      <c r="S536" s="5"/>
      <c r="T536" s="5"/>
      <c r="U536" s="5"/>
      <c r="V536" s="7"/>
      <c r="W536" s="7"/>
      <c r="X536" s="164" t="e">
        <f t="shared" si="125"/>
        <v>#N/A</v>
      </c>
      <c r="Y536" s="164" t="e">
        <f t="shared" si="126"/>
        <v>#N/A</v>
      </c>
      <c r="AB536" s="156">
        <f t="shared" si="128"/>
        <v>0</v>
      </c>
      <c r="AC536" s="121" t="str">
        <f t="shared" si="127"/>
        <v/>
      </c>
      <c r="AE536" s="121" t="str">
        <f t="shared" si="129"/>
        <v/>
      </c>
      <c r="AF536" s="111" t="str">
        <f t="shared" si="130"/>
        <v/>
      </c>
    </row>
    <row r="537" spans="1:32">
      <c r="A537" s="159"/>
      <c r="B537" s="160"/>
      <c r="C537" s="5"/>
      <c r="D537" s="5"/>
      <c r="E537" s="5"/>
      <c r="F537" s="5"/>
      <c r="G537" s="5"/>
      <c r="H537" s="5"/>
      <c r="I537" s="5"/>
      <c r="J537" s="5"/>
      <c r="K537" s="5"/>
      <c r="L537" s="5"/>
      <c r="M537" s="5"/>
      <c r="N537" s="5"/>
      <c r="O537" s="5"/>
      <c r="P537" s="5"/>
      <c r="Q537" s="5"/>
      <c r="R537" s="5"/>
      <c r="S537" s="5"/>
      <c r="T537" s="5"/>
      <c r="U537" s="5"/>
      <c r="V537" s="7"/>
      <c r="W537" s="7"/>
      <c r="X537" s="164" t="e">
        <f t="shared" si="125"/>
        <v>#N/A</v>
      </c>
      <c r="Y537" s="164" t="e">
        <f t="shared" si="126"/>
        <v>#N/A</v>
      </c>
      <c r="AB537" s="156">
        <f t="shared" si="128"/>
        <v>0</v>
      </c>
      <c r="AC537" s="121" t="str">
        <f t="shared" si="127"/>
        <v/>
      </c>
      <c r="AE537" s="121" t="str">
        <f t="shared" si="129"/>
        <v/>
      </c>
      <c r="AF537" s="111" t="str">
        <f t="shared" si="130"/>
        <v/>
      </c>
    </row>
    <row r="538" spans="1:32">
      <c r="A538" s="159"/>
      <c r="B538" s="160"/>
      <c r="C538" s="5"/>
      <c r="D538" s="5"/>
      <c r="E538" s="5"/>
      <c r="F538" s="5"/>
      <c r="G538" s="5"/>
      <c r="H538" s="5"/>
      <c r="I538" s="5"/>
      <c r="J538" s="5"/>
      <c r="K538" s="5"/>
      <c r="L538" s="5"/>
      <c r="M538" s="5"/>
      <c r="N538" s="5"/>
      <c r="O538" s="5"/>
      <c r="P538" s="5"/>
      <c r="Q538" s="5"/>
      <c r="R538" s="5"/>
      <c r="S538" s="5"/>
      <c r="T538" s="5"/>
      <c r="U538" s="5"/>
      <c r="V538" s="7"/>
      <c r="W538" s="7"/>
      <c r="X538" s="164" t="e">
        <f t="shared" si="125"/>
        <v>#N/A</v>
      </c>
      <c r="Y538" s="164" t="e">
        <f t="shared" si="126"/>
        <v>#N/A</v>
      </c>
      <c r="AB538" s="156">
        <f t="shared" si="128"/>
        <v>0</v>
      </c>
      <c r="AC538" s="121" t="str">
        <f t="shared" si="127"/>
        <v/>
      </c>
      <c r="AE538" s="121" t="str">
        <f t="shared" si="129"/>
        <v/>
      </c>
      <c r="AF538" s="111" t="str">
        <f t="shared" si="130"/>
        <v/>
      </c>
    </row>
    <row r="539" spans="1:32">
      <c r="A539" s="159"/>
      <c r="B539" s="160"/>
      <c r="C539" s="5"/>
      <c r="D539" s="5"/>
      <c r="E539" s="5"/>
      <c r="F539" s="5"/>
      <c r="G539" s="5"/>
      <c r="H539" s="5"/>
      <c r="I539" s="5"/>
      <c r="J539" s="5"/>
      <c r="K539" s="5"/>
      <c r="L539" s="5"/>
      <c r="M539" s="5"/>
      <c r="N539" s="5"/>
      <c r="O539" s="5"/>
      <c r="P539" s="5"/>
      <c r="Q539" s="5"/>
      <c r="R539" s="5"/>
      <c r="S539" s="5"/>
      <c r="T539" s="5"/>
      <c r="U539" s="5"/>
      <c r="V539" s="7"/>
      <c r="W539" s="7"/>
      <c r="X539" s="164" t="e">
        <f t="shared" si="125"/>
        <v>#N/A</v>
      </c>
      <c r="Y539" s="164" t="e">
        <f t="shared" si="126"/>
        <v>#N/A</v>
      </c>
      <c r="AB539" s="156">
        <f t="shared" si="128"/>
        <v>0</v>
      </c>
      <c r="AC539" s="121" t="str">
        <f t="shared" si="127"/>
        <v/>
      </c>
      <c r="AE539" s="121" t="str">
        <f t="shared" si="129"/>
        <v/>
      </c>
      <c r="AF539" s="111" t="str">
        <f t="shared" si="130"/>
        <v/>
      </c>
    </row>
    <row r="540" spans="1:32">
      <c r="A540" s="159"/>
      <c r="B540" s="160"/>
      <c r="C540" s="5"/>
      <c r="D540" s="5"/>
      <c r="E540" s="5"/>
      <c r="F540" s="5"/>
      <c r="G540" s="5"/>
      <c r="H540" s="5"/>
      <c r="I540" s="5"/>
      <c r="J540" s="5"/>
      <c r="K540" s="5"/>
      <c r="L540" s="5"/>
      <c r="M540" s="5"/>
      <c r="N540" s="5"/>
      <c r="O540" s="5"/>
      <c r="P540" s="5"/>
      <c r="Q540" s="5"/>
      <c r="R540" s="5"/>
      <c r="S540" s="5"/>
      <c r="T540" s="5"/>
      <c r="U540" s="5"/>
      <c r="V540" s="7"/>
      <c r="W540" s="7"/>
      <c r="X540" s="164" t="e">
        <f t="shared" si="125"/>
        <v>#N/A</v>
      </c>
      <c r="Y540" s="164" t="e">
        <f t="shared" si="126"/>
        <v>#N/A</v>
      </c>
      <c r="AB540" s="156">
        <f t="shared" si="128"/>
        <v>0</v>
      </c>
      <c r="AC540" s="121" t="str">
        <f t="shared" si="127"/>
        <v/>
      </c>
      <c r="AE540" s="121" t="str">
        <f t="shared" si="129"/>
        <v/>
      </c>
      <c r="AF540" s="111" t="str">
        <f t="shared" si="130"/>
        <v/>
      </c>
    </row>
    <row r="541" spans="1:32">
      <c r="A541" s="159"/>
      <c r="B541" s="160"/>
      <c r="C541" s="5"/>
      <c r="D541" s="5"/>
      <c r="E541" s="5"/>
      <c r="F541" s="5"/>
      <c r="G541" s="5"/>
      <c r="H541" s="5"/>
      <c r="I541" s="5"/>
      <c r="J541" s="5"/>
      <c r="K541" s="5"/>
      <c r="L541" s="5"/>
      <c r="M541" s="5"/>
      <c r="N541" s="5"/>
      <c r="O541" s="5"/>
      <c r="P541" s="5"/>
      <c r="Q541" s="5"/>
      <c r="R541" s="5"/>
      <c r="S541" s="5"/>
      <c r="T541" s="5"/>
      <c r="U541" s="5"/>
      <c r="V541" s="7"/>
      <c r="W541" s="7"/>
      <c r="X541" s="164" t="e">
        <f t="shared" si="125"/>
        <v>#N/A</v>
      </c>
      <c r="Y541" s="164" t="e">
        <f t="shared" si="126"/>
        <v>#N/A</v>
      </c>
      <c r="AB541" s="156">
        <f t="shared" si="128"/>
        <v>0</v>
      </c>
      <c r="AC541" s="121" t="str">
        <f t="shared" si="127"/>
        <v/>
      </c>
      <c r="AE541" s="121" t="str">
        <f t="shared" si="129"/>
        <v/>
      </c>
      <c r="AF541" s="111" t="str">
        <f t="shared" si="130"/>
        <v/>
      </c>
    </row>
    <row r="542" spans="1:32">
      <c r="A542" s="159"/>
      <c r="B542" s="160"/>
      <c r="C542" s="5"/>
      <c r="D542" s="5"/>
      <c r="E542" s="5"/>
      <c r="F542" s="5"/>
      <c r="G542" s="5"/>
      <c r="H542" s="5"/>
      <c r="I542" s="5"/>
      <c r="J542" s="5"/>
      <c r="K542" s="5"/>
      <c r="L542" s="5"/>
      <c r="M542" s="5"/>
      <c r="N542" s="5"/>
      <c r="O542" s="5"/>
      <c r="P542" s="5"/>
      <c r="Q542" s="5"/>
      <c r="R542" s="5"/>
      <c r="S542" s="5"/>
      <c r="T542" s="5"/>
      <c r="U542" s="5"/>
      <c r="V542" s="7"/>
      <c r="W542" s="7"/>
      <c r="X542" s="164" t="e">
        <f t="shared" si="125"/>
        <v>#N/A</v>
      </c>
      <c r="Y542" s="164" t="e">
        <f t="shared" si="126"/>
        <v>#N/A</v>
      </c>
      <c r="AB542" s="156">
        <f t="shared" si="128"/>
        <v>0</v>
      </c>
      <c r="AC542" s="121" t="str">
        <f t="shared" si="127"/>
        <v/>
      </c>
      <c r="AE542" s="121" t="str">
        <f t="shared" si="129"/>
        <v/>
      </c>
      <c r="AF542" s="111" t="str">
        <f t="shared" si="130"/>
        <v/>
      </c>
    </row>
    <row r="543" spans="1:32">
      <c r="A543" s="159"/>
      <c r="B543" s="160"/>
      <c r="C543" s="5"/>
      <c r="D543" s="5"/>
      <c r="E543" s="5"/>
      <c r="F543" s="5"/>
      <c r="G543" s="5"/>
      <c r="H543" s="5"/>
      <c r="I543" s="5"/>
      <c r="J543" s="5"/>
      <c r="K543" s="5"/>
      <c r="L543" s="5"/>
      <c r="M543" s="5"/>
      <c r="N543" s="5"/>
      <c r="O543" s="5"/>
      <c r="P543" s="5"/>
      <c r="Q543" s="5"/>
      <c r="R543" s="5"/>
      <c r="S543" s="5"/>
      <c r="T543" s="5"/>
      <c r="U543" s="5"/>
      <c r="V543" s="7"/>
      <c r="W543" s="7"/>
      <c r="X543" s="164" t="e">
        <f t="shared" si="125"/>
        <v>#N/A</v>
      </c>
      <c r="Y543" s="164" t="e">
        <f t="shared" si="126"/>
        <v>#N/A</v>
      </c>
      <c r="AB543" s="156">
        <f t="shared" si="128"/>
        <v>0</v>
      </c>
      <c r="AC543" s="121" t="str">
        <f t="shared" si="127"/>
        <v/>
      </c>
      <c r="AE543" s="121" t="str">
        <f t="shared" si="129"/>
        <v/>
      </c>
      <c r="AF543" s="111" t="str">
        <f t="shared" si="130"/>
        <v/>
      </c>
    </row>
    <row r="544" spans="1:32">
      <c r="A544" s="159"/>
      <c r="B544" s="160"/>
      <c r="C544" s="5"/>
      <c r="D544" s="5"/>
      <c r="E544" s="5"/>
      <c r="F544" s="5"/>
      <c r="G544" s="5"/>
      <c r="H544" s="5"/>
      <c r="I544" s="5"/>
      <c r="J544" s="5"/>
      <c r="K544" s="5"/>
      <c r="L544" s="5"/>
      <c r="M544" s="5"/>
      <c r="N544" s="5"/>
      <c r="O544" s="5"/>
      <c r="P544" s="5"/>
      <c r="Q544" s="5"/>
      <c r="R544" s="5"/>
      <c r="S544" s="5"/>
      <c r="T544" s="5"/>
      <c r="U544" s="5"/>
      <c r="V544" s="7"/>
      <c r="W544" s="7"/>
      <c r="X544" s="164" t="e">
        <f t="shared" si="125"/>
        <v>#N/A</v>
      </c>
      <c r="Y544" s="164" t="e">
        <f t="shared" si="126"/>
        <v>#N/A</v>
      </c>
      <c r="AB544" s="156">
        <f t="shared" si="128"/>
        <v>0</v>
      </c>
      <c r="AC544" s="121" t="str">
        <f t="shared" si="127"/>
        <v/>
      </c>
      <c r="AE544" s="121" t="str">
        <f t="shared" si="129"/>
        <v/>
      </c>
      <c r="AF544" s="111" t="str">
        <f t="shared" si="130"/>
        <v/>
      </c>
    </row>
    <row r="545" spans="1:32">
      <c r="A545" s="159"/>
      <c r="B545" s="160"/>
      <c r="C545" s="5"/>
      <c r="D545" s="5"/>
      <c r="E545" s="5"/>
      <c r="F545" s="5"/>
      <c r="G545" s="5"/>
      <c r="H545" s="5"/>
      <c r="I545" s="5"/>
      <c r="J545" s="5"/>
      <c r="K545" s="5"/>
      <c r="L545" s="5"/>
      <c r="M545" s="5"/>
      <c r="N545" s="5"/>
      <c r="O545" s="5"/>
      <c r="P545" s="5"/>
      <c r="Q545" s="5"/>
      <c r="R545" s="5"/>
      <c r="S545" s="5"/>
      <c r="T545" s="5"/>
      <c r="U545" s="5"/>
      <c r="V545" s="7"/>
      <c r="W545" s="7"/>
      <c r="X545" s="164" t="e">
        <f t="shared" si="125"/>
        <v>#N/A</v>
      </c>
      <c r="Y545" s="164" t="e">
        <f t="shared" si="126"/>
        <v>#N/A</v>
      </c>
      <c r="AB545" s="156">
        <f t="shared" si="128"/>
        <v>0</v>
      </c>
      <c r="AC545" s="121" t="str">
        <f t="shared" si="127"/>
        <v/>
      </c>
      <c r="AE545" s="121" t="str">
        <f t="shared" si="129"/>
        <v/>
      </c>
      <c r="AF545" s="111" t="str">
        <f t="shared" si="130"/>
        <v/>
      </c>
    </row>
    <row r="546" spans="1:32">
      <c r="A546" s="159"/>
      <c r="B546" s="160"/>
      <c r="C546" s="5"/>
      <c r="D546" s="5"/>
      <c r="E546" s="5"/>
      <c r="F546" s="5"/>
      <c r="G546" s="5"/>
      <c r="H546" s="5"/>
      <c r="I546" s="5"/>
      <c r="J546" s="5"/>
      <c r="K546" s="5"/>
      <c r="L546" s="5"/>
      <c r="M546" s="5"/>
      <c r="N546" s="5"/>
      <c r="O546" s="5"/>
      <c r="P546" s="5"/>
      <c r="Q546" s="5"/>
      <c r="R546" s="5"/>
      <c r="S546" s="5"/>
      <c r="T546" s="5"/>
      <c r="U546" s="5"/>
      <c r="V546" s="7"/>
      <c r="W546" s="7"/>
      <c r="X546" s="164" t="e">
        <f t="shared" si="125"/>
        <v>#N/A</v>
      </c>
      <c r="Y546" s="164" t="e">
        <f t="shared" si="126"/>
        <v>#N/A</v>
      </c>
      <c r="AB546" s="156">
        <f t="shared" si="128"/>
        <v>0</v>
      </c>
      <c r="AC546" s="121" t="str">
        <f t="shared" si="127"/>
        <v/>
      </c>
      <c r="AE546" s="121" t="str">
        <f t="shared" si="129"/>
        <v/>
      </c>
      <c r="AF546" s="111" t="str">
        <f t="shared" si="130"/>
        <v/>
      </c>
    </row>
    <row r="547" spans="1:32">
      <c r="A547" s="159"/>
      <c r="B547" s="160"/>
      <c r="C547" s="5"/>
      <c r="D547" s="5"/>
      <c r="E547" s="5"/>
      <c r="F547" s="5"/>
      <c r="G547" s="5"/>
      <c r="H547" s="5"/>
      <c r="I547" s="5"/>
      <c r="J547" s="5"/>
      <c r="K547" s="5"/>
      <c r="L547" s="5"/>
      <c r="M547" s="5"/>
      <c r="N547" s="5"/>
      <c r="O547" s="5"/>
      <c r="P547" s="5"/>
      <c r="Q547" s="5"/>
      <c r="R547" s="5"/>
      <c r="S547" s="5"/>
      <c r="T547" s="5"/>
      <c r="U547" s="5"/>
      <c r="V547" s="7"/>
      <c r="W547" s="7"/>
      <c r="X547" s="164" t="e">
        <f t="shared" si="125"/>
        <v>#N/A</v>
      </c>
      <c r="Y547" s="164" t="e">
        <f t="shared" si="126"/>
        <v>#N/A</v>
      </c>
      <c r="AB547" s="156">
        <f t="shared" si="128"/>
        <v>0</v>
      </c>
      <c r="AC547" s="121" t="str">
        <f t="shared" si="127"/>
        <v/>
      </c>
      <c r="AE547" s="121" t="str">
        <f t="shared" si="129"/>
        <v/>
      </c>
      <c r="AF547" s="111" t="str">
        <f t="shared" si="130"/>
        <v/>
      </c>
    </row>
    <row r="548" spans="1:32">
      <c r="A548" s="159"/>
      <c r="B548" s="160"/>
      <c r="C548" s="5"/>
      <c r="D548" s="5"/>
      <c r="E548" s="5"/>
      <c r="F548" s="5"/>
      <c r="G548" s="5"/>
      <c r="H548" s="5"/>
      <c r="I548" s="5"/>
      <c r="J548" s="5"/>
      <c r="K548" s="5"/>
      <c r="L548" s="5"/>
      <c r="M548" s="5"/>
      <c r="N548" s="5"/>
      <c r="O548" s="5"/>
      <c r="P548" s="5"/>
      <c r="Q548" s="5"/>
      <c r="R548" s="5"/>
      <c r="S548" s="5"/>
      <c r="T548" s="5"/>
      <c r="U548" s="5"/>
      <c r="V548" s="7"/>
      <c r="W548" s="7"/>
      <c r="X548" s="164" t="e">
        <f t="shared" si="125"/>
        <v>#N/A</v>
      </c>
      <c r="Y548" s="164" t="e">
        <f t="shared" si="126"/>
        <v>#N/A</v>
      </c>
      <c r="AB548" s="156">
        <f t="shared" si="128"/>
        <v>0</v>
      </c>
      <c r="AC548" s="121" t="str">
        <f t="shared" si="127"/>
        <v/>
      </c>
      <c r="AE548" s="121" t="str">
        <f t="shared" si="129"/>
        <v/>
      </c>
      <c r="AF548" s="111" t="str">
        <f t="shared" si="130"/>
        <v/>
      </c>
    </row>
    <row r="549" spans="1:32">
      <c r="A549" s="159"/>
      <c r="B549" s="160"/>
      <c r="C549" s="5"/>
      <c r="D549" s="5"/>
      <c r="E549" s="5"/>
      <c r="F549" s="5"/>
      <c r="G549" s="5"/>
      <c r="H549" s="5"/>
      <c r="I549" s="5"/>
      <c r="J549" s="5"/>
      <c r="K549" s="5"/>
      <c r="L549" s="5"/>
      <c r="M549" s="5"/>
      <c r="N549" s="5"/>
      <c r="O549" s="5"/>
      <c r="P549" s="5"/>
      <c r="Q549" s="5"/>
      <c r="R549" s="5"/>
      <c r="S549" s="5"/>
      <c r="T549" s="5"/>
      <c r="U549" s="5"/>
      <c r="V549" s="7"/>
      <c r="W549" s="7"/>
      <c r="X549" s="164" t="e">
        <f t="shared" si="125"/>
        <v>#N/A</v>
      </c>
      <c r="Y549" s="164" t="e">
        <f t="shared" si="126"/>
        <v>#N/A</v>
      </c>
      <c r="AB549" s="156">
        <f t="shared" si="128"/>
        <v>0</v>
      </c>
      <c r="AC549" s="121" t="str">
        <f t="shared" si="127"/>
        <v/>
      </c>
      <c r="AE549" s="121" t="str">
        <f t="shared" si="129"/>
        <v/>
      </c>
      <c r="AF549" s="111" t="str">
        <f t="shared" si="130"/>
        <v/>
      </c>
    </row>
    <row r="550" spans="1:32">
      <c r="A550" s="159"/>
      <c r="B550" s="160"/>
      <c r="C550" s="5"/>
      <c r="D550" s="5"/>
      <c r="E550" s="5"/>
      <c r="F550" s="5"/>
      <c r="G550" s="5"/>
      <c r="H550" s="5"/>
      <c r="I550" s="5"/>
      <c r="J550" s="5"/>
      <c r="K550" s="5"/>
      <c r="L550" s="5"/>
      <c r="M550" s="5"/>
      <c r="N550" s="5"/>
      <c r="O550" s="5"/>
      <c r="P550" s="5"/>
      <c r="Q550" s="5"/>
      <c r="R550" s="5"/>
      <c r="S550" s="5"/>
      <c r="T550" s="5"/>
      <c r="U550" s="5"/>
      <c r="V550" s="7"/>
      <c r="W550" s="7"/>
      <c r="X550" s="164" t="e">
        <f t="shared" si="125"/>
        <v>#N/A</v>
      </c>
      <c r="Y550" s="164" t="e">
        <f t="shared" si="126"/>
        <v>#N/A</v>
      </c>
      <c r="AB550" s="156">
        <f t="shared" si="128"/>
        <v>0</v>
      </c>
      <c r="AC550" s="121" t="str">
        <f t="shared" si="127"/>
        <v/>
      </c>
      <c r="AE550" s="121" t="str">
        <f t="shared" si="129"/>
        <v/>
      </c>
      <c r="AF550" s="111" t="str">
        <f t="shared" si="130"/>
        <v/>
      </c>
    </row>
    <row r="551" spans="1:32">
      <c r="A551" s="159"/>
      <c r="B551" s="160"/>
      <c r="C551" s="5"/>
      <c r="D551" s="5"/>
      <c r="E551" s="5"/>
      <c r="F551" s="5"/>
      <c r="G551" s="5"/>
      <c r="H551" s="5"/>
      <c r="I551" s="5"/>
      <c r="J551" s="5"/>
      <c r="K551" s="5"/>
      <c r="L551" s="5"/>
      <c r="M551" s="5"/>
      <c r="N551" s="5"/>
      <c r="O551" s="5"/>
      <c r="P551" s="5"/>
      <c r="Q551" s="5"/>
      <c r="R551" s="5"/>
      <c r="S551" s="5"/>
      <c r="T551" s="5"/>
      <c r="U551" s="5"/>
      <c r="V551" s="7"/>
      <c r="W551" s="7"/>
      <c r="X551" s="164" t="e">
        <f t="shared" si="125"/>
        <v>#N/A</v>
      </c>
      <c r="Y551" s="164" t="e">
        <f t="shared" si="126"/>
        <v>#N/A</v>
      </c>
      <c r="AB551" s="156">
        <f t="shared" si="128"/>
        <v>0</v>
      </c>
      <c r="AC551" s="121" t="str">
        <f t="shared" si="127"/>
        <v/>
      </c>
      <c r="AE551" s="121" t="str">
        <f t="shared" si="129"/>
        <v/>
      </c>
      <c r="AF551" s="111" t="str">
        <f t="shared" si="130"/>
        <v/>
      </c>
    </row>
    <row r="552" spans="1:32">
      <c r="A552" s="159"/>
      <c r="B552" s="160"/>
      <c r="C552" s="5"/>
      <c r="D552" s="5"/>
      <c r="E552" s="5"/>
      <c r="F552" s="5"/>
      <c r="G552" s="5"/>
      <c r="H552" s="5"/>
      <c r="I552" s="5"/>
      <c r="J552" s="5"/>
      <c r="K552" s="5"/>
      <c r="L552" s="5"/>
      <c r="M552" s="5"/>
      <c r="N552" s="5"/>
      <c r="O552" s="5"/>
      <c r="P552" s="5"/>
      <c r="Q552" s="5"/>
      <c r="R552" s="5"/>
      <c r="S552" s="5"/>
      <c r="T552" s="5"/>
      <c r="U552" s="5"/>
      <c r="V552" s="7"/>
      <c r="W552" s="7"/>
      <c r="X552" s="164" t="e">
        <f t="shared" si="125"/>
        <v>#N/A</v>
      </c>
      <c r="Y552" s="164" t="e">
        <f t="shared" si="126"/>
        <v>#N/A</v>
      </c>
      <c r="AB552" s="156">
        <f t="shared" si="128"/>
        <v>0</v>
      </c>
      <c r="AC552" s="121" t="str">
        <f t="shared" si="127"/>
        <v/>
      </c>
      <c r="AE552" s="121" t="str">
        <f t="shared" si="129"/>
        <v/>
      </c>
      <c r="AF552" s="111" t="str">
        <f t="shared" si="130"/>
        <v/>
      </c>
    </row>
    <row r="553" spans="1:32">
      <c r="A553" s="159"/>
      <c r="B553" s="160"/>
      <c r="C553" s="5"/>
      <c r="D553" s="5"/>
      <c r="E553" s="5"/>
      <c r="F553" s="5"/>
      <c r="G553" s="5"/>
      <c r="H553" s="5"/>
      <c r="I553" s="5"/>
      <c r="J553" s="5"/>
      <c r="K553" s="5"/>
      <c r="L553" s="5"/>
      <c r="M553" s="5"/>
      <c r="N553" s="5"/>
      <c r="O553" s="5"/>
      <c r="P553" s="5"/>
      <c r="Q553" s="5"/>
      <c r="R553" s="5"/>
      <c r="S553" s="5"/>
      <c r="T553" s="5"/>
      <c r="U553" s="5"/>
      <c r="V553" s="7"/>
      <c r="W553" s="7"/>
      <c r="X553" s="164" t="e">
        <f t="shared" si="125"/>
        <v>#N/A</v>
      </c>
      <c r="Y553" s="164" t="e">
        <f t="shared" si="126"/>
        <v>#N/A</v>
      </c>
      <c r="AB553" s="156">
        <f t="shared" si="128"/>
        <v>0</v>
      </c>
      <c r="AC553" s="121" t="str">
        <f t="shared" si="127"/>
        <v/>
      </c>
      <c r="AE553" s="121" t="str">
        <f t="shared" si="129"/>
        <v/>
      </c>
      <c r="AF553" s="111" t="str">
        <f t="shared" si="130"/>
        <v/>
      </c>
    </row>
    <row r="554" spans="1:32">
      <c r="A554" s="159"/>
      <c r="B554" s="160"/>
      <c r="C554" s="5"/>
      <c r="D554" s="5"/>
      <c r="E554" s="5"/>
      <c r="F554" s="5"/>
      <c r="G554" s="5"/>
      <c r="H554" s="5"/>
      <c r="I554" s="5"/>
      <c r="J554" s="5"/>
      <c r="K554" s="5"/>
      <c r="L554" s="5"/>
      <c r="M554" s="5"/>
      <c r="N554" s="5"/>
      <c r="O554" s="5"/>
      <c r="P554" s="5"/>
      <c r="Q554" s="5"/>
      <c r="R554" s="5"/>
      <c r="S554" s="5"/>
      <c r="T554" s="5"/>
      <c r="U554" s="5"/>
      <c r="V554" s="7"/>
      <c r="W554" s="7"/>
      <c r="X554" s="164" t="e">
        <f t="shared" si="125"/>
        <v>#N/A</v>
      </c>
      <c r="Y554" s="164" t="e">
        <f t="shared" si="126"/>
        <v>#N/A</v>
      </c>
      <c r="AB554" s="156">
        <f t="shared" si="128"/>
        <v>0</v>
      </c>
      <c r="AC554" s="121" t="str">
        <f t="shared" si="127"/>
        <v/>
      </c>
      <c r="AE554" s="121" t="str">
        <f t="shared" si="129"/>
        <v/>
      </c>
      <c r="AF554" s="111" t="str">
        <f t="shared" si="130"/>
        <v/>
      </c>
    </row>
    <row r="555" spans="1:32">
      <c r="A555" s="159"/>
      <c r="B555" s="160"/>
      <c r="C555" s="5"/>
      <c r="D555" s="5"/>
      <c r="E555" s="5"/>
      <c r="F555" s="5"/>
      <c r="G555" s="5"/>
      <c r="H555" s="5"/>
      <c r="I555" s="5"/>
      <c r="J555" s="5"/>
      <c r="K555" s="5"/>
      <c r="L555" s="5"/>
      <c r="M555" s="5"/>
      <c r="N555" s="5"/>
      <c r="O555" s="5"/>
      <c r="P555" s="5"/>
      <c r="Q555" s="5"/>
      <c r="R555" s="5"/>
      <c r="S555" s="5"/>
      <c r="T555" s="5"/>
      <c r="U555" s="5"/>
      <c r="V555" s="7"/>
      <c r="W555" s="7"/>
      <c r="X555" s="164" t="e">
        <f t="shared" si="125"/>
        <v>#N/A</v>
      </c>
      <c r="Y555" s="164" t="e">
        <f t="shared" si="126"/>
        <v>#N/A</v>
      </c>
      <c r="AB555" s="156">
        <f t="shared" si="128"/>
        <v>0</v>
      </c>
      <c r="AC555" s="121" t="str">
        <f t="shared" si="127"/>
        <v/>
      </c>
      <c r="AE555" s="121" t="str">
        <f t="shared" si="129"/>
        <v/>
      </c>
      <c r="AF555" s="111" t="str">
        <f t="shared" si="130"/>
        <v/>
      </c>
    </row>
    <row r="556" spans="1:32">
      <c r="A556" s="159"/>
      <c r="B556" s="160"/>
      <c r="C556" s="5"/>
      <c r="D556" s="5"/>
      <c r="E556" s="5"/>
      <c r="F556" s="5"/>
      <c r="G556" s="5"/>
      <c r="H556" s="5"/>
      <c r="I556" s="5"/>
      <c r="J556" s="5"/>
      <c r="K556" s="5"/>
      <c r="L556" s="5"/>
      <c r="M556" s="5"/>
      <c r="N556" s="5"/>
      <c r="O556" s="5"/>
      <c r="P556" s="5"/>
      <c r="Q556" s="5"/>
      <c r="R556" s="5"/>
      <c r="S556" s="5"/>
      <c r="T556" s="5"/>
      <c r="U556" s="5"/>
      <c r="V556" s="7"/>
      <c r="W556" s="7"/>
      <c r="X556" s="164" t="e">
        <f t="shared" si="125"/>
        <v>#N/A</v>
      </c>
      <c r="Y556" s="164" t="e">
        <f t="shared" si="126"/>
        <v>#N/A</v>
      </c>
      <c r="AB556" s="156">
        <f t="shared" si="128"/>
        <v>0</v>
      </c>
      <c r="AC556" s="121" t="str">
        <f t="shared" si="127"/>
        <v/>
      </c>
      <c r="AE556" s="121" t="str">
        <f t="shared" si="129"/>
        <v/>
      </c>
      <c r="AF556" s="111" t="str">
        <f t="shared" si="130"/>
        <v/>
      </c>
    </row>
    <row r="557" spans="1:32">
      <c r="A557" s="159"/>
      <c r="B557" s="160"/>
      <c r="C557" s="5"/>
      <c r="D557" s="5"/>
      <c r="E557" s="5"/>
      <c r="F557" s="5"/>
      <c r="G557" s="5"/>
      <c r="H557" s="5"/>
      <c r="I557" s="5"/>
      <c r="J557" s="5"/>
      <c r="K557" s="5"/>
      <c r="L557" s="5"/>
      <c r="M557" s="5"/>
      <c r="N557" s="5"/>
      <c r="O557" s="5"/>
      <c r="P557" s="5"/>
      <c r="Q557" s="5"/>
      <c r="R557" s="5"/>
      <c r="S557" s="5"/>
      <c r="T557" s="5"/>
      <c r="U557" s="5"/>
      <c r="V557" s="7"/>
      <c r="W557" s="7"/>
      <c r="X557" s="164" t="e">
        <f t="shared" si="125"/>
        <v>#N/A</v>
      </c>
      <c r="Y557" s="164" t="e">
        <f t="shared" si="126"/>
        <v>#N/A</v>
      </c>
      <c r="AB557" s="156">
        <f t="shared" si="128"/>
        <v>0</v>
      </c>
      <c r="AC557" s="121" t="str">
        <f t="shared" si="127"/>
        <v/>
      </c>
      <c r="AE557" s="121" t="str">
        <f t="shared" si="129"/>
        <v/>
      </c>
      <c r="AF557" s="111" t="str">
        <f t="shared" si="130"/>
        <v/>
      </c>
    </row>
    <row r="558" spans="1:32">
      <c r="A558" s="159"/>
      <c r="B558" s="160"/>
      <c r="C558" s="5"/>
      <c r="D558" s="5"/>
      <c r="E558" s="5"/>
      <c r="F558" s="5"/>
      <c r="G558" s="5"/>
      <c r="H558" s="5"/>
      <c r="I558" s="5"/>
      <c r="J558" s="5"/>
      <c r="K558" s="5"/>
      <c r="L558" s="5"/>
      <c r="M558" s="5"/>
      <c r="N558" s="5"/>
      <c r="O558" s="5"/>
      <c r="P558" s="5"/>
      <c r="Q558" s="5"/>
      <c r="R558" s="5"/>
      <c r="S558" s="5"/>
      <c r="T558" s="5"/>
      <c r="U558" s="5"/>
      <c r="V558" s="7"/>
      <c r="W558" s="7"/>
      <c r="X558" s="164" t="e">
        <f t="shared" si="125"/>
        <v>#N/A</v>
      </c>
      <c r="Y558" s="164" t="e">
        <f t="shared" si="126"/>
        <v>#N/A</v>
      </c>
      <c r="AB558" s="156">
        <f t="shared" si="128"/>
        <v>0</v>
      </c>
      <c r="AC558" s="121" t="str">
        <f t="shared" si="127"/>
        <v/>
      </c>
      <c r="AE558" s="121" t="str">
        <f t="shared" si="129"/>
        <v/>
      </c>
      <c r="AF558" s="111" t="str">
        <f t="shared" si="130"/>
        <v/>
      </c>
    </row>
    <row r="559" spans="1:32">
      <c r="A559" s="159"/>
      <c r="B559" s="160"/>
      <c r="C559" s="5"/>
      <c r="D559" s="5"/>
      <c r="E559" s="5"/>
      <c r="F559" s="5"/>
      <c r="G559" s="5"/>
      <c r="H559" s="5"/>
      <c r="I559" s="5"/>
      <c r="J559" s="5"/>
      <c r="K559" s="5"/>
      <c r="L559" s="5"/>
      <c r="M559" s="5"/>
      <c r="N559" s="5"/>
      <c r="O559" s="5"/>
      <c r="P559" s="5"/>
      <c r="Q559" s="5"/>
      <c r="R559" s="5"/>
      <c r="S559" s="5"/>
      <c r="T559" s="5"/>
      <c r="U559" s="5"/>
      <c r="V559" s="7"/>
      <c r="W559" s="7"/>
      <c r="X559" s="164" t="e">
        <f t="shared" si="125"/>
        <v>#N/A</v>
      </c>
      <c r="Y559" s="164" t="e">
        <f t="shared" si="126"/>
        <v>#N/A</v>
      </c>
      <c r="AB559" s="156">
        <f t="shared" si="128"/>
        <v>0</v>
      </c>
      <c r="AC559" s="121" t="str">
        <f t="shared" si="127"/>
        <v/>
      </c>
      <c r="AE559" s="121" t="str">
        <f t="shared" si="129"/>
        <v/>
      </c>
      <c r="AF559" s="111" t="str">
        <f t="shared" si="130"/>
        <v/>
      </c>
    </row>
    <row r="560" spans="1:32">
      <c r="A560" s="159"/>
      <c r="B560" s="160"/>
      <c r="C560" s="5"/>
      <c r="D560" s="5"/>
      <c r="E560" s="5"/>
      <c r="F560" s="5"/>
      <c r="G560" s="5"/>
      <c r="H560" s="5"/>
      <c r="I560" s="5"/>
      <c r="J560" s="5"/>
      <c r="K560" s="5"/>
      <c r="L560" s="5"/>
      <c r="M560" s="5"/>
      <c r="N560" s="5"/>
      <c r="O560" s="5"/>
      <c r="P560" s="5"/>
      <c r="Q560" s="5"/>
      <c r="R560" s="5"/>
      <c r="S560" s="5"/>
      <c r="T560" s="5"/>
      <c r="U560" s="5"/>
      <c r="V560" s="7"/>
      <c r="W560" s="7"/>
      <c r="X560" s="164" t="e">
        <f t="shared" si="125"/>
        <v>#N/A</v>
      </c>
      <c r="Y560" s="164" t="e">
        <f t="shared" si="126"/>
        <v>#N/A</v>
      </c>
      <c r="AB560" s="156">
        <f t="shared" si="128"/>
        <v>0</v>
      </c>
      <c r="AC560" s="121" t="str">
        <f t="shared" si="127"/>
        <v/>
      </c>
      <c r="AE560" s="121" t="str">
        <f t="shared" si="129"/>
        <v/>
      </c>
      <c r="AF560" s="111" t="str">
        <f t="shared" si="130"/>
        <v/>
      </c>
    </row>
    <row r="561" spans="1:32">
      <c r="A561" s="159"/>
      <c r="B561" s="160"/>
      <c r="C561" s="5"/>
      <c r="D561" s="5"/>
      <c r="E561" s="5"/>
      <c r="F561" s="5"/>
      <c r="G561" s="5"/>
      <c r="H561" s="5"/>
      <c r="I561" s="5"/>
      <c r="J561" s="5"/>
      <c r="K561" s="5"/>
      <c r="L561" s="5"/>
      <c r="M561" s="5"/>
      <c r="N561" s="5"/>
      <c r="O561" s="5"/>
      <c r="P561" s="5"/>
      <c r="Q561" s="5"/>
      <c r="R561" s="5"/>
      <c r="S561" s="5"/>
      <c r="T561" s="5"/>
      <c r="U561" s="5"/>
      <c r="V561" s="7"/>
      <c r="W561" s="7"/>
      <c r="X561" s="164" t="e">
        <f t="shared" si="125"/>
        <v>#N/A</v>
      </c>
      <c r="Y561" s="164" t="e">
        <f t="shared" si="126"/>
        <v>#N/A</v>
      </c>
      <c r="AB561" s="156">
        <f t="shared" si="128"/>
        <v>0</v>
      </c>
      <c r="AC561" s="121" t="str">
        <f t="shared" si="127"/>
        <v/>
      </c>
      <c r="AE561" s="121" t="str">
        <f t="shared" si="129"/>
        <v/>
      </c>
      <c r="AF561" s="111" t="str">
        <f t="shared" si="130"/>
        <v/>
      </c>
    </row>
    <row r="562" spans="1:32">
      <c r="A562" s="159"/>
      <c r="B562" s="160"/>
      <c r="C562" s="5"/>
      <c r="D562" s="5"/>
      <c r="E562" s="5"/>
      <c r="F562" s="5"/>
      <c r="G562" s="5"/>
      <c r="H562" s="5"/>
      <c r="I562" s="5"/>
      <c r="J562" s="5"/>
      <c r="K562" s="5"/>
      <c r="L562" s="5"/>
      <c r="M562" s="5"/>
      <c r="N562" s="5"/>
      <c r="O562" s="5"/>
      <c r="P562" s="5"/>
      <c r="Q562" s="5"/>
      <c r="R562" s="5"/>
      <c r="S562" s="5"/>
      <c r="T562" s="5"/>
      <c r="U562" s="5"/>
      <c r="V562" s="7"/>
      <c r="W562" s="7"/>
      <c r="X562" s="164" t="e">
        <f t="shared" si="125"/>
        <v>#N/A</v>
      </c>
      <c r="Y562" s="164" t="e">
        <f t="shared" si="126"/>
        <v>#N/A</v>
      </c>
      <c r="AB562" s="156">
        <f t="shared" si="128"/>
        <v>0</v>
      </c>
      <c r="AC562" s="121" t="str">
        <f t="shared" si="127"/>
        <v/>
      </c>
      <c r="AE562" s="121" t="str">
        <f t="shared" si="129"/>
        <v/>
      </c>
      <c r="AF562" s="111" t="str">
        <f t="shared" si="130"/>
        <v/>
      </c>
    </row>
    <row r="563" spans="1:32">
      <c r="A563" s="159"/>
      <c r="B563" s="160"/>
      <c r="C563" s="5"/>
      <c r="D563" s="5"/>
      <c r="E563" s="5"/>
      <c r="F563" s="5"/>
      <c r="G563" s="5"/>
      <c r="H563" s="5"/>
      <c r="I563" s="5"/>
      <c r="J563" s="5"/>
      <c r="K563" s="5"/>
      <c r="L563" s="5"/>
      <c r="M563" s="5"/>
      <c r="N563" s="5"/>
      <c r="O563" s="5"/>
      <c r="P563" s="5"/>
      <c r="Q563" s="5"/>
      <c r="R563" s="5"/>
      <c r="S563" s="5"/>
      <c r="T563" s="5"/>
      <c r="U563" s="5"/>
      <c r="V563" s="7"/>
      <c r="W563" s="7"/>
      <c r="X563" s="164" t="e">
        <f t="shared" si="125"/>
        <v>#N/A</v>
      </c>
      <c r="Y563" s="164" t="e">
        <f t="shared" si="126"/>
        <v>#N/A</v>
      </c>
      <c r="AB563" s="156">
        <f t="shared" si="128"/>
        <v>0</v>
      </c>
      <c r="AC563" s="121" t="str">
        <f t="shared" si="127"/>
        <v/>
      </c>
      <c r="AE563" s="121" t="str">
        <f t="shared" si="129"/>
        <v/>
      </c>
      <c r="AF563" s="111" t="str">
        <f t="shared" si="130"/>
        <v/>
      </c>
    </row>
    <row r="564" spans="1:32">
      <c r="A564" s="159"/>
      <c r="B564" s="160"/>
      <c r="C564" s="5"/>
      <c r="D564" s="5"/>
      <c r="E564" s="5"/>
      <c r="F564" s="5"/>
      <c r="G564" s="5"/>
      <c r="H564" s="5"/>
      <c r="I564" s="5"/>
      <c r="J564" s="5"/>
      <c r="K564" s="5"/>
      <c r="L564" s="5"/>
      <c r="M564" s="5"/>
      <c r="N564" s="5"/>
      <c r="O564" s="5"/>
      <c r="P564" s="5"/>
      <c r="Q564" s="5"/>
      <c r="R564" s="5"/>
      <c r="S564" s="5"/>
      <c r="T564" s="5"/>
      <c r="U564" s="5"/>
      <c r="V564" s="7"/>
      <c r="W564" s="7"/>
      <c r="X564" s="164" t="e">
        <f t="shared" si="125"/>
        <v>#N/A</v>
      </c>
      <c r="Y564" s="164" t="e">
        <f t="shared" si="126"/>
        <v>#N/A</v>
      </c>
      <c r="AB564" s="156">
        <f t="shared" si="128"/>
        <v>0</v>
      </c>
      <c r="AC564" s="121" t="str">
        <f t="shared" si="127"/>
        <v/>
      </c>
      <c r="AE564" s="121" t="str">
        <f t="shared" si="129"/>
        <v/>
      </c>
      <c r="AF564" s="111" t="str">
        <f t="shared" si="130"/>
        <v/>
      </c>
    </row>
    <row r="565" spans="1:32">
      <c r="A565" s="159"/>
      <c r="B565" s="160"/>
      <c r="C565" s="5"/>
      <c r="D565" s="5"/>
      <c r="E565" s="5"/>
      <c r="F565" s="5"/>
      <c r="G565" s="5"/>
      <c r="H565" s="5"/>
      <c r="I565" s="5"/>
      <c r="J565" s="5"/>
      <c r="K565" s="5"/>
      <c r="L565" s="5"/>
      <c r="M565" s="5"/>
      <c r="N565" s="5"/>
      <c r="O565" s="5"/>
      <c r="P565" s="5"/>
      <c r="Q565" s="5"/>
      <c r="R565" s="5"/>
      <c r="S565" s="5"/>
      <c r="T565" s="5"/>
      <c r="U565" s="5"/>
      <c r="V565" s="7"/>
      <c r="W565" s="7"/>
      <c r="X565" s="164" t="e">
        <f t="shared" si="125"/>
        <v>#N/A</v>
      </c>
      <c r="Y565" s="164" t="e">
        <f t="shared" si="126"/>
        <v>#N/A</v>
      </c>
      <c r="AB565" s="156">
        <f t="shared" si="128"/>
        <v>0</v>
      </c>
      <c r="AC565" s="121" t="str">
        <f t="shared" si="127"/>
        <v/>
      </c>
      <c r="AE565" s="121" t="str">
        <f t="shared" si="129"/>
        <v/>
      </c>
      <c r="AF565" s="111" t="str">
        <f t="shared" si="130"/>
        <v/>
      </c>
    </row>
    <row r="566" spans="1:32">
      <c r="A566" s="159"/>
      <c r="B566" s="160"/>
      <c r="C566" s="5"/>
      <c r="D566" s="5"/>
      <c r="E566" s="5"/>
      <c r="F566" s="5"/>
      <c r="G566" s="5"/>
      <c r="H566" s="5"/>
      <c r="I566" s="5"/>
      <c r="J566" s="5"/>
      <c r="K566" s="5"/>
      <c r="L566" s="5"/>
      <c r="M566" s="5"/>
      <c r="N566" s="5"/>
      <c r="O566" s="5"/>
      <c r="P566" s="5"/>
      <c r="Q566" s="5"/>
      <c r="R566" s="5"/>
      <c r="S566" s="5"/>
      <c r="T566" s="5"/>
      <c r="U566" s="5"/>
      <c r="V566" s="7"/>
      <c r="W566" s="7"/>
      <c r="X566" s="164" t="e">
        <f t="shared" si="125"/>
        <v>#N/A</v>
      </c>
      <c r="Y566" s="164" t="e">
        <f t="shared" si="126"/>
        <v>#N/A</v>
      </c>
      <c r="AB566" s="156">
        <f t="shared" si="128"/>
        <v>0</v>
      </c>
      <c r="AC566" s="121" t="str">
        <f t="shared" si="127"/>
        <v/>
      </c>
      <c r="AE566" s="121" t="str">
        <f t="shared" si="129"/>
        <v/>
      </c>
      <c r="AF566" s="111" t="str">
        <f t="shared" si="130"/>
        <v/>
      </c>
    </row>
    <row r="567" spans="1:32">
      <c r="A567" s="159"/>
      <c r="B567" s="160"/>
      <c r="C567" s="5"/>
      <c r="D567" s="5"/>
      <c r="E567" s="5"/>
      <c r="F567" s="5"/>
      <c r="G567" s="5"/>
      <c r="H567" s="5"/>
      <c r="I567" s="5"/>
      <c r="J567" s="5"/>
      <c r="K567" s="5"/>
      <c r="L567" s="5"/>
      <c r="M567" s="5"/>
      <c r="N567" s="5"/>
      <c r="O567" s="5"/>
      <c r="P567" s="5"/>
      <c r="Q567" s="5"/>
      <c r="R567" s="5"/>
      <c r="S567" s="5"/>
      <c r="T567" s="5"/>
      <c r="U567" s="5"/>
      <c r="V567" s="7"/>
      <c r="W567" s="7"/>
      <c r="X567" s="164" t="e">
        <f t="shared" si="125"/>
        <v>#N/A</v>
      </c>
      <c r="Y567" s="164" t="e">
        <f t="shared" si="126"/>
        <v>#N/A</v>
      </c>
      <c r="AB567" s="156">
        <f t="shared" si="128"/>
        <v>0</v>
      </c>
      <c r="AC567" s="121" t="str">
        <f t="shared" si="127"/>
        <v/>
      </c>
      <c r="AE567" s="121" t="str">
        <f t="shared" si="129"/>
        <v/>
      </c>
      <c r="AF567" s="111" t="str">
        <f t="shared" si="130"/>
        <v/>
      </c>
    </row>
    <row r="568" spans="1:32">
      <c r="A568" s="159"/>
      <c r="B568" s="160"/>
      <c r="C568" s="5"/>
      <c r="D568" s="5"/>
      <c r="E568" s="5"/>
      <c r="F568" s="5"/>
      <c r="G568" s="5"/>
      <c r="H568" s="5"/>
      <c r="I568" s="5"/>
      <c r="J568" s="5"/>
      <c r="K568" s="5"/>
      <c r="L568" s="5"/>
      <c r="M568" s="5"/>
      <c r="N568" s="5"/>
      <c r="O568" s="5"/>
      <c r="P568" s="5"/>
      <c r="Q568" s="5"/>
      <c r="R568" s="5"/>
      <c r="S568" s="5"/>
      <c r="T568" s="5"/>
      <c r="U568" s="5"/>
      <c r="V568" s="7"/>
      <c r="W568" s="7"/>
      <c r="X568" s="164" t="e">
        <f t="shared" si="125"/>
        <v>#N/A</v>
      </c>
      <c r="Y568" s="164" t="e">
        <f t="shared" si="126"/>
        <v>#N/A</v>
      </c>
      <c r="AB568" s="156">
        <f t="shared" si="128"/>
        <v>0</v>
      </c>
      <c r="AC568" s="121" t="str">
        <f t="shared" si="127"/>
        <v/>
      </c>
      <c r="AE568" s="121" t="str">
        <f t="shared" si="129"/>
        <v/>
      </c>
      <c r="AF568" s="111" t="str">
        <f t="shared" si="130"/>
        <v/>
      </c>
    </row>
    <row r="569" spans="1:32">
      <c r="A569" s="159"/>
      <c r="B569" s="160"/>
      <c r="C569" s="5"/>
      <c r="D569" s="5"/>
      <c r="E569" s="5"/>
      <c r="F569" s="5"/>
      <c r="G569" s="5"/>
      <c r="H569" s="5"/>
      <c r="I569" s="5"/>
      <c r="J569" s="5"/>
      <c r="K569" s="5"/>
      <c r="L569" s="5"/>
      <c r="M569" s="5"/>
      <c r="N569" s="5"/>
      <c r="O569" s="5"/>
      <c r="P569" s="5"/>
      <c r="Q569" s="5"/>
      <c r="R569" s="5"/>
      <c r="S569" s="5"/>
      <c r="T569" s="5"/>
      <c r="U569" s="5"/>
      <c r="V569" s="7"/>
      <c r="W569" s="7"/>
      <c r="X569" s="164" t="e">
        <f t="shared" si="125"/>
        <v>#N/A</v>
      </c>
      <c r="Y569" s="164" t="e">
        <f t="shared" si="126"/>
        <v>#N/A</v>
      </c>
      <c r="AB569" s="156">
        <f t="shared" si="128"/>
        <v>0</v>
      </c>
      <c r="AC569" s="121" t="str">
        <f t="shared" si="127"/>
        <v/>
      </c>
      <c r="AE569" s="121" t="str">
        <f t="shared" si="129"/>
        <v/>
      </c>
      <c r="AF569" s="111" t="str">
        <f t="shared" si="130"/>
        <v/>
      </c>
    </row>
    <row r="570" spans="1:32">
      <c r="A570" s="159"/>
      <c r="B570" s="160"/>
      <c r="C570" s="5"/>
      <c r="D570" s="5"/>
      <c r="E570" s="5"/>
      <c r="F570" s="5"/>
      <c r="G570" s="5"/>
      <c r="H570" s="5"/>
      <c r="I570" s="5"/>
      <c r="J570" s="5"/>
      <c r="K570" s="5"/>
      <c r="L570" s="5"/>
      <c r="M570" s="5"/>
      <c r="N570" s="5"/>
      <c r="O570" s="5"/>
      <c r="P570" s="5"/>
      <c r="Q570" s="5"/>
      <c r="R570" s="5"/>
      <c r="S570" s="5"/>
      <c r="T570" s="5"/>
      <c r="U570" s="5"/>
      <c r="V570" s="7"/>
      <c r="W570" s="7"/>
      <c r="X570" s="164" t="e">
        <f t="shared" si="125"/>
        <v>#N/A</v>
      </c>
      <c r="Y570" s="164" t="e">
        <f t="shared" si="126"/>
        <v>#N/A</v>
      </c>
      <c r="AB570" s="156">
        <f t="shared" si="128"/>
        <v>0</v>
      </c>
      <c r="AC570" s="121" t="str">
        <f t="shared" si="127"/>
        <v/>
      </c>
      <c r="AE570" s="121" t="str">
        <f t="shared" si="129"/>
        <v/>
      </c>
      <c r="AF570" s="111" t="str">
        <f t="shared" si="130"/>
        <v/>
      </c>
    </row>
    <row r="571" spans="1:32">
      <c r="A571" s="159"/>
      <c r="B571" s="160"/>
      <c r="C571" s="5"/>
      <c r="D571" s="5"/>
      <c r="E571" s="5"/>
      <c r="F571" s="5"/>
      <c r="G571" s="5"/>
      <c r="H571" s="5"/>
      <c r="I571" s="5"/>
      <c r="J571" s="5"/>
      <c r="K571" s="5"/>
      <c r="L571" s="5"/>
      <c r="M571" s="5"/>
      <c r="N571" s="5"/>
      <c r="O571" s="5"/>
      <c r="P571" s="5"/>
      <c r="Q571" s="5"/>
      <c r="R571" s="5"/>
      <c r="S571" s="5"/>
      <c r="T571" s="5"/>
      <c r="U571" s="5"/>
      <c r="V571" s="7"/>
      <c r="W571" s="7"/>
      <c r="X571" s="164" t="e">
        <f t="shared" si="125"/>
        <v>#N/A</v>
      </c>
      <c r="Y571" s="164" t="e">
        <f t="shared" si="126"/>
        <v>#N/A</v>
      </c>
      <c r="AB571" s="156">
        <f t="shared" si="128"/>
        <v>0</v>
      </c>
      <c r="AC571" s="121" t="str">
        <f t="shared" si="127"/>
        <v/>
      </c>
      <c r="AE571" s="121" t="str">
        <f t="shared" si="129"/>
        <v/>
      </c>
      <c r="AF571" s="111" t="str">
        <f t="shared" si="130"/>
        <v/>
      </c>
    </row>
    <row r="572" spans="1:32">
      <c r="A572" s="159"/>
      <c r="B572" s="160"/>
      <c r="C572" s="5"/>
      <c r="D572" s="5"/>
      <c r="E572" s="5"/>
      <c r="F572" s="5"/>
      <c r="G572" s="5"/>
      <c r="H572" s="5"/>
      <c r="I572" s="5"/>
      <c r="J572" s="5"/>
      <c r="K572" s="5"/>
      <c r="L572" s="5"/>
      <c r="M572" s="5"/>
      <c r="N572" s="5"/>
      <c r="O572" s="5"/>
      <c r="P572" s="5"/>
      <c r="Q572" s="5"/>
      <c r="R572" s="5"/>
      <c r="S572" s="5"/>
      <c r="T572" s="5"/>
      <c r="U572" s="5"/>
      <c r="V572" s="7"/>
      <c r="W572" s="7"/>
      <c r="X572" s="164" t="e">
        <f t="shared" si="125"/>
        <v>#N/A</v>
      </c>
      <c r="Y572" s="164" t="e">
        <f t="shared" si="126"/>
        <v>#N/A</v>
      </c>
      <c r="AB572" s="156">
        <f t="shared" si="128"/>
        <v>0</v>
      </c>
      <c r="AC572" s="121" t="str">
        <f t="shared" si="127"/>
        <v/>
      </c>
      <c r="AE572" s="121" t="str">
        <f t="shared" si="129"/>
        <v/>
      </c>
      <c r="AF572" s="111" t="str">
        <f t="shared" si="130"/>
        <v/>
      </c>
    </row>
    <row r="573" spans="1:32">
      <c r="A573" s="159"/>
      <c r="B573" s="160"/>
      <c r="C573" s="5"/>
      <c r="D573" s="5"/>
      <c r="E573" s="5"/>
      <c r="F573" s="5"/>
      <c r="G573" s="5"/>
      <c r="H573" s="5"/>
      <c r="I573" s="5"/>
      <c r="J573" s="5"/>
      <c r="K573" s="5"/>
      <c r="L573" s="5"/>
      <c r="M573" s="5"/>
      <c r="N573" s="5"/>
      <c r="O573" s="5"/>
      <c r="P573" s="5"/>
      <c r="Q573" s="5"/>
      <c r="R573" s="5"/>
      <c r="S573" s="5"/>
      <c r="T573" s="5"/>
      <c r="U573" s="5"/>
      <c r="V573" s="7"/>
      <c r="W573" s="7"/>
      <c r="X573" s="164" t="e">
        <f t="shared" si="125"/>
        <v>#N/A</v>
      </c>
      <c r="Y573" s="164" t="e">
        <f t="shared" si="126"/>
        <v>#N/A</v>
      </c>
      <c r="AB573" s="156">
        <f t="shared" si="128"/>
        <v>0</v>
      </c>
      <c r="AC573" s="121" t="str">
        <f t="shared" si="127"/>
        <v/>
      </c>
      <c r="AE573" s="121" t="str">
        <f t="shared" si="129"/>
        <v/>
      </c>
      <c r="AF573" s="111" t="str">
        <f t="shared" si="130"/>
        <v/>
      </c>
    </row>
    <row r="574" spans="1:32">
      <c r="A574" s="159"/>
      <c r="B574" s="160"/>
      <c r="C574" s="5"/>
      <c r="D574" s="5"/>
      <c r="E574" s="5"/>
      <c r="F574" s="5"/>
      <c r="G574" s="5"/>
      <c r="H574" s="5"/>
      <c r="I574" s="5"/>
      <c r="J574" s="5"/>
      <c r="K574" s="5"/>
      <c r="L574" s="5"/>
      <c r="M574" s="5"/>
      <c r="N574" s="5"/>
      <c r="O574" s="5"/>
      <c r="P574" s="5"/>
      <c r="Q574" s="5"/>
      <c r="R574" s="5"/>
      <c r="S574" s="5"/>
      <c r="T574" s="5"/>
      <c r="U574" s="5"/>
      <c r="V574" s="7"/>
      <c r="W574" s="7"/>
      <c r="X574" s="164" t="e">
        <f t="shared" si="125"/>
        <v>#N/A</v>
      </c>
      <c r="Y574" s="164" t="e">
        <f t="shared" si="126"/>
        <v>#N/A</v>
      </c>
      <c r="AB574" s="156">
        <f t="shared" si="128"/>
        <v>0</v>
      </c>
      <c r="AC574" s="121" t="str">
        <f t="shared" si="127"/>
        <v/>
      </c>
      <c r="AE574" s="121" t="str">
        <f t="shared" si="129"/>
        <v/>
      </c>
      <c r="AF574" s="111" t="str">
        <f t="shared" si="130"/>
        <v/>
      </c>
    </row>
    <row r="575" spans="1:32">
      <c r="A575" s="159"/>
      <c r="B575" s="160"/>
      <c r="C575" s="5"/>
      <c r="D575" s="5"/>
      <c r="E575" s="5"/>
      <c r="F575" s="5"/>
      <c r="G575" s="5"/>
      <c r="H575" s="5"/>
      <c r="I575" s="5"/>
      <c r="J575" s="5"/>
      <c r="K575" s="5"/>
      <c r="L575" s="5"/>
      <c r="M575" s="5"/>
      <c r="N575" s="5"/>
      <c r="O575" s="5"/>
      <c r="P575" s="5"/>
      <c r="Q575" s="5"/>
      <c r="R575" s="5"/>
      <c r="S575" s="5"/>
      <c r="T575" s="5"/>
      <c r="U575" s="5"/>
      <c r="V575" s="7"/>
      <c r="W575" s="7"/>
      <c r="X575" s="164" t="e">
        <f t="shared" si="125"/>
        <v>#N/A</v>
      </c>
      <c r="Y575" s="164" t="e">
        <f t="shared" si="126"/>
        <v>#N/A</v>
      </c>
      <c r="AB575" s="156">
        <f t="shared" si="128"/>
        <v>0</v>
      </c>
      <c r="AC575" s="121" t="str">
        <f t="shared" si="127"/>
        <v/>
      </c>
      <c r="AE575" s="121" t="str">
        <f t="shared" si="129"/>
        <v/>
      </c>
      <c r="AF575" s="111" t="str">
        <f t="shared" si="130"/>
        <v/>
      </c>
    </row>
    <row r="576" spans="1:32">
      <c r="A576" s="159"/>
      <c r="B576" s="160"/>
      <c r="C576" s="5"/>
      <c r="D576" s="5"/>
      <c r="E576" s="5"/>
      <c r="F576" s="5"/>
      <c r="G576" s="5"/>
      <c r="H576" s="5"/>
      <c r="I576" s="5"/>
      <c r="J576" s="5"/>
      <c r="K576" s="5"/>
      <c r="L576" s="5"/>
      <c r="M576" s="5"/>
      <c r="N576" s="5"/>
      <c r="O576" s="5"/>
      <c r="P576" s="5"/>
      <c r="Q576" s="5"/>
      <c r="R576" s="5"/>
      <c r="S576" s="5"/>
      <c r="T576" s="5"/>
      <c r="U576" s="5"/>
      <c r="V576" s="7"/>
      <c r="W576" s="7"/>
      <c r="X576" s="164" t="e">
        <f t="shared" si="125"/>
        <v>#N/A</v>
      </c>
      <c r="Y576" s="164" t="e">
        <f t="shared" si="126"/>
        <v>#N/A</v>
      </c>
      <c r="AB576" s="156">
        <f t="shared" si="128"/>
        <v>0</v>
      </c>
      <c r="AC576" s="121" t="str">
        <f t="shared" si="127"/>
        <v/>
      </c>
      <c r="AE576" s="121" t="str">
        <f t="shared" si="129"/>
        <v/>
      </c>
      <c r="AF576" s="111" t="str">
        <f t="shared" si="130"/>
        <v/>
      </c>
    </row>
    <row r="577" spans="1:32">
      <c r="A577" s="159"/>
      <c r="B577" s="160"/>
      <c r="C577" s="5"/>
      <c r="D577" s="5"/>
      <c r="E577" s="5"/>
      <c r="F577" s="5"/>
      <c r="G577" s="5"/>
      <c r="H577" s="5"/>
      <c r="I577" s="5"/>
      <c r="J577" s="5"/>
      <c r="K577" s="5"/>
      <c r="L577" s="5"/>
      <c r="M577" s="5"/>
      <c r="N577" s="5"/>
      <c r="O577" s="5"/>
      <c r="P577" s="5"/>
      <c r="Q577" s="5"/>
      <c r="R577" s="5"/>
      <c r="S577" s="5"/>
      <c r="T577" s="5"/>
      <c r="U577" s="5"/>
      <c r="V577" s="7"/>
      <c r="W577" s="7"/>
      <c r="X577" s="164" t="e">
        <f t="shared" si="125"/>
        <v>#N/A</v>
      </c>
      <c r="Y577" s="164" t="e">
        <f t="shared" si="126"/>
        <v>#N/A</v>
      </c>
      <c r="AB577" s="156">
        <f t="shared" si="128"/>
        <v>0</v>
      </c>
      <c r="AC577" s="121" t="str">
        <f t="shared" si="127"/>
        <v/>
      </c>
      <c r="AE577" s="121" t="str">
        <f t="shared" si="129"/>
        <v/>
      </c>
      <c r="AF577" s="111" t="str">
        <f t="shared" si="130"/>
        <v/>
      </c>
    </row>
    <row r="578" spans="1:32">
      <c r="A578" s="159"/>
      <c r="B578" s="160"/>
      <c r="C578" s="5"/>
      <c r="D578" s="5"/>
      <c r="E578" s="5"/>
      <c r="F578" s="5"/>
      <c r="G578" s="5"/>
      <c r="H578" s="5"/>
      <c r="I578" s="5"/>
      <c r="J578" s="5"/>
      <c r="K578" s="5"/>
      <c r="L578" s="5"/>
      <c r="M578" s="5"/>
      <c r="N578" s="5"/>
      <c r="O578" s="5"/>
      <c r="P578" s="5"/>
      <c r="Q578" s="5"/>
      <c r="R578" s="5"/>
      <c r="S578" s="5"/>
      <c r="T578" s="5"/>
      <c r="U578" s="5"/>
      <c r="V578" s="7"/>
      <c r="W578" s="7"/>
      <c r="X578" s="164" t="e">
        <f t="shared" ref="X578:X641" si="131">IF(AB578=1, A578,NA())</f>
        <v>#N/A</v>
      </c>
      <c r="Y578" s="164" t="e">
        <f t="shared" ref="Y578:Y641" si="132">IF(AB578=1,B578-($H$7+$I$7*X578),NA())</f>
        <v>#N/A</v>
      </c>
      <c r="AB578" s="156">
        <f t="shared" si="128"/>
        <v>0</v>
      </c>
      <c r="AC578" s="121" t="str">
        <f t="shared" ref="AC578:AC641" si="133">IF(ISBLANK(A578), "", Y578^2)</f>
        <v/>
      </c>
      <c r="AE578" s="121" t="str">
        <f t="shared" si="129"/>
        <v/>
      </c>
      <c r="AF578" s="111" t="str">
        <f t="shared" si="130"/>
        <v/>
      </c>
    </row>
    <row r="579" spans="1:32">
      <c r="A579" s="159"/>
      <c r="B579" s="160"/>
      <c r="C579" s="5"/>
      <c r="D579" s="5"/>
      <c r="E579" s="5"/>
      <c r="F579" s="5"/>
      <c r="G579" s="5"/>
      <c r="H579" s="5"/>
      <c r="I579" s="5"/>
      <c r="J579" s="5"/>
      <c r="K579" s="5"/>
      <c r="L579" s="5"/>
      <c r="M579" s="5"/>
      <c r="N579" s="5"/>
      <c r="O579" s="5"/>
      <c r="P579" s="5"/>
      <c r="Q579" s="5"/>
      <c r="R579" s="5"/>
      <c r="S579" s="5"/>
      <c r="T579" s="5"/>
      <c r="U579" s="5"/>
      <c r="V579" s="7"/>
      <c r="W579" s="7"/>
      <c r="X579" s="164" t="e">
        <f t="shared" si="131"/>
        <v>#N/A</v>
      </c>
      <c r="Y579" s="164" t="e">
        <f t="shared" si="132"/>
        <v>#N/A</v>
      </c>
      <c r="AB579" s="156">
        <f t="shared" ref="AB579:AB642" si="134">IF(ISBLANK(A579),0,1)</f>
        <v>0</v>
      </c>
      <c r="AC579" s="121" t="str">
        <f t="shared" si="133"/>
        <v/>
      </c>
      <c r="AE579" s="121" t="str">
        <f t="shared" ref="AE579:AE642" si="135">IF(AB579=1,(A579-$AA$2)^2, "")</f>
        <v/>
      </c>
      <c r="AF579" s="111" t="str">
        <f t="shared" si="130"/>
        <v/>
      </c>
    </row>
    <row r="580" spans="1:32">
      <c r="A580" s="159"/>
      <c r="B580" s="160"/>
      <c r="C580" s="5"/>
      <c r="D580" s="5"/>
      <c r="E580" s="5"/>
      <c r="F580" s="5"/>
      <c r="G580" s="5"/>
      <c r="H580" s="5"/>
      <c r="I580" s="5"/>
      <c r="J580" s="5"/>
      <c r="K580" s="5"/>
      <c r="L580" s="5"/>
      <c r="M580" s="5"/>
      <c r="N580" s="5"/>
      <c r="O580" s="5"/>
      <c r="P580" s="5"/>
      <c r="Q580" s="5"/>
      <c r="R580" s="5"/>
      <c r="S580" s="5"/>
      <c r="T580" s="5"/>
      <c r="U580" s="5"/>
      <c r="V580" s="7"/>
      <c r="W580" s="7"/>
      <c r="X580" s="164" t="e">
        <f t="shared" si="131"/>
        <v>#N/A</v>
      </c>
      <c r="Y580" s="164" t="e">
        <f t="shared" si="132"/>
        <v>#N/A</v>
      </c>
      <c r="AB580" s="156">
        <f t="shared" si="134"/>
        <v>0</v>
      </c>
      <c r="AC580" s="121" t="str">
        <f t="shared" si="133"/>
        <v/>
      </c>
      <c r="AE580" s="121" t="str">
        <f t="shared" si="135"/>
        <v/>
      </c>
      <c r="AF580" s="111" t="str">
        <f t="shared" ref="AF580:AF643" si="136">IFERROR(Y579, "")</f>
        <v/>
      </c>
    </row>
    <row r="581" spans="1:32">
      <c r="A581" s="159"/>
      <c r="B581" s="160"/>
      <c r="C581" s="5"/>
      <c r="D581" s="5"/>
      <c r="E581" s="5"/>
      <c r="F581" s="5"/>
      <c r="G581" s="5"/>
      <c r="H581" s="5"/>
      <c r="I581" s="5"/>
      <c r="J581" s="5"/>
      <c r="K581" s="5"/>
      <c r="L581" s="5"/>
      <c r="M581" s="5"/>
      <c r="N581" s="5"/>
      <c r="O581" s="5"/>
      <c r="P581" s="5"/>
      <c r="Q581" s="5"/>
      <c r="R581" s="5"/>
      <c r="S581" s="5"/>
      <c r="T581" s="5"/>
      <c r="U581" s="5"/>
      <c r="V581" s="7"/>
      <c r="W581" s="7"/>
      <c r="X581" s="164" t="e">
        <f t="shared" si="131"/>
        <v>#N/A</v>
      </c>
      <c r="Y581" s="164" t="e">
        <f t="shared" si="132"/>
        <v>#N/A</v>
      </c>
      <c r="AB581" s="156">
        <f t="shared" si="134"/>
        <v>0</v>
      </c>
      <c r="AC581" s="121" t="str">
        <f t="shared" si="133"/>
        <v/>
      </c>
      <c r="AE581" s="121" t="str">
        <f t="shared" si="135"/>
        <v/>
      </c>
      <c r="AF581" s="111" t="str">
        <f t="shared" si="136"/>
        <v/>
      </c>
    </row>
    <row r="582" spans="1:32">
      <c r="A582" s="159"/>
      <c r="B582" s="160"/>
      <c r="C582" s="5"/>
      <c r="D582" s="5"/>
      <c r="E582" s="5"/>
      <c r="F582" s="5"/>
      <c r="G582" s="5"/>
      <c r="H582" s="5"/>
      <c r="I582" s="5"/>
      <c r="J582" s="5"/>
      <c r="K582" s="5"/>
      <c r="L582" s="5"/>
      <c r="M582" s="5"/>
      <c r="N582" s="5"/>
      <c r="O582" s="5"/>
      <c r="P582" s="5"/>
      <c r="Q582" s="5"/>
      <c r="R582" s="5"/>
      <c r="S582" s="5"/>
      <c r="T582" s="5"/>
      <c r="U582" s="5"/>
      <c r="V582" s="7"/>
      <c r="W582" s="7"/>
      <c r="X582" s="164" t="e">
        <f t="shared" si="131"/>
        <v>#N/A</v>
      </c>
      <c r="Y582" s="164" t="e">
        <f t="shared" si="132"/>
        <v>#N/A</v>
      </c>
      <c r="AB582" s="156">
        <f t="shared" si="134"/>
        <v>0</v>
      </c>
      <c r="AC582" s="121" t="str">
        <f t="shared" si="133"/>
        <v/>
      </c>
      <c r="AE582" s="121" t="str">
        <f t="shared" si="135"/>
        <v/>
      </c>
      <c r="AF582" s="111" t="str">
        <f t="shared" si="136"/>
        <v/>
      </c>
    </row>
    <row r="583" spans="1:32">
      <c r="A583" s="159"/>
      <c r="B583" s="160"/>
      <c r="C583" s="5"/>
      <c r="D583" s="5"/>
      <c r="E583" s="5"/>
      <c r="F583" s="5"/>
      <c r="G583" s="5"/>
      <c r="H583" s="5"/>
      <c r="I583" s="5"/>
      <c r="J583" s="5"/>
      <c r="K583" s="5"/>
      <c r="L583" s="5"/>
      <c r="M583" s="5"/>
      <c r="N583" s="5"/>
      <c r="O583" s="5"/>
      <c r="P583" s="5"/>
      <c r="Q583" s="5"/>
      <c r="R583" s="5"/>
      <c r="S583" s="5"/>
      <c r="T583" s="5"/>
      <c r="U583" s="5"/>
      <c r="V583" s="7"/>
      <c r="W583" s="7"/>
      <c r="X583" s="164" t="e">
        <f t="shared" si="131"/>
        <v>#N/A</v>
      </c>
      <c r="Y583" s="164" t="e">
        <f t="shared" si="132"/>
        <v>#N/A</v>
      </c>
      <c r="AB583" s="156">
        <f t="shared" si="134"/>
        <v>0</v>
      </c>
      <c r="AC583" s="121" t="str">
        <f t="shared" si="133"/>
        <v/>
      </c>
      <c r="AE583" s="121" t="str">
        <f t="shared" si="135"/>
        <v/>
      </c>
      <c r="AF583" s="111" t="str">
        <f t="shared" si="136"/>
        <v/>
      </c>
    </row>
    <row r="584" spans="1:32">
      <c r="A584" s="159"/>
      <c r="B584" s="160"/>
      <c r="C584" s="5"/>
      <c r="D584" s="5"/>
      <c r="E584" s="5"/>
      <c r="F584" s="5"/>
      <c r="G584" s="5"/>
      <c r="H584" s="5"/>
      <c r="I584" s="5"/>
      <c r="J584" s="5"/>
      <c r="K584" s="5"/>
      <c r="L584" s="5"/>
      <c r="M584" s="5"/>
      <c r="N584" s="5"/>
      <c r="O584" s="5"/>
      <c r="P584" s="5"/>
      <c r="Q584" s="5"/>
      <c r="R584" s="5"/>
      <c r="S584" s="5"/>
      <c r="T584" s="5"/>
      <c r="U584" s="5"/>
      <c r="V584" s="7"/>
      <c r="W584" s="7"/>
      <c r="X584" s="164" t="e">
        <f t="shared" si="131"/>
        <v>#N/A</v>
      </c>
      <c r="Y584" s="164" t="e">
        <f t="shared" si="132"/>
        <v>#N/A</v>
      </c>
      <c r="AB584" s="156">
        <f t="shared" si="134"/>
        <v>0</v>
      </c>
      <c r="AC584" s="121" t="str">
        <f t="shared" si="133"/>
        <v/>
      </c>
      <c r="AE584" s="121" t="str">
        <f t="shared" si="135"/>
        <v/>
      </c>
      <c r="AF584" s="111" t="str">
        <f t="shared" si="136"/>
        <v/>
      </c>
    </row>
    <row r="585" spans="1:32">
      <c r="A585" s="159"/>
      <c r="B585" s="160"/>
      <c r="C585" s="5"/>
      <c r="D585" s="5"/>
      <c r="E585" s="5"/>
      <c r="F585" s="5"/>
      <c r="G585" s="5"/>
      <c r="H585" s="5"/>
      <c r="I585" s="5"/>
      <c r="J585" s="5"/>
      <c r="K585" s="5"/>
      <c r="L585" s="5"/>
      <c r="M585" s="5"/>
      <c r="N585" s="5"/>
      <c r="O585" s="5"/>
      <c r="P585" s="5"/>
      <c r="Q585" s="5"/>
      <c r="R585" s="5"/>
      <c r="S585" s="5"/>
      <c r="T585" s="5"/>
      <c r="U585" s="5"/>
      <c r="V585" s="7"/>
      <c r="W585" s="7"/>
      <c r="X585" s="164" t="e">
        <f t="shared" si="131"/>
        <v>#N/A</v>
      </c>
      <c r="Y585" s="164" t="e">
        <f t="shared" si="132"/>
        <v>#N/A</v>
      </c>
      <c r="AB585" s="156">
        <f t="shared" si="134"/>
        <v>0</v>
      </c>
      <c r="AC585" s="121" t="str">
        <f t="shared" si="133"/>
        <v/>
      </c>
      <c r="AE585" s="121" t="str">
        <f t="shared" si="135"/>
        <v/>
      </c>
      <c r="AF585" s="111" t="str">
        <f t="shared" si="136"/>
        <v/>
      </c>
    </row>
    <row r="586" spans="1:32">
      <c r="A586" s="159"/>
      <c r="B586" s="160"/>
      <c r="C586" s="5"/>
      <c r="D586" s="5"/>
      <c r="E586" s="5"/>
      <c r="F586" s="5"/>
      <c r="G586" s="5"/>
      <c r="H586" s="5"/>
      <c r="I586" s="5"/>
      <c r="J586" s="5"/>
      <c r="K586" s="5"/>
      <c r="L586" s="5"/>
      <c r="M586" s="5"/>
      <c r="N586" s="5"/>
      <c r="O586" s="5"/>
      <c r="P586" s="5"/>
      <c r="Q586" s="5"/>
      <c r="R586" s="5"/>
      <c r="S586" s="5"/>
      <c r="T586" s="5"/>
      <c r="U586" s="5"/>
      <c r="V586" s="7"/>
      <c r="W586" s="7"/>
      <c r="X586" s="164" t="e">
        <f t="shared" si="131"/>
        <v>#N/A</v>
      </c>
      <c r="Y586" s="164" t="e">
        <f t="shared" si="132"/>
        <v>#N/A</v>
      </c>
      <c r="AB586" s="156">
        <f t="shared" si="134"/>
        <v>0</v>
      </c>
      <c r="AC586" s="121" t="str">
        <f t="shared" si="133"/>
        <v/>
      </c>
      <c r="AE586" s="121" t="str">
        <f t="shared" si="135"/>
        <v/>
      </c>
      <c r="AF586" s="111" t="str">
        <f t="shared" si="136"/>
        <v/>
      </c>
    </row>
    <row r="587" spans="1:32">
      <c r="A587" s="159"/>
      <c r="B587" s="160"/>
      <c r="C587" s="5"/>
      <c r="D587" s="5"/>
      <c r="E587" s="5"/>
      <c r="F587" s="5"/>
      <c r="G587" s="5"/>
      <c r="H587" s="5"/>
      <c r="I587" s="5"/>
      <c r="J587" s="5"/>
      <c r="K587" s="5"/>
      <c r="L587" s="5"/>
      <c r="M587" s="5"/>
      <c r="N587" s="5"/>
      <c r="O587" s="5"/>
      <c r="P587" s="5"/>
      <c r="Q587" s="5"/>
      <c r="R587" s="5"/>
      <c r="S587" s="5"/>
      <c r="T587" s="5"/>
      <c r="U587" s="5"/>
      <c r="V587" s="7"/>
      <c r="W587" s="7"/>
      <c r="X587" s="164" t="e">
        <f t="shared" si="131"/>
        <v>#N/A</v>
      </c>
      <c r="Y587" s="164" t="e">
        <f t="shared" si="132"/>
        <v>#N/A</v>
      </c>
      <c r="AB587" s="156">
        <f t="shared" si="134"/>
        <v>0</v>
      </c>
      <c r="AC587" s="121" t="str">
        <f t="shared" si="133"/>
        <v/>
      </c>
      <c r="AE587" s="121" t="str">
        <f t="shared" si="135"/>
        <v/>
      </c>
      <c r="AF587" s="111" t="str">
        <f t="shared" si="136"/>
        <v/>
      </c>
    </row>
    <row r="588" spans="1:32">
      <c r="A588" s="159"/>
      <c r="B588" s="160"/>
      <c r="C588" s="5"/>
      <c r="D588" s="5"/>
      <c r="E588" s="5"/>
      <c r="F588" s="5"/>
      <c r="G588" s="5"/>
      <c r="H588" s="5"/>
      <c r="I588" s="5"/>
      <c r="J588" s="5"/>
      <c r="K588" s="5"/>
      <c r="L588" s="5"/>
      <c r="M588" s="5"/>
      <c r="N588" s="5"/>
      <c r="O588" s="5"/>
      <c r="P588" s="5"/>
      <c r="Q588" s="5"/>
      <c r="R588" s="5"/>
      <c r="S588" s="5"/>
      <c r="T588" s="5"/>
      <c r="U588" s="5"/>
      <c r="V588" s="7"/>
      <c r="W588" s="7"/>
      <c r="X588" s="164" t="e">
        <f t="shared" si="131"/>
        <v>#N/A</v>
      </c>
      <c r="Y588" s="164" t="e">
        <f t="shared" si="132"/>
        <v>#N/A</v>
      </c>
      <c r="AB588" s="156">
        <f t="shared" si="134"/>
        <v>0</v>
      </c>
      <c r="AC588" s="121" t="str">
        <f t="shared" si="133"/>
        <v/>
      </c>
      <c r="AE588" s="121" t="str">
        <f t="shared" si="135"/>
        <v/>
      </c>
      <c r="AF588" s="111" t="str">
        <f t="shared" si="136"/>
        <v/>
      </c>
    </row>
    <row r="589" spans="1:32">
      <c r="A589" s="159"/>
      <c r="B589" s="160"/>
      <c r="C589" s="5"/>
      <c r="D589" s="5"/>
      <c r="E589" s="5"/>
      <c r="F589" s="5"/>
      <c r="G589" s="5"/>
      <c r="H589" s="5"/>
      <c r="I589" s="5"/>
      <c r="J589" s="5"/>
      <c r="K589" s="5"/>
      <c r="L589" s="5"/>
      <c r="M589" s="5"/>
      <c r="N589" s="5"/>
      <c r="O589" s="5"/>
      <c r="P589" s="5"/>
      <c r="Q589" s="5"/>
      <c r="R589" s="5"/>
      <c r="S589" s="5"/>
      <c r="T589" s="5"/>
      <c r="U589" s="5"/>
      <c r="V589" s="7"/>
      <c r="W589" s="7"/>
      <c r="X589" s="164" t="e">
        <f t="shared" si="131"/>
        <v>#N/A</v>
      </c>
      <c r="Y589" s="164" t="e">
        <f t="shared" si="132"/>
        <v>#N/A</v>
      </c>
      <c r="AB589" s="156">
        <f t="shared" si="134"/>
        <v>0</v>
      </c>
      <c r="AC589" s="121" t="str">
        <f t="shared" si="133"/>
        <v/>
      </c>
      <c r="AE589" s="121" t="str">
        <f t="shared" si="135"/>
        <v/>
      </c>
      <c r="AF589" s="111" t="str">
        <f t="shared" si="136"/>
        <v/>
      </c>
    </row>
    <row r="590" spans="1:32">
      <c r="A590" s="159"/>
      <c r="B590" s="160"/>
      <c r="C590" s="5"/>
      <c r="D590" s="5"/>
      <c r="E590" s="5"/>
      <c r="F590" s="5"/>
      <c r="G590" s="5"/>
      <c r="H590" s="5"/>
      <c r="I590" s="5"/>
      <c r="J590" s="5"/>
      <c r="K590" s="5"/>
      <c r="L590" s="5"/>
      <c r="M590" s="5"/>
      <c r="N590" s="5"/>
      <c r="O590" s="5"/>
      <c r="P590" s="5"/>
      <c r="Q590" s="5"/>
      <c r="R590" s="5"/>
      <c r="S590" s="5"/>
      <c r="T590" s="5"/>
      <c r="U590" s="5"/>
      <c r="V590" s="7"/>
      <c r="W590" s="7"/>
      <c r="X590" s="164" t="e">
        <f t="shared" si="131"/>
        <v>#N/A</v>
      </c>
      <c r="Y590" s="164" t="e">
        <f t="shared" si="132"/>
        <v>#N/A</v>
      </c>
      <c r="AB590" s="156">
        <f t="shared" si="134"/>
        <v>0</v>
      </c>
      <c r="AC590" s="121" t="str">
        <f t="shared" si="133"/>
        <v/>
      </c>
      <c r="AE590" s="121" t="str">
        <f t="shared" si="135"/>
        <v/>
      </c>
      <c r="AF590" s="111" t="str">
        <f t="shared" si="136"/>
        <v/>
      </c>
    </row>
    <row r="591" spans="1:32">
      <c r="A591" s="159"/>
      <c r="B591" s="160"/>
      <c r="C591" s="5"/>
      <c r="D591" s="5"/>
      <c r="E591" s="5"/>
      <c r="F591" s="5"/>
      <c r="G591" s="5"/>
      <c r="H591" s="5"/>
      <c r="I591" s="5"/>
      <c r="J591" s="5"/>
      <c r="K591" s="5"/>
      <c r="L591" s="5"/>
      <c r="M591" s="5"/>
      <c r="N591" s="5"/>
      <c r="O591" s="5"/>
      <c r="P591" s="5"/>
      <c r="Q591" s="5"/>
      <c r="R591" s="5"/>
      <c r="S591" s="5"/>
      <c r="T591" s="5"/>
      <c r="U591" s="5"/>
      <c r="V591" s="7"/>
      <c r="W591" s="7"/>
      <c r="X591" s="164" t="e">
        <f t="shared" si="131"/>
        <v>#N/A</v>
      </c>
      <c r="Y591" s="164" t="e">
        <f t="shared" si="132"/>
        <v>#N/A</v>
      </c>
      <c r="AB591" s="156">
        <f t="shared" si="134"/>
        <v>0</v>
      </c>
      <c r="AC591" s="121" t="str">
        <f t="shared" si="133"/>
        <v/>
      </c>
      <c r="AE591" s="121" t="str">
        <f t="shared" si="135"/>
        <v/>
      </c>
      <c r="AF591" s="111" t="str">
        <f t="shared" si="136"/>
        <v/>
      </c>
    </row>
    <row r="592" spans="1:32">
      <c r="A592" s="159"/>
      <c r="B592" s="160"/>
      <c r="C592" s="5"/>
      <c r="D592" s="5"/>
      <c r="E592" s="5"/>
      <c r="F592" s="5"/>
      <c r="G592" s="5"/>
      <c r="H592" s="5"/>
      <c r="I592" s="5"/>
      <c r="J592" s="5"/>
      <c r="K592" s="5"/>
      <c r="L592" s="5"/>
      <c r="M592" s="5"/>
      <c r="N592" s="5"/>
      <c r="O592" s="5"/>
      <c r="P592" s="5"/>
      <c r="Q592" s="5"/>
      <c r="R592" s="5"/>
      <c r="S592" s="5"/>
      <c r="T592" s="5"/>
      <c r="U592" s="5"/>
      <c r="V592" s="7"/>
      <c r="W592" s="7"/>
      <c r="X592" s="164" t="e">
        <f t="shared" si="131"/>
        <v>#N/A</v>
      </c>
      <c r="Y592" s="164" t="e">
        <f t="shared" si="132"/>
        <v>#N/A</v>
      </c>
      <c r="AB592" s="156">
        <f t="shared" si="134"/>
        <v>0</v>
      </c>
      <c r="AC592" s="121" t="str">
        <f t="shared" si="133"/>
        <v/>
      </c>
      <c r="AE592" s="121" t="str">
        <f t="shared" si="135"/>
        <v/>
      </c>
      <c r="AF592" s="111" t="str">
        <f t="shared" si="136"/>
        <v/>
      </c>
    </row>
    <row r="593" spans="1:32">
      <c r="A593" s="159"/>
      <c r="B593" s="160"/>
      <c r="C593" s="5"/>
      <c r="D593" s="5"/>
      <c r="E593" s="5"/>
      <c r="F593" s="5"/>
      <c r="G593" s="5"/>
      <c r="H593" s="5"/>
      <c r="I593" s="5"/>
      <c r="J593" s="5"/>
      <c r="K593" s="5"/>
      <c r="L593" s="5"/>
      <c r="M593" s="5"/>
      <c r="N593" s="5"/>
      <c r="O593" s="5"/>
      <c r="P593" s="5"/>
      <c r="Q593" s="5"/>
      <c r="R593" s="5"/>
      <c r="S593" s="5"/>
      <c r="T593" s="5"/>
      <c r="U593" s="5"/>
      <c r="V593" s="7"/>
      <c r="W593" s="7"/>
      <c r="X593" s="164" t="e">
        <f t="shared" si="131"/>
        <v>#N/A</v>
      </c>
      <c r="Y593" s="164" t="e">
        <f t="shared" si="132"/>
        <v>#N/A</v>
      </c>
      <c r="AB593" s="156">
        <f t="shared" si="134"/>
        <v>0</v>
      </c>
      <c r="AC593" s="121" t="str">
        <f t="shared" si="133"/>
        <v/>
      </c>
      <c r="AE593" s="121" t="str">
        <f t="shared" si="135"/>
        <v/>
      </c>
      <c r="AF593" s="111" t="str">
        <f t="shared" si="136"/>
        <v/>
      </c>
    </row>
    <row r="594" spans="1:32">
      <c r="A594" s="159"/>
      <c r="B594" s="160"/>
      <c r="C594" s="5"/>
      <c r="D594" s="5"/>
      <c r="E594" s="5"/>
      <c r="F594" s="5"/>
      <c r="G594" s="5"/>
      <c r="H594" s="5"/>
      <c r="I594" s="5"/>
      <c r="J594" s="5"/>
      <c r="K594" s="5"/>
      <c r="L594" s="5"/>
      <c r="M594" s="5"/>
      <c r="N594" s="5"/>
      <c r="O594" s="5"/>
      <c r="P594" s="5"/>
      <c r="Q594" s="5"/>
      <c r="R594" s="5"/>
      <c r="S594" s="5"/>
      <c r="T594" s="5"/>
      <c r="U594" s="5"/>
      <c r="V594" s="7"/>
      <c r="W594" s="7"/>
      <c r="X594" s="164" t="e">
        <f t="shared" si="131"/>
        <v>#N/A</v>
      </c>
      <c r="Y594" s="164" t="e">
        <f t="shared" si="132"/>
        <v>#N/A</v>
      </c>
      <c r="AB594" s="156">
        <f t="shared" si="134"/>
        <v>0</v>
      </c>
      <c r="AC594" s="121" t="str">
        <f t="shared" si="133"/>
        <v/>
      </c>
      <c r="AE594" s="121" t="str">
        <f t="shared" si="135"/>
        <v/>
      </c>
      <c r="AF594" s="111" t="str">
        <f t="shared" si="136"/>
        <v/>
      </c>
    </row>
    <row r="595" spans="1:32">
      <c r="A595" s="159"/>
      <c r="B595" s="160"/>
      <c r="C595" s="5"/>
      <c r="D595" s="5"/>
      <c r="E595" s="5"/>
      <c r="F595" s="5"/>
      <c r="G595" s="5"/>
      <c r="H595" s="5"/>
      <c r="I595" s="5"/>
      <c r="J595" s="5"/>
      <c r="K595" s="5"/>
      <c r="L595" s="5"/>
      <c r="M595" s="5"/>
      <c r="N595" s="5"/>
      <c r="O595" s="5"/>
      <c r="P595" s="5"/>
      <c r="Q595" s="5"/>
      <c r="R595" s="5"/>
      <c r="S595" s="5"/>
      <c r="T595" s="5"/>
      <c r="U595" s="5"/>
      <c r="V595" s="7"/>
      <c r="W595" s="7"/>
      <c r="X595" s="164" t="e">
        <f t="shared" si="131"/>
        <v>#N/A</v>
      </c>
      <c r="Y595" s="164" t="e">
        <f t="shared" si="132"/>
        <v>#N/A</v>
      </c>
      <c r="AB595" s="156">
        <f t="shared" si="134"/>
        <v>0</v>
      </c>
      <c r="AC595" s="121" t="str">
        <f t="shared" si="133"/>
        <v/>
      </c>
      <c r="AE595" s="121" t="str">
        <f t="shared" si="135"/>
        <v/>
      </c>
      <c r="AF595" s="111" t="str">
        <f t="shared" si="136"/>
        <v/>
      </c>
    </row>
    <row r="596" spans="1:32">
      <c r="A596" s="159"/>
      <c r="B596" s="160"/>
      <c r="C596" s="5"/>
      <c r="D596" s="5"/>
      <c r="E596" s="5"/>
      <c r="F596" s="5"/>
      <c r="G596" s="5"/>
      <c r="H596" s="5"/>
      <c r="I596" s="5"/>
      <c r="J596" s="5"/>
      <c r="K596" s="5"/>
      <c r="L596" s="5"/>
      <c r="M596" s="5"/>
      <c r="N596" s="5"/>
      <c r="O596" s="5"/>
      <c r="P596" s="5"/>
      <c r="Q596" s="5"/>
      <c r="R596" s="5"/>
      <c r="S596" s="5"/>
      <c r="T596" s="5"/>
      <c r="U596" s="5"/>
      <c r="V596" s="7"/>
      <c r="W596" s="7"/>
      <c r="X596" s="164" t="e">
        <f t="shared" si="131"/>
        <v>#N/A</v>
      </c>
      <c r="Y596" s="164" t="e">
        <f t="shared" si="132"/>
        <v>#N/A</v>
      </c>
      <c r="AB596" s="156">
        <f t="shared" si="134"/>
        <v>0</v>
      </c>
      <c r="AC596" s="121" t="str">
        <f t="shared" si="133"/>
        <v/>
      </c>
      <c r="AE596" s="121" t="str">
        <f t="shared" si="135"/>
        <v/>
      </c>
      <c r="AF596" s="111" t="str">
        <f t="shared" si="136"/>
        <v/>
      </c>
    </row>
    <row r="597" spans="1:32">
      <c r="A597" s="159"/>
      <c r="B597" s="160"/>
      <c r="C597" s="5"/>
      <c r="D597" s="5"/>
      <c r="E597" s="5"/>
      <c r="F597" s="5"/>
      <c r="G597" s="5"/>
      <c r="H597" s="5"/>
      <c r="I597" s="5"/>
      <c r="J597" s="5"/>
      <c r="K597" s="5"/>
      <c r="L597" s="5"/>
      <c r="M597" s="5"/>
      <c r="N597" s="5"/>
      <c r="O597" s="5"/>
      <c r="P597" s="5"/>
      <c r="Q597" s="5"/>
      <c r="R597" s="5"/>
      <c r="S597" s="5"/>
      <c r="T597" s="5"/>
      <c r="U597" s="5"/>
      <c r="V597" s="7"/>
      <c r="W597" s="7"/>
      <c r="X597" s="164" t="e">
        <f t="shared" si="131"/>
        <v>#N/A</v>
      </c>
      <c r="Y597" s="164" t="e">
        <f t="shared" si="132"/>
        <v>#N/A</v>
      </c>
      <c r="AB597" s="156">
        <f t="shared" si="134"/>
        <v>0</v>
      </c>
      <c r="AC597" s="121" t="str">
        <f t="shared" si="133"/>
        <v/>
      </c>
      <c r="AE597" s="121" t="str">
        <f t="shared" si="135"/>
        <v/>
      </c>
      <c r="AF597" s="111" t="str">
        <f t="shared" si="136"/>
        <v/>
      </c>
    </row>
    <row r="598" spans="1:32">
      <c r="A598" s="159"/>
      <c r="B598" s="160"/>
      <c r="C598" s="5"/>
      <c r="D598" s="5"/>
      <c r="E598" s="5"/>
      <c r="F598" s="5"/>
      <c r="G598" s="5"/>
      <c r="H598" s="5"/>
      <c r="I598" s="5"/>
      <c r="J598" s="5"/>
      <c r="K598" s="5"/>
      <c r="L598" s="5"/>
      <c r="M598" s="5"/>
      <c r="N598" s="5"/>
      <c r="O598" s="5"/>
      <c r="P598" s="5"/>
      <c r="Q598" s="5"/>
      <c r="R598" s="5"/>
      <c r="S598" s="5"/>
      <c r="T598" s="5"/>
      <c r="U598" s="5"/>
      <c r="V598" s="7"/>
      <c r="W598" s="7"/>
      <c r="X598" s="164" t="e">
        <f t="shared" si="131"/>
        <v>#N/A</v>
      </c>
      <c r="Y598" s="164" t="e">
        <f t="shared" si="132"/>
        <v>#N/A</v>
      </c>
      <c r="AB598" s="156">
        <f t="shared" si="134"/>
        <v>0</v>
      </c>
      <c r="AC598" s="121" t="str">
        <f t="shared" si="133"/>
        <v/>
      </c>
      <c r="AE598" s="121" t="str">
        <f t="shared" si="135"/>
        <v/>
      </c>
      <c r="AF598" s="111" t="str">
        <f t="shared" si="136"/>
        <v/>
      </c>
    </row>
    <row r="599" spans="1:32">
      <c r="A599" s="159"/>
      <c r="B599" s="160"/>
      <c r="C599" s="5"/>
      <c r="D599" s="5"/>
      <c r="E599" s="5"/>
      <c r="F599" s="5"/>
      <c r="G599" s="5"/>
      <c r="H599" s="5"/>
      <c r="I599" s="5"/>
      <c r="J599" s="5"/>
      <c r="K599" s="5"/>
      <c r="L599" s="5"/>
      <c r="M599" s="5"/>
      <c r="N599" s="5"/>
      <c r="O599" s="5"/>
      <c r="P599" s="5"/>
      <c r="Q599" s="5"/>
      <c r="R599" s="5"/>
      <c r="S599" s="5"/>
      <c r="T599" s="5"/>
      <c r="U599" s="5"/>
      <c r="V599" s="7"/>
      <c r="W599" s="7"/>
      <c r="X599" s="164" t="e">
        <f t="shared" si="131"/>
        <v>#N/A</v>
      </c>
      <c r="Y599" s="164" t="e">
        <f t="shared" si="132"/>
        <v>#N/A</v>
      </c>
      <c r="AB599" s="156">
        <f t="shared" si="134"/>
        <v>0</v>
      </c>
      <c r="AC599" s="121" t="str">
        <f t="shared" si="133"/>
        <v/>
      </c>
      <c r="AE599" s="121" t="str">
        <f t="shared" si="135"/>
        <v/>
      </c>
      <c r="AF599" s="111" t="str">
        <f t="shared" si="136"/>
        <v/>
      </c>
    </row>
    <row r="600" spans="1:32">
      <c r="A600" s="159"/>
      <c r="B600" s="160"/>
      <c r="C600" s="5"/>
      <c r="D600" s="5"/>
      <c r="E600" s="5"/>
      <c r="F600" s="5"/>
      <c r="G600" s="5"/>
      <c r="H600" s="5"/>
      <c r="I600" s="5"/>
      <c r="J600" s="5"/>
      <c r="K600" s="5"/>
      <c r="L600" s="5"/>
      <c r="M600" s="5"/>
      <c r="N600" s="5"/>
      <c r="O600" s="5"/>
      <c r="P600" s="5"/>
      <c r="Q600" s="5"/>
      <c r="R600" s="5"/>
      <c r="S600" s="5"/>
      <c r="T600" s="5"/>
      <c r="U600" s="5"/>
      <c r="V600" s="7"/>
      <c r="W600" s="7"/>
      <c r="X600" s="164" t="e">
        <f t="shared" si="131"/>
        <v>#N/A</v>
      </c>
      <c r="Y600" s="164" t="e">
        <f t="shared" si="132"/>
        <v>#N/A</v>
      </c>
      <c r="AB600" s="156">
        <f t="shared" si="134"/>
        <v>0</v>
      </c>
      <c r="AC600" s="121" t="str">
        <f t="shared" si="133"/>
        <v/>
      </c>
      <c r="AE600" s="121" t="str">
        <f t="shared" si="135"/>
        <v/>
      </c>
      <c r="AF600" s="111" t="str">
        <f t="shared" si="136"/>
        <v/>
      </c>
    </row>
    <row r="601" spans="1:32">
      <c r="A601" s="159"/>
      <c r="B601" s="160"/>
      <c r="C601" s="5"/>
      <c r="D601" s="5"/>
      <c r="E601" s="5"/>
      <c r="F601" s="5"/>
      <c r="G601" s="5"/>
      <c r="H601" s="5"/>
      <c r="I601" s="5"/>
      <c r="J601" s="5"/>
      <c r="K601" s="5"/>
      <c r="L601" s="5"/>
      <c r="M601" s="5"/>
      <c r="N601" s="5"/>
      <c r="O601" s="5"/>
      <c r="P601" s="5"/>
      <c r="Q601" s="5"/>
      <c r="R601" s="5"/>
      <c r="S601" s="5"/>
      <c r="T601" s="5"/>
      <c r="U601" s="5"/>
      <c r="V601" s="7"/>
      <c r="W601" s="7"/>
      <c r="X601" s="164" t="e">
        <f t="shared" si="131"/>
        <v>#N/A</v>
      </c>
      <c r="Y601" s="164" t="e">
        <f t="shared" si="132"/>
        <v>#N/A</v>
      </c>
      <c r="AB601" s="156">
        <f t="shared" si="134"/>
        <v>0</v>
      </c>
      <c r="AC601" s="121" t="str">
        <f t="shared" si="133"/>
        <v/>
      </c>
      <c r="AE601" s="121" t="str">
        <f t="shared" si="135"/>
        <v/>
      </c>
      <c r="AF601" s="111" t="str">
        <f t="shared" si="136"/>
        <v/>
      </c>
    </row>
    <row r="602" spans="1:32">
      <c r="A602" s="159"/>
      <c r="B602" s="160"/>
      <c r="C602" s="5"/>
      <c r="D602" s="5"/>
      <c r="E602" s="5"/>
      <c r="F602" s="5"/>
      <c r="G602" s="5"/>
      <c r="H602" s="5"/>
      <c r="I602" s="5"/>
      <c r="J602" s="5"/>
      <c r="K602" s="5"/>
      <c r="L602" s="5"/>
      <c r="M602" s="5"/>
      <c r="N602" s="5"/>
      <c r="O602" s="5"/>
      <c r="P602" s="5"/>
      <c r="Q602" s="5"/>
      <c r="R602" s="5"/>
      <c r="S602" s="5"/>
      <c r="T602" s="5"/>
      <c r="U602" s="5"/>
      <c r="V602" s="7"/>
      <c r="W602" s="7"/>
      <c r="X602" s="164" t="e">
        <f t="shared" si="131"/>
        <v>#N/A</v>
      </c>
      <c r="Y602" s="164" t="e">
        <f t="shared" si="132"/>
        <v>#N/A</v>
      </c>
      <c r="AB602" s="156">
        <f t="shared" si="134"/>
        <v>0</v>
      </c>
      <c r="AC602" s="121" t="str">
        <f t="shared" si="133"/>
        <v/>
      </c>
      <c r="AE602" s="121" t="str">
        <f t="shared" si="135"/>
        <v/>
      </c>
      <c r="AF602" s="111" t="str">
        <f t="shared" si="136"/>
        <v/>
      </c>
    </row>
    <row r="603" spans="1:32">
      <c r="A603" s="159"/>
      <c r="B603" s="160"/>
      <c r="C603" s="5"/>
      <c r="D603" s="5"/>
      <c r="E603" s="5"/>
      <c r="F603" s="5"/>
      <c r="G603" s="5"/>
      <c r="H603" s="5"/>
      <c r="I603" s="5"/>
      <c r="J603" s="5"/>
      <c r="K603" s="5"/>
      <c r="L603" s="5"/>
      <c r="M603" s="5"/>
      <c r="N603" s="5"/>
      <c r="O603" s="5"/>
      <c r="P603" s="5"/>
      <c r="Q603" s="5"/>
      <c r="R603" s="5"/>
      <c r="S603" s="5"/>
      <c r="T603" s="5"/>
      <c r="U603" s="5"/>
      <c r="V603" s="7"/>
      <c r="W603" s="7"/>
      <c r="X603" s="164" t="e">
        <f t="shared" si="131"/>
        <v>#N/A</v>
      </c>
      <c r="Y603" s="164" t="e">
        <f t="shared" si="132"/>
        <v>#N/A</v>
      </c>
      <c r="AB603" s="156">
        <f t="shared" si="134"/>
        <v>0</v>
      </c>
      <c r="AC603" s="121" t="str">
        <f t="shared" si="133"/>
        <v/>
      </c>
      <c r="AE603" s="121" t="str">
        <f t="shared" si="135"/>
        <v/>
      </c>
      <c r="AF603" s="111" t="str">
        <f t="shared" si="136"/>
        <v/>
      </c>
    </row>
    <row r="604" spans="1:32">
      <c r="A604" s="159"/>
      <c r="B604" s="160"/>
      <c r="C604" s="5"/>
      <c r="D604" s="5"/>
      <c r="E604" s="5"/>
      <c r="F604" s="5"/>
      <c r="G604" s="5"/>
      <c r="H604" s="5"/>
      <c r="I604" s="5"/>
      <c r="J604" s="5"/>
      <c r="K604" s="5"/>
      <c r="L604" s="5"/>
      <c r="M604" s="5"/>
      <c r="N604" s="5"/>
      <c r="O604" s="5"/>
      <c r="P604" s="5"/>
      <c r="Q604" s="5"/>
      <c r="R604" s="5"/>
      <c r="S604" s="5"/>
      <c r="T604" s="5"/>
      <c r="U604" s="5"/>
      <c r="V604" s="7"/>
      <c r="W604" s="7"/>
      <c r="X604" s="164" t="e">
        <f t="shared" si="131"/>
        <v>#N/A</v>
      </c>
      <c r="Y604" s="164" t="e">
        <f t="shared" si="132"/>
        <v>#N/A</v>
      </c>
      <c r="AB604" s="156">
        <f t="shared" si="134"/>
        <v>0</v>
      </c>
      <c r="AC604" s="121" t="str">
        <f t="shared" si="133"/>
        <v/>
      </c>
      <c r="AE604" s="121" t="str">
        <f t="shared" si="135"/>
        <v/>
      </c>
      <c r="AF604" s="111" t="str">
        <f t="shared" si="136"/>
        <v/>
      </c>
    </row>
    <row r="605" spans="1:32">
      <c r="A605" s="159"/>
      <c r="B605" s="160"/>
      <c r="C605" s="5"/>
      <c r="D605" s="5"/>
      <c r="E605" s="5"/>
      <c r="F605" s="5"/>
      <c r="G605" s="5"/>
      <c r="H605" s="5"/>
      <c r="I605" s="5"/>
      <c r="J605" s="5"/>
      <c r="K605" s="5"/>
      <c r="L605" s="5"/>
      <c r="M605" s="5"/>
      <c r="N605" s="5"/>
      <c r="O605" s="5"/>
      <c r="P605" s="5"/>
      <c r="Q605" s="5"/>
      <c r="R605" s="5"/>
      <c r="S605" s="5"/>
      <c r="T605" s="5"/>
      <c r="U605" s="5"/>
      <c r="V605" s="7"/>
      <c r="W605" s="7"/>
      <c r="X605" s="164" t="e">
        <f t="shared" si="131"/>
        <v>#N/A</v>
      </c>
      <c r="Y605" s="164" t="e">
        <f t="shared" si="132"/>
        <v>#N/A</v>
      </c>
      <c r="AB605" s="156">
        <f t="shared" si="134"/>
        <v>0</v>
      </c>
      <c r="AC605" s="121" t="str">
        <f t="shared" si="133"/>
        <v/>
      </c>
      <c r="AE605" s="121" t="str">
        <f t="shared" si="135"/>
        <v/>
      </c>
      <c r="AF605" s="111" t="str">
        <f t="shared" si="136"/>
        <v/>
      </c>
    </row>
    <row r="606" spans="1:32">
      <c r="A606" s="159"/>
      <c r="B606" s="160"/>
      <c r="C606" s="5"/>
      <c r="D606" s="5"/>
      <c r="E606" s="5"/>
      <c r="F606" s="5"/>
      <c r="G606" s="5"/>
      <c r="H606" s="5"/>
      <c r="I606" s="5"/>
      <c r="J606" s="5"/>
      <c r="K606" s="5"/>
      <c r="L606" s="5"/>
      <c r="M606" s="5"/>
      <c r="N606" s="5"/>
      <c r="O606" s="5"/>
      <c r="P606" s="5"/>
      <c r="Q606" s="5"/>
      <c r="R606" s="5"/>
      <c r="S606" s="5"/>
      <c r="T606" s="5"/>
      <c r="U606" s="5"/>
      <c r="V606" s="7"/>
      <c r="W606" s="7"/>
      <c r="X606" s="164" t="e">
        <f t="shared" si="131"/>
        <v>#N/A</v>
      </c>
      <c r="Y606" s="164" t="e">
        <f t="shared" si="132"/>
        <v>#N/A</v>
      </c>
      <c r="AB606" s="156">
        <f t="shared" si="134"/>
        <v>0</v>
      </c>
      <c r="AC606" s="121" t="str">
        <f t="shared" si="133"/>
        <v/>
      </c>
      <c r="AE606" s="121" t="str">
        <f t="shared" si="135"/>
        <v/>
      </c>
      <c r="AF606" s="111" t="str">
        <f t="shared" si="136"/>
        <v/>
      </c>
    </row>
    <row r="607" spans="1:32">
      <c r="A607" s="159"/>
      <c r="B607" s="160"/>
      <c r="C607" s="5"/>
      <c r="D607" s="5"/>
      <c r="E607" s="5"/>
      <c r="F607" s="5"/>
      <c r="G607" s="5"/>
      <c r="H607" s="5"/>
      <c r="I607" s="5"/>
      <c r="J607" s="5"/>
      <c r="K607" s="5"/>
      <c r="L607" s="5"/>
      <c r="M607" s="5"/>
      <c r="N607" s="5"/>
      <c r="O607" s="5"/>
      <c r="P607" s="5"/>
      <c r="Q607" s="5"/>
      <c r="R607" s="5"/>
      <c r="S607" s="5"/>
      <c r="T607" s="5"/>
      <c r="U607" s="5"/>
      <c r="V607" s="7"/>
      <c r="W607" s="7"/>
      <c r="X607" s="164" t="e">
        <f t="shared" si="131"/>
        <v>#N/A</v>
      </c>
      <c r="Y607" s="164" t="e">
        <f t="shared" si="132"/>
        <v>#N/A</v>
      </c>
      <c r="AB607" s="156">
        <f t="shared" si="134"/>
        <v>0</v>
      </c>
      <c r="AC607" s="121" t="str">
        <f t="shared" si="133"/>
        <v/>
      </c>
      <c r="AE607" s="121" t="str">
        <f t="shared" si="135"/>
        <v/>
      </c>
      <c r="AF607" s="111" t="str">
        <f t="shared" si="136"/>
        <v/>
      </c>
    </row>
    <row r="608" spans="1:32">
      <c r="A608" s="159"/>
      <c r="B608" s="160"/>
      <c r="C608" s="5"/>
      <c r="D608" s="5"/>
      <c r="E608" s="5"/>
      <c r="F608" s="5"/>
      <c r="G608" s="5"/>
      <c r="H608" s="5"/>
      <c r="I608" s="5"/>
      <c r="J608" s="5"/>
      <c r="K608" s="5"/>
      <c r="L608" s="5"/>
      <c r="M608" s="5"/>
      <c r="N608" s="5"/>
      <c r="O608" s="5"/>
      <c r="P608" s="5"/>
      <c r="Q608" s="5"/>
      <c r="R608" s="5"/>
      <c r="S608" s="5"/>
      <c r="T608" s="5"/>
      <c r="U608" s="5"/>
      <c r="V608" s="7"/>
      <c r="W608" s="7"/>
      <c r="X608" s="164" t="e">
        <f t="shared" si="131"/>
        <v>#N/A</v>
      </c>
      <c r="Y608" s="164" t="e">
        <f t="shared" si="132"/>
        <v>#N/A</v>
      </c>
      <c r="AB608" s="156">
        <f t="shared" si="134"/>
        <v>0</v>
      </c>
      <c r="AC608" s="121" t="str">
        <f t="shared" si="133"/>
        <v/>
      </c>
      <c r="AE608" s="121" t="str">
        <f t="shared" si="135"/>
        <v/>
      </c>
      <c r="AF608" s="111" t="str">
        <f t="shared" si="136"/>
        <v/>
      </c>
    </row>
    <row r="609" spans="1:32">
      <c r="A609" s="159"/>
      <c r="B609" s="160"/>
      <c r="C609" s="5"/>
      <c r="D609" s="5"/>
      <c r="E609" s="5"/>
      <c r="F609" s="5"/>
      <c r="G609" s="5"/>
      <c r="H609" s="5"/>
      <c r="I609" s="5"/>
      <c r="J609" s="5"/>
      <c r="K609" s="5"/>
      <c r="L609" s="5"/>
      <c r="M609" s="5"/>
      <c r="N609" s="5"/>
      <c r="O609" s="5"/>
      <c r="P609" s="5"/>
      <c r="Q609" s="5"/>
      <c r="R609" s="5"/>
      <c r="S609" s="5"/>
      <c r="T609" s="5"/>
      <c r="U609" s="5"/>
      <c r="V609" s="7"/>
      <c r="W609" s="7"/>
      <c r="X609" s="164" t="e">
        <f t="shared" si="131"/>
        <v>#N/A</v>
      </c>
      <c r="Y609" s="164" t="e">
        <f t="shared" si="132"/>
        <v>#N/A</v>
      </c>
      <c r="AB609" s="156">
        <f t="shared" si="134"/>
        <v>0</v>
      </c>
      <c r="AC609" s="121" t="str">
        <f t="shared" si="133"/>
        <v/>
      </c>
      <c r="AE609" s="121" t="str">
        <f t="shared" si="135"/>
        <v/>
      </c>
      <c r="AF609" s="111" t="str">
        <f t="shared" si="136"/>
        <v/>
      </c>
    </row>
    <row r="610" spans="1:32">
      <c r="A610" s="159"/>
      <c r="B610" s="160"/>
      <c r="C610" s="5"/>
      <c r="D610" s="5"/>
      <c r="E610" s="5"/>
      <c r="F610" s="5"/>
      <c r="G610" s="5"/>
      <c r="H610" s="5"/>
      <c r="I610" s="5"/>
      <c r="J610" s="5"/>
      <c r="K610" s="5"/>
      <c r="L610" s="5"/>
      <c r="M610" s="5"/>
      <c r="N610" s="5"/>
      <c r="O610" s="5"/>
      <c r="P610" s="5"/>
      <c r="Q610" s="5"/>
      <c r="R610" s="5"/>
      <c r="S610" s="5"/>
      <c r="T610" s="5"/>
      <c r="U610" s="5"/>
      <c r="V610" s="7"/>
      <c r="W610" s="7"/>
      <c r="X610" s="164" t="e">
        <f t="shared" si="131"/>
        <v>#N/A</v>
      </c>
      <c r="Y610" s="164" t="e">
        <f t="shared" si="132"/>
        <v>#N/A</v>
      </c>
      <c r="AB610" s="156">
        <f t="shared" si="134"/>
        <v>0</v>
      </c>
      <c r="AC610" s="121" t="str">
        <f t="shared" si="133"/>
        <v/>
      </c>
      <c r="AE610" s="121" t="str">
        <f t="shared" si="135"/>
        <v/>
      </c>
      <c r="AF610" s="111" t="str">
        <f t="shared" si="136"/>
        <v/>
      </c>
    </row>
    <row r="611" spans="1:32">
      <c r="A611" s="159"/>
      <c r="B611" s="160"/>
      <c r="C611" s="5"/>
      <c r="D611" s="5"/>
      <c r="E611" s="5"/>
      <c r="F611" s="5"/>
      <c r="G611" s="5"/>
      <c r="H611" s="5"/>
      <c r="I611" s="5"/>
      <c r="J611" s="5"/>
      <c r="K611" s="5"/>
      <c r="L611" s="5"/>
      <c r="M611" s="5"/>
      <c r="N611" s="5"/>
      <c r="O611" s="5"/>
      <c r="P611" s="5"/>
      <c r="Q611" s="5"/>
      <c r="R611" s="5"/>
      <c r="S611" s="5"/>
      <c r="T611" s="5"/>
      <c r="U611" s="5"/>
      <c r="V611" s="7"/>
      <c r="W611" s="7"/>
      <c r="X611" s="164" t="e">
        <f t="shared" si="131"/>
        <v>#N/A</v>
      </c>
      <c r="Y611" s="164" t="e">
        <f t="shared" si="132"/>
        <v>#N/A</v>
      </c>
      <c r="AB611" s="156">
        <f t="shared" si="134"/>
        <v>0</v>
      </c>
      <c r="AC611" s="121" t="str">
        <f t="shared" si="133"/>
        <v/>
      </c>
      <c r="AE611" s="121" t="str">
        <f t="shared" si="135"/>
        <v/>
      </c>
      <c r="AF611" s="111" t="str">
        <f t="shared" si="136"/>
        <v/>
      </c>
    </row>
    <row r="612" spans="1:32">
      <c r="A612" s="159"/>
      <c r="B612" s="160"/>
      <c r="C612" s="5"/>
      <c r="D612" s="5"/>
      <c r="E612" s="5"/>
      <c r="F612" s="5"/>
      <c r="G612" s="5"/>
      <c r="H612" s="5"/>
      <c r="I612" s="5"/>
      <c r="J612" s="5"/>
      <c r="K612" s="5"/>
      <c r="L612" s="5"/>
      <c r="M612" s="5"/>
      <c r="N612" s="5"/>
      <c r="O612" s="5"/>
      <c r="P612" s="5"/>
      <c r="Q612" s="5"/>
      <c r="R612" s="5"/>
      <c r="S612" s="5"/>
      <c r="T612" s="5"/>
      <c r="U612" s="5"/>
      <c r="V612" s="7"/>
      <c r="W612" s="7"/>
      <c r="X612" s="164" t="e">
        <f t="shared" si="131"/>
        <v>#N/A</v>
      </c>
      <c r="Y612" s="164" t="e">
        <f t="shared" si="132"/>
        <v>#N/A</v>
      </c>
      <c r="AB612" s="156">
        <f t="shared" si="134"/>
        <v>0</v>
      </c>
      <c r="AC612" s="121" t="str">
        <f t="shared" si="133"/>
        <v/>
      </c>
      <c r="AE612" s="121" t="str">
        <f t="shared" si="135"/>
        <v/>
      </c>
      <c r="AF612" s="111" t="str">
        <f t="shared" si="136"/>
        <v/>
      </c>
    </row>
    <row r="613" spans="1:32">
      <c r="A613" s="159"/>
      <c r="B613" s="160"/>
      <c r="C613" s="5"/>
      <c r="D613" s="5"/>
      <c r="E613" s="5"/>
      <c r="F613" s="5"/>
      <c r="G613" s="5"/>
      <c r="H613" s="5"/>
      <c r="I613" s="5"/>
      <c r="J613" s="5"/>
      <c r="K613" s="5"/>
      <c r="L613" s="5"/>
      <c r="M613" s="5"/>
      <c r="N613" s="5"/>
      <c r="O613" s="5"/>
      <c r="P613" s="5"/>
      <c r="Q613" s="5"/>
      <c r="R613" s="5"/>
      <c r="S613" s="5"/>
      <c r="T613" s="5"/>
      <c r="U613" s="5"/>
      <c r="V613" s="7"/>
      <c r="W613" s="7"/>
      <c r="X613" s="164" t="e">
        <f t="shared" si="131"/>
        <v>#N/A</v>
      </c>
      <c r="Y613" s="164" t="e">
        <f t="shared" si="132"/>
        <v>#N/A</v>
      </c>
      <c r="AB613" s="156">
        <f t="shared" si="134"/>
        <v>0</v>
      </c>
      <c r="AC613" s="121" t="str">
        <f t="shared" si="133"/>
        <v/>
      </c>
      <c r="AE613" s="121" t="str">
        <f t="shared" si="135"/>
        <v/>
      </c>
      <c r="AF613" s="111" t="str">
        <f t="shared" si="136"/>
        <v/>
      </c>
    </row>
    <row r="614" spans="1:32">
      <c r="A614" s="159"/>
      <c r="B614" s="160"/>
      <c r="C614" s="5"/>
      <c r="D614" s="5"/>
      <c r="E614" s="5"/>
      <c r="F614" s="5"/>
      <c r="G614" s="5"/>
      <c r="H614" s="5"/>
      <c r="I614" s="5"/>
      <c r="J614" s="5"/>
      <c r="K614" s="5"/>
      <c r="L614" s="5"/>
      <c r="M614" s="5"/>
      <c r="N614" s="5"/>
      <c r="O614" s="5"/>
      <c r="P614" s="5"/>
      <c r="Q614" s="5"/>
      <c r="R614" s="5"/>
      <c r="S614" s="5"/>
      <c r="T614" s="5"/>
      <c r="U614" s="5"/>
      <c r="V614" s="7"/>
      <c r="W614" s="7"/>
      <c r="X614" s="164" t="e">
        <f t="shared" si="131"/>
        <v>#N/A</v>
      </c>
      <c r="Y614" s="164" t="e">
        <f t="shared" si="132"/>
        <v>#N/A</v>
      </c>
      <c r="AB614" s="156">
        <f t="shared" si="134"/>
        <v>0</v>
      </c>
      <c r="AC614" s="121" t="str">
        <f t="shared" si="133"/>
        <v/>
      </c>
      <c r="AE614" s="121" t="str">
        <f t="shared" si="135"/>
        <v/>
      </c>
      <c r="AF614" s="111" t="str">
        <f t="shared" si="136"/>
        <v/>
      </c>
    </row>
    <row r="615" spans="1:32">
      <c r="A615" s="159"/>
      <c r="B615" s="160"/>
      <c r="C615" s="5"/>
      <c r="D615" s="5"/>
      <c r="E615" s="5"/>
      <c r="F615" s="5"/>
      <c r="G615" s="5"/>
      <c r="H615" s="5"/>
      <c r="I615" s="5"/>
      <c r="J615" s="5"/>
      <c r="K615" s="5"/>
      <c r="L615" s="5"/>
      <c r="M615" s="5"/>
      <c r="N615" s="5"/>
      <c r="O615" s="5"/>
      <c r="P615" s="5"/>
      <c r="Q615" s="5"/>
      <c r="R615" s="5"/>
      <c r="S615" s="5"/>
      <c r="T615" s="5"/>
      <c r="U615" s="5"/>
      <c r="V615" s="7"/>
      <c r="W615" s="7"/>
      <c r="X615" s="164" t="e">
        <f t="shared" si="131"/>
        <v>#N/A</v>
      </c>
      <c r="Y615" s="164" t="e">
        <f t="shared" si="132"/>
        <v>#N/A</v>
      </c>
      <c r="AB615" s="156">
        <f t="shared" si="134"/>
        <v>0</v>
      </c>
      <c r="AC615" s="121" t="str">
        <f t="shared" si="133"/>
        <v/>
      </c>
      <c r="AE615" s="121" t="str">
        <f t="shared" si="135"/>
        <v/>
      </c>
      <c r="AF615" s="111" t="str">
        <f t="shared" si="136"/>
        <v/>
      </c>
    </row>
    <row r="616" spans="1:32">
      <c r="A616" s="159"/>
      <c r="B616" s="160"/>
      <c r="C616" s="5"/>
      <c r="D616" s="5"/>
      <c r="E616" s="5"/>
      <c r="F616" s="5"/>
      <c r="G616" s="5"/>
      <c r="H616" s="5"/>
      <c r="I616" s="5"/>
      <c r="J616" s="5"/>
      <c r="K616" s="5"/>
      <c r="L616" s="5"/>
      <c r="M616" s="5"/>
      <c r="N616" s="5"/>
      <c r="O616" s="5"/>
      <c r="P616" s="5"/>
      <c r="Q616" s="5"/>
      <c r="R616" s="5"/>
      <c r="S616" s="5"/>
      <c r="T616" s="5"/>
      <c r="U616" s="5"/>
      <c r="V616" s="7"/>
      <c r="W616" s="7"/>
      <c r="X616" s="164" t="e">
        <f t="shared" si="131"/>
        <v>#N/A</v>
      </c>
      <c r="Y616" s="164" t="e">
        <f t="shared" si="132"/>
        <v>#N/A</v>
      </c>
      <c r="AB616" s="156">
        <f t="shared" si="134"/>
        <v>0</v>
      </c>
      <c r="AC616" s="121" t="str">
        <f t="shared" si="133"/>
        <v/>
      </c>
      <c r="AE616" s="121" t="str">
        <f t="shared" si="135"/>
        <v/>
      </c>
      <c r="AF616" s="111" t="str">
        <f t="shared" si="136"/>
        <v/>
      </c>
    </row>
    <row r="617" spans="1:32">
      <c r="A617" s="159"/>
      <c r="B617" s="160"/>
      <c r="C617" s="5"/>
      <c r="D617" s="5"/>
      <c r="E617" s="5"/>
      <c r="F617" s="5"/>
      <c r="G617" s="5"/>
      <c r="H617" s="5"/>
      <c r="I617" s="5"/>
      <c r="J617" s="5"/>
      <c r="K617" s="5"/>
      <c r="L617" s="5"/>
      <c r="M617" s="5"/>
      <c r="N617" s="5"/>
      <c r="O617" s="5"/>
      <c r="P617" s="5"/>
      <c r="Q617" s="5"/>
      <c r="R617" s="5"/>
      <c r="S617" s="5"/>
      <c r="T617" s="5"/>
      <c r="U617" s="5"/>
      <c r="V617" s="7"/>
      <c r="W617" s="7"/>
      <c r="X617" s="164" t="e">
        <f t="shared" si="131"/>
        <v>#N/A</v>
      </c>
      <c r="Y617" s="164" t="e">
        <f t="shared" si="132"/>
        <v>#N/A</v>
      </c>
      <c r="AB617" s="156">
        <f t="shared" si="134"/>
        <v>0</v>
      </c>
      <c r="AC617" s="121" t="str">
        <f t="shared" si="133"/>
        <v/>
      </c>
      <c r="AE617" s="121" t="str">
        <f t="shared" si="135"/>
        <v/>
      </c>
      <c r="AF617" s="111" t="str">
        <f t="shared" si="136"/>
        <v/>
      </c>
    </row>
    <row r="618" spans="1:32">
      <c r="A618" s="159"/>
      <c r="B618" s="160"/>
      <c r="C618" s="5"/>
      <c r="D618" s="5"/>
      <c r="E618" s="5"/>
      <c r="F618" s="5"/>
      <c r="G618" s="5"/>
      <c r="H618" s="5"/>
      <c r="I618" s="5"/>
      <c r="J618" s="5"/>
      <c r="K618" s="5"/>
      <c r="L618" s="5"/>
      <c r="M618" s="5"/>
      <c r="N618" s="5"/>
      <c r="O618" s="5"/>
      <c r="P618" s="5"/>
      <c r="Q618" s="5"/>
      <c r="R618" s="5"/>
      <c r="S618" s="5"/>
      <c r="T618" s="5"/>
      <c r="U618" s="5"/>
      <c r="V618" s="7"/>
      <c r="W618" s="7"/>
      <c r="X618" s="164" t="e">
        <f t="shared" si="131"/>
        <v>#N/A</v>
      </c>
      <c r="Y618" s="164" t="e">
        <f t="shared" si="132"/>
        <v>#N/A</v>
      </c>
      <c r="AB618" s="156">
        <f t="shared" si="134"/>
        <v>0</v>
      </c>
      <c r="AC618" s="121" t="str">
        <f t="shared" si="133"/>
        <v/>
      </c>
      <c r="AE618" s="121" t="str">
        <f t="shared" si="135"/>
        <v/>
      </c>
      <c r="AF618" s="111" t="str">
        <f t="shared" si="136"/>
        <v/>
      </c>
    </row>
    <row r="619" spans="1:32">
      <c r="A619" s="159"/>
      <c r="B619" s="160"/>
      <c r="C619" s="5"/>
      <c r="D619" s="5"/>
      <c r="E619" s="5"/>
      <c r="F619" s="5"/>
      <c r="G619" s="5"/>
      <c r="H619" s="5"/>
      <c r="I619" s="5"/>
      <c r="J619" s="5"/>
      <c r="K619" s="5"/>
      <c r="L619" s="5"/>
      <c r="M619" s="5"/>
      <c r="N619" s="5"/>
      <c r="O619" s="5"/>
      <c r="P619" s="5"/>
      <c r="Q619" s="5"/>
      <c r="R619" s="5"/>
      <c r="S619" s="5"/>
      <c r="T619" s="5"/>
      <c r="U619" s="5"/>
      <c r="V619" s="7"/>
      <c r="W619" s="7"/>
      <c r="X619" s="164" t="e">
        <f t="shared" si="131"/>
        <v>#N/A</v>
      </c>
      <c r="Y619" s="164" t="e">
        <f t="shared" si="132"/>
        <v>#N/A</v>
      </c>
      <c r="AB619" s="156">
        <f t="shared" si="134"/>
        <v>0</v>
      </c>
      <c r="AC619" s="121" t="str">
        <f t="shared" si="133"/>
        <v/>
      </c>
      <c r="AE619" s="121" t="str">
        <f t="shared" si="135"/>
        <v/>
      </c>
      <c r="AF619" s="111" t="str">
        <f t="shared" si="136"/>
        <v/>
      </c>
    </row>
    <row r="620" spans="1:32">
      <c r="A620" s="159"/>
      <c r="B620" s="160"/>
      <c r="C620" s="5"/>
      <c r="D620" s="5"/>
      <c r="E620" s="5"/>
      <c r="F620" s="5"/>
      <c r="G620" s="5"/>
      <c r="H620" s="5"/>
      <c r="I620" s="5"/>
      <c r="J620" s="5"/>
      <c r="K620" s="5"/>
      <c r="L620" s="5"/>
      <c r="M620" s="5"/>
      <c r="N620" s="5"/>
      <c r="O620" s="5"/>
      <c r="P620" s="5"/>
      <c r="Q620" s="5"/>
      <c r="R620" s="5"/>
      <c r="S620" s="5"/>
      <c r="T620" s="5"/>
      <c r="U620" s="5"/>
      <c r="V620" s="7"/>
      <c r="W620" s="7"/>
      <c r="X620" s="164" t="e">
        <f t="shared" si="131"/>
        <v>#N/A</v>
      </c>
      <c r="Y620" s="164" t="e">
        <f t="shared" si="132"/>
        <v>#N/A</v>
      </c>
      <c r="AB620" s="156">
        <f t="shared" si="134"/>
        <v>0</v>
      </c>
      <c r="AC620" s="121" t="str">
        <f t="shared" si="133"/>
        <v/>
      </c>
      <c r="AE620" s="121" t="str">
        <f t="shared" si="135"/>
        <v/>
      </c>
      <c r="AF620" s="111" t="str">
        <f t="shared" si="136"/>
        <v/>
      </c>
    </row>
    <row r="621" spans="1:32">
      <c r="A621" s="159"/>
      <c r="B621" s="160"/>
      <c r="C621" s="5"/>
      <c r="D621" s="5"/>
      <c r="E621" s="5"/>
      <c r="F621" s="5"/>
      <c r="G621" s="5"/>
      <c r="H621" s="5"/>
      <c r="I621" s="5"/>
      <c r="J621" s="5"/>
      <c r="K621" s="5"/>
      <c r="L621" s="5"/>
      <c r="M621" s="5"/>
      <c r="N621" s="5"/>
      <c r="O621" s="5"/>
      <c r="P621" s="5"/>
      <c r="Q621" s="5"/>
      <c r="R621" s="5"/>
      <c r="S621" s="5"/>
      <c r="T621" s="5"/>
      <c r="U621" s="5"/>
      <c r="V621" s="7"/>
      <c r="W621" s="7"/>
      <c r="X621" s="164" t="e">
        <f t="shared" si="131"/>
        <v>#N/A</v>
      </c>
      <c r="Y621" s="164" t="e">
        <f t="shared" si="132"/>
        <v>#N/A</v>
      </c>
      <c r="AB621" s="156">
        <f t="shared" si="134"/>
        <v>0</v>
      </c>
      <c r="AC621" s="121" t="str">
        <f t="shared" si="133"/>
        <v/>
      </c>
      <c r="AE621" s="121" t="str">
        <f t="shared" si="135"/>
        <v/>
      </c>
      <c r="AF621" s="111" t="str">
        <f t="shared" si="136"/>
        <v/>
      </c>
    </row>
    <row r="622" spans="1:32">
      <c r="A622" s="159"/>
      <c r="B622" s="160"/>
      <c r="C622" s="5"/>
      <c r="D622" s="5"/>
      <c r="E622" s="5"/>
      <c r="F622" s="5"/>
      <c r="G622" s="5"/>
      <c r="H622" s="5"/>
      <c r="I622" s="5"/>
      <c r="J622" s="5"/>
      <c r="K622" s="5"/>
      <c r="L622" s="5"/>
      <c r="M622" s="5"/>
      <c r="N622" s="5"/>
      <c r="O622" s="5"/>
      <c r="P622" s="5"/>
      <c r="Q622" s="5"/>
      <c r="R622" s="5"/>
      <c r="S622" s="5"/>
      <c r="T622" s="5"/>
      <c r="U622" s="5"/>
      <c r="V622" s="7"/>
      <c r="W622" s="7"/>
      <c r="X622" s="164" t="e">
        <f t="shared" si="131"/>
        <v>#N/A</v>
      </c>
      <c r="Y622" s="164" t="e">
        <f t="shared" si="132"/>
        <v>#N/A</v>
      </c>
      <c r="AB622" s="156">
        <f t="shared" si="134"/>
        <v>0</v>
      </c>
      <c r="AC622" s="121" t="str">
        <f t="shared" si="133"/>
        <v/>
      </c>
      <c r="AE622" s="121" t="str">
        <f t="shared" si="135"/>
        <v/>
      </c>
      <c r="AF622" s="111" t="str">
        <f t="shared" si="136"/>
        <v/>
      </c>
    </row>
    <row r="623" spans="1:32">
      <c r="A623" s="159"/>
      <c r="B623" s="160"/>
      <c r="C623" s="5"/>
      <c r="D623" s="5"/>
      <c r="E623" s="5"/>
      <c r="F623" s="5"/>
      <c r="G623" s="5"/>
      <c r="H623" s="5"/>
      <c r="I623" s="5"/>
      <c r="J623" s="5"/>
      <c r="K623" s="5"/>
      <c r="L623" s="5"/>
      <c r="M623" s="5"/>
      <c r="N623" s="5"/>
      <c r="O623" s="5"/>
      <c r="P623" s="5"/>
      <c r="Q623" s="5"/>
      <c r="R623" s="5"/>
      <c r="S623" s="5"/>
      <c r="T623" s="5"/>
      <c r="U623" s="5"/>
      <c r="V623" s="7"/>
      <c r="W623" s="7"/>
      <c r="X623" s="164" t="e">
        <f t="shared" si="131"/>
        <v>#N/A</v>
      </c>
      <c r="Y623" s="164" t="e">
        <f t="shared" si="132"/>
        <v>#N/A</v>
      </c>
      <c r="AB623" s="156">
        <f t="shared" si="134"/>
        <v>0</v>
      </c>
      <c r="AC623" s="121" t="str">
        <f t="shared" si="133"/>
        <v/>
      </c>
      <c r="AE623" s="121" t="str">
        <f t="shared" si="135"/>
        <v/>
      </c>
      <c r="AF623" s="111" t="str">
        <f t="shared" si="136"/>
        <v/>
      </c>
    </row>
    <row r="624" spans="1:32">
      <c r="A624" s="159"/>
      <c r="B624" s="160"/>
      <c r="C624" s="5"/>
      <c r="D624" s="5"/>
      <c r="E624" s="5"/>
      <c r="F624" s="5"/>
      <c r="G624" s="5"/>
      <c r="H624" s="5"/>
      <c r="I624" s="5"/>
      <c r="J624" s="5"/>
      <c r="K624" s="5"/>
      <c r="L624" s="5"/>
      <c r="M624" s="5"/>
      <c r="N624" s="5"/>
      <c r="O624" s="5"/>
      <c r="P624" s="5"/>
      <c r="Q624" s="5"/>
      <c r="R624" s="5"/>
      <c r="S624" s="5"/>
      <c r="T624" s="5"/>
      <c r="U624" s="5"/>
      <c r="V624" s="7"/>
      <c r="W624" s="7"/>
      <c r="X624" s="164" t="e">
        <f t="shared" si="131"/>
        <v>#N/A</v>
      </c>
      <c r="Y624" s="164" t="e">
        <f t="shared" si="132"/>
        <v>#N/A</v>
      </c>
      <c r="AB624" s="156">
        <f t="shared" si="134"/>
        <v>0</v>
      </c>
      <c r="AC624" s="121" t="str">
        <f t="shared" si="133"/>
        <v/>
      </c>
      <c r="AE624" s="121" t="str">
        <f t="shared" si="135"/>
        <v/>
      </c>
      <c r="AF624" s="111" t="str">
        <f t="shared" si="136"/>
        <v/>
      </c>
    </row>
    <row r="625" spans="1:32">
      <c r="A625" s="159"/>
      <c r="B625" s="160"/>
      <c r="C625" s="5"/>
      <c r="D625" s="5"/>
      <c r="E625" s="5"/>
      <c r="F625" s="5"/>
      <c r="G625" s="5"/>
      <c r="H625" s="5"/>
      <c r="I625" s="5"/>
      <c r="J625" s="5"/>
      <c r="K625" s="5"/>
      <c r="L625" s="5"/>
      <c r="M625" s="5"/>
      <c r="N625" s="5"/>
      <c r="O625" s="5"/>
      <c r="P625" s="5"/>
      <c r="Q625" s="5"/>
      <c r="R625" s="5"/>
      <c r="S625" s="5"/>
      <c r="T625" s="5"/>
      <c r="U625" s="5"/>
      <c r="V625" s="7"/>
      <c r="W625" s="7"/>
      <c r="X625" s="164" t="e">
        <f t="shared" si="131"/>
        <v>#N/A</v>
      </c>
      <c r="Y625" s="164" t="e">
        <f t="shared" si="132"/>
        <v>#N/A</v>
      </c>
      <c r="AB625" s="156">
        <f t="shared" si="134"/>
        <v>0</v>
      </c>
      <c r="AC625" s="121" t="str">
        <f t="shared" si="133"/>
        <v/>
      </c>
      <c r="AE625" s="121" t="str">
        <f t="shared" si="135"/>
        <v/>
      </c>
      <c r="AF625" s="111" t="str">
        <f t="shared" si="136"/>
        <v/>
      </c>
    </row>
    <row r="626" spans="1:32">
      <c r="A626" s="159"/>
      <c r="B626" s="160"/>
      <c r="C626" s="5"/>
      <c r="D626" s="5"/>
      <c r="E626" s="5"/>
      <c r="F626" s="5"/>
      <c r="G626" s="5"/>
      <c r="H626" s="5"/>
      <c r="I626" s="5"/>
      <c r="J626" s="5"/>
      <c r="K626" s="5"/>
      <c r="L626" s="5"/>
      <c r="M626" s="5"/>
      <c r="N626" s="5"/>
      <c r="O626" s="5"/>
      <c r="P626" s="5"/>
      <c r="Q626" s="5"/>
      <c r="R626" s="5"/>
      <c r="S626" s="5"/>
      <c r="T626" s="5"/>
      <c r="U626" s="5"/>
      <c r="V626" s="7"/>
      <c r="W626" s="7"/>
      <c r="X626" s="164" t="e">
        <f t="shared" si="131"/>
        <v>#N/A</v>
      </c>
      <c r="Y626" s="164" t="e">
        <f t="shared" si="132"/>
        <v>#N/A</v>
      </c>
      <c r="AB626" s="156">
        <f t="shared" si="134"/>
        <v>0</v>
      </c>
      <c r="AC626" s="121" t="str">
        <f t="shared" si="133"/>
        <v/>
      </c>
      <c r="AE626" s="121" t="str">
        <f t="shared" si="135"/>
        <v/>
      </c>
      <c r="AF626" s="111" t="str">
        <f t="shared" si="136"/>
        <v/>
      </c>
    </row>
    <row r="627" spans="1:32">
      <c r="A627" s="159"/>
      <c r="B627" s="160"/>
      <c r="C627" s="5"/>
      <c r="D627" s="5"/>
      <c r="E627" s="5"/>
      <c r="F627" s="5"/>
      <c r="G627" s="5"/>
      <c r="H627" s="5"/>
      <c r="I627" s="5"/>
      <c r="J627" s="5"/>
      <c r="K627" s="5"/>
      <c r="L627" s="5"/>
      <c r="M627" s="5"/>
      <c r="N627" s="5"/>
      <c r="O627" s="5"/>
      <c r="P627" s="5"/>
      <c r="Q627" s="5"/>
      <c r="R627" s="5"/>
      <c r="S627" s="5"/>
      <c r="T627" s="5"/>
      <c r="U627" s="5"/>
      <c r="V627" s="7"/>
      <c r="W627" s="7"/>
      <c r="X627" s="164" t="e">
        <f t="shared" si="131"/>
        <v>#N/A</v>
      </c>
      <c r="Y627" s="164" t="e">
        <f t="shared" si="132"/>
        <v>#N/A</v>
      </c>
      <c r="AB627" s="156">
        <f t="shared" si="134"/>
        <v>0</v>
      </c>
      <c r="AC627" s="121" t="str">
        <f t="shared" si="133"/>
        <v/>
      </c>
      <c r="AE627" s="121" t="str">
        <f t="shared" si="135"/>
        <v/>
      </c>
      <c r="AF627" s="111" t="str">
        <f t="shared" si="136"/>
        <v/>
      </c>
    </row>
    <row r="628" spans="1:32">
      <c r="A628" s="159"/>
      <c r="B628" s="160"/>
      <c r="C628" s="5"/>
      <c r="D628" s="5"/>
      <c r="E628" s="5"/>
      <c r="F628" s="5"/>
      <c r="G628" s="5"/>
      <c r="H628" s="5"/>
      <c r="I628" s="5"/>
      <c r="J628" s="5"/>
      <c r="K628" s="5"/>
      <c r="L628" s="5"/>
      <c r="M628" s="5"/>
      <c r="N628" s="5"/>
      <c r="O628" s="5"/>
      <c r="P628" s="5"/>
      <c r="Q628" s="5"/>
      <c r="R628" s="5"/>
      <c r="S628" s="5"/>
      <c r="T628" s="5"/>
      <c r="U628" s="5"/>
      <c r="V628" s="7"/>
      <c r="W628" s="7"/>
      <c r="X628" s="164" t="e">
        <f t="shared" si="131"/>
        <v>#N/A</v>
      </c>
      <c r="Y628" s="164" t="e">
        <f t="shared" si="132"/>
        <v>#N/A</v>
      </c>
      <c r="AB628" s="156">
        <f t="shared" si="134"/>
        <v>0</v>
      </c>
      <c r="AC628" s="121" t="str">
        <f t="shared" si="133"/>
        <v/>
      </c>
      <c r="AE628" s="121" t="str">
        <f t="shared" si="135"/>
        <v/>
      </c>
      <c r="AF628" s="111" t="str">
        <f t="shared" si="136"/>
        <v/>
      </c>
    </row>
    <row r="629" spans="1:32">
      <c r="A629" s="159"/>
      <c r="B629" s="160"/>
      <c r="C629" s="5"/>
      <c r="D629" s="5"/>
      <c r="E629" s="5"/>
      <c r="F629" s="5"/>
      <c r="G629" s="5"/>
      <c r="H629" s="5"/>
      <c r="I629" s="5"/>
      <c r="J629" s="5"/>
      <c r="K629" s="5"/>
      <c r="L629" s="5"/>
      <c r="M629" s="5"/>
      <c r="N629" s="5"/>
      <c r="O629" s="5"/>
      <c r="P629" s="5"/>
      <c r="Q629" s="5"/>
      <c r="R629" s="5"/>
      <c r="S629" s="5"/>
      <c r="T629" s="5"/>
      <c r="U629" s="5"/>
      <c r="V629" s="7"/>
      <c r="W629" s="7"/>
      <c r="X629" s="164" t="e">
        <f t="shared" si="131"/>
        <v>#N/A</v>
      </c>
      <c r="Y629" s="164" t="e">
        <f t="shared" si="132"/>
        <v>#N/A</v>
      </c>
      <c r="AB629" s="156">
        <f t="shared" si="134"/>
        <v>0</v>
      </c>
      <c r="AC629" s="121" t="str">
        <f t="shared" si="133"/>
        <v/>
      </c>
      <c r="AE629" s="121" t="str">
        <f t="shared" si="135"/>
        <v/>
      </c>
      <c r="AF629" s="111" t="str">
        <f t="shared" si="136"/>
        <v/>
      </c>
    </row>
    <row r="630" spans="1:32">
      <c r="A630" s="159"/>
      <c r="B630" s="160"/>
      <c r="C630" s="5"/>
      <c r="D630" s="5"/>
      <c r="E630" s="5"/>
      <c r="F630" s="5"/>
      <c r="G630" s="5"/>
      <c r="H630" s="5"/>
      <c r="I630" s="5"/>
      <c r="J630" s="5"/>
      <c r="K630" s="5"/>
      <c r="L630" s="5"/>
      <c r="M630" s="5"/>
      <c r="N630" s="5"/>
      <c r="O630" s="5"/>
      <c r="P630" s="5"/>
      <c r="Q630" s="5"/>
      <c r="R630" s="5"/>
      <c r="S630" s="5"/>
      <c r="T630" s="5"/>
      <c r="U630" s="5"/>
      <c r="V630" s="7"/>
      <c r="W630" s="7"/>
      <c r="X630" s="164" t="e">
        <f t="shared" si="131"/>
        <v>#N/A</v>
      </c>
      <c r="Y630" s="164" t="e">
        <f t="shared" si="132"/>
        <v>#N/A</v>
      </c>
      <c r="AB630" s="156">
        <f t="shared" si="134"/>
        <v>0</v>
      </c>
      <c r="AC630" s="121" t="str">
        <f t="shared" si="133"/>
        <v/>
      </c>
      <c r="AE630" s="121" t="str">
        <f t="shared" si="135"/>
        <v/>
      </c>
      <c r="AF630" s="111" t="str">
        <f t="shared" si="136"/>
        <v/>
      </c>
    </row>
    <row r="631" spans="1:32">
      <c r="A631" s="159"/>
      <c r="B631" s="160"/>
      <c r="C631" s="5"/>
      <c r="D631" s="5"/>
      <c r="E631" s="5"/>
      <c r="F631" s="5"/>
      <c r="G631" s="5"/>
      <c r="H631" s="5"/>
      <c r="I631" s="5"/>
      <c r="J631" s="5"/>
      <c r="K631" s="5"/>
      <c r="L631" s="5"/>
      <c r="M631" s="5"/>
      <c r="N631" s="5"/>
      <c r="O631" s="5"/>
      <c r="P631" s="5"/>
      <c r="Q631" s="5"/>
      <c r="R631" s="5"/>
      <c r="S631" s="5"/>
      <c r="T631" s="5"/>
      <c r="U631" s="5"/>
      <c r="V631" s="7"/>
      <c r="W631" s="7"/>
      <c r="X631" s="164" t="e">
        <f t="shared" si="131"/>
        <v>#N/A</v>
      </c>
      <c r="Y631" s="164" t="e">
        <f t="shared" si="132"/>
        <v>#N/A</v>
      </c>
      <c r="AB631" s="156">
        <f t="shared" si="134"/>
        <v>0</v>
      </c>
      <c r="AC631" s="121" t="str">
        <f t="shared" si="133"/>
        <v/>
      </c>
      <c r="AE631" s="121" t="str">
        <f t="shared" si="135"/>
        <v/>
      </c>
      <c r="AF631" s="111" t="str">
        <f t="shared" si="136"/>
        <v/>
      </c>
    </row>
    <row r="632" spans="1:32">
      <c r="A632" s="159"/>
      <c r="B632" s="160"/>
      <c r="C632" s="5"/>
      <c r="D632" s="5"/>
      <c r="E632" s="5"/>
      <c r="F632" s="5"/>
      <c r="G632" s="5"/>
      <c r="H632" s="5"/>
      <c r="I632" s="5"/>
      <c r="J632" s="5"/>
      <c r="K632" s="5"/>
      <c r="L632" s="5"/>
      <c r="M632" s="5"/>
      <c r="N632" s="5"/>
      <c r="O632" s="5"/>
      <c r="P632" s="5"/>
      <c r="Q632" s="5"/>
      <c r="R632" s="5"/>
      <c r="S632" s="5"/>
      <c r="T632" s="5"/>
      <c r="U632" s="5"/>
      <c r="V632" s="7"/>
      <c r="W632" s="7"/>
      <c r="X632" s="164" t="e">
        <f t="shared" si="131"/>
        <v>#N/A</v>
      </c>
      <c r="Y632" s="164" t="e">
        <f t="shared" si="132"/>
        <v>#N/A</v>
      </c>
      <c r="AB632" s="156">
        <f t="shared" si="134"/>
        <v>0</v>
      </c>
      <c r="AC632" s="121" t="str">
        <f t="shared" si="133"/>
        <v/>
      </c>
      <c r="AE632" s="121" t="str">
        <f t="shared" si="135"/>
        <v/>
      </c>
      <c r="AF632" s="111" t="str">
        <f t="shared" si="136"/>
        <v/>
      </c>
    </row>
    <row r="633" spans="1:32">
      <c r="A633" s="159"/>
      <c r="B633" s="160"/>
      <c r="C633" s="5"/>
      <c r="D633" s="5"/>
      <c r="E633" s="5"/>
      <c r="F633" s="5"/>
      <c r="G633" s="5"/>
      <c r="H633" s="5"/>
      <c r="I633" s="5"/>
      <c r="J633" s="5"/>
      <c r="K633" s="5"/>
      <c r="L633" s="5"/>
      <c r="M633" s="5"/>
      <c r="N633" s="5"/>
      <c r="O633" s="5"/>
      <c r="P633" s="5"/>
      <c r="Q633" s="5"/>
      <c r="R633" s="5"/>
      <c r="S633" s="5"/>
      <c r="T633" s="5"/>
      <c r="U633" s="5"/>
      <c r="V633" s="7"/>
      <c r="W633" s="7"/>
      <c r="X633" s="164" t="e">
        <f t="shared" si="131"/>
        <v>#N/A</v>
      </c>
      <c r="Y633" s="164" t="e">
        <f t="shared" si="132"/>
        <v>#N/A</v>
      </c>
      <c r="AB633" s="156">
        <f t="shared" si="134"/>
        <v>0</v>
      </c>
      <c r="AC633" s="121" t="str">
        <f t="shared" si="133"/>
        <v/>
      </c>
      <c r="AE633" s="121" t="str">
        <f t="shared" si="135"/>
        <v/>
      </c>
      <c r="AF633" s="111" t="str">
        <f t="shared" si="136"/>
        <v/>
      </c>
    </row>
    <row r="634" spans="1:32">
      <c r="A634" s="159"/>
      <c r="B634" s="160"/>
      <c r="C634" s="5"/>
      <c r="D634" s="5"/>
      <c r="E634" s="5"/>
      <c r="F634" s="5"/>
      <c r="G634" s="5"/>
      <c r="H634" s="5"/>
      <c r="I634" s="5"/>
      <c r="J634" s="5"/>
      <c r="K634" s="5"/>
      <c r="L634" s="5"/>
      <c r="M634" s="5"/>
      <c r="N634" s="5"/>
      <c r="O634" s="5"/>
      <c r="P634" s="5"/>
      <c r="Q634" s="5"/>
      <c r="R634" s="5"/>
      <c r="S634" s="5"/>
      <c r="T634" s="5"/>
      <c r="U634" s="5"/>
      <c r="V634" s="7"/>
      <c r="W634" s="7"/>
      <c r="X634" s="164" t="e">
        <f t="shared" si="131"/>
        <v>#N/A</v>
      </c>
      <c r="Y634" s="164" t="e">
        <f t="shared" si="132"/>
        <v>#N/A</v>
      </c>
      <c r="AB634" s="156">
        <f t="shared" si="134"/>
        <v>0</v>
      </c>
      <c r="AC634" s="121" t="str">
        <f t="shared" si="133"/>
        <v/>
      </c>
      <c r="AE634" s="121" t="str">
        <f t="shared" si="135"/>
        <v/>
      </c>
      <c r="AF634" s="111" t="str">
        <f t="shared" si="136"/>
        <v/>
      </c>
    </row>
    <row r="635" spans="1:32">
      <c r="A635" s="159"/>
      <c r="B635" s="160"/>
      <c r="C635" s="5"/>
      <c r="D635" s="5"/>
      <c r="E635" s="5"/>
      <c r="F635" s="5"/>
      <c r="G635" s="5"/>
      <c r="H635" s="5"/>
      <c r="I635" s="5"/>
      <c r="J635" s="5"/>
      <c r="K635" s="5"/>
      <c r="L635" s="5"/>
      <c r="M635" s="5"/>
      <c r="N635" s="5"/>
      <c r="O635" s="5"/>
      <c r="P635" s="5"/>
      <c r="Q635" s="5"/>
      <c r="R635" s="5"/>
      <c r="S635" s="5"/>
      <c r="T635" s="5"/>
      <c r="U635" s="5"/>
      <c r="V635" s="7"/>
      <c r="W635" s="7"/>
      <c r="X635" s="164" t="e">
        <f t="shared" si="131"/>
        <v>#N/A</v>
      </c>
      <c r="Y635" s="164" t="e">
        <f t="shared" si="132"/>
        <v>#N/A</v>
      </c>
      <c r="AB635" s="156">
        <f t="shared" si="134"/>
        <v>0</v>
      </c>
      <c r="AC635" s="121" t="str">
        <f t="shared" si="133"/>
        <v/>
      </c>
      <c r="AE635" s="121" t="str">
        <f t="shared" si="135"/>
        <v/>
      </c>
      <c r="AF635" s="111" t="str">
        <f t="shared" si="136"/>
        <v/>
      </c>
    </row>
    <row r="636" spans="1:32">
      <c r="A636" s="159"/>
      <c r="B636" s="160"/>
      <c r="C636" s="5"/>
      <c r="D636" s="5"/>
      <c r="E636" s="5"/>
      <c r="F636" s="5"/>
      <c r="G636" s="5"/>
      <c r="H636" s="5"/>
      <c r="I636" s="5"/>
      <c r="J636" s="5"/>
      <c r="K636" s="5"/>
      <c r="L636" s="5"/>
      <c r="M636" s="5"/>
      <c r="N636" s="5"/>
      <c r="O636" s="5"/>
      <c r="P636" s="5"/>
      <c r="Q636" s="5"/>
      <c r="R636" s="5"/>
      <c r="S636" s="5"/>
      <c r="T636" s="5"/>
      <c r="U636" s="5"/>
      <c r="V636" s="7"/>
      <c r="W636" s="7"/>
      <c r="X636" s="164" t="e">
        <f t="shared" si="131"/>
        <v>#N/A</v>
      </c>
      <c r="Y636" s="164" t="e">
        <f t="shared" si="132"/>
        <v>#N/A</v>
      </c>
      <c r="AB636" s="156">
        <f t="shared" si="134"/>
        <v>0</v>
      </c>
      <c r="AC636" s="121" t="str">
        <f t="shared" si="133"/>
        <v/>
      </c>
      <c r="AE636" s="121" t="str">
        <f t="shared" si="135"/>
        <v/>
      </c>
      <c r="AF636" s="111" t="str">
        <f t="shared" si="136"/>
        <v/>
      </c>
    </row>
    <row r="637" spans="1:32">
      <c r="A637" s="159"/>
      <c r="B637" s="160"/>
      <c r="C637" s="5"/>
      <c r="D637" s="5"/>
      <c r="E637" s="5"/>
      <c r="F637" s="5"/>
      <c r="G637" s="5"/>
      <c r="H637" s="5"/>
      <c r="I637" s="5"/>
      <c r="J637" s="5"/>
      <c r="K637" s="5"/>
      <c r="L637" s="5"/>
      <c r="M637" s="5"/>
      <c r="N637" s="5"/>
      <c r="O637" s="5"/>
      <c r="P637" s="5"/>
      <c r="Q637" s="5"/>
      <c r="R637" s="5"/>
      <c r="S637" s="5"/>
      <c r="T637" s="5"/>
      <c r="U637" s="5"/>
      <c r="V637" s="7"/>
      <c r="W637" s="7"/>
      <c r="X637" s="164" t="e">
        <f t="shared" si="131"/>
        <v>#N/A</v>
      </c>
      <c r="Y637" s="164" t="e">
        <f t="shared" si="132"/>
        <v>#N/A</v>
      </c>
      <c r="AB637" s="156">
        <f t="shared" si="134"/>
        <v>0</v>
      </c>
      <c r="AC637" s="121" t="str">
        <f t="shared" si="133"/>
        <v/>
      </c>
      <c r="AE637" s="121" t="str">
        <f t="shared" si="135"/>
        <v/>
      </c>
      <c r="AF637" s="111" t="str">
        <f t="shared" si="136"/>
        <v/>
      </c>
    </row>
    <row r="638" spans="1:32">
      <c r="A638" s="159"/>
      <c r="B638" s="160"/>
      <c r="C638" s="5"/>
      <c r="D638" s="5"/>
      <c r="E638" s="5"/>
      <c r="F638" s="5"/>
      <c r="G638" s="5"/>
      <c r="H638" s="5"/>
      <c r="I638" s="5"/>
      <c r="J638" s="5"/>
      <c r="K638" s="5"/>
      <c r="L638" s="5"/>
      <c r="M638" s="5"/>
      <c r="N638" s="5"/>
      <c r="O638" s="5"/>
      <c r="P638" s="5"/>
      <c r="Q638" s="5"/>
      <c r="R638" s="5"/>
      <c r="S638" s="5"/>
      <c r="T638" s="5"/>
      <c r="U638" s="5"/>
      <c r="V638" s="7"/>
      <c r="W638" s="7"/>
      <c r="X638" s="164" t="e">
        <f t="shared" si="131"/>
        <v>#N/A</v>
      </c>
      <c r="Y638" s="164" t="e">
        <f t="shared" si="132"/>
        <v>#N/A</v>
      </c>
      <c r="AB638" s="156">
        <f t="shared" si="134"/>
        <v>0</v>
      </c>
      <c r="AC638" s="121" t="str">
        <f t="shared" si="133"/>
        <v/>
      </c>
      <c r="AE638" s="121" t="str">
        <f t="shared" si="135"/>
        <v/>
      </c>
      <c r="AF638" s="111" t="str">
        <f t="shared" si="136"/>
        <v/>
      </c>
    </row>
    <row r="639" spans="1:32">
      <c r="A639" s="159"/>
      <c r="B639" s="160"/>
      <c r="C639" s="5"/>
      <c r="D639" s="5"/>
      <c r="E639" s="5"/>
      <c r="F639" s="5"/>
      <c r="G639" s="5"/>
      <c r="H639" s="5"/>
      <c r="I639" s="5"/>
      <c r="J639" s="5"/>
      <c r="K639" s="5"/>
      <c r="L639" s="5"/>
      <c r="M639" s="5"/>
      <c r="N639" s="5"/>
      <c r="O639" s="5"/>
      <c r="P639" s="5"/>
      <c r="Q639" s="5"/>
      <c r="R639" s="5"/>
      <c r="S639" s="5"/>
      <c r="T639" s="5"/>
      <c r="U639" s="5"/>
      <c r="V639" s="7"/>
      <c r="W639" s="7"/>
      <c r="X639" s="164" t="e">
        <f t="shared" si="131"/>
        <v>#N/A</v>
      </c>
      <c r="Y639" s="164" t="e">
        <f t="shared" si="132"/>
        <v>#N/A</v>
      </c>
      <c r="AB639" s="156">
        <f t="shared" si="134"/>
        <v>0</v>
      </c>
      <c r="AC639" s="121" t="str">
        <f t="shared" si="133"/>
        <v/>
      </c>
      <c r="AE639" s="121" t="str">
        <f t="shared" si="135"/>
        <v/>
      </c>
      <c r="AF639" s="111" t="str">
        <f t="shared" si="136"/>
        <v/>
      </c>
    </row>
    <row r="640" spans="1:32">
      <c r="A640" s="159"/>
      <c r="B640" s="160"/>
      <c r="C640" s="5"/>
      <c r="D640" s="5"/>
      <c r="E640" s="5"/>
      <c r="F640" s="5"/>
      <c r="G640" s="5"/>
      <c r="H640" s="5"/>
      <c r="I640" s="5"/>
      <c r="J640" s="5"/>
      <c r="K640" s="5"/>
      <c r="L640" s="5"/>
      <c r="M640" s="5"/>
      <c r="N640" s="5"/>
      <c r="O640" s="5"/>
      <c r="P640" s="5"/>
      <c r="Q640" s="5"/>
      <c r="R640" s="5"/>
      <c r="S640" s="5"/>
      <c r="T640" s="5"/>
      <c r="U640" s="5"/>
      <c r="V640" s="7"/>
      <c r="W640" s="7"/>
      <c r="X640" s="164" t="e">
        <f t="shared" si="131"/>
        <v>#N/A</v>
      </c>
      <c r="Y640" s="164" t="e">
        <f t="shared" si="132"/>
        <v>#N/A</v>
      </c>
      <c r="AB640" s="156">
        <f t="shared" si="134"/>
        <v>0</v>
      </c>
      <c r="AC640" s="121" t="str">
        <f t="shared" si="133"/>
        <v/>
      </c>
      <c r="AE640" s="121" t="str">
        <f t="shared" si="135"/>
        <v/>
      </c>
      <c r="AF640" s="111" t="str">
        <f t="shared" si="136"/>
        <v/>
      </c>
    </row>
    <row r="641" spans="1:32">
      <c r="A641" s="159"/>
      <c r="B641" s="160"/>
      <c r="C641" s="5"/>
      <c r="D641" s="5"/>
      <c r="E641" s="5"/>
      <c r="F641" s="5"/>
      <c r="G641" s="5"/>
      <c r="H641" s="5"/>
      <c r="I641" s="5"/>
      <c r="J641" s="5"/>
      <c r="K641" s="5"/>
      <c r="L641" s="5"/>
      <c r="M641" s="5"/>
      <c r="N641" s="5"/>
      <c r="O641" s="5"/>
      <c r="P641" s="5"/>
      <c r="Q641" s="5"/>
      <c r="R641" s="5"/>
      <c r="S641" s="5"/>
      <c r="T641" s="5"/>
      <c r="U641" s="5"/>
      <c r="V641" s="7"/>
      <c r="W641" s="7"/>
      <c r="X641" s="164" t="e">
        <f t="shared" si="131"/>
        <v>#N/A</v>
      </c>
      <c r="Y641" s="164" t="e">
        <f t="shared" si="132"/>
        <v>#N/A</v>
      </c>
      <c r="AB641" s="156">
        <f t="shared" si="134"/>
        <v>0</v>
      </c>
      <c r="AC641" s="121" t="str">
        <f t="shared" si="133"/>
        <v/>
      </c>
      <c r="AE641" s="121" t="str">
        <f t="shared" si="135"/>
        <v/>
      </c>
      <c r="AF641" s="111" t="str">
        <f t="shared" si="136"/>
        <v/>
      </c>
    </row>
    <row r="642" spans="1:32">
      <c r="A642" s="159"/>
      <c r="B642" s="160"/>
      <c r="C642" s="5"/>
      <c r="D642" s="5"/>
      <c r="E642" s="5"/>
      <c r="F642" s="5"/>
      <c r="G642" s="5"/>
      <c r="H642" s="5"/>
      <c r="I642" s="5"/>
      <c r="J642" s="5"/>
      <c r="K642" s="5"/>
      <c r="L642" s="5"/>
      <c r="M642" s="5"/>
      <c r="N642" s="5"/>
      <c r="O642" s="5"/>
      <c r="P642" s="5"/>
      <c r="Q642" s="5"/>
      <c r="R642" s="5"/>
      <c r="S642" s="5"/>
      <c r="T642" s="5"/>
      <c r="U642" s="5"/>
      <c r="V642" s="7"/>
      <c r="W642" s="7"/>
      <c r="X642" s="164" t="e">
        <f t="shared" ref="X642:X705" si="137">IF(AB642=1, A642,NA())</f>
        <v>#N/A</v>
      </c>
      <c r="Y642" s="164" t="e">
        <f t="shared" ref="Y642:Y705" si="138">IF(AB642=1,B642-($H$7+$I$7*X642),NA())</f>
        <v>#N/A</v>
      </c>
      <c r="AB642" s="156">
        <f t="shared" si="134"/>
        <v>0</v>
      </c>
      <c r="AC642" s="121" t="str">
        <f t="shared" ref="AC642:AC705" si="139">IF(ISBLANK(A642), "", Y642^2)</f>
        <v/>
      </c>
      <c r="AE642" s="121" t="str">
        <f t="shared" si="135"/>
        <v/>
      </c>
      <c r="AF642" s="111" t="str">
        <f t="shared" si="136"/>
        <v/>
      </c>
    </row>
    <row r="643" spans="1:32">
      <c r="A643" s="159"/>
      <c r="B643" s="160"/>
      <c r="C643" s="5"/>
      <c r="D643" s="5"/>
      <c r="E643" s="5"/>
      <c r="F643" s="5"/>
      <c r="G643" s="5"/>
      <c r="H643" s="5"/>
      <c r="I643" s="5"/>
      <c r="J643" s="5"/>
      <c r="K643" s="5"/>
      <c r="L643" s="5"/>
      <c r="M643" s="5"/>
      <c r="N643" s="5"/>
      <c r="O643" s="5"/>
      <c r="P643" s="5"/>
      <c r="Q643" s="5"/>
      <c r="R643" s="5"/>
      <c r="S643" s="5"/>
      <c r="T643" s="5"/>
      <c r="U643" s="5"/>
      <c r="V643" s="7"/>
      <c r="W643" s="7"/>
      <c r="X643" s="164" t="e">
        <f t="shared" si="137"/>
        <v>#N/A</v>
      </c>
      <c r="Y643" s="164" t="e">
        <f t="shared" si="138"/>
        <v>#N/A</v>
      </c>
      <c r="AB643" s="156">
        <f t="shared" ref="AB643:AB706" si="140">IF(ISBLANK(A643),0,1)</f>
        <v>0</v>
      </c>
      <c r="AC643" s="121" t="str">
        <f t="shared" si="139"/>
        <v/>
      </c>
      <c r="AE643" s="121" t="str">
        <f t="shared" ref="AE643:AE706" si="141">IF(AB643=1,(A643-$AA$2)^2, "")</f>
        <v/>
      </c>
      <c r="AF643" s="111" t="str">
        <f t="shared" si="136"/>
        <v/>
      </c>
    </row>
    <row r="644" spans="1:32">
      <c r="A644" s="159"/>
      <c r="B644" s="160"/>
      <c r="C644" s="5"/>
      <c r="D644" s="5"/>
      <c r="E644" s="5"/>
      <c r="F644" s="5"/>
      <c r="G644" s="5"/>
      <c r="H644" s="5"/>
      <c r="I644" s="5"/>
      <c r="J644" s="5"/>
      <c r="K644" s="5"/>
      <c r="L644" s="5"/>
      <c r="M644" s="5"/>
      <c r="N644" s="5"/>
      <c r="O644" s="5"/>
      <c r="P644" s="5"/>
      <c r="Q644" s="5"/>
      <c r="R644" s="5"/>
      <c r="S644" s="5"/>
      <c r="T644" s="5"/>
      <c r="U644" s="5"/>
      <c r="V644" s="7"/>
      <c r="W644" s="7"/>
      <c r="X644" s="164" t="e">
        <f t="shared" si="137"/>
        <v>#N/A</v>
      </c>
      <c r="Y644" s="164" t="e">
        <f t="shared" si="138"/>
        <v>#N/A</v>
      </c>
      <c r="AB644" s="156">
        <f t="shared" si="140"/>
        <v>0</v>
      </c>
      <c r="AC644" s="121" t="str">
        <f t="shared" si="139"/>
        <v/>
      </c>
      <c r="AE644" s="121" t="str">
        <f t="shared" si="141"/>
        <v/>
      </c>
      <c r="AF644" s="111" t="str">
        <f t="shared" ref="AF644:AF707" si="142">IFERROR(Y643, "")</f>
        <v/>
      </c>
    </row>
    <row r="645" spans="1:32">
      <c r="A645" s="159"/>
      <c r="B645" s="160"/>
      <c r="C645" s="5"/>
      <c r="D645" s="5"/>
      <c r="E645" s="5"/>
      <c r="F645" s="5"/>
      <c r="G645" s="5"/>
      <c r="H645" s="5"/>
      <c r="I645" s="5"/>
      <c r="J645" s="5"/>
      <c r="K645" s="5"/>
      <c r="L645" s="5"/>
      <c r="M645" s="5"/>
      <c r="N645" s="5"/>
      <c r="O645" s="5"/>
      <c r="P645" s="5"/>
      <c r="Q645" s="5"/>
      <c r="R645" s="5"/>
      <c r="S645" s="5"/>
      <c r="T645" s="5"/>
      <c r="U645" s="5"/>
      <c r="V645" s="7"/>
      <c r="W645" s="7"/>
      <c r="X645" s="164" t="e">
        <f t="shared" si="137"/>
        <v>#N/A</v>
      </c>
      <c r="Y645" s="164" t="e">
        <f t="shared" si="138"/>
        <v>#N/A</v>
      </c>
      <c r="AB645" s="156">
        <f t="shared" si="140"/>
        <v>0</v>
      </c>
      <c r="AC645" s="121" t="str">
        <f t="shared" si="139"/>
        <v/>
      </c>
      <c r="AE645" s="121" t="str">
        <f t="shared" si="141"/>
        <v/>
      </c>
      <c r="AF645" s="111" t="str">
        <f t="shared" si="142"/>
        <v/>
      </c>
    </row>
    <row r="646" spans="1:32">
      <c r="A646" s="159"/>
      <c r="B646" s="160"/>
      <c r="C646" s="5"/>
      <c r="D646" s="5"/>
      <c r="E646" s="5"/>
      <c r="F646" s="5"/>
      <c r="G646" s="5"/>
      <c r="H646" s="5"/>
      <c r="I646" s="5"/>
      <c r="J646" s="5"/>
      <c r="K646" s="5"/>
      <c r="L646" s="5"/>
      <c r="M646" s="5"/>
      <c r="N646" s="5"/>
      <c r="O646" s="5"/>
      <c r="P646" s="5"/>
      <c r="Q646" s="5"/>
      <c r="R646" s="5"/>
      <c r="S646" s="5"/>
      <c r="T646" s="5"/>
      <c r="U646" s="5"/>
      <c r="V646" s="7"/>
      <c r="W646" s="7"/>
      <c r="X646" s="164" t="e">
        <f t="shared" si="137"/>
        <v>#N/A</v>
      </c>
      <c r="Y646" s="164" t="e">
        <f t="shared" si="138"/>
        <v>#N/A</v>
      </c>
      <c r="AB646" s="156">
        <f t="shared" si="140"/>
        <v>0</v>
      </c>
      <c r="AC646" s="121" t="str">
        <f t="shared" si="139"/>
        <v/>
      </c>
      <c r="AE646" s="121" t="str">
        <f t="shared" si="141"/>
        <v/>
      </c>
      <c r="AF646" s="111" t="str">
        <f t="shared" si="142"/>
        <v/>
      </c>
    </row>
    <row r="647" spans="1:32">
      <c r="A647" s="159"/>
      <c r="B647" s="160"/>
      <c r="C647" s="5"/>
      <c r="D647" s="5"/>
      <c r="E647" s="5"/>
      <c r="F647" s="5"/>
      <c r="G647" s="5"/>
      <c r="H647" s="5"/>
      <c r="I647" s="5"/>
      <c r="J647" s="5"/>
      <c r="K647" s="5"/>
      <c r="L647" s="5"/>
      <c r="M647" s="5"/>
      <c r="N647" s="5"/>
      <c r="O647" s="5"/>
      <c r="P647" s="5"/>
      <c r="Q647" s="5"/>
      <c r="R647" s="5"/>
      <c r="S647" s="5"/>
      <c r="T647" s="5"/>
      <c r="U647" s="5"/>
      <c r="V647" s="7"/>
      <c r="W647" s="7"/>
      <c r="X647" s="164" t="e">
        <f t="shared" si="137"/>
        <v>#N/A</v>
      </c>
      <c r="Y647" s="164" t="e">
        <f t="shared" si="138"/>
        <v>#N/A</v>
      </c>
      <c r="AB647" s="156">
        <f t="shared" si="140"/>
        <v>0</v>
      </c>
      <c r="AC647" s="121" t="str">
        <f t="shared" si="139"/>
        <v/>
      </c>
      <c r="AE647" s="121" t="str">
        <f t="shared" si="141"/>
        <v/>
      </c>
      <c r="AF647" s="111" t="str">
        <f t="shared" si="142"/>
        <v/>
      </c>
    </row>
    <row r="648" spans="1:32">
      <c r="A648" s="159"/>
      <c r="B648" s="160"/>
      <c r="C648" s="5"/>
      <c r="D648" s="5"/>
      <c r="E648" s="5"/>
      <c r="F648" s="5"/>
      <c r="G648" s="5"/>
      <c r="H648" s="5"/>
      <c r="I648" s="5"/>
      <c r="J648" s="5"/>
      <c r="K648" s="5"/>
      <c r="L648" s="5"/>
      <c r="M648" s="5"/>
      <c r="N648" s="5"/>
      <c r="O648" s="5"/>
      <c r="P648" s="5"/>
      <c r="Q648" s="5"/>
      <c r="R648" s="5"/>
      <c r="S648" s="5"/>
      <c r="T648" s="5"/>
      <c r="U648" s="5"/>
      <c r="V648" s="7"/>
      <c r="W648" s="7"/>
      <c r="X648" s="164" t="e">
        <f t="shared" si="137"/>
        <v>#N/A</v>
      </c>
      <c r="Y648" s="164" t="e">
        <f t="shared" si="138"/>
        <v>#N/A</v>
      </c>
      <c r="AB648" s="156">
        <f t="shared" si="140"/>
        <v>0</v>
      </c>
      <c r="AC648" s="121" t="str">
        <f t="shared" si="139"/>
        <v/>
      </c>
      <c r="AE648" s="121" t="str">
        <f t="shared" si="141"/>
        <v/>
      </c>
      <c r="AF648" s="111" t="str">
        <f t="shared" si="142"/>
        <v/>
      </c>
    </row>
    <row r="649" spans="1:32">
      <c r="A649" s="159"/>
      <c r="B649" s="160"/>
      <c r="C649" s="5"/>
      <c r="D649" s="5"/>
      <c r="E649" s="5"/>
      <c r="F649" s="5"/>
      <c r="G649" s="5"/>
      <c r="H649" s="5"/>
      <c r="I649" s="5"/>
      <c r="J649" s="5"/>
      <c r="K649" s="5"/>
      <c r="L649" s="5"/>
      <c r="M649" s="5"/>
      <c r="N649" s="5"/>
      <c r="O649" s="5"/>
      <c r="P649" s="5"/>
      <c r="Q649" s="5"/>
      <c r="R649" s="5"/>
      <c r="S649" s="5"/>
      <c r="T649" s="5"/>
      <c r="U649" s="5"/>
      <c r="V649" s="7"/>
      <c r="W649" s="7"/>
      <c r="X649" s="164" t="e">
        <f t="shared" si="137"/>
        <v>#N/A</v>
      </c>
      <c r="Y649" s="164" t="e">
        <f t="shared" si="138"/>
        <v>#N/A</v>
      </c>
      <c r="AB649" s="156">
        <f t="shared" si="140"/>
        <v>0</v>
      </c>
      <c r="AC649" s="121" t="str">
        <f t="shared" si="139"/>
        <v/>
      </c>
      <c r="AE649" s="121" t="str">
        <f t="shared" si="141"/>
        <v/>
      </c>
      <c r="AF649" s="111" t="str">
        <f t="shared" si="142"/>
        <v/>
      </c>
    </row>
    <row r="650" spans="1:32">
      <c r="A650" s="159"/>
      <c r="B650" s="160"/>
      <c r="C650" s="5"/>
      <c r="D650" s="5"/>
      <c r="E650" s="5"/>
      <c r="F650" s="5"/>
      <c r="G650" s="5"/>
      <c r="H650" s="5"/>
      <c r="I650" s="5"/>
      <c r="J650" s="5"/>
      <c r="K650" s="5"/>
      <c r="L650" s="5"/>
      <c r="M650" s="5"/>
      <c r="N650" s="5"/>
      <c r="O650" s="5"/>
      <c r="P650" s="5"/>
      <c r="Q650" s="5"/>
      <c r="R650" s="5"/>
      <c r="S650" s="5"/>
      <c r="T650" s="5"/>
      <c r="U650" s="5"/>
      <c r="V650" s="7"/>
      <c r="W650" s="7"/>
      <c r="X650" s="164" t="e">
        <f t="shared" si="137"/>
        <v>#N/A</v>
      </c>
      <c r="Y650" s="164" t="e">
        <f t="shared" si="138"/>
        <v>#N/A</v>
      </c>
      <c r="AB650" s="156">
        <f t="shared" si="140"/>
        <v>0</v>
      </c>
      <c r="AC650" s="121" t="str">
        <f t="shared" si="139"/>
        <v/>
      </c>
      <c r="AE650" s="121" t="str">
        <f t="shared" si="141"/>
        <v/>
      </c>
      <c r="AF650" s="111" t="str">
        <f t="shared" si="142"/>
        <v/>
      </c>
    </row>
    <row r="651" spans="1:32">
      <c r="A651" s="159"/>
      <c r="B651" s="160"/>
      <c r="C651" s="5"/>
      <c r="D651" s="5"/>
      <c r="E651" s="5"/>
      <c r="F651" s="5"/>
      <c r="G651" s="5"/>
      <c r="H651" s="5"/>
      <c r="I651" s="5"/>
      <c r="J651" s="5"/>
      <c r="K651" s="5"/>
      <c r="L651" s="5"/>
      <c r="M651" s="5"/>
      <c r="N651" s="5"/>
      <c r="O651" s="5"/>
      <c r="P651" s="5"/>
      <c r="Q651" s="5"/>
      <c r="R651" s="5"/>
      <c r="S651" s="5"/>
      <c r="T651" s="5"/>
      <c r="U651" s="5"/>
      <c r="V651" s="7"/>
      <c r="W651" s="7"/>
      <c r="X651" s="164" t="e">
        <f t="shared" si="137"/>
        <v>#N/A</v>
      </c>
      <c r="Y651" s="164" t="e">
        <f t="shared" si="138"/>
        <v>#N/A</v>
      </c>
      <c r="AB651" s="156">
        <f t="shared" si="140"/>
        <v>0</v>
      </c>
      <c r="AC651" s="121" t="str">
        <f t="shared" si="139"/>
        <v/>
      </c>
      <c r="AE651" s="121" t="str">
        <f t="shared" si="141"/>
        <v/>
      </c>
      <c r="AF651" s="111" t="str">
        <f t="shared" si="142"/>
        <v/>
      </c>
    </row>
    <row r="652" spans="1:32">
      <c r="A652" s="159"/>
      <c r="B652" s="160"/>
      <c r="C652" s="5"/>
      <c r="D652" s="5"/>
      <c r="E652" s="5"/>
      <c r="F652" s="5"/>
      <c r="G652" s="5"/>
      <c r="H652" s="5"/>
      <c r="I652" s="5"/>
      <c r="J652" s="5"/>
      <c r="K652" s="5"/>
      <c r="L652" s="5"/>
      <c r="M652" s="5"/>
      <c r="N652" s="5"/>
      <c r="O652" s="5"/>
      <c r="P652" s="5"/>
      <c r="Q652" s="5"/>
      <c r="R652" s="5"/>
      <c r="S652" s="5"/>
      <c r="T652" s="5"/>
      <c r="U652" s="5"/>
      <c r="V652" s="7"/>
      <c r="W652" s="7"/>
      <c r="X652" s="164" t="e">
        <f t="shared" si="137"/>
        <v>#N/A</v>
      </c>
      <c r="Y652" s="164" t="e">
        <f t="shared" si="138"/>
        <v>#N/A</v>
      </c>
      <c r="AB652" s="156">
        <f t="shared" si="140"/>
        <v>0</v>
      </c>
      <c r="AC652" s="121" t="str">
        <f t="shared" si="139"/>
        <v/>
      </c>
      <c r="AE652" s="121" t="str">
        <f t="shared" si="141"/>
        <v/>
      </c>
      <c r="AF652" s="111" t="str">
        <f t="shared" si="142"/>
        <v/>
      </c>
    </row>
    <row r="653" spans="1:32">
      <c r="A653" s="159"/>
      <c r="B653" s="160"/>
      <c r="C653" s="5"/>
      <c r="D653" s="5"/>
      <c r="E653" s="5"/>
      <c r="F653" s="5"/>
      <c r="G653" s="5"/>
      <c r="H653" s="5"/>
      <c r="I653" s="5"/>
      <c r="J653" s="5"/>
      <c r="K653" s="5"/>
      <c r="L653" s="5"/>
      <c r="M653" s="5"/>
      <c r="N653" s="5"/>
      <c r="O653" s="5"/>
      <c r="P653" s="5"/>
      <c r="Q653" s="5"/>
      <c r="R653" s="5"/>
      <c r="S653" s="5"/>
      <c r="T653" s="5"/>
      <c r="U653" s="5"/>
      <c r="V653" s="7"/>
      <c r="W653" s="7"/>
      <c r="X653" s="164" t="e">
        <f t="shared" si="137"/>
        <v>#N/A</v>
      </c>
      <c r="Y653" s="164" t="e">
        <f t="shared" si="138"/>
        <v>#N/A</v>
      </c>
      <c r="AB653" s="156">
        <f t="shared" si="140"/>
        <v>0</v>
      </c>
      <c r="AC653" s="121" t="str">
        <f t="shared" si="139"/>
        <v/>
      </c>
      <c r="AE653" s="121" t="str">
        <f t="shared" si="141"/>
        <v/>
      </c>
      <c r="AF653" s="111" t="str">
        <f t="shared" si="142"/>
        <v/>
      </c>
    </row>
    <row r="654" spans="1:32">
      <c r="A654" s="159"/>
      <c r="B654" s="160"/>
      <c r="C654" s="5"/>
      <c r="D654" s="5"/>
      <c r="E654" s="5"/>
      <c r="F654" s="5"/>
      <c r="G654" s="5"/>
      <c r="H654" s="5"/>
      <c r="I654" s="5"/>
      <c r="J654" s="5"/>
      <c r="K654" s="5"/>
      <c r="L654" s="5"/>
      <c r="M654" s="5"/>
      <c r="N654" s="5"/>
      <c r="O654" s="5"/>
      <c r="P654" s="5"/>
      <c r="Q654" s="5"/>
      <c r="R654" s="5"/>
      <c r="S654" s="5"/>
      <c r="T654" s="5"/>
      <c r="U654" s="5"/>
      <c r="V654" s="7"/>
      <c r="W654" s="7"/>
      <c r="X654" s="164" t="e">
        <f t="shared" si="137"/>
        <v>#N/A</v>
      </c>
      <c r="Y654" s="164" t="e">
        <f t="shared" si="138"/>
        <v>#N/A</v>
      </c>
      <c r="AB654" s="156">
        <f t="shared" si="140"/>
        <v>0</v>
      </c>
      <c r="AC654" s="121" t="str">
        <f t="shared" si="139"/>
        <v/>
      </c>
      <c r="AE654" s="121" t="str">
        <f t="shared" si="141"/>
        <v/>
      </c>
      <c r="AF654" s="111" t="str">
        <f t="shared" si="142"/>
        <v/>
      </c>
    </row>
    <row r="655" spans="1:32">
      <c r="A655" s="159"/>
      <c r="B655" s="160"/>
      <c r="C655" s="5"/>
      <c r="D655" s="5"/>
      <c r="E655" s="5"/>
      <c r="F655" s="5"/>
      <c r="G655" s="5"/>
      <c r="H655" s="5"/>
      <c r="I655" s="5"/>
      <c r="J655" s="5"/>
      <c r="K655" s="5"/>
      <c r="L655" s="5"/>
      <c r="M655" s="5"/>
      <c r="N655" s="5"/>
      <c r="O655" s="5"/>
      <c r="P655" s="5"/>
      <c r="Q655" s="5"/>
      <c r="R655" s="5"/>
      <c r="S655" s="5"/>
      <c r="T655" s="5"/>
      <c r="U655" s="5"/>
      <c r="V655" s="7"/>
      <c r="W655" s="7"/>
      <c r="X655" s="164" t="e">
        <f t="shared" si="137"/>
        <v>#N/A</v>
      </c>
      <c r="Y655" s="164" t="e">
        <f t="shared" si="138"/>
        <v>#N/A</v>
      </c>
      <c r="AB655" s="156">
        <f t="shared" si="140"/>
        <v>0</v>
      </c>
      <c r="AC655" s="121" t="str">
        <f t="shared" si="139"/>
        <v/>
      </c>
      <c r="AE655" s="121" t="str">
        <f t="shared" si="141"/>
        <v/>
      </c>
      <c r="AF655" s="111" t="str">
        <f t="shared" si="142"/>
        <v/>
      </c>
    </row>
    <row r="656" spans="1:32">
      <c r="A656" s="159"/>
      <c r="B656" s="160"/>
      <c r="C656" s="5"/>
      <c r="D656" s="5"/>
      <c r="E656" s="5"/>
      <c r="F656" s="5"/>
      <c r="G656" s="5"/>
      <c r="H656" s="5"/>
      <c r="I656" s="5"/>
      <c r="J656" s="5"/>
      <c r="K656" s="5"/>
      <c r="L656" s="5"/>
      <c r="M656" s="5"/>
      <c r="N656" s="5"/>
      <c r="O656" s="5"/>
      <c r="P656" s="5"/>
      <c r="Q656" s="5"/>
      <c r="R656" s="5"/>
      <c r="S656" s="5"/>
      <c r="T656" s="5"/>
      <c r="U656" s="5"/>
      <c r="V656" s="7"/>
      <c r="W656" s="7"/>
      <c r="X656" s="164" t="e">
        <f t="shared" si="137"/>
        <v>#N/A</v>
      </c>
      <c r="Y656" s="164" t="e">
        <f t="shared" si="138"/>
        <v>#N/A</v>
      </c>
      <c r="AB656" s="156">
        <f t="shared" si="140"/>
        <v>0</v>
      </c>
      <c r="AC656" s="121" t="str">
        <f t="shared" si="139"/>
        <v/>
      </c>
      <c r="AE656" s="121" t="str">
        <f t="shared" si="141"/>
        <v/>
      </c>
      <c r="AF656" s="111" t="str">
        <f t="shared" si="142"/>
        <v/>
      </c>
    </row>
    <row r="657" spans="1:32">
      <c r="A657" s="159"/>
      <c r="B657" s="160"/>
      <c r="C657" s="5"/>
      <c r="D657" s="5"/>
      <c r="E657" s="5"/>
      <c r="F657" s="5"/>
      <c r="G657" s="5"/>
      <c r="H657" s="5"/>
      <c r="I657" s="5"/>
      <c r="J657" s="5"/>
      <c r="K657" s="5"/>
      <c r="L657" s="5"/>
      <c r="M657" s="5"/>
      <c r="N657" s="5"/>
      <c r="O657" s="5"/>
      <c r="P657" s="5"/>
      <c r="Q657" s="5"/>
      <c r="R657" s="5"/>
      <c r="S657" s="5"/>
      <c r="T657" s="5"/>
      <c r="U657" s="5"/>
      <c r="V657" s="7"/>
      <c r="W657" s="7"/>
      <c r="X657" s="164" t="e">
        <f t="shared" si="137"/>
        <v>#N/A</v>
      </c>
      <c r="Y657" s="164" t="e">
        <f t="shared" si="138"/>
        <v>#N/A</v>
      </c>
      <c r="AB657" s="156">
        <f t="shared" si="140"/>
        <v>0</v>
      </c>
      <c r="AC657" s="121" t="str">
        <f t="shared" si="139"/>
        <v/>
      </c>
      <c r="AE657" s="121" t="str">
        <f t="shared" si="141"/>
        <v/>
      </c>
      <c r="AF657" s="111" t="str">
        <f t="shared" si="142"/>
        <v/>
      </c>
    </row>
    <row r="658" spans="1:32">
      <c r="A658" s="159"/>
      <c r="B658" s="160"/>
      <c r="C658" s="5"/>
      <c r="D658" s="5"/>
      <c r="E658" s="5"/>
      <c r="F658" s="5"/>
      <c r="G658" s="5"/>
      <c r="H658" s="5"/>
      <c r="I658" s="5"/>
      <c r="J658" s="5"/>
      <c r="K658" s="5"/>
      <c r="L658" s="5"/>
      <c r="M658" s="5"/>
      <c r="N658" s="5"/>
      <c r="O658" s="5"/>
      <c r="P658" s="5"/>
      <c r="Q658" s="5"/>
      <c r="R658" s="5"/>
      <c r="S658" s="5"/>
      <c r="T658" s="5"/>
      <c r="U658" s="5"/>
      <c r="V658" s="7"/>
      <c r="W658" s="7"/>
      <c r="X658" s="164" t="e">
        <f t="shared" si="137"/>
        <v>#N/A</v>
      </c>
      <c r="Y658" s="164" t="e">
        <f t="shared" si="138"/>
        <v>#N/A</v>
      </c>
      <c r="AB658" s="156">
        <f t="shared" si="140"/>
        <v>0</v>
      </c>
      <c r="AC658" s="121" t="str">
        <f t="shared" si="139"/>
        <v/>
      </c>
      <c r="AE658" s="121" t="str">
        <f t="shared" si="141"/>
        <v/>
      </c>
      <c r="AF658" s="111" t="str">
        <f t="shared" si="142"/>
        <v/>
      </c>
    </row>
    <row r="659" spans="1:32">
      <c r="A659" s="159"/>
      <c r="B659" s="160"/>
      <c r="C659" s="5"/>
      <c r="D659" s="5"/>
      <c r="E659" s="5"/>
      <c r="F659" s="5"/>
      <c r="G659" s="5"/>
      <c r="H659" s="5"/>
      <c r="I659" s="5"/>
      <c r="J659" s="5"/>
      <c r="K659" s="5"/>
      <c r="L659" s="5"/>
      <c r="M659" s="5"/>
      <c r="N659" s="5"/>
      <c r="O659" s="5"/>
      <c r="P659" s="5"/>
      <c r="Q659" s="5"/>
      <c r="R659" s="5"/>
      <c r="S659" s="5"/>
      <c r="T659" s="5"/>
      <c r="U659" s="5"/>
      <c r="V659" s="7"/>
      <c r="W659" s="7"/>
      <c r="X659" s="164" t="e">
        <f t="shared" si="137"/>
        <v>#N/A</v>
      </c>
      <c r="Y659" s="164" t="e">
        <f t="shared" si="138"/>
        <v>#N/A</v>
      </c>
      <c r="AB659" s="156">
        <f t="shared" si="140"/>
        <v>0</v>
      </c>
      <c r="AC659" s="121" t="str">
        <f t="shared" si="139"/>
        <v/>
      </c>
      <c r="AE659" s="121" t="str">
        <f t="shared" si="141"/>
        <v/>
      </c>
      <c r="AF659" s="111" t="str">
        <f t="shared" si="142"/>
        <v/>
      </c>
    </row>
    <row r="660" spans="1:32">
      <c r="A660" s="159"/>
      <c r="B660" s="160"/>
      <c r="C660" s="5"/>
      <c r="D660" s="5"/>
      <c r="E660" s="5"/>
      <c r="F660" s="5"/>
      <c r="G660" s="5"/>
      <c r="H660" s="5"/>
      <c r="I660" s="5"/>
      <c r="J660" s="5"/>
      <c r="K660" s="5"/>
      <c r="L660" s="5"/>
      <c r="M660" s="5"/>
      <c r="N660" s="5"/>
      <c r="O660" s="5"/>
      <c r="P660" s="5"/>
      <c r="Q660" s="5"/>
      <c r="R660" s="5"/>
      <c r="S660" s="5"/>
      <c r="T660" s="5"/>
      <c r="U660" s="5"/>
      <c r="V660" s="7"/>
      <c r="W660" s="7"/>
      <c r="X660" s="164" t="e">
        <f t="shared" si="137"/>
        <v>#N/A</v>
      </c>
      <c r="Y660" s="164" t="e">
        <f t="shared" si="138"/>
        <v>#N/A</v>
      </c>
      <c r="AB660" s="156">
        <f t="shared" si="140"/>
        <v>0</v>
      </c>
      <c r="AC660" s="121" t="str">
        <f t="shared" si="139"/>
        <v/>
      </c>
      <c r="AE660" s="121" t="str">
        <f t="shared" si="141"/>
        <v/>
      </c>
      <c r="AF660" s="111" t="str">
        <f t="shared" si="142"/>
        <v/>
      </c>
    </row>
    <row r="661" spans="1:32">
      <c r="A661" s="159"/>
      <c r="B661" s="160"/>
      <c r="C661" s="5"/>
      <c r="D661" s="5"/>
      <c r="E661" s="5"/>
      <c r="F661" s="5"/>
      <c r="G661" s="5"/>
      <c r="H661" s="5"/>
      <c r="I661" s="5"/>
      <c r="J661" s="5"/>
      <c r="K661" s="5"/>
      <c r="L661" s="5"/>
      <c r="M661" s="5"/>
      <c r="N661" s="5"/>
      <c r="O661" s="5"/>
      <c r="P661" s="5"/>
      <c r="Q661" s="5"/>
      <c r="R661" s="5"/>
      <c r="S661" s="5"/>
      <c r="T661" s="5"/>
      <c r="U661" s="5"/>
      <c r="V661" s="7"/>
      <c r="W661" s="7"/>
      <c r="X661" s="164" t="e">
        <f t="shared" si="137"/>
        <v>#N/A</v>
      </c>
      <c r="Y661" s="164" t="e">
        <f t="shared" si="138"/>
        <v>#N/A</v>
      </c>
      <c r="AB661" s="156">
        <f t="shared" si="140"/>
        <v>0</v>
      </c>
      <c r="AC661" s="121" t="str">
        <f t="shared" si="139"/>
        <v/>
      </c>
      <c r="AE661" s="121" t="str">
        <f t="shared" si="141"/>
        <v/>
      </c>
      <c r="AF661" s="111" t="str">
        <f t="shared" si="142"/>
        <v/>
      </c>
    </row>
    <row r="662" spans="1:32">
      <c r="A662" s="159"/>
      <c r="B662" s="160"/>
      <c r="C662" s="5"/>
      <c r="D662" s="5"/>
      <c r="E662" s="5"/>
      <c r="F662" s="5"/>
      <c r="G662" s="5"/>
      <c r="H662" s="5"/>
      <c r="I662" s="5"/>
      <c r="J662" s="5"/>
      <c r="K662" s="5"/>
      <c r="L662" s="5"/>
      <c r="M662" s="5"/>
      <c r="N662" s="5"/>
      <c r="O662" s="5"/>
      <c r="P662" s="5"/>
      <c r="Q662" s="5"/>
      <c r="R662" s="5"/>
      <c r="S662" s="5"/>
      <c r="T662" s="5"/>
      <c r="U662" s="5"/>
      <c r="V662" s="7"/>
      <c r="W662" s="7"/>
      <c r="X662" s="164" t="e">
        <f t="shared" si="137"/>
        <v>#N/A</v>
      </c>
      <c r="Y662" s="164" t="e">
        <f t="shared" si="138"/>
        <v>#N/A</v>
      </c>
      <c r="AB662" s="156">
        <f t="shared" si="140"/>
        <v>0</v>
      </c>
      <c r="AC662" s="121" t="str">
        <f t="shared" si="139"/>
        <v/>
      </c>
      <c r="AE662" s="121" t="str">
        <f t="shared" si="141"/>
        <v/>
      </c>
      <c r="AF662" s="111" t="str">
        <f t="shared" si="142"/>
        <v/>
      </c>
    </row>
    <row r="663" spans="1:32">
      <c r="A663" s="159"/>
      <c r="B663" s="160"/>
      <c r="C663" s="5"/>
      <c r="D663" s="5"/>
      <c r="E663" s="5"/>
      <c r="F663" s="5"/>
      <c r="G663" s="5"/>
      <c r="H663" s="5"/>
      <c r="I663" s="5"/>
      <c r="J663" s="5"/>
      <c r="K663" s="5"/>
      <c r="L663" s="5"/>
      <c r="M663" s="5"/>
      <c r="N663" s="5"/>
      <c r="O663" s="5"/>
      <c r="P663" s="5"/>
      <c r="Q663" s="5"/>
      <c r="R663" s="5"/>
      <c r="S663" s="5"/>
      <c r="T663" s="5"/>
      <c r="U663" s="5"/>
      <c r="V663" s="7"/>
      <c r="W663" s="7"/>
      <c r="X663" s="164" t="e">
        <f t="shared" si="137"/>
        <v>#N/A</v>
      </c>
      <c r="Y663" s="164" t="e">
        <f t="shared" si="138"/>
        <v>#N/A</v>
      </c>
      <c r="AB663" s="156">
        <f t="shared" si="140"/>
        <v>0</v>
      </c>
      <c r="AC663" s="121" t="str">
        <f t="shared" si="139"/>
        <v/>
      </c>
      <c r="AE663" s="121" t="str">
        <f t="shared" si="141"/>
        <v/>
      </c>
      <c r="AF663" s="111" t="str">
        <f t="shared" si="142"/>
        <v/>
      </c>
    </row>
    <row r="664" spans="1:32">
      <c r="A664" s="159"/>
      <c r="B664" s="160"/>
      <c r="C664" s="5"/>
      <c r="D664" s="5"/>
      <c r="E664" s="5"/>
      <c r="F664" s="5"/>
      <c r="G664" s="5"/>
      <c r="H664" s="5"/>
      <c r="I664" s="5"/>
      <c r="J664" s="5"/>
      <c r="K664" s="5"/>
      <c r="L664" s="5"/>
      <c r="M664" s="5"/>
      <c r="N664" s="5"/>
      <c r="O664" s="5"/>
      <c r="P664" s="5"/>
      <c r="Q664" s="5"/>
      <c r="R664" s="5"/>
      <c r="S664" s="5"/>
      <c r="T664" s="5"/>
      <c r="U664" s="5"/>
      <c r="V664" s="7"/>
      <c r="W664" s="7"/>
      <c r="X664" s="164" t="e">
        <f t="shared" si="137"/>
        <v>#N/A</v>
      </c>
      <c r="Y664" s="164" t="e">
        <f t="shared" si="138"/>
        <v>#N/A</v>
      </c>
      <c r="AB664" s="156">
        <f t="shared" si="140"/>
        <v>0</v>
      </c>
      <c r="AC664" s="121" t="str">
        <f t="shared" si="139"/>
        <v/>
      </c>
      <c r="AE664" s="121" t="str">
        <f t="shared" si="141"/>
        <v/>
      </c>
      <c r="AF664" s="111" t="str">
        <f t="shared" si="142"/>
        <v/>
      </c>
    </row>
    <row r="665" spans="1:32">
      <c r="A665" s="159"/>
      <c r="B665" s="160"/>
      <c r="C665" s="5"/>
      <c r="D665" s="5"/>
      <c r="E665" s="5"/>
      <c r="F665" s="5"/>
      <c r="G665" s="5"/>
      <c r="H665" s="5"/>
      <c r="I665" s="5"/>
      <c r="J665" s="5"/>
      <c r="K665" s="5"/>
      <c r="L665" s="5"/>
      <c r="M665" s="5"/>
      <c r="N665" s="5"/>
      <c r="O665" s="5"/>
      <c r="P665" s="5"/>
      <c r="Q665" s="5"/>
      <c r="R665" s="5"/>
      <c r="S665" s="5"/>
      <c r="T665" s="5"/>
      <c r="U665" s="5"/>
      <c r="V665" s="7"/>
      <c r="W665" s="7"/>
      <c r="X665" s="164" t="e">
        <f t="shared" si="137"/>
        <v>#N/A</v>
      </c>
      <c r="Y665" s="164" t="e">
        <f t="shared" si="138"/>
        <v>#N/A</v>
      </c>
      <c r="AB665" s="156">
        <f t="shared" si="140"/>
        <v>0</v>
      </c>
      <c r="AC665" s="121" t="str">
        <f t="shared" si="139"/>
        <v/>
      </c>
      <c r="AE665" s="121" t="str">
        <f t="shared" si="141"/>
        <v/>
      </c>
      <c r="AF665" s="111" t="str">
        <f t="shared" si="142"/>
        <v/>
      </c>
    </row>
    <row r="666" spans="1:32">
      <c r="A666" s="159"/>
      <c r="B666" s="160"/>
      <c r="C666" s="5"/>
      <c r="D666" s="5"/>
      <c r="E666" s="5"/>
      <c r="F666" s="5"/>
      <c r="G666" s="5"/>
      <c r="H666" s="5"/>
      <c r="I666" s="5"/>
      <c r="J666" s="5"/>
      <c r="K666" s="5"/>
      <c r="L666" s="5"/>
      <c r="M666" s="5"/>
      <c r="N666" s="5"/>
      <c r="O666" s="5"/>
      <c r="P666" s="5"/>
      <c r="Q666" s="5"/>
      <c r="R666" s="5"/>
      <c r="S666" s="5"/>
      <c r="T666" s="5"/>
      <c r="U666" s="5"/>
      <c r="V666" s="7"/>
      <c r="W666" s="7"/>
      <c r="X666" s="164" t="e">
        <f t="shared" si="137"/>
        <v>#N/A</v>
      </c>
      <c r="Y666" s="164" t="e">
        <f t="shared" si="138"/>
        <v>#N/A</v>
      </c>
      <c r="AB666" s="156">
        <f t="shared" si="140"/>
        <v>0</v>
      </c>
      <c r="AC666" s="121" t="str">
        <f t="shared" si="139"/>
        <v/>
      </c>
      <c r="AE666" s="121" t="str">
        <f t="shared" si="141"/>
        <v/>
      </c>
      <c r="AF666" s="111" t="str">
        <f t="shared" si="142"/>
        <v/>
      </c>
    </row>
    <row r="667" spans="1:32">
      <c r="A667" s="159"/>
      <c r="B667" s="160"/>
      <c r="C667" s="5"/>
      <c r="D667" s="5"/>
      <c r="E667" s="5"/>
      <c r="F667" s="5"/>
      <c r="G667" s="5"/>
      <c r="H667" s="5"/>
      <c r="I667" s="5"/>
      <c r="J667" s="5"/>
      <c r="K667" s="5"/>
      <c r="L667" s="5"/>
      <c r="M667" s="5"/>
      <c r="N667" s="5"/>
      <c r="O667" s="5"/>
      <c r="P667" s="5"/>
      <c r="Q667" s="5"/>
      <c r="R667" s="5"/>
      <c r="S667" s="5"/>
      <c r="T667" s="5"/>
      <c r="U667" s="5"/>
      <c r="V667" s="7"/>
      <c r="W667" s="7"/>
      <c r="X667" s="164" t="e">
        <f t="shared" si="137"/>
        <v>#N/A</v>
      </c>
      <c r="Y667" s="164" t="e">
        <f t="shared" si="138"/>
        <v>#N/A</v>
      </c>
      <c r="AB667" s="156">
        <f t="shared" si="140"/>
        <v>0</v>
      </c>
      <c r="AC667" s="121" t="str">
        <f t="shared" si="139"/>
        <v/>
      </c>
      <c r="AE667" s="121" t="str">
        <f t="shared" si="141"/>
        <v/>
      </c>
      <c r="AF667" s="111" t="str">
        <f t="shared" si="142"/>
        <v/>
      </c>
    </row>
    <row r="668" spans="1:32">
      <c r="A668" s="159"/>
      <c r="B668" s="160"/>
      <c r="C668" s="5"/>
      <c r="D668" s="5"/>
      <c r="E668" s="5"/>
      <c r="F668" s="5"/>
      <c r="G668" s="5"/>
      <c r="H668" s="5"/>
      <c r="I668" s="5"/>
      <c r="J668" s="5"/>
      <c r="K668" s="5"/>
      <c r="L668" s="5"/>
      <c r="M668" s="5"/>
      <c r="N668" s="5"/>
      <c r="O668" s="5"/>
      <c r="P668" s="5"/>
      <c r="Q668" s="5"/>
      <c r="R668" s="5"/>
      <c r="S668" s="5"/>
      <c r="T668" s="5"/>
      <c r="U668" s="5"/>
      <c r="V668" s="7"/>
      <c r="W668" s="7"/>
      <c r="X668" s="164" t="e">
        <f t="shared" si="137"/>
        <v>#N/A</v>
      </c>
      <c r="Y668" s="164" t="e">
        <f t="shared" si="138"/>
        <v>#N/A</v>
      </c>
      <c r="AB668" s="156">
        <f t="shared" si="140"/>
        <v>0</v>
      </c>
      <c r="AC668" s="121" t="str">
        <f t="shared" si="139"/>
        <v/>
      </c>
      <c r="AE668" s="121" t="str">
        <f t="shared" si="141"/>
        <v/>
      </c>
      <c r="AF668" s="111" t="str">
        <f t="shared" si="142"/>
        <v/>
      </c>
    </row>
    <row r="669" spans="1:32">
      <c r="A669" s="159"/>
      <c r="B669" s="160"/>
      <c r="C669" s="5"/>
      <c r="D669" s="5"/>
      <c r="E669" s="5"/>
      <c r="F669" s="5"/>
      <c r="G669" s="5"/>
      <c r="H669" s="5"/>
      <c r="I669" s="5"/>
      <c r="J669" s="5"/>
      <c r="K669" s="5"/>
      <c r="L669" s="5"/>
      <c r="M669" s="5"/>
      <c r="N669" s="5"/>
      <c r="O669" s="5"/>
      <c r="P669" s="5"/>
      <c r="Q669" s="5"/>
      <c r="R669" s="5"/>
      <c r="S669" s="5"/>
      <c r="T669" s="5"/>
      <c r="U669" s="5"/>
      <c r="V669" s="7"/>
      <c r="W669" s="7"/>
      <c r="X669" s="164" t="e">
        <f t="shared" si="137"/>
        <v>#N/A</v>
      </c>
      <c r="Y669" s="164" t="e">
        <f t="shared" si="138"/>
        <v>#N/A</v>
      </c>
      <c r="AB669" s="156">
        <f t="shared" si="140"/>
        <v>0</v>
      </c>
      <c r="AC669" s="121" t="str">
        <f t="shared" si="139"/>
        <v/>
      </c>
      <c r="AE669" s="121" t="str">
        <f t="shared" si="141"/>
        <v/>
      </c>
      <c r="AF669" s="111" t="str">
        <f t="shared" si="142"/>
        <v/>
      </c>
    </row>
    <row r="670" spans="1:32">
      <c r="A670" s="159"/>
      <c r="B670" s="160"/>
      <c r="C670" s="5"/>
      <c r="D670" s="5"/>
      <c r="E670" s="5"/>
      <c r="F670" s="5"/>
      <c r="G670" s="5"/>
      <c r="H670" s="5"/>
      <c r="I670" s="5"/>
      <c r="J670" s="5"/>
      <c r="K670" s="5"/>
      <c r="L670" s="5"/>
      <c r="M670" s="5"/>
      <c r="N670" s="5"/>
      <c r="O670" s="5"/>
      <c r="P670" s="5"/>
      <c r="Q670" s="5"/>
      <c r="R670" s="5"/>
      <c r="S670" s="5"/>
      <c r="T670" s="5"/>
      <c r="U670" s="5"/>
      <c r="V670" s="7"/>
      <c r="W670" s="7"/>
      <c r="X670" s="164" t="e">
        <f t="shared" si="137"/>
        <v>#N/A</v>
      </c>
      <c r="Y670" s="164" t="e">
        <f t="shared" si="138"/>
        <v>#N/A</v>
      </c>
      <c r="AB670" s="156">
        <f t="shared" si="140"/>
        <v>0</v>
      </c>
      <c r="AC670" s="121" t="str">
        <f t="shared" si="139"/>
        <v/>
      </c>
      <c r="AE670" s="121" t="str">
        <f t="shared" si="141"/>
        <v/>
      </c>
      <c r="AF670" s="111" t="str">
        <f t="shared" si="142"/>
        <v/>
      </c>
    </row>
    <row r="671" spans="1:32">
      <c r="A671" s="159"/>
      <c r="B671" s="160"/>
      <c r="C671" s="5"/>
      <c r="D671" s="5"/>
      <c r="E671" s="5"/>
      <c r="F671" s="5"/>
      <c r="G671" s="5"/>
      <c r="H671" s="5"/>
      <c r="I671" s="5"/>
      <c r="J671" s="5"/>
      <c r="K671" s="5"/>
      <c r="L671" s="5"/>
      <c r="M671" s="5"/>
      <c r="N671" s="5"/>
      <c r="O671" s="5"/>
      <c r="P671" s="5"/>
      <c r="Q671" s="5"/>
      <c r="R671" s="5"/>
      <c r="S671" s="5"/>
      <c r="T671" s="5"/>
      <c r="U671" s="5"/>
      <c r="V671" s="7"/>
      <c r="W671" s="7"/>
      <c r="X671" s="164" t="e">
        <f t="shared" si="137"/>
        <v>#N/A</v>
      </c>
      <c r="Y671" s="164" t="e">
        <f t="shared" si="138"/>
        <v>#N/A</v>
      </c>
      <c r="AB671" s="156">
        <f t="shared" si="140"/>
        <v>0</v>
      </c>
      <c r="AC671" s="121" t="str">
        <f t="shared" si="139"/>
        <v/>
      </c>
      <c r="AE671" s="121" t="str">
        <f t="shared" si="141"/>
        <v/>
      </c>
      <c r="AF671" s="111" t="str">
        <f t="shared" si="142"/>
        <v/>
      </c>
    </row>
    <row r="672" spans="1:32">
      <c r="A672" s="159"/>
      <c r="B672" s="160"/>
      <c r="C672" s="5"/>
      <c r="D672" s="5"/>
      <c r="E672" s="5"/>
      <c r="F672" s="5"/>
      <c r="G672" s="5"/>
      <c r="H672" s="5"/>
      <c r="I672" s="5"/>
      <c r="J672" s="5"/>
      <c r="K672" s="5"/>
      <c r="L672" s="5"/>
      <c r="M672" s="5"/>
      <c r="N672" s="5"/>
      <c r="O672" s="5"/>
      <c r="P672" s="5"/>
      <c r="Q672" s="5"/>
      <c r="R672" s="5"/>
      <c r="S672" s="5"/>
      <c r="T672" s="5"/>
      <c r="U672" s="5"/>
      <c r="V672" s="7"/>
      <c r="W672" s="7"/>
      <c r="X672" s="164" t="e">
        <f t="shared" si="137"/>
        <v>#N/A</v>
      </c>
      <c r="Y672" s="164" t="e">
        <f t="shared" si="138"/>
        <v>#N/A</v>
      </c>
      <c r="AB672" s="156">
        <f t="shared" si="140"/>
        <v>0</v>
      </c>
      <c r="AC672" s="121" t="str">
        <f t="shared" si="139"/>
        <v/>
      </c>
      <c r="AE672" s="121" t="str">
        <f t="shared" si="141"/>
        <v/>
      </c>
      <c r="AF672" s="111" t="str">
        <f t="shared" si="142"/>
        <v/>
      </c>
    </row>
    <row r="673" spans="1:32">
      <c r="A673" s="159"/>
      <c r="B673" s="160"/>
      <c r="C673" s="5"/>
      <c r="D673" s="5"/>
      <c r="E673" s="5"/>
      <c r="F673" s="5"/>
      <c r="G673" s="5"/>
      <c r="H673" s="5"/>
      <c r="I673" s="5"/>
      <c r="J673" s="5"/>
      <c r="K673" s="5"/>
      <c r="L673" s="5"/>
      <c r="M673" s="5"/>
      <c r="N673" s="5"/>
      <c r="O673" s="5"/>
      <c r="P673" s="5"/>
      <c r="Q673" s="5"/>
      <c r="R673" s="5"/>
      <c r="S673" s="5"/>
      <c r="T673" s="5"/>
      <c r="U673" s="5"/>
      <c r="V673" s="7"/>
      <c r="W673" s="7"/>
      <c r="X673" s="164" t="e">
        <f t="shared" si="137"/>
        <v>#N/A</v>
      </c>
      <c r="Y673" s="164" t="e">
        <f t="shared" si="138"/>
        <v>#N/A</v>
      </c>
      <c r="AB673" s="156">
        <f t="shared" si="140"/>
        <v>0</v>
      </c>
      <c r="AC673" s="121" t="str">
        <f t="shared" si="139"/>
        <v/>
      </c>
      <c r="AE673" s="121" t="str">
        <f t="shared" si="141"/>
        <v/>
      </c>
      <c r="AF673" s="111" t="str">
        <f t="shared" si="142"/>
        <v/>
      </c>
    </row>
    <row r="674" spans="1:32">
      <c r="A674" s="159"/>
      <c r="B674" s="160"/>
      <c r="C674" s="5"/>
      <c r="D674" s="5"/>
      <c r="E674" s="5"/>
      <c r="F674" s="5"/>
      <c r="G674" s="5"/>
      <c r="H674" s="5"/>
      <c r="I674" s="5"/>
      <c r="J674" s="5"/>
      <c r="K674" s="5"/>
      <c r="L674" s="5"/>
      <c r="M674" s="5"/>
      <c r="N674" s="5"/>
      <c r="O674" s="5"/>
      <c r="P674" s="5"/>
      <c r="Q674" s="5"/>
      <c r="R674" s="5"/>
      <c r="S674" s="5"/>
      <c r="T674" s="5"/>
      <c r="U674" s="5"/>
      <c r="V674" s="7"/>
      <c r="W674" s="7"/>
      <c r="X674" s="164" t="e">
        <f t="shared" si="137"/>
        <v>#N/A</v>
      </c>
      <c r="Y674" s="164" t="e">
        <f t="shared" si="138"/>
        <v>#N/A</v>
      </c>
      <c r="AB674" s="156">
        <f t="shared" si="140"/>
        <v>0</v>
      </c>
      <c r="AC674" s="121" t="str">
        <f t="shared" si="139"/>
        <v/>
      </c>
      <c r="AE674" s="121" t="str">
        <f t="shared" si="141"/>
        <v/>
      </c>
      <c r="AF674" s="111" t="str">
        <f t="shared" si="142"/>
        <v/>
      </c>
    </row>
    <row r="675" spans="1:32">
      <c r="A675" s="159"/>
      <c r="B675" s="160"/>
      <c r="C675" s="5"/>
      <c r="D675" s="5"/>
      <c r="E675" s="5"/>
      <c r="F675" s="5"/>
      <c r="G675" s="5"/>
      <c r="H675" s="5"/>
      <c r="I675" s="5"/>
      <c r="J675" s="5"/>
      <c r="K675" s="5"/>
      <c r="L675" s="5"/>
      <c r="M675" s="5"/>
      <c r="N675" s="5"/>
      <c r="O675" s="5"/>
      <c r="P675" s="5"/>
      <c r="Q675" s="5"/>
      <c r="R675" s="5"/>
      <c r="S675" s="5"/>
      <c r="T675" s="5"/>
      <c r="U675" s="5"/>
      <c r="V675" s="7"/>
      <c r="W675" s="7"/>
      <c r="X675" s="164" t="e">
        <f t="shared" si="137"/>
        <v>#N/A</v>
      </c>
      <c r="Y675" s="164" t="e">
        <f t="shared" si="138"/>
        <v>#N/A</v>
      </c>
      <c r="AB675" s="156">
        <f t="shared" si="140"/>
        <v>0</v>
      </c>
      <c r="AC675" s="121" t="str">
        <f t="shared" si="139"/>
        <v/>
      </c>
      <c r="AE675" s="121" t="str">
        <f t="shared" si="141"/>
        <v/>
      </c>
      <c r="AF675" s="111" t="str">
        <f t="shared" si="142"/>
        <v/>
      </c>
    </row>
    <row r="676" spans="1:32">
      <c r="A676" s="159"/>
      <c r="B676" s="160"/>
      <c r="C676" s="5"/>
      <c r="D676" s="5"/>
      <c r="E676" s="5"/>
      <c r="F676" s="5"/>
      <c r="G676" s="5"/>
      <c r="H676" s="5"/>
      <c r="I676" s="5"/>
      <c r="J676" s="5"/>
      <c r="K676" s="5"/>
      <c r="L676" s="5"/>
      <c r="M676" s="5"/>
      <c r="N676" s="5"/>
      <c r="O676" s="5"/>
      <c r="P676" s="5"/>
      <c r="Q676" s="5"/>
      <c r="R676" s="5"/>
      <c r="S676" s="5"/>
      <c r="T676" s="5"/>
      <c r="U676" s="5"/>
      <c r="V676" s="7"/>
      <c r="W676" s="7"/>
      <c r="X676" s="164" t="e">
        <f t="shared" si="137"/>
        <v>#N/A</v>
      </c>
      <c r="Y676" s="164" t="e">
        <f t="shared" si="138"/>
        <v>#N/A</v>
      </c>
      <c r="AB676" s="156">
        <f t="shared" si="140"/>
        <v>0</v>
      </c>
      <c r="AC676" s="121" t="str">
        <f t="shared" si="139"/>
        <v/>
      </c>
      <c r="AE676" s="121" t="str">
        <f t="shared" si="141"/>
        <v/>
      </c>
      <c r="AF676" s="111" t="str">
        <f t="shared" si="142"/>
        <v/>
      </c>
    </row>
    <row r="677" spans="1:32">
      <c r="A677" s="159"/>
      <c r="B677" s="160"/>
      <c r="C677" s="5"/>
      <c r="D677" s="5"/>
      <c r="E677" s="5"/>
      <c r="F677" s="5"/>
      <c r="G677" s="5"/>
      <c r="H677" s="5"/>
      <c r="I677" s="5"/>
      <c r="J677" s="5"/>
      <c r="K677" s="5"/>
      <c r="L677" s="5"/>
      <c r="M677" s="5"/>
      <c r="N677" s="5"/>
      <c r="O677" s="5"/>
      <c r="P677" s="5"/>
      <c r="Q677" s="5"/>
      <c r="R677" s="5"/>
      <c r="S677" s="5"/>
      <c r="T677" s="5"/>
      <c r="U677" s="5"/>
      <c r="V677" s="7"/>
      <c r="W677" s="7"/>
      <c r="X677" s="164" t="e">
        <f t="shared" si="137"/>
        <v>#N/A</v>
      </c>
      <c r="Y677" s="164" t="e">
        <f t="shared" si="138"/>
        <v>#N/A</v>
      </c>
      <c r="AB677" s="156">
        <f t="shared" si="140"/>
        <v>0</v>
      </c>
      <c r="AC677" s="121" t="str">
        <f t="shared" si="139"/>
        <v/>
      </c>
      <c r="AE677" s="121" t="str">
        <f t="shared" si="141"/>
        <v/>
      </c>
      <c r="AF677" s="111" t="str">
        <f t="shared" si="142"/>
        <v/>
      </c>
    </row>
    <row r="678" spans="1:32">
      <c r="A678" s="159"/>
      <c r="B678" s="160"/>
      <c r="C678" s="5"/>
      <c r="D678" s="5"/>
      <c r="E678" s="5"/>
      <c r="F678" s="5"/>
      <c r="G678" s="5"/>
      <c r="H678" s="5"/>
      <c r="I678" s="5"/>
      <c r="J678" s="5"/>
      <c r="K678" s="5"/>
      <c r="L678" s="5"/>
      <c r="M678" s="5"/>
      <c r="N678" s="5"/>
      <c r="O678" s="5"/>
      <c r="P678" s="5"/>
      <c r="Q678" s="5"/>
      <c r="R678" s="5"/>
      <c r="S678" s="5"/>
      <c r="T678" s="5"/>
      <c r="U678" s="5"/>
      <c r="V678" s="7"/>
      <c r="W678" s="7"/>
      <c r="X678" s="164" t="e">
        <f t="shared" si="137"/>
        <v>#N/A</v>
      </c>
      <c r="Y678" s="164" t="e">
        <f t="shared" si="138"/>
        <v>#N/A</v>
      </c>
      <c r="AB678" s="156">
        <f t="shared" si="140"/>
        <v>0</v>
      </c>
      <c r="AC678" s="121" t="str">
        <f t="shared" si="139"/>
        <v/>
      </c>
      <c r="AE678" s="121" t="str">
        <f t="shared" si="141"/>
        <v/>
      </c>
      <c r="AF678" s="111" t="str">
        <f t="shared" si="142"/>
        <v/>
      </c>
    </row>
    <row r="679" spans="1:32">
      <c r="A679" s="159"/>
      <c r="B679" s="160"/>
      <c r="C679" s="5"/>
      <c r="D679" s="5"/>
      <c r="E679" s="5"/>
      <c r="F679" s="5"/>
      <c r="G679" s="5"/>
      <c r="H679" s="5"/>
      <c r="I679" s="5"/>
      <c r="J679" s="5"/>
      <c r="K679" s="5"/>
      <c r="L679" s="5"/>
      <c r="M679" s="5"/>
      <c r="N679" s="5"/>
      <c r="O679" s="5"/>
      <c r="P679" s="5"/>
      <c r="Q679" s="5"/>
      <c r="R679" s="5"/>
      <c r="S679" s="5"/>
      <c r="T679" s="5"/>
      <c r="U679" s="5"/>
      <c r="V679" s="7"/>
      <c r="W679" s="7"/>
      <c r="X679" s="164" t="e">
        <f t="shared" si="137"/>
        <v>#N/A</v>
      </c>
      <c r="Y679" s="164" t="e">
        <f t="shared" si="138"/>
        <v>#N/A</v>
      </c>
      <c r="AB679" s="156">
        <f t="shared" si="140"/>
        <v>0</v>
      </c>
      <c r="AC679" s="121" t="str">
        <f t="shared" si="139"/>
        <v/>
      </c>
      <c r="AE679" s="121" t="str">
        <f t="shared" si="141"/>
        <v/>
      </c>
      <c r="AF679" s="111" t="str">
        <f t="shared" si="142"/>
        <v/>
      </c>
    </row>
    <row r="680" spans="1:32">
      <c r="A680" s="159"/>
      <c r="B680" s="160"/>
      <c r="C680" s="5"/>
      <c r="D680" s="5"/>
      <c r="E680" s="5"/>
      <c r="F680" s="5"/>
      <c r="G680" s="5"/>
      <c r="H680" s="5"/>
      <c r="I680" s="5"/>
      <c r="J680" s="5"/>
      <c r="K680" s="5"/>
      <c r="L680" s="5"/>
      <c r="M680" s="5"/>
      <c r="N680" s="5"/>
      <c r="O680" s="5"/>
      <c r="P680" s="5"/>
      <c r="Q680" s="5"/>
      <c r="R680" s="5"/>
      <c r="S680" s="5"/>
      <c r="T680" s="5"/>
      <c r="U680" s="5"/>
      <c r="V680" s="7"/>
      <c r="W680" s="7"/>
      <c r="X680" s="164" t="e">
        <f t="shared" si="137"/>
        <v>#N/A</v>
      </c>
      <c r="Y680" s="164" t="e">
        <f t="shared" si="138"/>
        <v>#N/A</v>
      </c>
      <c r="AB680" s="156">
        <f t="shared" si="140"/>
        <v>0</v>
      </c>
      <c r="AC680" s="121" t="str">
        <f t="shared" si="139"/>
        <v/>
      </c>
      <c r="AE680" s="121" t="str">
        <f t="shared" si="141"/>
        <v/>
      </c>
      <c r="AF680" s="111" t="str">
        <f t="shared" si="142"/>
        <v/>
      </c>
    </row>
    <row r="681" spans="1:32">
      <c r="A681" s="159"/>
      <c r="B681" s="160"/>
      <c r="C681" s="5"/>
      <c r="D681" s="5"/>
      <c r="E681" s="5"/>
      <c r="F681" s="5"/>
      <c r="G681" s="5"/>
      <c r="H681" s="5"/>
      <c r="I681" s="5"/>
      <c r="J681" s="5"/>
      <c r="K681" s="5"/>
      <c r="L681" s="5"/>
      <c r="M681" s="5"/>
      <c r="N681" s="5"/>
      <c r="O681" s="5"/>
      <c r="P681" s="5"/>
      <c r="Q681" s="5"/>
      <c r="R681" s="5"/>
      <c r="S681" s="5"/>
      <c r="T681" s="5"/>
      <c r="U681" s="5"/>
      <c r="V681" s="7"/>
      <c r="W681" s="7"/>
      <c r="X681" s="164" t="e">
        <f t="shared" si="137"/>
        <v>#N/A</v>
      </c>
      <c r="Y681" s="164" t="e">
        <f t="shared" si="138"/>
        <v>#N/A</v>
      </c>
      <c r="AB681" s="156">
        <f t="shared" si="140"/>
        <v>0</v>
      </c>
      <c r="AC681" s="121" t="str">
        <f t="shared" si="139"/>
        <v/>
      </c>
      <c r="AE681" s="121" t="str">
        <f t="shared" si="141"/>
        <v/>
      </c>
      <c r="AF681" s="111" t="str">
        <f t="shared" si="142"/>
        <v/>
      </c>
    </row>
    <row r="682" spans="1:32">
      <c r="A682" s="159"/>
      <c r="B682" s="160"/>
      <c r="C682" s="5"/>
      <c r="D682" s="5"/>
      <c r="E682" s="5"/>
      <c r="F682" s="5"/>
      <c r="G682" s="5"/>
      <c r="H682" s="5"/>
      <c r="I682" s="5"/>
      <c r="J682" s="5"/>
      <c r="K682" s="5"/>
      <c r="L682" s="5"/>
      <c r="M682" s="5"/>
      <c r="N682" s="5"/>
      <c r="O682" s="5"/>
      <c r="P682" s="5"/>
      <c r="Q682" s="5"/>
      <c r="R682" s="5"/>
      <c r="S682" s="5"/>
      <c r="T682" s="5"/>
      <c r="U682" s="5"/>
      <c r="V682" s="7"/>
      <c r="W682" s="7"/>
      <c r="X682" s="164" t="e">
        <f t="shared" si="137"/>
        <v>#N/A</v>
      </c>
      <c r="Y682" s="164" t="e">
        <f t="shared" si="138"/>
        <v>#N/A</v>
      </c>
      <c r="AB682" s="156">
        <f t="shared" si="140"/>
        <v>0</v>
      </c>
      <c r="AC682" s="121" t="str">
        <f t="shared" si="139"/>
        <v/>
      </c>
      <c r="AE682" s="121" t="str">
        <f t="shared" si="141"/>
        <v/>
      </c>
      <c r="AF682" s="111" t="str">
        <f t="shared" si="142"/>
        <v/>
      </c>
    </row>
    <row r="683" spans="1:32">
      <c r="A683" s="159"/>
      <c r="B683" s="160"/>
      <c r="C683" s="5"/>
      <c r="D683" s="5"/>
      <c r="E683" s="5"/>
      <c r="F683" s="5"/>
      <c r="G683" s="5"/>
      <c r="H683" s="5"/>
      <c r="I683" s="5"/>
      <c r="J683" s="5"/>
      <c r="K683" s="5"/>
      <c r="L683" s="5"/>
      <c r="M683" s="5"/>
      <c r="N683" s="5"/>
      <c r="O683" s="5"/>
      <c r="P683" s="5"/>
      <c r="Q683" s="5"/>
      <c r="R683" s="5"/>
      <c r="S683" s="5"/>
      <c r="T683" s="5"/>
      <c r="U683" s="5"/>
      <c r="V683" s="7"/>
      <c r="W683" s="7"/>
      <c r="X683" s="164" t="e">
        <f t="shared" si="137"/>
        <v>#N/A</v>
      </c>
      <c r="Y683" s="164" t="e">
        <f t="shared" si="138"/>
        <v>#N/A</v>
      </c>
      <c r="AB683" s="156">
        <f t="shared" si="140"/>
        <v>0</v>
      </c>
      <c r="AC683" s="121" t="str">
        <f t="shared" si="139"/>
        <v/>
      </c>
      <c r="AE683" s="121" t="str">
        <f t="shared" si="141"/>
        <v/>
      </c>
      <c r="AF683" s="111" t="str">
        <f t="shared" si="142"/>
        <v/>
      </c>
    </row>
    <row r="684" spans="1:32">
      <c r="A684" s="159"/>
      <c r="B684" s="160"/>
      <c r="C684" s="5"/>
      <c r="D684" s="5"/>
      <c r="E684" s="5"/>
      <c r="F684" s="5"/>
      <c r="G684" s="5"/>
      <c r="H684" s="5"/>
      <c r="I684" s="5"/>
      <c r="J684" s="5"/>
      <c r="K684" s="5"/>
      <c r="L684" s="5"/>
      <c r="M684" s="5"/>
      <c r="N684" s="5"/>
      <c r="O684" s="5"/>
      <c r="P684" s="5"/>
      <c r="Q684" s="5"/>
      <c r="R684" s="5"/>
      <c r="S684" s="5"/>
      <c r="T684" s="5"/>
      <c r="U684" s="5"/>
      <c r="V684" s="7"/>
      <c r="W684" s="7"/>
      <c r="X684" s="164" t="e">
        <f t="shared" si="137"/>
        <v>#N/A</v>
      </c>
      <c r="Y684" s="164" t="e">
        <f t="shared" si="138"/>
        <v>#N/A</v>
      </c>
      <c r="AB684" s="156">
        <f t="shared" si="140"/>
        <v>0</v>
      </c>
      <c r="AC684" s="121" t="str">
        <f t="shared" si="139"/>
        <v/>
      </c>
      <c r="AE684" s="121" t="str">
        <f t="shared" si="141"/>
        <v/>
      </c>
      <c r="AF684" s="111" t="str">
        <f t="shared" si="142"/>
        <v/>
      </c>
    </row>
    <row r="685" spans="1:32">
      <c r="A685" s="159"/>
      <c r="B685" s="160"/>
      <c r="C685" s="5"/>
      <c r="D685" s="5"/>
      <c r="E685" s="5"/>
      <c r="F685" s="5"/>
      <c r="G685" s="5"/>
      <c r="H685" s="5"/>
      <c r="I685" s="5"/>
      <c r="J685" s="5"/>
      <c r="K685" s="5"/>
      <c r="L685" s="5"/>
      <c r="M685" s="5"/>
      <c r="N685" s="5"/>
      <c r="O685" s="5"/>
      <c r="P685" s="5"/>
      <c r="Q685" s="5"/>
      <c r="R685" s="5"/>
      <c r="S685" s="5"/>
      <c r="T685" s="5"/>
      <c r="U685" s="5"/>
      <c r="V685" s="7"/>
      <c r="W685" s="7"/>
      <c r="X685" s="164" t="e">
        <f t="shared" si="137"/>
        <v>#N/A</v>
      </c>
      <c r="Y685" s="164" t="e">
        <f t="shared" si="138"/>
        <v>#N/A</v>
      </c>
      <c r="AB685" s="156">
        <f t="shared" si="140"/>
        <v>0</v>
      </c>
      <c r="AC685" s="121" t="str">
        <f t="shared" si="139"/>
        <v/>
      </c>
      <c r="AE685" s="121" t="str">
        <f t="shared" si="141"/>
        <v/>
      </c>
      <c r="AF685" s="111" t="str">
        <f t="shared" si="142"/>
        <v/>
      </c>
    </row>
    <row r="686" spans="1:32">
      <c r="A686" s="159"/>
      <c r="B686" s="160"/>
      <c r="C686" s="5"/>
      <c r="D686" s="5"/>
      <c r="E686" s="5"/>
      <c r="F686" s="5"/>
      <c r="G686" s="5"/>
      <c r="H686" s="5"/>
      <c r="I686" s="5"/>
      <c r="J686" s="5"/>
      <c r="K686" s="5"/>
      <c r="L686" s="5"/>
      <c r="M686" s="5"/>
      <c r="N686" s="5"/>
      <c r="O686" s="5"/>
      <c r="P686" s="5"/>
      <c r="Q686" s="5"/>
      <c r="R686" s="5"/>
      <c r="S686" s="5"/>
      <c r="T686" s="5"/>
      <c r="U686" s="5"/>
      <c r="V686" s="7"/>
      <c r="W686" s="7"/>
      <c r="X686" s="164" t="e">
        <f t="shared" si="137"/>
        <v>#N/A</v>
      </c>
      <c r="Y686" s="164" t="e">
        <f t="shared" si="138"/>
        <v>#N/A</v>
      </c>
      <c r="AB686" s="156">
        <f t="shared" si="140"/>
        <v>0</v>
      </c>
      <c r="AC686" s="121" t="str">
        <f t="shared" si="139"/>
        <v/>
      </c>
      <c r="AE686" s="121" t="str">
        <f t="shared" si="141"/>
        <v/>
      </c>
      <c r="AF686" s="111" t="str">
        <f t="shared" si="142"/>
        <v/>
      </c>
    </row>
    <row r="687" spans="1:32">
      <c r="A687" s="159"/>
      <c r="B687" s="160"/>
      <c r="C687" s="5"/>
      <c r="D687" s="5"/>
      <c r="E687" s="5"/>
      <c r="F687" s="5"/>
      <c r="G687" s="5"/>
      <c r="H687" s="5"/>
      <c r="I687" s="5"/>
      <c r="J687" s="5"/>
      <c r="K687" s="5"/>
      <c r="L687" s="5"/>
      <c r="M687" s="5"/>
      <c r="N687" s="5"/>
      <c r="O687" s="5"/>
      <c r="P687" s="5"/>
      <c r="Q687" s="5"/>
      <c r="R687" s="5"/>
      <c r="S687" s="5"/>
      <c r="T687" s="5"/>
      <c r="U687" s="5"/>
      <c r="V687" s="7"/>
      <c r="W687" s="7"/>
      <c r="X687" s="164" t="e">
        <f t="shared" si="137"/>
        <v>#N/A</v>
      </c>
      <c r="Y687" s="164" t="e">
        <f t="shared" si="138"/>
        <v>#N/A</v>
      </c>
      <c r="AB687" s="156">
        <f t="shared" si="140"/>
        <v>0</v>
      </c>
      <c r="AC687" s="121" t="str">
        <f t="shared" si="139"/>
        <v/>
      </c>
      <c r="AE687" s="121" t="str">
        <f t="shared" si="141"/>
        <v/>
      </c>
      <c r="AF687" s="111" t="str">
        <f t="shared" si="142"/>
        <v/>
      </c>
    </row>
    <row r="688" spans="1:32">
      <c r="A688" s="159"/>
      <c r="B688" s="160"/>
      <c r="C688" s="5"/>
      <c r="D688" s="5"/>
      <c r="E688" s="5"/>
      <c r="F688" s="5"/>
      <c r="G688" s="5"/>
      <c r="H688" s="5"/>
      <c r="I688" s="5"/>
      <c r="J688" s="5"/>
      <c r="K688" s="5"/>
      <c r="L688" s="5"/>
      <c r="M688" s="5"/>
      <c r="N688" s="5"/>
      <c r="O688" s="5"/>
      <c r="P688" s="5"/>
      <c r="Q688" s="5"/>
      <c r="R688" s="5"/>
      <c r="S688" s="5"/>
      <c r="T688" s="5"/>
      <c r="U688" s="5"/>
      <c r="V688" s="7"/>
      <c r="W688" s="7"/>
      <c r="X688" s="164" t="e">
        <f t="shared" si="137"/>
        <v>#N/A</v>
      </c>
      <c r="Y688" s="164" t="e">
        <f t="shared" si="138"/>
        <v>#N/A</v>
      </c>
      <c r="AB688" s="156">
        <f t="shared" si="140"/>
        <v>0</v>
      </c>
      <c r="AC688" s="121" t="str">
        <f t="shared" si="139"/>
        <v/>
      </c>
      <c r="AE688" s="121" t="str">
        <f t="shared" si="141"/>
        <v/>
      </c>
      <c r="AF688" s="111" t="str">
        <f t="shared" si="142"/>
        <v/>
      </c>
    </row>
    <row r="689" spans="1:32">
      <c r="A689" s="159"/>
      <c r="B689" s="160"/>
      <c r="C689" s="5"/>
      <c r="D689" s="5"/>
      <c r="E689" s="5"/>
      <c r="F689" s="5"/>
      <c r="G689" s="5"/>
      <c r="H689" s="5"/>
      <c r="I689" s="5"/>
      <c r="J689" s="5"/>
      <c r="K689" s="5"/>
      <c r="L689" s="5"/>
      <c r="M689" s="5"/>
      <c r="N689" s="5"/>
      <c r="O689" s="5"/>
      <c r="P689" s="5"/>
      <c r="Q689" s="5"/>
      <c r="R689" s="5"/>
      <c r="S689" s="5"/>
      <c r="T689" s="5"/>
      <c r="U689" s="5"/>
      <c r="V689" s="7"/>
      <c r="W689" s="7"/>
      <c r="X689" s="164" t="e">
        <f t="shared" si="137"/>
        <v>#N/A</v>
      </c>
      <c r="Y689" s="164" t="e">
        <f t="shared" si="138"/>
        <v>#N/A</v>
      </c>
      <c r="AB689" s="156">
        <f t="shared" si="140"/>
        <v>0</v>
      </c>
      <c r="AC689" s="121" t="str">
        <f t="shared" si="139"/>
        <v/>
      </c>
      <c r="AE689" s="121" t="str">
        <f t="shared" si="141"/>
        <v/>
      </c>
      <c r="AF689" s="111" t="str">
        <f t="shared" si="142"/>
        <v/>
      </c>
    </row>
    <row r="690" spans="1:32">
      <c r="A690" s="159"/>
      <c r="B690" s="160"/>
      <c r="C690" s="5"/>
      <c r="D690" s="5"/>
      <c r="E690" s="5"/>
      <c r="F690" s="5"/>
      <c r="G690" s="5"/>
      <c r="H690" s="5"/>
      <c r="I690" s="5"/>
      <c r="J690" s="5"/>
      <c r="K690" s="5"/>
      <c r="L690" s="5"/>
      <c r="M690" s="5"/>
      <c r="N690" s="5"/>
      <c r="O690" s="5"/>
      <c r="P690" s="5"/>
      <c r="Q690" s="5"/>
      <c r="R690" s="5"/>
      <c r="S690" s="5"/>
      <c r="T690" s="5"/>
      <c r="U690" s="5"/>
      <c r="V690" s="7"/>
      <c r="W690" s="7"/>
      <c r="X690" s="164" t="e">
        <f t="shared" si="137"/>
        <v>#N/A</v>
      </c>
      <c r="Y690" s="164" t="e">
        <f t="shared" si="138"/>
        <v>#N/A</v>
      </c>
      <c r="AB690" s="156">
        <f t="shared" si="140"/>
        <v>0</v>
      </c>
      <c r="AC690" s="121" t="str">
        <f t="shared" si="139"/>
        <v/>
      </c>
      <c r="AE690" s="121" t="str">
        <f t="shared" si="141"/>
        <v/>
      </c>
      <c r="AF690" s="111" t="str">
        <f t="shared" si="142"/>
        <v/>
      </c>
    </row>
    <row r="691" spans="1:32">
      <c r="A691" s="159"/>
      <c r="B691" s="160"/>
      <c r="C691" s="5"/>
      <c r="D691" s="5"/>
      <c r="E691" s="5"/>
      <c r="F691" s="5"/>
      <c r="G691" s="5"/>
      <c r="H691" s="5"/>
      <c r="I691" s="5"/>
      <c r="J691" s="5"/>
      <c r="K691" s="5"/>
      <c r="L691" s="5"/>
      <c r="M691" s="5"/>
      <c r="N691" s="5"/>
      <c r="O691" s="5"/>
      <c r="P691" s="5"/>
      <c r="Q691" s="5"/>
      <c r="R691" s="5"/>
      <c r="S691" s="5"/>
      <c r="T691" s="5"/>
      <c r="U691" s="5"/>
      <c r="V691" s="7"/>
      <c r="W691" s="7"/>
      <c r="X691" s="164" t="e">
        <f t="shared" si="137"/>
        <v>#N/A</v>
      </c>
      <c r="Y691" s="164" t="e">
        <f t="shared" si="138"/>
        <v>#N/A</v>
      </c>
      <c r="AB691" s="156">
        <f t="shared" si="140"/>
        <v>0</v>
      </c>
      <c r="AC691" s="121" t="str">
        <f t="shared" si="139"/>
        <v/>
      </c>
      <c r="AE691" s="121" t="str">
        <f t="shared" si="141"/>
        <v/>
      </c>
      <c r="AF691" s="111" t="str">
        <f t="shared" si="142"/>
        <v/>
      </c>
    </row>
    <row r="692" spans="1:32">
      <c r="A692" s="159"/>
      <c r="B692" s="160"/>
      <c r="C692" s="5"/>
      <c r="D692" s="5"/>
      <c r="E692" s="5"/>
      <c r="F692" s="5"/>
      <c r="G692" s="5"/>
      <c r="H692" s="5"/>
      <c r="I692" s="5"/>
      <c r="J692" s="5"/>
      <c r="K692" s="5"/>
      <c r="L692" s="5"/>
      <c r="M692" s="5"/>
      <c r="N692" s="5"/>
      <c r="O692" s="5"/>
      <c r="P692" s="5"/>
      <c r="Q692" s="5"/>
      <c r="R692" s="5"/>
      <c r="S692" s="5"/>
      <c r="T692" s="5"/>
      <c r="U692" s="5"/>
      <c r="V692" s="7"/>
      <c r="W692" s="7"/>
      <c r="X692" s="164" t="e">
        <f t="shared" si="137"/>
        <v>#N/A</v>
      </c>
      <c r="Y692" s="164" t="e">
        <f t="shared" si="138"/>
        <v>#N/A</v>
      </c>
      <c r="AB692" s="156">
        <f t="shared" si="140"/>
        <v>0</v>
      </c>
      <c r="AC692" s="121" t="str">
        <f t="shared" si="139"/>
        <v/>
      </c>
      <c r="AE692" s="121" t="str">
        <f t="shared" si="141"/>
        <v/>
      </c>
      <c r="AF692" s="111" t="str">
        <f t="shared" si="142"/>
        <v/>
      </c>
    </row>
    <row r="693" spans="1:32">
      <c r="A693" s="159"/>
      <c r="B693" s="160"/>
      <c r="C693" s="5"/>
      <c r="D693" s="5"/>
      <c r="E693" s="5"/>
      <c r="F693" s="5"/>
      <c r="G693" s="5"/>
      <c r="H693" s="5"/>
      <c r="I693" s="5"/>
      <c r="J693" s="5"/>
      <c r="K693" s="5"/>
      <c r="L693" s="5"/>
      <c r="M693" s="5"/>
      <c r="N693" s="5"/>
      <c r="O693" s="5"/>
      <c r="P693" s="5"/>
      <c r="Q693" s="5"/>
      <c r="R693" s="5"/>
      <c r="S693" s="5"/>
      <c r="T693" s="5"/>
      <c r="U693" s="5"/>
      <c r="V693" s="7"/>
      <c r="W693" s="7"/>
      <c r="X693" s="164" t="e">
        <f t="shared" si="137"/>
        <v>#N/A</v>
      </c>
      <c r="Y693" s="164" t="e">
        <f t="shared" si="138"/>
        <v>#N/A</v>
      </c>
      <c r="AB693" s="156">
        <f t="shared" si="140"/>
        <v>0</v>
      </c>
      <c r="AC693" s="121" t="str">
        <f t="shared" si="139"/>
        <v/>
      </c>
      <c r="AE693" s="121" t="str">
        <f t="shared" si="141"/>
        <v/>
      </c>
      <c r="AF693" s="111" t="str">
        <f t="shared" si="142"/>
        <v/>
      </c>
    </row>
    <row r="694" spans="1:32">
      <c r="A694" s="159"/>
      <c r="B694" s="160"/>
      <c r="C694" s="5"/>
      <c r="D694" s="5"/>
      <c r="E694" s="5"/>
      <c r="F694" s="5"/>
      <c r="G694" s="5"/>
      <c r="H694" s="5"/>
      <c r="I694" s="5"/>
      <c r="J694" s="5"/>
      <c r="K694" s="5"/>
      <c r="L694" s="5"/>
      <c r="M694" s="5"/>
      <c r="N694" s="5"/>
      <c r="O694" s="5"/>
      <c r="P694" s="5"/>
      <c r="Q694" s="5"/>
      <c r="R694" s="5"/>
      <c r="S694" s="5"/>
      <c r="T694" s="5"/>
      <c r="U694" s="5"/>
      <c r="V694" s="7"/>
      <c r="W694" s="7"/>
      <c r="X694" s="164" t="e">
        <f t="shared" si="137"/>
        <v>#N/A</v>
      </c>
      <c r="Y694" s="164" t="e">
        <f t="shared" si="138"/>
        <v>#N/A</v>
      </c>
      <c r="AB694" s="156">
        <f t="shared" si="140"/>
        <v>0</v>
      </c>
      <c r="AC694" s="121" t="str">
        <f t="shared" si="139"/>
        <v/>
      </c>
      <c r="AE694" s="121" t="str">
        <f t="shared" si="141"/>
        <v/>
      </c>
      <c r="AF694" s="111" t="str">
        <f t="shared" si="142"/>
        <v/>
      </c>
    </row>
    <row r="695" spans="1:32">
      <c r="A695" s="159"/>
      <c r="B695" s="160"/>
      <c r="C695" s="5"/>
      <c r="D695" s="5"/>
      <c r="E695" s="5"/>
      <c r="F695" s="5"/>
      <c r="G695" s="5"/>
      <c r="H695" s="5"/>
      <c r="I695" s="5"/>
      <c r="J695" s="5"/>
      <c r="K695" s="5"/>
      <c r="L695" s="5"/>
      <c r="M695" s="5"/>
      <c r="N695" s="5"/>
      <c r="O695" s="5"/>
      <c r="P695" s="5"/>
      <c r="Q695" s="5"/>
      <c r="R695" s="5"/>
      <c r="S695" s="5"/>
      <c r="T695" s="5"/>
      <c r="U695" s="5"/>
      <c r="V695" s="7"/>
      <c r="W695" s="7"/>
      <c r="X695" s="164" t="e">
        <f t="shared" si="137"/>
        <v>#N/A</v>
      </c>
      <c r="Y695" s="164" t="e">
        <f t="shared" si="138"/>
        <v>#N/A</v>
      </c>
      <c r="AB695" s="156">
        <f t="shared" si="140"/>
        <v>0</v>
      </c>
      <c r="AC695" s="121" t="str">
        <f t="shared" si="139"/>
        <v/>
      </c>
      <c r="AE695" s="121" t="str">
        <f t="shared" si="141"/>
        <v/>
      </c>
      <c r="AF695" s="111" t="str">
        <f t="shared" si="142"/>
        <v/>
      </c>
    </row>
    <row r="696" spans="1:32">
      <c r="A696" s="159"/>
      <c r="B696" s="160"/>
      <c r="C696" s="5"/>
      <c r="D696" s="5"/>
      <c r="E696" s="5"/>
      <c r="F696" s="5"/>
      <c r="G696" s="5"/>
      <c r="H696" s="5"/>
      <c r="I696" s="5"/>
      <c r="J696" s="5"/>
      <c r="K696" s="5"/>
      <c r="L696" s="5"/>
      <c r="M696" s="5"/>
      <c r="N696" s="5"/>
      <c r="O696" s="5"/>
      <c r="P696" s="5"/>
      <c r="Q696" s="5"/>
      <c r="R696" s="5"/>
      <c r="S696" s="5"/>
      <c r="T696" s="5"/>
      <c r="U696" s="5"/>
      <c r="V696" s="7"/>
      <c r="W696" s="7"/>
      <c r="X696" s="164" t="e">
        <f t="shared" si="137"/>
        <v>#N/A</v>
      </c>
      <c r="Y696" s="164" t="e">
        <f t="shared" si="138"/>
        <v>#N/A</v>
      </c>
      <c r="AB696" s="156">
        <f t="shared" si="140"/>
        <v>0</v>
      </c>
      <c r="AC696" s="121" t="str">
        <f t="shared" si="139"/>
        <v/>
      </c>
      <c r="AE696" s="121" t="str">
        <f t="shared" si="141"/>
        <v/>
      </c>
      <c r="AF696" s="111" t="str">
        <f t="shared" si="142"/>
        <v/>
      </c>
    </row>
    <row r="697" spans="1:32">
      <c r="A697" s="159"/>
      <c r="B697" s="160"/>
      <c r="C697" s="5"/>
      <c r="D697" s="5"/>
      <c r="E697" s="5"/>
      <c r="F697" s="5"/>
      <c r="G697" s="5"/>
      <c r="H697" s="5"/>
      <c r="I697" s="5"/>
      <c r="J697" s="5"/>
      <c r="K697" s="5"/>
      <c r="L697" s="5"/>
      <c r="M697" s="5"/>
      <c r="N697" s="5"/>
      <c r="O697" s="5"/>
      <c r="P697" s="5"/>
      <c r="Q697" s="5"/>
      <c r="R697" s="5"/>
      <c r="S697" s="5"/>
      <c r="T697" s="5"/>
      <c r="U697" s="5"/>
      <c r="V697" s="7"/>
      <c r="W697" s="7"/>
      <c r="X697" s="164" t="e">
        <f t="shared" si="137"/>
        <v>#N/A</v>
      </c>
      <c r="Y697" s="164" t="e">
        <f t="shared" si="138"/>
        <v>#N/A</v>
      </c>
      <c r="AB697" s="156">
        <f t="shared" si="140"/>
        <v>0</v>
      </c>
      <c r="AC697" s="121" t="str">
        <f t="shared" si="139"/>
        <v/>
      </c>
      <c r="AE697" s="121" t="str">
        <f t="shared" si="141"/>
        <v/>
      </c>
      <c r="AF697" s="111" t="str">
        <f t="shared" si="142"/>
        <v/>
      </c>
    </row>
    <row r="698" spans="1:32">
      <c r="A698" s="159"/>
      <c r="B698" s="160"/>
      <c r="C698" s="5"/>
      <c r="D698" s="5"/>
      <c r="E698" s="5"/>
      <c r="F698" s="5"/>
      <c r="G698" s="5"/>
      <c r="H698" s="5"/>
      <c r="I698" s="5"/>
      <c r="J698" s="5"/>
      <c r="K698" s="5"/>
      <c r="L698" s="5"/>
      <c r="M698" s="5"/>
      <c r="N698" s="5"/>
      <c r="O698" s="5"/>
      <c r="P698" s="5"/>
      <c r="Q698" s="5"/>
      <c r="R698" s="5"/>
      <c r="S698" s="5"/>
      <c r="T698" s="5"/>
      <c r="U698" s="5"/>
      <c r="V698" s="7"/>
      <c r="W698" s="7"/>
      <c r="X698" s="164" t="e">
        <f t="shared" si="137"/>
        <v>#N/A</v>
      </c>
      <c r="Y698" s="164" t="e">
        <f t="shared" si="138"/>
        <v>#N/A</v>
      </c>
      <c r="AB698" s="156">
        <f t="shared" si="140"/>
        <v>0</v>
      </c>
      <c r="AC698" s="121" t="str">
        <f t="shared" si="139"/>
        <v/>
      </c>
      <c r="AE698" s="121" t="str">
        <f t="shared" si="141"/>
        <v/>
      </c>
      <c r="AF698" s="111" t="str">
        <f t="shared" si="142"/>
        <v/>
      </c>
    </row>
    <row r="699" spans="1:32">
      <c r="A699" s="159"/>
      <c r="B699" s="160"/>
      <c r="C699" s="5"/>
      <c r="D699" s="5"/>
      <c r="E699" s="5"/>
      <c r="F699" s="5"/>
      <c r="G699" s="5"/>
      <c r="H699" s="5"/>
      <c r="I699" s="5"/>
      <c r="J699" s="5"/>
      <c r="K699" s="5"/>
      <c r="L699" s="5"/>
      <c r="M699" s="5"/>
      <c r="N699" s="5"/>
      <c r="O699" s="5"/>
      <c r="P699" s="5"/>
      <c r="Q699" s="5"/>
      <c r="R699" s="5"/>
      <c r="S699" s="5"/>
      <c r="T699" s="5"/>
      <c r="U699" s="5"/>
      <c r="V699" s="7"/>
      <c r="W699" s="7"/>
      <c r="X699" s="164" t="e">
        <f t="shared" si="137"/>
        <v>#N/A</v>
      </c>
      <c r="Y699" s="164" t="e">
        <f t="shared" si="138"/>
        <v>#N/A</v>
      </c>
      <c r="AB699" s="156">
        <f t="shared" si="140"/>
        <v>0</v>
      </c>
      <c r="AC699" s="121" t="str">
        <f t="shared" si="139"/>
        <v/>
      </c>
      <c r="AE699" s="121" t="str">
        <f t="shared" si="141"/>
        <v/>
      </c>
      <c r="AF699" s="111" t="str">
        <f t="shared" si="142"/>
        <v/>
      </c>
    </row>
    <row r="700" spans="1:32">
      <c r="A700" s="159"/>
      <c r="B700" s="160"/>
      <c r="C700" s="5"/>
      <c r="D700" s="5"/>
      <c r="E700" s="5"/>
      <c r="F700" s="5"/>
      <c r="G700" s="5"/>
      <c r="H700" s="5"/>
      <c r="I700" s="5"/>
      <c r="J700" s="5"/>
      <c r="K700" s="5"/>
      <c r="L700" s="5"/>
      <c r="M700" s="5"/>
      <c r="N700" s="5"/>
      <c r="O700" s="5"/>
      <c r="P700" s="5"/>
      <c r="Q700" s="5"/>
      <c r="R700" s="5"/>
      <c r="S700" s="5"/>
      <c r="T700" s="5"/>
      <c r="U700" s="5"/>
      <c r="V700" s="7"/>
      <c r="W700" s="7"/>
      <c r="X700" s="164" t="e">
        <f t="shared" si="137"/>
        <v>#N/A</v>
      </c>
      <c r="Y700" s="164" t="e">
        <f t="shared" si="138"/>
        <v>#N/A</v>
      </c>
      <c r="AB700" s="156">
        <f t="shared" si="140"/>
        <v>0</v>
      </c>
      <c r="AC700" s="121" t="str">
        <f t="shared" si="139"/>
        <v/>
      </c>
      <c r="AE700" s="121" t="str">
        <f t="shared" si="141"/>
        <v/>
      </c>
      <c r="AF700" s="111" t="str">
        <f t="shared" si="142"/>
        <v/>
      </c>
    </row>
    <row r="701" spans="1:32">
      <c r="A701" s="159"/>
      <c r="B701" s="160"/>
      <c r="C701" s="5"/>
      <c r="D701" s="5"/>
      <c r="E701" s="5"/>
      <c r="F701" s="5"/>
      <c r="G701" s="5"/>
      <c r="H701" s="5"/>
      <c r="I701" s="5"/>
      <c r="J701" s="5"/>
      <c r="K701" s="5"/>
      <c r="L701" s="5"/>
      <c r="M701" s="5"/>
      <c r="N701" s="5"/>
      <c r="O701" s="5"/>
      <c r="P701" s="5"/>
      <c r="Q701" s="5"/>
      <c r="R701" s="5"/>
      <c r="S701" s="5"/>
      <c r="T701" s="5"/>
      <c r="U701" s="5"/>
      <c r="V701" s="7"/>
      <c r="W701" s="7"/>
      <c r="X701" s="164" t="e">
        <f t="shared" si="137"/>
        <v>#N/A</v>
      </c>
      <c r="Y701" s="164" t="e">
        <f t="shared" si="138"/>
        <v>#N/A</v>
      </c>
      <c r="AB701" s="156">
        <f t="shared" si="140"/>
        <v>0</v>
      </c>
      <c r="AC701" s="121" t="str">
        <f t="shared" si="139"/>
        <v/>
      </c>
      <c r="AE701" s="121" t="str">
        <f t="shared" si="141"/>
        <v/>
      </c>
      <c r="AF701" s="111" t="str">
        <f t="shared" si="142"/>
        <v/>
      </c>
    </row>
    <row r="702" spans="1:32">
      <c r="A702" s="159"/>
      <c r="B702" s="160"/>
      <c r="C702" s="5"/>
      <c r="D702" s="5"/>
      <c r="E702" s="5"/>
      <c r="F702" s="5"/>
      <c r="G702" s="5"/>
      <c r="H702" s="5"/>
      <c r="I702" s="5"/>
      <c r="J702" s="5"/>
      <c r="K702" s="5"/>
      <c r="L702" s="5"/>
      <c r="M702" s="5"/>
      <c r="N702" s="5"/>
      <c r="O702" s="5"/>
      <c r="P702" s="5"/>
      <c r="Q702" s="5"/>
      <c r="R702" s="5"/>
      <c r="S702" s="5"/>
      <c r="T702" s="5"/>
      <c r="U702" s="5"/>
      <c r="V702" s="7"/>
      <c r="W702" s="7"/>
      <c r="X702" s="164" t="e">
        <f t="shared" si="137"/>
        <v>#N/A</v>
      </c>
      <c r="Y702" s="164" t="e">
        <f t="shared" si="138"/>
        <v>#N/A</v>
      </c>
      <c r="AB702" s="156">
        <f t="shared" si="140"/>
        <v>0</v>
      </c>
      <c r="AC702" s="121" t="str">
        <f t="shared" si="139"/>
        <v/>
      </c>
      <c r="AE702" s="121" t="str">
        <f t="shared" si="141"/>
        <v/>
      </c>
      <c r="AF702" s="111" t="str">
        <f t="shared" si="142"/>
        <v/>
      </c>
    </row>
    <row r="703" spans="1:32">
      <c r="A703" s="159"/>
      <c r="B703" s="160"/>
      <c r="C703" s="5"/>
      <c r="D703" s="5"/>
      <c r="E703" s="5"/>
      <c r="F703" s="5"/>
      <c r="G703" s="5"/>
      <c r="H703" s="5"/>
      <c r="I703" s="5"/>
      <c r="J703" s="5"/>
      <c r="K703" s="5"/>
      <c r="L703" s="5"/>
      <c r="M703" s="5"/>
      <c r="N703" s="5"/>
      <c r="O703" s="5"/>
      <c r="P703" s="5"/>
      <c r="Q703" s="5"/>
      <c r="R703" s="5"/>
      <c r="S703" s="5"/>
      <c r="T703" s="5"/>
      <c r="U703" s="5"/>
      <c r="V703" s="7"/>
      <c r="W703" s="7"/>
      <c r="X703" s="164" t="e">
        <f t="shared" si="137"/>
        <v>#N/A</v>
      </c>
      <c r="Y703" s="164" t="e">
        <f t="shared" si="138"/>
        <v>#N/A</v>
      </c>
      <c r="AB703" s="156">
        <f t="shared" si="140"/>
        <v>0</v>
      </c>
      <c r="AC703" s="121" t="str">
        <f t="shared" si="139"/>
        <v/>
      </c>
      <c r="AE703" s="121" t="str">
        <f t="shared" si="141"/>
        <v/>
      </c>
      <c r="AF703" s="111" t="str">
        <f t="shared" si="142"/>
        <v/>
      </c>
    </row>
    <row r="704" spans="1:32">
      <c r="A704" s="159"/>
      <c r="B704" s="160"/>
      <c r="C704" s="5"/>
      <c r="D704" s="5"/>
      <c r="E704" s="5"/>
      <c r="F704" s="5"/>
      <c r="G704" s="5"/>
      <c r="H704" s="5"/>
      <c r="I704" s="5"/>
      <c r="J704" s="5"/>
      <c r="K704" s="5"/>
      <c r="L704" s="5"/>
      <c r="M704" s="5"/>
      <c r="N704" s="5"/>
      <c r="O704" s="5"/>
      <c r="P704" s="5"/>
      <c r="Q704" s="5"/>
      <c r="R704" s="5"/>
      <c r="S704" s="5"/>
      <c r="T704" s="5"/>
      <c r="U704" s="5"/>
      <c r="V704" s="7"/>
      <c r="W704" s="7"/>
      <c r="X704" s="164" t="e">
        <f t="shared" si="137"/>
        <v>#N/A</v>
      </c>
      <c r="Y704" s="164" t="e">
        <f t="shared" si="138"/>
        <v>#N/A</v>
      </c>
      <c r="AB704" s="156">
        <f t="shared" si="140"/>
        <v>0</v>
      </c>
      <c r="AC704" s="121" t="str">
        <f t="shared" si="139"/>
        <v/>
      </c>
      <c r="AE704" s="121" t="str">
        <f t="shared" si="141"/>
        <v/>
      </c>
      <c r="AF704" s="111" t="str">
        <f t="shared" si="142"/>
        <v/>
      </c>
    </row>
    <row r="705" spans="1:32">
      <c r="A705" s="159"/>
      <c r="B705" s="160"/>
      <c r="C705" s="5"/>
      <c r="D705" s="5"/>
      <c r="E705" s="5"/>
      <c r="F705" s="5"/>
      <c r="G705" s="5"/>
      <c r="H705" s="5"/>
      <c r="I705" s="5"/>
      <c r="J705" s="5"/>
      <c r="K705" s="5"/>
      <c r="L705" s="5"/>
      <c r="M705" s="5"/>
      <c r="N705" s="5"/>
      <c r="O705" s="5"/>
      <c r="P705" s="5"/>
      <c r="Q705" s="5"/>
      <c r="R705" s="5"/>
      <c r="S705" s="5"/>
      <c r="T705" s="5"/>
      <c r="U705" s="5"/>
      <c r="V705" s="7"/>
      <c r="W705" s="7"/>
      <c r="X705" s="164" t="e">
        <f t="shared" si="137"/>
        <v>#N/A</v>
      </c>
      <c r="Y705" s="164" t="e">
        <f t="shared" si="138"/>
        <v>#N/A</v>
      </c>
      <c r="AB705" s="156">
        <f t="shared" si="140"/>
        <v>0</v>
      </c>
      <c r="AC705" s="121" t="str">
        <f t="shared" si="139"/>
        <v/>
      </c>
      <c r="AE705" s="121" t="str">
        <f t="shared" si="141"/>
        <v/>
      </c>
      <c r="AF705" s="111" t="str">
        <f t="shared" si="142"/>
        <v/>
      </c>
    </row>
    <row r="706" spans="1:32">
      <c r="A706" s="159"/>
      <c r="B706" s="160"/>
      <c r="C706" s="5"/>
      <c r="D706" s="5"/>
      <c r="E706" s="5"/>
      <c r="F706" s="5"/>
      <c r="G706" s="5"/>
      <c r="H706" s="5"/>
      <c r="I706" s="5"/>
      <c r="J706" s="5"/>
      <c r="K706" s="5"/>
      <c r="L706" s="5"/>
      <c r="M706" s="5"/>
      <c r="N706" s="5"/>
      <c r="O706" s="5"/>
      <c r="P706" s="5"/>
      <c r="Q706" s="5"/>
      <c r="R706" s="5"/>
      <c r="S706" s="5"/>
      <c r="T706" s="5"/>
      <c r="U706" s="5"/>
      <c r="V706" s="7"/>
      <c r="W706" s="7"/>
      <c r="X706" s="164" t="e">
        <f t="shared" ref="X706:X769" si="143">IF(AB706=1, A706,NA())</f>
        <v>#N/A</v>
      </c>
      <c r="Y706" s="164" t="e">
        <f t="shared" ref="Y706:Y769" si="144">IF(AB706=1,B706-($H$7+$I$7*X706),NA())</f>
        <v>#N/A</v>
      </c>
      <c r="AB706" s="156">
        <f t="shared" si="140"/>
        <v>0</v>
      </c>
      <c r="AC706" s="121" t="str">
        <f t="shared" ref="AC706:AC769" si="145">IF(ISBLANK(A706), "", Y706^2)</f>
        <v/>
      </c>
      <c r="AE706" s="121" t="str">
        <f t="shared" si="141"/>
        <v/>
      </c>
      <c r="AF706" s="111" t="str">
        <f t="shared" si="142"/>
        <v/>
      </c>
    </row>
    <row r="707" spans="1:32">
      <c r="A707" s="159"/>
      <c r="B707" s="160"/>
      <c r="C707" s="5"/>
      <c r="D707" s="5"/>
      <c r="E707" s="5"/>
      <c r="F707" s="5"/>
      <c r="G707" s="5"/>
      <c r="H707" s="5"/>
      <c r="I707" s="5"/>
      <c r="J707" s="5"/>
      <c r="K707" s="5"/>
      <c r="L707" s="5"/>
      <c r="M707" s="5"/>
      <c r="N707" s="5"/>
      <c r="O707" s="5"/>
      <c r="P707" s="5"/>
      <c r="Q707" s="5"/>
      <c r="R707" s="5"/>
      <c r="S707" s="5"/>
      <c r="T707" s="5"/>
      <c r="U707" s="5"/>
      <c r="V707" s="7"/>
      <c r="W707" s="7"/>
      <c r="X707" s="164" t="e">
        <f t="shared" si="143"/>
        <v>#N/A</v>
      </c>
      <c r="Y707" s="164" t="e">
        <f t="shared" si="144"/>
        <v>#N/A</v>
      </c>
      <c r="AB707" s="156">
        <f t="shared" ref="AB707:AB770" si="146">IF(ISBLANK(A707),0,1)</f>
        <v>0</v>
      </c>
      <c r="AC707" s="121" t="str">
        <f t="shared" si="145"/>
        <v/>
      </c>
      <c r="AE707" s="121" t="str">
        <f t="shared" ref="AE707:AE770" si="147">IF(AB707=1,(A707-$AA$2)^2, "")</f>
        <v/>
      </c>
      <c r="AF707" s="111" t="str">
        <f t="shared" si="142"/>
        <v/>
      </c>
    </row>
    <row r="708" spans="1:32">
      <c r="A708" s="159"/>
      <c r="B708" s="160"/>
      <c r="C708" s="5"/>
      <c r="D708" s="5"/>
      <c r="E708" s="5"/>
      <c r="F708" s="5"/>
      <c r="G708" s="5"/>
      <c r="H708" s="5"/>
      <c r="I708" s="5"/>
      <c r="J708" s="5"/>
      <c r="K708" s="5"/>
      <c r="L708" s="5"/>
      <c r="M708" s="5"/>
      <c r="N708" s="5"/>
      <c r="O708" s="5"/>
      <c r="P708" s="5"/>
      <c r="Q708" s="5"/>
      <c r="R708" s="5"/>
      <c r="S708" s="5"/>
      <c r="T708" s="5"/>
      <c r="U708" s="5"/>
      <c r="V708" s="7"/>
      <c r="W708" s="7"/>
      <c r="X708" s="164" t="e">
        <f t="shared" si="143"/>
        <v>#N/A</v>
      </c>
      <c r="Y708" s="164" t="e">
        <f t="shared" si="144"/>
        <v>#N/A</v>
      </c>
      <c r="AB708" s="156">
        <f t="shared" si="146"/>
        <v>0</v>
      </c>
      <c r="AC708" s="121" t="str">
        <f t="shared" si="145"/>
        <v/>
      </c>
      <c r="AE708" s="121" t="str">
        <f t="shared" si="147"/>
        <v/>
      </c>
      <c r="AF708" s="111" t="str">
        <f t="shared" ref="AF708:AF771" si="148">IFERROR(Y707, "")</f>
        <v/>
      </c>
    </row>
    <row r="709" spans="1:32">
      <c r="A709" s="159"/>
      <c r="B709" s="160"/>
      <c r="C709" s="5"/>
      <c r="D709" s="5"/>
      <c r="E709" s="5"/>
      <c r="F709" s="5"/>
      <c r="G709" s="5"/>
      <c r="H709" s="5"/>
      <c r="I709" s="5"/>
      <c r="J709" s="5"/>
      <c r="K709" s="5"/>
      <c r="L709" s="5"/>
      <c r="M709" s="5"/>
      <c r="N709" s="5"/>
      <c r="O709" s="5"/>
      <c r="P709" s="5"/>
      <c r="Q709" s="5"/>
      <c r="R709" s="5"/>
      <c r="S709" s="5"/>
      <c r="T709" s="5"/>
      <c r="U709" s="5"/>
      <c r="V709" s="7"/>
      <c r="W709" s="7"/>
      <c r="X709" s="164" t="e">
        <f t="shared" si="143"/>
        <v>#N/A</v>
      </c>
      <c r="Y709" s="164" t="e">
        <f t="shared" si="144"/>
        <v>#N/A</v>
      </c>
      <c r="AB709" s="156">
        <f t="shared" si="146"/>
        <v>0</v>
      </c>
      <c r="AC709" s="121" t="str">
        <f t="shared" si="145"/>
        <v/>
      </c>
      <c r="AE709" s="121" t="str">
        <f t="shared" si="147"/>
        <v/>
      </c>
      <c r="AF709" s="111" t="str">
        <f t="shared" si="148"/>
        <v/>
      </c>
    </row>
    <row r="710" spans="1:32">
      <c r="A710" s="159"/>
      <c r="B710" s="160"/>
      <c r="C710" s="5"/>
      <c r="D710" s="5"/>
      <c r="E710" s="5"/>
      <c r="F710" s="5"/>
      <c r="G710" s="5"/>
      <c r="H710" s="5"/>
      <c r="I710" s="5"/>
      <c r="J710" s="5"/>
      <c r="K710" s="5"/>
      <c r="L710" s="5"/>
      <c r="M710" s="5"/>
      <c r="N710" s="5"/>
      <c r="O710" s="5"/>
      <c r="P710" s="5"/>
      <c r="Q710" s="5"/>
      <c r="R710" s="5"/>
      <c r="S710" s="5"/>
      <c r="T710" s="5"/>
      <c r="U710" s="5"/>
      <c r="V710" s="7"/>
      <c r="W710" s="7"/>
      <c r="X710" s="164" t="e">
        <f t="shared" si="143"/>
        <v>#N/A</v>
      </c>
      <c r="Y710" s="164" t="e">
        <f t="shared" si="144"/>
        <v>#N/A</v>
      </c>
      <c r="AB710" s="156">
        <f t="shared" si="146"/>
        <v>0</v>
      </c>
      <c r="AC710" s="121" t="str">
        <f t="shared" si="145"/>
        <v/>
      </c>
      <c r="AE710" s="121" t="str">
        <f t="shared" si="147"/>
        <v/>
      </c>
      <c r="AF710" s="111" t="str">
        <f t="shared" si="148"/>
        <v/>
      </c>
    </row>
    <row r="711" spans="1:32">
      <c r="A711" s="159"/>
      <c r="B711" s="160"/>
      <c r="C711" s="5"/>
      <c r="D711" s="5"/>
      <c r="E711" s="5"/>
      <c r="F711" s="5"/>
      <c r="G711" s="5"/>
      <c r="H711" s="5"/>
      <c r="I711" s="5"/>
      <c r="J711" s="5"/>
      <c r="K711" s="5"/>
      <c r="L711" s="5"/>
      <c r="M711" s="5"/>
      <c r="N711" s="5"/>
      <c r="O711" s="5"/>
      <c r="P711" s="5"/>
      <c r="Q711" s="5"/>
      <c r="R711" s="5"/>
      <c r="S711" s="5"/>
      <c r="T711" s="5"/>
      <c r="U711" s="5"/>
      <c r="V711" s="7"/>
      <c r="W711" s="7"/>
      <c r="X711" s="164" t="e">
        <f t="shared" si="143"/>
        <v>#N/A</v>
      </c>
      <c r="Y711" s="164" t="e">
        <f t="shared" si="144"/>
        <v>#N/A</v>
      </c>
      <c r="AB711" s="156">
        <f t="shared" si="146"/>
        <v>0</v>
      </c>
      <c r="AC711" s="121" t="str">
        <f t="shared" si="145"/>
        <v/>
      </c>
      <c r="AE711" s="121" t="str">
        <f t="shared" si="147"/>
        <v/>
      </c>
      <c r="AF711" s="111" t="str">
        <f t="shared" si="148"/>
        <v/>
      </c>
    </row>
    <row r="712" spans="1:32">
      <c r="A712" s="159"/>
      <c r="B712" s="160"/>
      <c r="C712" s="5"/>
      <c r="D712" s="5"/>
      <c r="E712" s="5"/>
      <c r="F712" s="5"/>
      <c r="G712" s="5"/>
      <c r="H712" s="5"/>
      <c r="I712" s="5"/>
      <c r="J712" s="5"/>
      <c r="K712" s="5"/>
      <c r="L712" s="5"/>
      <c r="M712" s="5"/>
      <c r="N712" s="5"/>
      <c r="O712" s="5"/>
      <c r="P712" s="5"/>
      <c r="Q712" s="5"/>
      <c r="R712" s="5"/>
      <c r="S712" s="5"/>
      <c r="T712" s="5"/>
      <c r="U712" s="5"/>
      <c r="V712" s="7"/>
      <c r="W712" s="7"/>
      <c r="X712" s="164" t="e">
        <f t="shared" si="143"/>
        <v>#N/A</v>
      </c>
      <c r="Y712" s="164" t="e">
        <f t="shared" si="144"/>
        <v>#N/A</v>
      </c>
      <c r="AB712" s="156">
        <f t="shared" si="146"/>
        <v>0</v>
      </c>
      <c r="AC712" s="121" t="str">
        <f t="shared" si="145"/>
        <v/>
      </c>
      <c r="AE712" s="121" t="str">
        <f t="shared" si="147"/>
        <v/>
      </c>
      <c r="AF712" s="111" t="str">
        <f t="shared" si="148"/>
        <v/>
      </c>
    </row>
    <row r="713" spans="1:32">
      <c r="A713" s="159"/>
      <c r="B713" s="160"/>
      <c r="C713" s="5"/>
      <c r="D713" s="5"/>
      <c r="E713" s="5"/>
      <c r="F713" s="5"/>
      <c r="G713" s="5"/>
      <c r="H713" s="5"/>
      <c r="I713" s="5"/>
      <c r="J713" s="5"/>
      <c r="K713" s="5"/>
      <c r="L713" s="5"/>
      <c r="M713" s="5"/>
      <c r="N713" s="5"/>
      <c r="O713" s="5"/>
      <c r="P713" s="5"/>
      <c r="Q713" s="5"/>
      <c r="R713" s="5"/>
      <c r="S713" s="5"/>
      <c r="T713" s="5"/>
      <c r="U713" s="5"/>
      <c r="V713" s="7"/>
      <c r="W713" s="7"/>
      <c r="X713" s="164" t="e">
        <f t="shared" si="143"/>
        <v>#N/A</v>
      </c>
      <c r="Y713" s="164" t="e">
        <f t="shared" si="144"/>
        <v>#N/A</v>
      </c>
      <c r="AB713" s="156">
        <f t="shared" si="146"/>
        <v>0</v>
      </c>
      <c r="AC713" s="121" t="str">
        <f t="shared" si="145"/>
        <v/>
      </c>
      <c r="AE713" s="121" t="str">
        <f t="shared" si="147"/>
        <v/>
      </c>
      <c r="AF713" s="111" t="str">
        <f t="shared" si="148"/>
        <v/>
      </c>
    </row>
    <row r="714" spans="1:32">
      <c r="A714" s="159"/>
      <c r="B714" s="160"/>
      <c r="C714" s="5"/>
      <c r="D714" s="5"/>
      <c r="E714" s="5"/>
      <c r="F714" s="5"/>
      <c r="G714" s="5"/>
      <c r="H714" s="5"/>
      <c r="I714" s="5"/>
      <c r="J714" s="5"/>
      <c r="K714" s="5"/>
      <c r="L714" s="5"/>
      <c r="M714" s="5"/>
      <c r="N714" s="5"/>
      <c r="O714" s="5"/>
      <c r="P714" s="5"/>
      <c r="Q714" s="5"/>
      <c r="R714" s="5"/>
      <c r="S714" s="5"/>
      <c r="T714" s="5"/>
      <c r="U714" s="5"/>
      <c r="V714" s="7"/>
      <c r="W714" s="7"/>
      <c r="X714" s="164" t="e">
        <f t="shared" si="143"/>
        <v>#N/A</v>
      </c>
      <c r="Y714" s="164" t="e">
        <f t="shared" si="144"/>
        <v>#N/A</v>
      </c>
      <c r="AB714" s="156">
        <f t="shared" si="146"/>
        <v>0</v>
      </c>
      <c r="AC714" s="121" t="str">
        <f t="shared" si="145"/>
        <v/>
      </c>
      <c r="AE714" s="121" t="str">
        <f t="shared" si="147"/>
        <v/>
      </c>
      <c r="AF714" s="111" t="str">
        <f t="shared" si="148"/>
        <v/>
      </c>
    </row>
    <row r="715" spans="1:32">
      <c r="A715" s="159"/>
      <c r="B715" s="160"/>
      <c r="C715" s="5"/>
      <c r="D715" s="5"/>
      <c r="E715" s="5"/>
      <c r="F715" s="5"/>
      <c r="G715" s="5"/>
      <c r="H715" s="5"/>
      <c r="I715" s="5"/>
      <c r="J715" s="5"/>
      <c r="K715" s="5"/>
      <c r="L715" s="5"/>
      <c r="M715" s="5"/>
      <c r="N715" s="5"/>
      <c r="O715" s="5"/>
      <c r="P715" s="5"/>
      <c r="Q715" s="5"/>
      <c r="R715" s="5"/>
      <c r="S715" s="5"/>
      <c r="T715" s="5"/>
      <c r="U715" s="5"/>
      <c r="V715" s="7"/>
      <c r="W715" s="7"/>
      <c r="X715" s="164" t="e">
        <f t="shared" si="143"/>
        <v>#N/A</v>
      </c>
      <c r="Y715" s="164" t="e">
        <f t="shared" si="144"/>
        <v>#N/A</v>
      </c>
      <c r="AB715" s="156">
        <f t="shared" si="146"/>
        <v>0</v>
      </c>
      <c r="AC715" s="121" t="str">
        <f t="shared" si="145"/>
        <v/>
      </c>
      <c r="AE715" s="121" t="str">
        <f t="shared" si="147"/>
        <v/>
      </c>
      <c r="AF715" s="111" t="str">
        <f t="shared" si="148"/>
        <v/>
      </c>
    </row>
    <row r="716" spans="1:32">
      <c r="A716" s="159"/>
      <c r="B716" s="160"/>
      <c r="C716" s="5"/>
      <c r="D716" s="5"/>
      <c r="E716" s="5"/>
      <c r="F716" s="5"/>
      <c r="G716" s="5"/>
      <c r="H716" s="5"/>
      <c r="I716" s="5"/>
      <c r="J716" s="5"/>
      <c r="K716" s="5"/>
      <c r="L716" s="5"/>
      <c r="M716" s="5"/>
      <c r="N716" s="5"/>
      <c r="O716" s="5"/>
      <c r="P716" s="5"/>
      <c r="Q716" s="5"/>
      <c r="R716" s="5"/>
      <c r="S716" s="5"/>
      <c r="T716" s="5"/>
      <c r="U716" s="5"/>
      <c r="V716" s="7"/>
      <c r="W716" s="7"/>
      <c r="X716" s="164" t="e">
        <f t="shared" si="143"/>
        <v>#N/A</v>
      </c>
      <c r="Y716" s="164" t="e">
        <f t="shared" si="144"/>
        <v>#N/A</v>
      </c>
      <c r="AB716" s="156">
        <f t="shared" si="146"/>
        <v>0</v>
      </c>
      <c r="AC716" s="121" t="str">
        <f t="shared" si="145"/>
        <v/>
      </c>
      <c r="AE716" s="121" t="str">
        <f t="shared" si="147"/>
        <v/>
      </c>
      <c r="AF716" s="111" t="str">
        <f t="shared" si="148"/>
        <v/>
      </c>
    </row>
    <row r="717" spans="1:32">
      <c r="A717" s="159"/>
      <c r="B717" s="160"/>
      <c r="C717" s="5"/>
      <c r="D717" s="5"/>
      <c r="E717" s="5"/>
      <c r="F717" s="5"/>
      <c r="G717" s="5"/>
      <c r="H717" s="5"/>
      <c r="I717" s="5"/>
      <c r="J717" s="5"/>
      <c r="K717" s="5"/>
      <c r="L717" s="5"/>
      <c r="M717" s="5"/>
      <c r="N717" s="5"/>
      <c r="O717" s="5"/>
      <c r="P717" s="5"/>
      <c r="Q717" s="5"/>
      <c r="R717" s="5"/>
      <c r="S717" s="5"/>
      <c r="T717" s="5"/>
      <c r="U717" s="5"/>
      <c r="V717" s="7"/>
      <c r="W717" s="7"/>
      <c r="X717" s="164" t="e">
        <f t="shared" si="143"/>
        <v>#N/A</v>
      </c>
      <c r="Y717" s="164" t="e">
        <f t="shared" si="144"/>
        <v>#N/A</v>
      </c>
      <c r="AB717" s="156">
        <f t="shared" si="146"/>
        <v>0</v>
      </c>
      <c r="AC717" s="121" t="str">
        <f t="shared" si="145"/>
        <v/>
      </c>
      <c r="AE717" s="121" t="str">
        <f t="shared" si="147"/>
        <v/>
      </c>
      <c r="AF717" s="111" t="str">
        <f t="shared" si="148"/>
        <v/>
      </c>
    </row>
    <row r="718" spans="1:32">
      <c r="A718" s="159"/>
      <c r="B718" s="160"/>
      <c r="C718" s="5"/>
      <c r="D718" s="5"/>
      <c r="E718" s="5"/>
      <c r="F718" s="5"/>
      <c r="G718" s="5"/>
      <c r="H718" s="5"/>
      <c r="I718" s="5"/>
      <c r="J718" s="5"/>
      <c r="K718" s="5"/>
      <c r="L718" s="5"/>
      <c r="M718" s="5"/>
      <c r="N718" s="5"/>
      <c r="O718" s="5"/>
      <c r="P718" s="5"/>
      <c r="Q718" s="5"/>
      <c r="R718" s="5"/>
      <c r="S718" s="5"/>
      <c r="T718" s="5"/>
      <c r="U718" s="5"/>
      <c r="V718" s="7"/>
      <c r="W718" s="7"/>
      <c r="X718" s="164" t="e">
        <f t="shared" si="143"/>
        <v>#N/A</v>
      </c>
      <c r="Y718" s="164" t="e">
        <f t="shared" si="144"/>
        <v>#N/A</v>
      </c>
      <c r="AB718" s="156">
        <f t="shared" si="146"/>
        <v>0</v>
      </c>
      <c r="AC718" s="121" t="str">
        <f t="shared" si="145"/>
        <v/>
      </c>
      <c r="AE718" s="121" t="str">
        <f t="shared" si="147"/>
        <v/>
      </c>
      <c r="AF718" s="111" t="str">
        <f t="shared" si="148"/>
        <v/>
      </c>
    </row>
    <row r="719" spans="1:32">
      <c r="A719" s="159"/>
      <c r="B719" s="160"/>
      <c r="C719" s="5"/>
      <c r="D719" s="5"/>
      <c r="E719" s="5"/>
      <c r="F719" s="5"/>
      <c r="G719" s="5"/>
      <c r="H719" s="5"/>
      <c r="I719" s="5"/>
      <c r="J719" s="5"/>
      <c r="K719" s="5"/>
      <c r="L719" s="5"/>
      <c r="M719" s="5"/>
      <c r="N719" s="5"/>
      <c r="O719" s="5"/>
      <c r="P719" s="5"/>
      <c r="Q719" s="5"/>
      <c r="R719" s="5"/>
      <c r="S719" s="5"/>
      <c r="T719" s="5"/>
      <c r="U719" s="5"/>
      <c r="V719" s="7"/>
      <c r="W719" s="7"/>
      <c r="X719" s="164" t="e">
        <f t="shared" si="143"/>
        <v>#N/A</v>
      </c>
      <c r="Y719" s="164" t="e">
        <f t="shared" si="144"/>
        <v>#N/A</v>
      </c>
      <c r="AB719" s="156">
        <f t="shared" si="146"/>
        <v>0</v>
      </c>
      <c r="AC719" s="121" t="str">
        <f t="shared" si="145"/>
        <v/>
      </c>
      <c r="AE719" s="121" t="str">
        <f t="shared" si="147"/>
        <v/>
      </c>
      <c r="AF719" s="111" t="str">
        <f t="shared" si="148"/>
        <v/>
      </c>
    </row>
    <row r="720" spans="1:32">
      <c r="A720" s="159"/>
      <c r="B720" s="160"/>
      <c r="C720" s="5"/>
      <c r="D720" s="5"/>
      <c r="E720" s="5"/>
      <c r="F720" s="5"/>
      <c r="G720" s="5"/>
      <c r="H720" s="5"/>
      <c r="I720" s="5"/>
      <c r="J720" s="5"/>
      <c r="K720" s="5"/>
      <c r="L720" s="5"/>
      <c r="M720" s="5"/>
      <c r="N720" s="5"/>
      <c r="O720" s="5"/>
      <c r="P720" s="5"/>
      <c r="Q720" s="5"/>
      <c r="R720" s="5"/>
      <c r="S720" s="5"/>
      <c r="T720" s="5"/>
      <c r="U720" s="5"/>
      <c r="V720" s="7"/>
      <c r="W720" s="7"/>
      <c r="X720" s="164" t="e">
        <f t="shared" si="143"/>
        <v>#N/A</v>
      </c>
      <c r="Y720" s="164" t="e">
        <f t="shared" si="144"/>
        <v>#N/A</v>
      </c>
      <c r="AB720" s="156">
        <f t="shared" si="146"/>
        <v>0</v>
      </c>
      <c r="AC720" s="121" t="str">
        <f t="shared" si="145"/>
        <v/>
      </c>
      <c r="AE720" s="121" t="str">
        <f t="shared" si="147"/>
        <v/>
      </c>
      <c r="AF720" s="111" t="str">
        <f t="shared" si="148"/>
        <v/>
      </c>
    </row>
    <row r="721" spans="1:32">
      <c r="A721" s="159"/>
      <c r="B721" s="160"/>
      <c r="C721" s="5"/>
      <c r="D721" s="5"/>
      <c r="E721" s="5"/>
      <c r="F721" s="5"/>
      <c r="G721" s="5"/>
      <c r="H721" s="5"/>
      <c r="I721" s="5"/>
      <c r="J721" s="5"/>
      <c r="K721" s="5"/>
      <c r="L721" s="5"/>
      <c r="M721" s="5"/>
      <c r="N721" s="5"/>
      <c r="O721" s="5"/>
      <c r="P721" s="5"/>
      <c r="Q721" s="5"/>
      <c r="R721" s="5"/>
      <c r="S721" s="5"/>
      <c r="T721" s="5"/>
      <c r="U721" s="5"/>
      <c r="V721" s="7"/>
      <c r="W721" s="7"/>
      <c r="X721" s="164" t="e">
        <f t="shared" si="143"/>
        <v>#N/A</v>
      </c>
      <c r="Y721" s="164" t="e">
        <f t="shared" si="144"/>
        <v>#N/A</v>
      </c>
      <c r="AB721" s="156">
        <f t="shared" si="146"/>
        <v>0</v>
      </c>
      <c r="AC721" s="121" t="str">
        <f t="shared" si="145"/>
        <v/>
      </c>
      <c r="AE721" s="121" t="str">
        <f t="shared" si="147"/>
        <v/>
      </c>
      <c r="AF721" s="111" t="str">
        <f t="shared" si="148"/>
        <v/>
      </c>
    </row>
    <row r="722" spans="1:32">
      <c r="A722" s="159"/>
      <c r="B722" s="160"/>
      <c r="C722" s="5"/>
      <c r="D722" s="5"/>
      <c r="E722" s="5"/>
      <c r="F722" s="5"/>
      <c r="G722" s="5"/>
      <c r="H722" s="5"/>
      <c r="I722" s="5"/>
      <c r="J722" s="5"/>
      <c r="K722" s="5"/>
      <c r="L722" s="5"/>
      <c r="M722" s="5"/>
      <c r="N722" s="5"/>
      <c r="O722" s="5"/>
      <c r="P722" s="5"/>
      <c r="Q722" s="5"/>
      <c r="R722" s="5"/>
      <c r="S722" s="5"/>
      <c r="T722" s="5"/>
      <c r="U722" s="5"/>
      <c r="V722" s="7"/>
      <c r="W722" s="7"/>
      <c r="X722" s="164" t="e">
        <f t="shared" si="143"/>
        <v>#N/A</v>
      </c>
      <c r="Y722" s="164" t="e">
        <f t="shared" si="144"/>
        <v>#N/A</v>
      </c>
      <c r="AB722" s="156">
        <f t="shared" si="146"/>
        <v>0</v>
      </c>
      <c r="AC722" s="121" t="str">
        <f t="shared" si="145"/>
        <v/>
      </c>
      <c r="AE722" s="121" t="str">
        <f t="shared" si="147"/>
        <v/>
      </c>
      <c r="AF722" s="111" t="str">
        <f t="shared" si="148"/>
        <v/>
      </c>
    </row>
    <row r="723" spans="1:32">
      <c r="A723" s="159"/>
      <c r="B723" s="160"/>
      <c r="C723" s="5"/>
      <c r="D723" s="5"/>
      <c r="E723" s="5"/>
      <c r="F723" s="5"/>
      <c r="G723" s="5"/>
      <c r="H723" s="5"/>
      <c r="I723" s="5"/>
      <c r="J723" s="5"/>
      <c r="K723" s="5"/>
      <c r="L723" s="5"/>
      <c r="M723" s="5"/>
      <c r="N723" s="5"/>
      <c r="O723" s="5"/>
      <c r="P723" s="5"/>
      <c r="Q723" s="5"/>
      <c r="R723" s="5"/>
      <c r="S723" s="5"/>
      <c r="T723" s="5"/>
      <c r="U723" s="5"/>
      <c r="V723" s="7"/>
      <c r="W723" s="7"/>
      <c r="X723" s="164" t="e">
        <f t="shared" si="143"/>
        <v>#N/A</v>
      </c>
      <c r="Y723" s="164" t="e">
        <f t="shared" si="144"/>
        <v>#N/A</v>
      </c>
      <c r="AB723" s="156">
        <f t="shared" si="146"/>
        <v>0</v>
      </c>
      <c r="AC723" s="121" t="str">
        <f t="shared" si="145"/>
        <v/>
      </c>
      <c r="AE723" s="121" t="str">
        <f t="shared" si="147"/>
        <v/>
      </c>
      <c r="AF723" s="111" t="str">
        <f t="shared" si="148"/>
        <v/>
      </c>
    </row>
    <row r="724" spans="1:32">
      <c r="A724" s="159"/>
      <c r="B724" s="160"/>
      <c r="C724" s="5"/>
      <c r="D724" s="5"/>
      <c r="E724" s="5"/>
      <c r="F724" s="5"/>
      <c r="G724" s="5"/>
      <c r="H724" s="5"/>
      <c r="I724" s="5"/>
      <c r="J724" s="5"/>
      <c r="K724" s="5"/>
      <c r="L724" s="5"/>
      <c r="M724" s="5"/>
      <c r="N724" s="5"/>
      <c r="O724" s="5"/>
      <c r="P724" s="5"/>
      <c r="Q724" s="5"/>
      <c r="R724" s="5"/>
      <c r="S724" s="5"/>
      <c r="T724" s="5"/>
      <c r="U724" s="5"/>
      <c r="V724" s="7"/>
      <c r="W724" s="7"/>
      <c r="X724" s="164" t="e">
        <f t="shared" si="143"/>
        <v>#N/A</v>
      </c>
      <c r="Y724" s="164" t="e">
        <f t="shared" si="144"/>
        <v>#N/A</v>
      </c>
      <c r="AB724" s="156">
        <f t="shared" si="146"/>
        <v>0</v>
      </c>
      <c r="AC724" s="121" t="str">
        <f t="shared" si="145"/>
        <v/>
      </c>
      <c r="AE724" s="121" t="str">
        <f t="shared" si="147"/>
        <v/>
      </c>
      <c r="AF724" s="111" t="str">
        <f t="shared" si="148"/>
        <v/>
      </c>
    </row>
    <row r="725" spans="1:32">
      <c r="A725" s="159"/>
      <c r="B725" s="160"/>
      <c r="C725" s="5"/>
      <c r="D725" s="5"/>
      <c r="E725" s="5"/>
      <c r="F725" s="5"/>
      <c r="G725" s="5"/>
      <c r="H725" s="5"/>
      <c r="I725" s="5"/>
      <c r="J725" s="5"/>
      <c r="K725" s="5"/>
      <c r="L725" s="5"/>
      <c r="M725" s="5"/>
      <c r="N725" s="5"/>
      <c r="O725" s="5"/>
      <c r="P725" s="5"/>
      <c r="Q725" s="5"/>
      <c r="R725" s="5"/>
      <c r="S725" s="5"/>
      <c r="T725" s="5"/>
      <c r="U725" s="5"/>
      <c r="V725" s="7"/>
      <c r="W725" s="7"/>
      <c r="X725" s="164" t="e">
        <f t="shared" si="143"/>
        <v>#N/A</v>
      </c>
      <c r="Y725" s="164" t="e">
        <f t="shared" si="144"/>
        <v>#N/A</v>
      </c>
      <c r="AB725" s="156">
        <f t="shared" si="146"/>
        <v>0</v>
      </c>
      <c r="AC725" s="121" t="str">
        <f t="shared" si="145"/>
        <v/>
      </c>
      <c r="AE725" s="121" t="str">
        <f t="shared" si="147"/>
        <v/>
      </c>
      <c r="AF725" s="111" t="str">
        <f t="shared" si="148"/>
        <v/>
      </c>
    </row>
    <row r="726" spans="1:32">
      <c r="A726" s="159"/>
      <c r="B726" s="160"/>
      <c r="C726" s="5"/>
      <c r="D726" s="5"/>
      <c r="E726" s="5"/>
      <c r="F726" s="5"/>
      <c r="G726" s="5"/>
      <c r="H726" s="5"/>
      <c r="I726" s="5"/>
      <c r="J726" s="5"/>
      <c r="K726" s="5"/>
      <c r="L726" s="5"/>
      <c r="M726" s="5"/>
      <c r="N726" s="5"/>
      <c r="O726" s="5"/>
      <c r="P726" s="5"/>
      <c r="Q726" s="5"/>
      <c r="R726" s="5"/>
      <c r="S726" s="5"/>
      <c r="T726" s="5"/>
      <c r="U726" s="5"/>
      <c r="V726" s="7"/>
      <c r="W726" s="7"/>
      <c r="X726" s="164" t="e">
        <f t="shared" si="143"/>
        <v>#N/A</v>
      </c>
      <c r="Y726" s="164" t="e">
        <f t="shared" si="144"/>
        <v>#N/A</v>
      </c>
      <c r="AB726" s="156">
        <f t="shared" si="146"/>
        <v>0</v>
      </c>
      <c r="AC726" s="121" t="str">
        <f t="shared" si="145"/>
        <v/>
      </c>
      <c r="AE726" s="121" t="str">
        <f t="shared" si="147"/>
        <v/>
      </c>
      <c r="AF726" s="111" t="str">
        <f t="shared" si="148"/>
        <v/>
      </c>
    </row>
    <row r="727" spans="1:32">
      <c r="A727" s="159"/>
      <c r="B727" s="160"/>
      <c r="C727" s="5"/>
      <c r="D727" s="5"/>
      <c r="E727" s="5"/>
      <c r="F727" s="5"/>
      <c r="G727" s="5"/>
      <c r="H727" s="5"/>
      <c r="I727" s="5"/>
      <c r="J727" s="5"/>
      <c r="K727" s="5"/>
      <c r="L727" s="5"/>
      <c r="M727" s="5"/>
      <c r="N727" s="5"/>
      <c r="O727" s="5"/>
      <c r="P727" s="5"/>
      <c r="Q727" s="5"/>
      <c r="R727" s="5"/>
      <c r="S727" s="5"/>
      <c r="T727" s="5"/>
      <c r="U727" s="5"/>
      <c r="V727" s="7"/>
      <c r="W727" s="7"/>
      <c r="X727" s="164" t="e">
        <f t="shared" si="143"/>
        <v>#N/A</v>
      </c>
      <c r="Y727" s="164" t="e">
        <f t="shared" si="144"/>
        <v>#N/A</v>
      </c>
      <c r="AB727" s="156">
        <f t="shared" si="146"/>
        <v>0</v>
      </c>
      <c r="AC727" s="121" t="str">
        <f t="shared" si="145"/>
        <v/>
      </c>
      <c r="AE727" s="121" t="str">
        <f t="shared" si="147"/>
        <v/>
      </c>
      <c r="AF727" s="111" t="str">
        <f t="shared" si="148"/>
        <v/>
      </c>
    </row>
    <row r="728" spans="1:32">
      <c r="A728" s="159"/>
      <c r="B728" s="160"/>
      <c r="C728" s="5"/>
      <c r="D728" s="5"/>
      <c r="E728" s="5"/>
      <c r="F728" s="5"/>
      <c r="G728" s="5"/>
      <c r="H728" s="5"/>
      <c r="I728" s="5"/>
      <c r="J728" s="5"/>
      <c r="K728" s="5"/>
      <c r="L728" s="5"/>
      <c r="M728" s="5"/>
      <c r="N728" s="5"/>
      <c r="O728" s="5"/>
      <c r="P728" s="5"/>
      <c r="Q728" s="5"/>
      <c r="R728" s="5"/>
      <c r="S728" s="5"/>
      <c r="T728" s="5"/>
      <c r="U728" s="5"/>
      <c r="V728" s="7"/>
      <c r="W728" s="7"/>
      <c r="X728" s="164" t="e">
        <f t="shared" si="143"/>
        <v>#N/A</v>
      </c>
      <c r="Y728" s="164" t="e">
        <f t="shared" si="144"/>
        <v>#N/A</v>
      </c>
      <c r="AB728" s="156">
        <f t="shared" si="146"/>
        <v>0</v>
      </c>
      <c r="AC728" s="121" t="str">
        <f t="shared" si="145"/>
        <v/>
      </c>
      <c r="AE728" s="121" t="str">
        <f t="shared" si="147"/>
        <v/>
      </c>
      <c r="AF728" s="111" t="str">
        <f t="shared" si="148"/>
        <v/>
      </c>
    </row>
    <row r="729" spans="1:32">
      <c r="A729" s="159"/>
      <c r="B729" s="160"/>
      <c r="C729" s="5"/>
      <c r="D729" s="5"/>
      <c r="E729" s="5"/>
      <c r="F729" s="5"/>
      <c r="G729" s="5"/>
      <c r="H729" s="5"/>
      <c r="I729" s="5"/>
      <c r="J729" s="5"/>
      <c r="K729" s="5"/>
      <c r="L729" s="5"/>
      <c r="M729" s="5"/>
      <c r="N729" s="5"/>
      <c r="O729" s="5"/>
      <c r="P729" s="5"/>
      <c r="Q729" s="5"/>
      <c r="R729" s="5"/>
      <c r="S729" s="5"/>
      <c r="T729" s="5"/>
      <c r="U729" s="5"/>
      <c r="V729" s="7"/>
      <c r="W729" s="7"/>
      <c r="X729" s="164" t="e">
        <f t="shared" si="143"/>
        <v>#N/A</v>
      </c>
      <c r="Y729" s="164" t="e">
        <f t="shared" si="144"/>
        <v>#N/A</v>
      </c>
      <c r="AB729" s="156">
        <f t="shared" si="146"/>
        <v>0</v>
      </c>
      <c r="AC729" s="121" t="str">
        <f t="shared" si="145"/>
        <v/>
      </c>
      <c r="AE729" s="121" t="str">
        <f t="shared" si="147"/>
        <v/>
      </c>
      <c r="AF729" s="111" t="str">
        <f t="shared" si="148"/>
        <v/>
      </c>
    </row>
    <row r="730" spans="1:32">
      <c r="A730" s="159"/>
      <c r="B730" s="160"/>
      <c r="C730" s="5"/>
      <c r="D730" s="5"/>
      <c r="E730" s="5"/>
      <c r="F730" s="5"/>
      <c r="G730" s="5"/>
      <c r="H730" s="5"/>
      <c r="I730" s="5"/>
      <c r="J730" s="5"/>
      <c r="K730" s="5"/>
      <c r="L730" s="5"/>
      <c r="M730" s="5"/>
      <c r="N730" s="5"/>
      <c r="O730" s="5"/>
      <c r="P730" s="5"/>
      <c r="Q730" s="5"/>
      <c r="R730" s="5"/>
      <c r="S730" s="5"/>
      <c r="T730" s="5"/>
      <c r="U730" s="5"/>
      <c r="V730" s="7"/>
      <c r="W730" s="7"/>
      <c r="X730" s="164" t="e">
        <f t="shared" si="143"/>
        <v>#N/A</v>
      </c>
      <c r="Y730" s="164" t="e">
        <f t="shared" si="144"/>
        <v>#N/A</v>
      </c>
      <c r="AB730" s="156">
        <f t="shared" si="146"/>
        <v>0</v>
      </c>
      <c r="AC730" s="121" t="str">
        <f t="shared" si="145"/>
        <v/>
      </c>
      <c r="AE730" s="121" t="str">
        <f t="shared" si="147"/>
        <v/>
      </c>
      <c r="AF730" s="111" t="str">
        <f t="shared" si="148"/>
        <v/>
      </c>
    </row>
    <row r="731" spans="1:32">
      <c r="A731" s="159"/>
      <c r="B731" s="160"/>
      <c r="C731" s="5"/>
      <c r="D731" s="5"/>
      <c r="E731" s="5"/>
      <c r="F731" s="5"/>
      <c r="G731" s="5"/>
      <c r="H731" s="5"/>
      <c r="I731" s="5"/>
      <c r="J731" s="5"/>
      <c r="K731" s="5"/>
      <c r="L731" s="5"/>
      <c r="M731" s="5"/>
      <c r="N731" s="5"/>
      <c r="O731" s="5"/>
      <c r="P731" s="5"/>
      <c r="Q731" s="5"/>
      <c r="R731" s="5"/>
      <c r="S731" s="5"/>
      <c r="T731" s="5"/>
      <c r="U731" s="5"/>
      <c r="V731" s="7"/>
      <c r="W731" s="7"/>
      <c r="X731" s="164" t="e">
        <f t="shared" si="143"/>
        <v>#N/A</v>
      </c>
      <c r="Y731" s="164" t="e">
        <f t="shared" si="144"/>
        <v>#N/A</v>
      </c>
      <c r="AB731" s="156">
        <f t="shared" si="146"/>
        <v>0</v>
      </c>
      <c r="AC731" s="121" t="str">
        <f t="shared" si="145"/>
        <v/>
      </c>
      <c r="AE731" s="121" t="str">
        <f t="shared" si="147"/>
        <v/>
      </c>
      <c r="AF731" s="111" t="str">
        <f t="shared" si="148"/>
        <v/>
      </c>
    </row>
    <row r="732" spans="1:32">
      <c r="A732" s="159"/>
      <c r="B732" s="160"/>
      <c r="C732" s="5"/>
      <c r="D732" s="5"/>
      <c r="E732" s="5"/>
      <c r="F732" s="5"/>
      <c r="G732" s="5"/>
      <c r="H732" s="5"/>
      <c r="I732" s="5"/>
      <c r="J732" s="5"/>
      <c r="K732" s="5"/>
      <c r="L732" s="5"/>
      <c r="M732" s="5"/>
      <c r="N732" s="5"/>
      <c r="O732" s="5"/>
      <c r="P732" s="5"/>
      <c r="Q732" s="5"/>
      <c r="R732" s="5"/>
      <c r="S732" s="5"/>
      <c r="T732" s="5"/>
      <c r="U732" s="5"/>
      <c r="V732" s="7"/>
      <c r="W732" s="7"/>
      <c r="X732" s="164" t="e">
        <f t="shared" si="143"/>
        <v>#N/A</v>
      </c>
      <c r="Y732" s="164" t="e">
        <f t="shared" si="144"/>
        <v>#N/A</v>
      </c>
      <c r="AB732" s="156">
        <f t="shared" si="146"/>
        <v>0</v>
      </c>
      <c r="AC732" s="121" t="str">
        <f t="shared" si="145"/>
        <v/>
      </c>
      <c r="AE732" s="121" t="str">
        <f t="shared" si="147"/>
        <v/>
      </c>
      <c r="AF732" s="111" t="str">
        <f t="shared" si="148"/>
        <v/>
      </c>
    </row>
    <row r="733" spans="1:32">
      <c r="A733" s="159"/>
      <c r="B733" s="160"/>
      <c r="C733" s="5"/>
      <c r="D733" s="5"/>
      <c r="E733" s="5"/>
      <c r="F733" s="5"/>
      <c r="G733" s="5"/>
      <c r="H733" s="5"/>
      <c r="I733" s="5"/>
      <c r="J733" s="5"/>
      <c r="K733" s="5"/>
      <c r="L733" s="5"/>
      <c r="M733" s="5"/>
      <c r="N733" s="5"/>
      <c r="O733" s="5"/>
      <c r="P733" s="5"/>
      <c r="Q733" s="5"/>
      <c r="R733" s="5"/>
      <c r="S733" s="5"/>
      <c r="T733" s="5"/>
      <c r="U733" s="5"/>
      <c r="V733" s="7"/>
      <c r="W733" s="7"/>
      <c r="X733" s="164" t="e">
        <f t="shared" si="143"/>
        <v>#N/A</v>
      </c>
      <c r="Y733" s="164" t="e">
        <f t="shared" si="144"/>
        <v>#N/A</v>
      </c>
      <c r="AB733" s="156">
        <f t="shared" si="146"/>
        <v>0</v>
      </c>
      <c r="AC733" s="121" t="str">
        <f t="shared" si="145"/>
        <v/>
      </c>
      <c r="AE733" s="121" t="str">
        <f t="shared" si="147"/>
        <v/>
      </c>
      <c r="AF733" s="111" t="str">
        <f t="shared" si="148"/>
        <v/>
      </c>
    </row>
    <row r="734" spans="1:32">
      <c r="A734" s="159"/>
      <c r="B734" s="160"/>
      <c r="C734" s="5"/>
      <c r="D734" s="5"/>
      <c r="E734" s="5"/>
      <c r="F734" s="5"/>
      <c r="G734" s="5"/>
      <c r="H734" s="5"/>
      <c r="I734" s="5"/>
      <c r="J734" s="5"/>
      <c r="K734" s="5"/>
      <c r="L734" s="5"/>
      <c r="M734" s="5"/>
      <c r="N734" s="5"/>
      <c r="O734" s="5"/>
      <c r="P734" s="5"/>
      <c r="Q734" s="5"/>
      <c r="R734" s="5"/>
      <c r="S734" s="5"/>
      <c r="T734" s="5"/>
      <c r="U734" s="5"/>
      <c r="V734" s="7"/>
      <c r="W734" s="7"/>
      <c r="X734" s="164" t="e">
        <f t="shared" si="143"/>
        <v>#N/A</v>
      </c>
      <c r="Y734" s="164" t="e">
        <f t="shared" si="144"/>
        <v>#N/A</v>
      </c>
      <c r="AB734" s="156">
        <f t="shared" si="146"/>
        <v>0</v>
      </c>
      <c r="AC734" s="121" t="str">
        <f t="shared" si="145"/>
        <v/>
      </c>
      <c r="AE734" s="121" t="str">
        <f t="shared" si="147"/>
        <v/>
      </c>
      <c r="AF734" s="111" t="str">
        <f t="shared" si="148"/>
        <v/>
      </c>
    </row>
    <row r="735" spans="1:32">
      <c r="A735" s="159"/>
      <c r="B735" s="160"/>
      <c r="C735" s="5"/>
      <c r="D735" s="5"/>
      <c r="E735" s="5"/>
      <c r="F735" s="5"/>
      <c r="G735" s="5"/>
      <c r="H735" s="5"/>
      <c r="I735" s="5"/>
      <c r="J735" s="5"/>
      <c r="K735" s="5"/>
      <c r="L735" s="5"/>
      <c r="M735" s="5"/>
      <c r="N735" s="5"/>
      <c r="O735" s="5"/>
      <c r="P735" s="5"/>
      <c r="Q735" s="5"/>
      <c r="R735" s="5"/>
      <c r="S735" s="5"/>
      <c r="T735" s="5"/>
      <c r="U735" s="5"/>
      <c r="V735" s="7"/>
      <c r="W735" s="7"/>
      <c r="X735" s="164" t="e">
        <f t="shared" si="143"/>
        <v>#N/A</v>
      </c>
      <c r="Y735" s="164" t="e">
        <f t="shared" si="144"/>
        <v>#N/A</v>
      </c>
      <c r="AB735" s="156">
        <f t="shared" si="146"/>
        <v>0</v>
      </c>
      <c r="AC735" s="121" t="str">
        <f t="shared" si="145"/>
        <v/>
      </c>
      <c r="AE735" s="121" t="str">
        <f t="shared" si="147"/>
        <v/>
      </c>
      <c r="AF735" s="111" t="str">
        <f t="shared" si="148"/>
        <v/>
      </c>
    </row>
    <row r="736" spans="1:32">
      <c r="A736" s="159"/>
      <c r="B736" s="160"/>
      <c r="C736" s="5"/>
      <c r="D736" s="5"/>
      <c r="E736" s="5"/>
      <c r="F736" s="5"/>
      <c r="G736" s="5"/>
      <c r="H736" s="5"/>
      <c r="I736" s="5"/>
      <c r="J736" s="5"/>
      <c r="K736" s="5"/>
      <c r="L736" s="5"/>
      <c r="M736" s="5"/>
      <c r="N736" s="5"/>
      <c r="O736" s="5"/>
      <c r="P736" s="5"/>
      <c r="Q736" s="5"/>
      <c r="R736" s="5"/>
      <c r="S736" s="5"/>
      <c r="T736" s="5"/>
      <c r="U736" s="5"/>
      <c r="V736" s="7"/>
      <c r="W736" s="7"/>
      <c r="X736" s="164" t="e">
        <f t="shared" si="143"/>
        <v>#N/A</v>
      </c>
      <c r="Y736" s="164" t="e">
        <f t="shared" si="144"/>
        <v>#N/A</v>
      </c>
      <c r="AB736" s="156">
        <f t="shared" si="146"/>
        <v>0</v>
      </c>
      <c r="AC736" s="121" t="str">
        <f t="shared" si="145"/>
        <v/>
      </c>
      <c r="AE736" s="121" t="str">
        <f t="shared" si="147"/>
        <v/>
      </c>
      <c r="AF736" s="111" t="str">
        <f t="shared" si="148"/>
        <v/>
      </c>
    </row>
    <row r="737" spans="1:32">
      <c r="A737" s="159"/>
      <c r="B737" s="160"/>
      <c r="C737" s="5"/>
      <c r="D737" s="5"/>
      <c r="E737" s="5"/>
      <c r="F737" s="5"/>
      <c r="G737" s="5"/>
      <c r="H737" s="5"/>
      <c r="I737" s="5"/>
      <c r="J737" s="5"/>
      <c r="K737" s="5"/>
      <c r="L737" s="5"/>
      <c r="M737" s="5"/>
      <c r="N737" s="5"/>
      <c r="O737" s="5"/>
      <c r="P737" s="5"/>
      <c r="Q737" s="5"/>
      <c r="R737" s="5"/>
      <c r="S737" s="5"/>
      <c r="T737" s="5"/>
      <c r="U737" s="5"/>
      <c r="V737" s="7"/>
      <c r="W737" s="7"/>
      <c r="X737" s="164" t="e">
        <f t="shared" si="143"/>
        <v>#N/A</v>
      </c>
      <c r="Y737" s="164" t="e">
        <f t="shared" si="144"/>
        <v>#N/A</v>
      </c>
      <c r="AB737" s="156">
        <f t="shared" si="146"/>
        <v>0</v>
      </c>
      <c r="AC737" s="121" t="str">
        <f t="shared" si="145"/>
        <v/>
      </c>
      <c r="AE737" s="121" t="str">
        <f t="shared" si="147"/>
        <v/>
      </c>
      <c r="AF737" s="111" t="str">
        <f t="shared" si="148"/>
        <v/>
      </c>
    </row>
    <row r="738" spans="1:32">
      <c r="A738" s="159"/>
      <c r="B738" s="160"/>
      <c r="C738" s="5"/>
      <c r="D738" s="5"/>
      <c r="E738" s="5"/>
      <c r="F738" s="5"/>
      <c r="G738" s="5"/>
      <c r="H738" s="5"/>
      <c r="I738" s="5"/>
      <c r="J738" s="5"/>
      <c r="K738" s="5"/>
      <c r="L738" s="5"/>
      <c r="M738" s="5"/>
      <c r="N738" s="5"/>
      <c r="O738" s="5"/>
      <c r="P738" s="5"/>
      <c r="Q738" s="5"/>
      <c r="R738" s="5"/>
      <c r="S738" s="5"/>
      <c r="T738" s="5"/>
      <c r="U738" s="5"/>
      <c r="V738" s="7"/>
      <c r="W738" s="7"/>
      <c r="X738" s="164" t="e">
        <f t="shared" si="143"/>
        <v>#N/A</v>
      </c>
      <c r="Y738" s="164" t="e">
        <f t="shared" si="144"/>
        <v>#N/A</v>
      </c>
      <c r="AB738" s="156">
        <f t="shared" si="146"/>
        <v>0</v>
      </c>
      <c r="AC738" s="121" t="str">
        <f t="shared" si="145"/>
        <v/>
      </c>
      <c r="AE738" s="121" t="str">
        <f t="shared" si="147"/>
        <v/>
      </c>
      <c r="AF738" s="111" t="str">
        <f t="shared" si="148"/>
        <v/>
      </c>
    </row>
    <row r="739" spans="1:32">
      <c r="A739" s="159"/>
      <c r="B739" s="160"/>
      <c r="C739" s="5"/>
      <c r="D739" s="5"/>
      <c r="E739" s="5"/>
      <c r="F739" s="5"/>
      <c r="G739" s="5"/>
      <c r="H739" s="5"/>
      <c r="I739" s="5"/>
      <c r="J739" s="5"/>
      <c r="K739" s="5"/>
      <c r="L739" s="5"/>
      <c r="M739" s="5"/>
      <c r="N739" s="5"/>
      <c r="O739" s="5"/>
      <c r="P739" s="5"/>
      <c r="Q739" s="5"/>
      <c r="R739" s="5"/>
      <c r="S739" s="5"/>
      <c r="T739" s="5"/>
      <c r="U739" s="5"/>
      <c r="V739" s="7"/>
      <c r="W739" s="7"/>
      <c r="X739" s="164" t="e">
        <f t="shared" si="143"/>
        <v>#N/A</v>
      </c>
      <c r="Y739" s="164" t="e">
        <f t="shared" si="144"/>
        <v>#N/A</v>
      </c>
      <c r="AB739" s="156">
        <f t="shared" si="146"/>
        <v>0</v>
      </c>
      <c r="AC739" s="121" t="str">
        <f t="shared" si="145"/>
        <v/>
      </c>
      <c r="AE739" s="121" t="str">
        <f t="shared" si="147"/>
        <v/>
      </c>
      <c r="AF739" s="111" t="str">
        <f t="shared" si="148"/>
        <v/>
      </c>
    </row>
    <row r="740" spans="1:32">
      <c r="A740" s="159"/>
      <c r="B740" s="160"/>
      <c r="C740" s="5"/>
      <c r="D740" s="5"/>
      <c r="E740" s="5"/>
      <c r="F740" s="5"/>
      <c r="G740" s="5"/>
      <c r="H740" s="5"/>
      <c r="I740" s="5"/>
      <c r="J740" s="5"/>
      <c r="K740" s="5"/>
      <c r="L740" s="5"/>
      <c r="M740" s="5"/>
      <c r="N740" s="5"/>
      <c r="O740" s="5"/>
      <c r="P740" s="5"/>
      <c r="Q740" s="5"/>
      <c r="R740" s="5"/>
      <c r="S740" s="5"/>
      <c r="T740" s="5"/>
      <c r="U740" s="5"/>
      <c r="V740" s="7"/>
      <c r="W740" s="7"/>
      <c r="X740" s="164" t="e">
        <f t="shared" si="143"/>
        <v>#N/A</v>
      </c>
      <c r="Y740" s="164" t="e">
        <f t="shared" si="144"/>
        <v>#N/A</v>
      </c>
      <c r="AB740" s="156">
        <f t="shared" si="146"/>
        <v>0</v>
      </c>
      <c r="AC740" s="121" t="str">
        <f t="shared" si="145"/>
        <v/>
      </c>
      <c r="AE740" s="121" t="str">
        <f t="shared" si="147"/>
        <v/>
      </c>
      <c r="AF740" s="111" t="str">
        <f t="shared" si="148"/>
        <v/>
      </c>
    </row>
    <row r="741" spans="1:32">
      <c r="A741" s="159"/>
      <c r="B741" s="160"/>
      <c r="C741" s="5"/>
      <c r="D741" s="5"/>
      <c r="E741" s="5"/>
      <c r="F741" s="5"/>
      <c r="G741" s="5"/>
      <c r="H741" s="5"/>
      <c r="I741" s="5"/>
      <c r="J741" s="5"/>
      <c r="K741" s="5"/>
      <c r="L741" s="5"/>
      <c r="M741" s="5"/>
      <c r="N741" s="5"/>
      <c r="O741" s="5"/>
      <c r="P741" s="5"/>
      <c r="Q741" s="5"/>
      <c r="R741" s="5"/>
      <c r="S741" s="5"/>
      <c r="T741" s="5"/>
      <c r="U741" s="5"/>
      <c r="V741" s="7"/>
      <c r="W741" s="7"/>
      <c r="X741" s="164" t="e">
        <f t="shared" si="143"/>
        <v>#N/A</v>
      </c>
      <c r="Y741" s="164" t="e">
        <f t="shared" si="144"/>
        <v>#N/A</v>
      </c>
      <c r="AB741" s="156">
        <f t="shared" si="146"/>
        <v>0</v>
      </c>
      <c r="AC741" s="121" t="str">
        <f t="shared" si="145"/>
        <v/>
      </c>
      <c r="AE741" s="121" t="str">
        <f t="shared" si="147"/>
        <v/>
      </c>
      <c r="AF741" s="111" t="str">
        <f t="shared" si="148"/>
        <v/>
      </c>
    </row>
    <row r="742" spans="1:32">
      <c r="A742" s="159"/>
      <c r="B742" s="160"/>
      <c r="C742" s="5"/>
      <c r="D742" s="5"/>
      <c r="E742" s="5"/>
      <c r="F742" s="5"/>
      <c r="G742" s="5"/>
      <c r="H742" s="5"/>
      <c r="I742" s="5"/>
      <c r="J742" s="5"/>
      <c r="K742" s="5"/>
      <c r="L742" s="5"/>
      <c r="M742" s="5"/>
      <c r="N742" s="5"/>
      <c r="O742" s="5"/>
      <c r="P742" s="5"/>
      <c r="Q742" s="5"/>
      <c r="R742" s="5"/>
      <c r="S742" s="5"/>
      <c r="T742" s="5"/>
      <c r="U742" s="5"/>
      <c r="V742" s="7"/>
      <c r="W742" s="7"/>
      <c r="X742" s="164" t="e">
        <f t="shared" si="143"/>
        <v>#N/A</v>
      </c>
      <c r="Y742" s="164" t="e">
        <f t="shared" si="144"/>
        <v>#N/A</v>
      </c>
      <c r="AB742" s="156">
        <f t="shared" si="146"/>
        <v>0</v>
      </c>
      <c r="AC742" s="121" t="str">
        <f t="shared" si="145"/>
        <v/>
      </c>
      <c r="AE742" s="121" t="str">
        <f t="shared" si="147"/>
        <v/>
      </c>
      <c r="AF742" s="111" t="str">
        <f t="shared" si="148"/>
        <v/>
      </c>
    </row>
    <row r="743" spans="1:32">
      <c r="A743" s="159"/>
      <c r="B743" s="160"/>
      <c r="C743" s="5"/>
      <c r="D743" s="5"/>
      <c r="E743" s="5"/>
      <c r="F743" s="5"/>
      <c r="G743" s="5"/>
      <c r="H743" s="5"/>
      <c r="I743" s="5"/>
      <c r="J743" s="5"/>
      <c r="K743" s="5"/>
      <c r="L743" s="5"/>
      <c r="M743" s="5"/>
      <c r="N743" s="5"/>
      <c r="O743" s="5"/>
      <c r="P743" s="5"/>
      <c r="Q743" s="5"/>
      <c r="R743" s="5"/>
      <c r="S743" s="5"/>
      <c r="T743" s="5"/>
      <c r="U743" s="5"/>
      <c r="V743" s="7"/>
      <c r="W743" s="7"/>
      <c r="X743" s="164" t="e">
        <f t="shared" si="143"/>
        <v>#N/A</v>
      </c>
      <c r="Y743" s="164" t="e">
        <f t="shared" si="144"/>
        <v>#N/A</v>
      </c>
      <c r="AB743" s="156">
        <f t="shared" si="146"/>
        <v>0</v>
      </c>
      <c r="AC743" s="121" t="str">
        <f t="shared" si="145"/>
        <v/>
      </c>
      <c r="AE743" s="121" t="str">
        <f t="shared" si="147"/>
        <v/>
      </c>
      <c r="AF743" s="111" t="str">
        <f t="shared" si="148"/>
        <v/>
      </c>
    </row>
    <row r="744" spans="1:32">
      <c r="A744" s="159"/>
      <c r="B744" s="160"/>
      <c r="C744" s="5"/>
      <c r="D744" s="5"/>
      <c r="E744" s="5"/>
      <c r="F744" s="5"/>
      <c r="G744" s="5"/>
      <c r="H744" s="5"/>
      <c r="I744" s="5"/>
      <c r="J744" s="5"/>
      <c r="K744" s="5"/>
      <c r="L744" s="5"/>
      <c r="M744" s="5"/>
      <c r="N744" s="5"/>
      <c r="O744" s="5"/>
      <c r="P744" s="5"/>
      <c r="Q744" s="5"/>
      <c r="R744" s="5"/>
      <c r="S744" s="5"/>
      <c r="T744" s="5"/>
      <c r="U744" s="5"/>
      <c r="V744" s="7"/>
      <c r="W744" s="7"/>
      <c r="X744" s="164" t="e">
        <f t="shared" si="143"/>
        <v>#N/A</v>
      </c>
      <c r="Y744" s="164" t="e">
        <f t="shared" si="144"/>
        <v>#N/A</v>
      </c>
      <c r="AB744" s="156">
        <f t="shared" si="146"/>
        <v>0</v>
      </c>
      <c r="AC744" s="121" t="str">
        <f t="shared" si="145"/>
        <v/>
      </c>
      <c r="AE744" s="121" t="str">
        <f t="shared" si="147"/>
        <v/>
      </c>
      <c r="AF744" s="111" t="str">
        <f t="shared" si="148"/>
        <v/>
      </c>
    </row>
    <row r="745" spans="1:32">
      <c r="A745" s="159"/>
      <c r="B745" s="160"/>
      <c r="C745" s="5"/>
      <c r="D745" s="5"/>
      <c r="E745" s="5"/>
      <c r="F745" s="5"/>
      <c r="G745" s="5"/>
      <c r="H745" s="5"/>
      <c r="I745" s="5"/>
      <c r="J745" s="5"/>
      <c r="K745" s="5"/>
      <c r="L745" s="5"/>
      <c r="M745" s="5"/>
      <c r="N745" s="5"/>
      <c r="O745" s="5"/>
      <c r="P745" s="5"/>
      <c r="Q745" s="5"/>
      <c r="R745" s="5"/>
      <c r="S745" s="5"/>
      <c r="T745" s="5"/>
      <c r="U745" s="5"/>
      <c r="V745" s="7"/>
      <c r="W745" s="7"/>
      <c r="X745" s="164" t="e">
        <f t="shared" si="143"/>
        <v>#N/A</v>
      </c>
      <c r="Y745" s="164" t="e">
        <f t="shared" si="144"/>
        <v>#N/A</v>
      </c>
      <c r="AB745" s="156">
        <f t="shared" si="146"/>
        <v>0</v>
      </c>
      <c r="AC745" s="121" t="str">
        <f t="shared" si="145"/>
        <v/>
      </c>
      <c r="AE745" s="121" t="str">
        <f t="shared" si="147"/>
        <v/>
      </c>
      <c r="AF745" s="111" t="str">
        <f t="shared" si="148"/>
        <v/>
      </c>
    </row>
    <row r="746" spans="1:32">
      <c r="A746" s="159"/>
      <c r="B746" s="160"/>
      <c r="C746" s="5"/>
      <c r="D746" s="5"/>
      <c r="E746" s="5"/>
      <c r="F746" s="5"/>
      <c r="G746" s="5"/>
      <c r="H746" s="5"/>
      <c r="I746" s="5"/>
      <c r="J746" s="5"/>
      <c r="K746" s="5"/>
      <c r="L746" s="5"/>
      <c r="M746" s="5"/>
      <c r="N746" s="5"/>
      <c r="O746" s="5"/>
      <c r="P746" s="5"/>
      <c r="Q746" s="5"/>
      <c r="R746" s="5"/>
      <c r="S746" s="5"/>
      <c r="T746" s="5"/>
      <c r="U746" s="5"/>
      <c r="V746" s="7"/>
      <c r="W746" s="7"/>
      <c r="X746" s="164" t="e">
        <f t="shared" si="143"/>
        <v>#N/A</v>
      </c>
      <c r="Y746" s="164" t="e">
        <f t="shared" si="144"/>
        <v>#N/A</v>
      </c>
      <c r="AB746" s="156">
        <f t="shared" si="146"/>
        <v>0</v>
      </c>
      <c r="AC746" s="121" t="str">
        <f t="shared" si="145"/>
        <v/>
      </c>
      <c r="AE746" s="121" t="str">
        <f t="shared" si="147"/>
        <v/>
      </c>
      <c r="AF746" s="111" t="str">
        <f t="shared" si="148"/>
        <v/>
      </c>
    </row>
    <row r="747" spans="1:32">
      <c r="A747" s="159"/>
      <c r="B747" s="160"/>
      <c r="C747" s="5"/>
      <c r="D747" s="5"/>
      <c r="E747" s="5"/>
      <c r="F747" s="5"/>
      <c r="G747" s="5"/>
      <c r="H747" s="5"/>
      <c r="I747" s="5"/>
      <c r="J747" s="5"/>
      <c r="K747" s="5"/>
      <c r="L747" s="5"/>
      <c r="M747" s="5"/>
      <c r="N747" s="5"/>
      <c r="O747" s="5"/>
      <c r="P747" s="5"/>
      <c r="Q747" s="5"/>
      <c r="R747" s="5"/>
      <c r="S747" s="5"/>
      <c r="T747" s="5"/>
      <c r="U747" s="5"/>
      <c r="V747" s="7"/>
      <c r="W747" s="7"/>
      <c r="X747" s="164" t="e">
        <f t="shared" si="143"/>
        <v>#N/A</v>
      </c>
      <c r="Y747" s="164" t="e">
        <f t="shared" si="144"/>
        <v>#N/A</v>
      </c>
      <c r="AB747" s="156">
        <f t="shared" si="146"/>
        <v>0</v>
      </c>
      <c r="AC747" s="121" t="str">
        <f t="shared" si="145"/>
        <v/>
      </c>
      <c r="AE747" s="121" t="str">
        <f t="shared" si="147"/>
        <v/>
      </c>
      <c r="AF747" s="111" t="str">
        <f t="shared" si="148"/>
        <v/>
      </c>
    </row>
    <row r="748" spans="1:32">
      <c r="A748" s="159"/>
      <c r="B748" s="160"/>
      <c r="C748" s="5"/>
      <c r="D748" s="5"/>
      <c r="E748" s="5"/>
      <c r="F748" s="5"/>
      <c r="G748" s="5"/>
      <c r="H748" s="5"/>
      <c r="I748" s="5"/>
      <c r="J748" s="5"/>
      <c r="K748" s="5"/>
      <c r="L748" s="5"/>
      <c r="M748" s="5"/>
      <c r="N748" s="5"/>
      <c r="O748" s="5"/>
      <c r="P748" s="5"/>
      <c r="Q748" s="5"/>
      <c r="R748" s="5"/>
      <c r="S748" s="5"/>
      <c r="T748" s="5"/>
      <c r="U748" s="5"/>
      <c r="V748" s="7"/>
      <c r="W748" s="7"/>
      <c r="X748" s="164" t="e">
        <f t="shared" si="143"/>
        <v>#N/A</v>
      </c>
      <c r="Y748" s="164" t="e">
        <f t="shared" si="144"/>
        <v>#N/A</v>
      </c>
      <c r="AB748" s="156">
        <f t="shared" si="146"/>
        <v>0</v>
      </c>
      <c r="AC748" s="121" t="str">
        <f t="shared" si="145"/>
        <v/>
      </c>
      <c r="AE748" s="121" t="str">
        <f t="shared" si="147"/>
        <v/>
      </c>
      <c r="AF748" s="111" t="str">
        <f t="shared" si="148"/>
        <v/>
      </c>
    </row>
    <row r="749" spans="1:32">
      <c r="A749" s="159"/>
      <c r="B749" s="160"/>
      <c r="C749" s="5"/>
      <c r="D749" s="5"/>
      <c r="E749" s="5"/>
      <c r="F749" s="5"/>
      <c r="G749" s="5"/>
      <c r="H749" s="5"/>
      <c r="I749" s="5"/>
      <c r="J749" s="5"/>
      <c r="K749" s="5"/>
      <c r="L749" s="5"/>
      <c r="M749" s="5"/>
      <c r="N749" s="5"/>
      <c r="O749" s="5"/>
      <c r="P749" s="5"/>
      <c r="Q749" s="5"/>
      <c r="R749" s="5"/>
      <c r="S749" s="5"/>
      <c r="T749" s="5"/>
      <c r="U749" s="5"/>
      <c r="V749" s="7"/>
      <c r="W749" s="7"/>
      <c r="X749" s="164" t="e">
        <f t="shared" si="143"/>
        <v>#N/A</v>
      </c>
      <c r="Y749" s="164" t="e">
        <f t="shared" si="144"/>
        <v>#N/A</v>
      </c>
      <c r="AB749" s="156">
        <f t="shared" si="146"/>
        <v>0</v>
      </c>
      <c r="AC749" s="121" t="str">
        <f t="shared" si="145"/>
        <v/>
      </c>
      <c r="AE749" s="121" t="str">
        <f t="shared" si="147"/>
        <v/>
      </c>
      <c r="AF749" s="111" t="str">
        <f t="shared" si="148"/>
        <v/>
      </c>
    </row>
    <row r="750" spans="1:32">
      <c r="A750" s="159"/>
      <c r="B750" s="160"/>
      <c r="C750" s="5"/>
      <c r="D750" s="5"/>
      <c r="E750" s="5"/>
      <c r="F750" s="5"/>
      <c r="G750" s="5"/>
      <c r="H750" s="5"/>
      <c r="I750" s="5"/>
      <c r="J750" s="5"/>
      <c r="K750" s="5"/>
      <c r="L750" s="5"/>
      <c r="M750" s="5"/>
      <c r="N750" s="5"/>
      <c r="O750" s="5"/>
      <c r="P750" s="5"/>
      <c r="Q750" s="5"/>
      <c r="R750" s="5"/>
      <c r="S750" s="5"/>
      <c r="T750" s="5"/>
      <c r="U750" s="5"/>
      <c r="V750" s="7"/>
      <c r="W750" s="7"/>
      <c r="X750" s="164" t="e">
        <f t="shared" si="143"/>
        <v>#N/A</v>
      </c>
      <c r="Y750" s="164" t="e">
        <f t="shared" si="144"/>
        <v>#N/A</v>
      </c>
      <c r="AB750" s="156">
        <f t="shared" si="146"/>
        <v>0</v>
      </c>
      <c r="AC750" s="121" t="str">
        <f t="shared" si="145"/>
        <v/>
      </c>
      <c r="AE750" s="121" t="str">
        <f t="shared" si="147"/>
        <v/>
      </c>
      <c r="AF750" s="111" t="str">
        <f t="shared" si="148"/>
        <v/>
      </c>
    </row>
    <row r="751" spans="1:32">
      <c r="A751" s="159"/>
      <c r="B751" s="160"/>
      <c r="C751" s="5"/>
      <c r="D751" s="5"/>
      <c r="E751" s="5"/>
      <c r="F751" s="5"/>
      <c r="G751" s="5"/>
      <c r="H751" s="5"/>
      <c r="I751" s="5"/>
      <c r="J751" s="5"/>
      <c r="K751" s="5"/>
      <c r="L751" s="5"/>
      <c r="M751" s="5"/>
      <c r="N751" s="5"/>
      <c r="O751" s="5"/>
      <c r="P751" s="5"/>
      <c r="Q751" s="5"/>
      <c r="R751" s="5"/>
      <c r="S751" s="5"/>
      <c r="T751" s="5"/>
      <c r="U751" s="5"/>
      <c r="V751" s="7"/>
      <c r="W751" s="7"/>
      <c r="X751" s="164" t="e">
        <f t="shared" si="143"/>
        <v>#N/A</v>
      </c>
      <c r="Y751" s="164" t="e">
        <f t="shared" si="144"/>
        <v>#N/A</v>
      </c>
      <c r="AB751" s="156">
        <f t="shared" si="146"/>
        <v>0</v>
      </c>
      <c r="AC751" s="121" t="str">
        <f t="shared" si="145"/>
        <v/>
      </c>
      <c r="AE751" s="121" t="str">
        <f t="shared" si="147"/>
        <v/>
      </c>
      <c r="AF751" s="111" t="str">
        <f t="shared" si="148"/>
        <v/>
      </c>
    </row>
    <row r="752" spans="1:32">
      <c r="A752" s="159"/>
      <c r="B752" s="160"/>
      <c r="C752" s="5"/>
      <c r="D752" s="5"/>
      <c r="E752" s="5"/>
      <c r="F752" s="5"/>
      <c r="G752" s="5"/>
      <c r="H752" s="5"/>
      <c r="I752" s="5"/>
      <c r="J752" s="5"/>
      <c r="K752" s="5"/>
      <c r="L752" s="5"/>
      <c r="M752" s="5"/>
      <c r="N752" s="5"/>
      <c r="O752" s="5"/>
      <c r="P752" s="5"/>
      <c r="Q752" s="5"/>
      <c r="R752" s="5"/>
      <c r="S752" s="5"/>
      <c r="T752" s="5"/>
      <c r="U752" s="5"/>
      <c r="V752" s="7"/>
      <c r="W752" s="7"/>
      <c r="X752" s="164" t="e">
        <f t="shared" si="143"/>
        <v>#N/A</v>
      </c>
      <c r="Y752" s="164" t="e">
        <f t="shared" si="144"/>
        <v>#N/A</v>
      </c>
      <c r="AB752" s="156">
        <f t="shared" si="146"/>
        <v>0</v>
      </c>
      <c r="AC752" s="121" t="str">
        <f t="shared" si="145"/>
        <v/>
      </c>
      <c r="AE752" s="121" t="str">
        <f t="shared" si="147"/>
        <v/>
      </c>
      <c r="AF752" s="111" t="str">
        <f t="shared" si="148"/>
        <v/>
      </c>
    </row>
    <row r="753" spans="1:32">
      <c r="A753" s="159"/>
      <c r="B753" s="160"/>
      <c r="C753" s="5"/>
      <c r="D753" s="5"/>
      <c r="E753" s="5"/>
      <c r="F753" s="5"/>
      <c r="G753" s="5"/>
      <c r="H753" s="5"/>
      <c r="I753" s="5"/>
      <c r="J753" s="5"/>
      <c r="K753" s="5"/>
      <c r="L753" s="5"/>
      <c r="M753" s="5"/>
      <c r="N753" s="5"/>
      <c r="O753" s="5"/>
      <c r="P753" s="5"/>
      <c r="Q753" s="5"/>
      <c r="R753" s="5"/>
      <c r="S753" s="5"/>
      <c r="T753" s="5"/>
      <c r="U753" s="5"/>
      <c r="V753" s="7"/>
      <c r="W753" s="7"/>
      <c r="X753" s="164" t="e">
        <f t="shared" si="143"/>
        <v>#N/A</v>
      </c>
      <c r="Y753" s="164" t="e">
        <f t="shared" si="144"/>
        <v>#N/A</v>
      </c>
      <c r="AB753" s="156">
        <f t="shared" si="146"/>
        <v>0</v>
      </c>
      <c r="AC753" s="121" t="str">
        <f t="shared" si="145"/>
        <v/>
      </c>
      <c r="AE753" s="121" t="str">
        <f t="shared" si="147"/>
        <v/>
      </c>
      <c r="AF753" s="111" t="str">
        <f t="shared" si="148"/>
        <v/>
      </c>
    </row>
    <row r="754" spans="1:32">
      <c r="A754" s="159"/>
      <c r="B754" s="160"/>
      <c r="C754" s="5"/>
      <c r="D754" s="5"/>
      <c r="E754" s="5"/>
      <c r="F754" s="5"/>
      <c r="G754" s="5"/>
      <c r="H754" s="5"/>
      <c r="I754" s="5"/>
      <c r="J754" s="5"/>
      <c r="K754" s="5"/>
      <c r="L754" s="5"/>
      <c r="M754" s="5"/>
      <c r="N754" s="5"/>
      <c r="O754" s="5"/>
      <c r="P754" s="5"/>
      <c r="Q754" s="5"/>
      <c r="R754" s="5"/>
      <c r="S754" s="5"/>
      <c r="T754" s="5"/>
      <c r="U754" s="5"/>
      <c r="V754" s="7"/>
      <c r="W754" s="7"/>
      <c r="X754" s="164" t="e">
        <f t="shared" si="143"/>
        <v>#N/A</v>
      </c>
      <c r="Y754" s="164" t="e">
        <f t="shared" si="144"/>
        <v>#N/A</v>
      </c>
      <c r="AB754" s="156">
        <f t="shared" si="146"/>
        <v>0</v>
      </c>
      <c r="AC754" s="121" t="str">
        <f t="shared" si="145"/>
        <v/>
      </c>
      <c r="AE754" s="121" t="str">
        <f t="shared" si="147"/>
        <v/>
      </c>
      <c r="AF754" s="111" t="str">
        <f t="shared" si="148"/>
        <v/>
      </c>
    </row>
    <row r="755" spans="1:32">
      <c r="A755" s="159"/>
      <c r="B755" s="160"/>
      <c r="C755" s="5"/>
      <c r="D755" s="5"/>
      <c r="E755" s="5"/>
      <c r="F755" s="5"/>
      <c r="G755" s="5"/>
      <c r="H755" s="5"/>
      <c r="I755" s="5"/>
      <c r="J755" s="5"/>
      <c r="K755" s="5"/>
      <c r="L755" s="5"/>
      <c r="M755" s="5"/>
      <c r="N755" s="5"/>
      <c r="O755" s="5"/>
      <c r="P755" s="5"/>
      <c r="Q755" s="5"/>
      <c r="R755" s="5"/>
      <c r="S755" s="5"/>
      <c r="T755" s="5"/>
      <c r="U755" s="5"/>
      <c r="V755" s="7"/>
      <c r="W755" s="7"/>
      <c r="X755" s="164" t="e">
        <f t="shared" si="143"/>
        <v>#N/A</v>
      </c>
      <c r="Y755" s="164" t="e">
        <f t="shared" si="144"/>
        <v>#N/A</v>
      </c>
      <c r="AB755" s="156">
        <f t="shared" si="146"/>
        <v>0</v>
      </c>
      <c r="AC755" s="121" t="str">
        <f t="shared" si="145"/>
        <v/>
      </c>
      <c r="AE755" s="121" t="str">
        <f t="shared" si="147"/>
        <v/>
      </c>
      <c r="AF755" s="111" t="str">
        <f t="shared" si="148"/>
        <v/>
      </c>
    </row>
    <row r="756" spans="1:32">
      <c r="A756" s="159"/>
      <c r="B756" s="160"/>
      <c r="C756" s="5"/>
      <c r="D756" s="5"/>
      <c r="E756" s="5"/>
      <c r="F756" s="5"/>
      <c r="G756" s="5"/>
      <c r="H756" s="5"/>
      <c r="I756" s="5"/>
      <c r="J756" s="5"/>
      <c r="K756" s="5"/>
      <c r="L756" s="5"/>
      <c r="M756" s="5"/>
      <c r="N756" s="5"/>
      <c r="O756" s="5"/>
      <c r="P756" s="5"/>
      <c r="Q756" s="5"/>
      <c r="R756" s="5"/>
      <c r="S756" s="5"/>
      <c r="T756" s="5"/>
      <c r="U756" s="5"/>
      <c r="V756" s="7"/>
      <c r="W756" s="7"/>
      <c r="X756" s="164" t="e">
        <f t="shared" si="143"/>
        <v>#N/A</v>
      </c>
      <c r="Y756" s="164" t="e">
        <f t="shared" si="144"/>
        <v>#N/A</v>
      </c>
      <c r="AB756" s="156">
        <f t="shared" si="146"/>
        <v>0</v>
      </c>
      <c r="AC756" s="121" t="str">
        <f t="shared" si="145"/>
        <v/>
      </c>
      <c r="AE756" s="121" t="str">
        <f t="shared" si="147"/>
        <v/>
      </c>
      <c r="AF756" s="111" t="str">
        <f t="shared" si="148"/>
        <v/>
      </c>
    </row>
    <row r="757" spans="1:32">
      <c r="A757" s="159"/>
      <c r="B757" s="160"/>
      <c r="C757" s="5"/>
      <c r="D757" s="5"/>
      <c r="E757" s="5"/>
      <c r="F757" s="5"/>
      <c r="G757" s="5"/>
      <c r="H757" s="5"/>
      <c r="I757" s="5"/>
      <c r="J757" s="5"/>
      <c r="K757" s="5"/>
      <c r="L757" s="5"/>
      <c r="M757" s="5"/>
      <c r="N757" s="5"/>
      <c r="O757" s="5"/>
      <c r="P757" s="5"/>
      <c r="Q757" s="5"/>
      <c r="R757" s="5"/>
      <c r="S757" s="5"/>
      <c r="T757" s="5"/>
      <c r="U757" s="5"/>
      <c r="V757" s="7"/>
      <c r="W757" s="7"/>
      <c r="X757" s="164" t="e">
        <f t="shared" si="143"/>
        <v>#N/A</v>
      </c>
      <c r="Y757" s="164" t="e">
        <f t="shared" si="144"/>
        <v>#N/A</v>
      </c>
      <c r="AB757" s="156">
        <f t="shared" si="146"/>
        <v>0</v>
      </c>
      <c r="AC757" s="121" t="str">
        <f t="shared" si="145"/>
        <v/>
      </c>
      <c r="AE757" s="121" t="str">
        <f t="shared" si="147"/>
        <v/>
      </c>
      <c r="AF757" s="111" t="str">
        <f t="shared" si="148"/>
        <v/>
      </c>
    </row>
    <row r="758" spans="1:32">
      <c r="A758" s="159"/>
      <c r="B758" s="160"/>
      <c r="C758" s="5"/>
      <c r="D758" s="5"/>
      <c r="E758" s="5"/>
      <c r="F758" s="5"/>
      <c r="G758" s="5"/>
      <c r="H758" s="5"/>
      <c r="I758" s="5"/>
      <c r="J758" s="5"/>
      <c r="K758" s="5"/>
      <c r="L758" s="5"/>
      <c r="M758" s="5"/>
      <c r="N758" s="5"/>
      <c r="O758" s="5"/>
      <c r="P758" s="5"/>
      <c r="Q758" s="5"/>
      <c r="R758" s="5"/>
      <c r="S758" s="5"/>
      <c r="T758" s="5"/>
      <c r="U758" s="5"/>
      <c r="V758" s="7"/>
      <c r="W758" s="7"/>
      <c r="X758" s="164" t="e">
        <f t="shared" si="143"/>
        <v>#N/A</v>
      </c>
      <c r="Y758" s="164" t="e">
        <f t="shared" si="144"/>
        <v>#N/A</v>
      </c>
      <c r="AB758" s="156">
        <f t="shared" si="146"/>
        <v>0</v>
      </c>
      <c r="AC758" s="121" t="str">
        <f t="shared" si="145"/>
        <v/>
      </c>
      <c r="AE758" s="121" t="str">
        <f t="shared" si="147"/>
        <v/>
      </c>
      <c r="AF758" s="111" t="str">
        <f t="shared" si="148"/>
        <v/>
      </c>
    </row>
    <row r="759" spans="1:32">
      <c r="A759" s="159"/>
      <c r="B759" s="160"/>
      <c r="C759" s="5"/>
      <c r="D759" s="5"/>
      <c r="E759" s="5"/>
      <c r="F759" s="5"/>
      <c r="G759" s="5"/>
      <c r="H759" s="5"/>
      <c r="I759" s="5"/>
      <c r="J759" s="5"/>
      <c r="K759" s="5"/>
      <c r="L759" s="5"/>
      <c r="M759" s="5"/>
      <c r="N759" s="5"/>
      <c r="O759" s="5"/>
      <c r="P759" s="5"/>
      <c r="Q759" s="5"/>
      <c r="R759" s="5"/>
      <c r="S759" s="5"/>
      <c r="T759" s="5"/>
      <c r="U759" s="5"/>
      <c r="V759" s="7"/>
      <c r="W759" s="7"/>
      <c r="X759" s="164" t="e">
        <f t="shared" si="143"/>
        <v>#N/A</v>
      </c>
      <c r="Y759" s="164" t="e">
        <f t="shared" si="144"/>
        <v>#N/A</v>
      </c>
      <c r="AB759" s="156">
        <f t="shared" si="146"/>
        <v>0</v>
      </c>
      <c r="AC759" s="121" t="str">
        <f t="shared" si="145"/>
        <v/>
      </c>
      <c r="AE759" s="121" t="str">
        <f t="shared" si="147"/>
        <v/>
      </c>
      <c r="AF759" s="111" t="str">
        <f t="shared" si="148"/>
        <v/>
      </c>
    </row>
    <row r="760" spans="1:32">
      <c r="A760" s="159"/>
      <c r="B760" s="160"/>
      <c r="C760" s="5"/>
      <c r="D760" s="5"/>
      <c r="E760" s="5"/>
      <c r="F760" s="5"/>
      <c r="G760" s="5"/>
      <c r="H760" s="5"/>
      <c r="I760" s="5"/>
      <c r="J760" s="5"/>
      <c r="K760" s="5"/>
      <c r="L760" s="5"/>
      <c r="M760" s="5"/>
      <c r="N760" s="5"/>
      <c r="O760" s="5"/>
      <c r="P760" s="5"/>
      <c r="Q760" s="5"/>
      <c r="R760" s="5"/>
      <c r="S760" s="5"/>
      <c r="T760" s="5"/>
      <c r="U760" s="5"/>
      <c r="V760" s="7"/>
      <c r="W760" s="7"/>
      <c r="X760" s="164" t="e">
        <f t="shared" si="143"/>
        <v>#N/A</v>
      </c>
      <c r="Y760" s="164" t="e">
        <f t="shared" si="144"/>
        <v>#N/A</v>
      </c>
      <c r="AB760" s="156">
        <f t="shared" si="146"/>
        <v>0</v>
      </c>
      <c r="AC760" s="121" t="str">
        <f t="shared" si="145"/>
        <v/>
      </c>
      <c r="AE760" s="121" t="str">
        <f t="shared" si="147"/>
        <v/>
      </c>
      <c r="AF760" s="111" t="str">
        <f t="shared" si="148"/>
        <v/>
      </c>
    </row>
    <row r="761" spans="1:32">
      <c r="A761" s="159"/>
      <c r="B761" s="160"/>
      <c r="C761" s="5"/>
      <c r="D761" s="5"/>
      <c r="E761" s="5"/>
      <c r="F761" s="5"/>
      <c r="G761" s="5"/>
      <c r="H761" s="5"/>
      <c r="I761" s="5"/>
      <c r="J761" s="5"/>
      <c r="K761" s="5"/>
      <c r="L761" s="5"/>
      <c r="M761" s="5"/>
      <c r="N761" s="5"/>
      <c r="O761" s="5"/>
      <c r="P761" s="5"/>
      <c r="Q761" s="5"/>
      <c r="R761" s="5"/>
      <c r="S761" s="5"/>
      <c r="T761" s="5"/>
      <c r="U761" s="5"/>
      <c r="V761" s="7"/>
      <c r="W761" s="7"/>
      <c r="X761" s="164" t="e">
        <f t="shared" si="143"/>
        <v>#N/A</v>
      </c>
      <c r="Y761" s="164" t="e">
        <f t="shared" si="144"/>
        <v>#N/A</v>
      </c>
      <c r="AB761" s="156">
        <f t="shared" si="146"/>
        <v>0</v>
      </c>
      <c r="AC761" s="121" t="str">
        <f t="shared" si="145"/>
        <v/>
      </c>
      <c r="AE761" s="121" t="str">
        <f t="shared" si="147"/>
        <v/>
      </c>
      <c r="AF761" s="111" t="str">
        <f t="shared" si="148"/>
        <v/>
      </c>
    </row>
    <row r="762" spans="1:32">
      <c r="A762" s="159"/>
      <c r="B762" s="160"/>
      <c r="C762" s="5"/>
      <c r="D762" s="5"/>
      <c r="E762" s="5"/>
      <c r="F762" s="5"/>
      <c r="G762" s="5"/>
      <c r="H762" s="5"/>
      <c r="I762" s="5"/>
      <c r="J762" s="5"/>
      <c r="K762" s="5"/>
      <c r="L762" s="5"/>
      <c r="M762" s="5"/>
      <c r="N762" s="5"/>
      <c r="O762" s="5"/>
      <c r="P762" s="5"/>
      <c r="Q762" s="5"/>
      <c r="R762" s="5"/>
      <c r="S762" s="5"/>
      <c r="T762" s="5"/>
      <c r="U762" s="5"/>
      <c r="V762" s="7"/>
      <c r="W762" s="7"/>
      <c r="X762" s="164" t="e">
        <f t="shared" si="143"/>
        <v>#N/A</v>
      </c>
      <c r="Y762" s="164" t="e">
        <f t="shared" si="144"/>
        <v>#N/A</v>
      </c>
      <c r="AB762" s="156">
        <f t="shared" si="146"/>
        <v>0</v>
      </c>
      <c r="AC762" s="121" t="str">
        <f t="shared" si="145"/>
        <v/>
      </c>
      <c r="AE762" s="121" t="str">
        <f t="shared" si="147"/>
        <v/>
      </c>
      <c r="AF762" s="111" t="str">
        <f t="shared" si="148"/>
        <v/>
      </c>
    </row>
    <row r="763" spans="1:32">
      <c r="A763" s="159"/>
      <c r="B763" s="160"/>
      <c r="C763" s="5"/>
      <c r="D763" s="5"/>
      <c r="E763" s="5"/>
      <c r="F763" s="5"/>
      <c r="G763" s="5"/>
      <c r="H763" s="5"/>
      <c r="I763" s="5"/>
      <c r="J763" s="5"/>
      <c r="K763" s="5"/>
      <c r="L763" s="5"/>
      <c r="M763" s="5"/>
      <c r="N763" s="5"/>
      <c r="O763" s="5"/>
      <c r="P763" s="5"/>
      <c r="Q763" s="5"/>
      <c r="R763" s="5"/>
      <c r="S763" s="5"/>
      <c r="T763" s="5"/>
      <c r="U763" s="5"/>
      <c r="V763" s="7"/>
      <c r="W763" s="7"/>
      <c r="X763" s="164" t="e">
        <f t="shared" si="143"/>
        <v>#N/A</v>
      </c>
      <c r="Y763" s="164" t="e">
        <f t="shared" si="144"/>
        <v>#N/A</v>
      </c>
      <c r="AB763" s="156">
        <f t="shared" si="146"/>
        <v>0</v>
      </c>
      <c r="AC763" s="121" t="str">
        <f t="shared" si="145"/>
        <v/>
      </c>
      <c r="AE763" s="121" t="str">
        <f t="shared" si="147"/>
        <v/>
      </c>
      <c r="AF763" s="111" t="str">
        <f t="shared" si="148"/>
        <v/>
      </c>
    </row>
    <row r="764" spans="1:32">
      <c r="A764" s="159"/>
      <c r="B764" s="160"/>
      <c r="C764" s="5"/>
      <c r="D764" s="5"/>
      <c r="E764" s="5"/>
      <c r="F764" s="5"/>
      <c r="G764" s="5"/>
      <c r="H764" s="5"/>
      <c r="I764" s="5"/>
      <c r="J764" s="5"/>
      <c r="K764" s="5"/>
      <c r="L764" s="5"/>
      <c r="M764" s="5"/>
      <c r="N764" s="5"/>
      <c r="O764" s="5"/>
      <c r="P764" s="5"/>
      <c r="Q764" s="5"/>
      <c r="R764" s="5"/>
      <c r="S764" s="5"/>
      <c r="T764" s="5"/>
      <c r="U764" s="5"/>
      <c r="V764" s="7"/>
      <c r="W764" s="7"/>
      <c r="X764" s="164" t="e">
        <f t="shared" si="143"/>
        <v>#N/A</v>
      </c>
      <c r="Y764" s="164" t="e">
        <f t="shared" si="144"/>
        <v>#N/A</v>
      </c>
      <c r="AB764" s="156">
        <f t="shared" si="146"/>
        <v>0</v>
      </c>
      <c r="AC764" s="121" t="str">
        <f t="shared" si="145"/>
        <v/>
      </c>
      <c r="AE764" s="121" t="str">
        <f t="shared" si="147"/>
        <v/>
      </c>
      <c r="AF764" s="111" t="str">
        <f t="shared" si="148"/>
        <v/>
      </c>
    </row>
    <row r="765" spans="1:32">
      <c r="A765" s="159"/>
      <c r="B765" s="160"/>
      <c r="C765" s="5"/>
      <c r="D765" s="5"/>
      <c r="E765" s="5"/>
      <c r="F765" s="5"/>
      <c r="G765" s="5"/>
      <c r="H765" s="5"/>
      <c r="I765" s="5"/>
      <c r="J765" s="5"/>
      <c r="K765" s="5"/>
      <c r="L765" s="5"/>
      <c r="M765" s="5"/>
      <c r="N765" s="5"/>
      <c r="O765" s="5"/>
      <c r="P765" s="5"/>
      <c r="Q765" s="5"/>
      <c r="R765" s="5"/>
      <c r="S765" s="5"/>
      <c r="T765" s="5"/>
      <c r="U765" s="5"/>
      <c r="V765" s="7"/>
      <c r="W765" s="7"/>
      <c r="X765" s="164" t="e">
        <f t="shared" si="143"/>
        <v>#N/A</v>
      </c>
      <c r="Y765" s="164" t="e">
        <f t="shared" si="144"/>
        <v>#N/A</v>
      </c>
      <c r="AB765" s="156">
        <f t="shared" si="146"/>
        <v>0</v>
      </c>
      <c r="AC765" s="121" t="str">
        <f t="shared" si="145"/>
        <v/>
      </c>
      <c r="AE765" s="121" t="str">
        <f t="shared" si="147"/>
        <v/>
      </c>
      <c r="AF765" s="111" t="str">
        <f t="shared" si="148"/>
        <v/>
      </c>
    </row>
    <row r="766" spans="1:32">
      <c r="A766" s="159"/>
      <c r="B766" s="160"/>
      <c r="C766" s="5"/>
      <c r="D766" s="5"/>
      <c r="E766" s="5"/>
      <c r="F766" s="5"/>
      <c r="G766" s="5"/>
      <c r="H766" s="5"/>
      <c r="I766" s="5"/>
      <c r="J766" s="5"/>
      <c r="K766" s="5"/>
      <c r="L766" s="5"/>
      <c r="M766" s="5"/>
      <c r="N766" s="5"/>
      <c r="O766" s="5"/>
      <c r="P766" s="5"/>
      <c r="Q766" s="5"/>
      <c r="R766" s="5"/>
      <c r="S766" s="5"/>
      <c r="T766" s="5"/>
      <c r="U766" s="5"/>
      <c r="V766" s="7"/>
      <c r="W766" s="7"/>
      <c r="X766" s="164" t="e">
        <f t="shared" si="143"/>
        <v>#N/A</v>
      </c>
      <c r="Y766" s="164" t="e">
        <f t="shared" si="144"/>
        <v>#N/A</v>
      </c>
      <c r="AB766" s="156">
        <f t="shared" si="146"/>
        <v>0</v>
      </c>
      <c r="AC766" s="121" t="str">
        <f t="shared" si="145"/>
        <v/>
      </c>
      <c r="AE766" s="121" t="str">
        <f t="shared" si="147"/>
        <v/>
      </c>
      <c r="AF766" s="111" t="str">
        <f t="shared" si="148"/>
        <v/>
      </c>
    </row>
    <row r="767" spans="1:32">
      <c r="A767" s="159"/>
      <c r="B767" s="160"/>
      <c r="C767" s="5"/>
      <c r="D767" s="5"/>
      <c r="E767" s="5"/>
      <c r="F767" s="5"/>
      <c r="G767" s="5"/>
      <c r="H767" s="5"/>
      <c r="I767" s="5"/>
      <c r="J767" s="5"/>
      <c r="K767" s="5"/>
      <c r="L767" s="5"/>
      <c r="M767" s="5"/>
      <c r="N767" s="5"/>
      <c r="O767" s="5"/>
      <c r="P767" s="5"/>
      <c r="Q767" s="5"/>
      <c r="R767" s="5"/>
      <c r="S767" s="5"/>
      <c r="T767" s="5"/>
      <c r="U767" s="5"/>
      <c r="V767" s="7"/>
      <c r="W767" s="7"/>
      <c r="X767" s="164" t="e">
        <f t="shared" si="143"/>
        <v>#N/A</v>
      </c>
      <c r="Y767" s="164" t="e">
        <f t="shared" si="144"/>
        <v>#N/A</v>
      </c>
      <c r="AB767" s="156">
        <f t="shared" si="146"/>
        <v>0</v>
      </c>
      <c r="AC767" s="121" t="str">
        <f t="shared" si="145"/>
        <v/>
      </c>
      <c r="AE767" s="121" t="str">
        <f t="shared" si="147"/>
        <v/>
      </c>
      <c r="AF767" s="111" t="str">
        <f t="shared" si="148"/>
        <v/>
      </c>
    </row>
    <row r="768" spans="1:32">
      <c r="A768" s="159"/>
      <c r="B768" s="160"/>
      <c r="C768" s="5"/>
      <c r="D768" s="5"/>
      <c r="E768" s="5"/>
      <c r="F768" s="5"/>
      <c r="G768" s="5"/>
      <c r="H768" s="5"/>
      <c r="I768" s="5"/>
      <c r="J768" s="5"/>
      <c r="K768" s="5"/>
      <c r="L768" s="5"/>
      <c r="M768" s="5"/>
      <c r="N768" s="5"/>
      <c r="O768" s="5"/>
      <c r="P768" s="5"/>
      <c r="Q768" s="5"/>
      <c r="R768" s="5"/>
      <c r="S768" s="5"/>
      <c r="T768" s="5"/>
      <c r="U768" s="5"/>
      <c r="V768" s="7"/>
      <c r="W768" s="7"/>
      <c r="X768" s="164" t="e">
        <f t="shared" si="143"/>
        <v>#N/A</v>
      </c>
      <c r="Y768" s="164" t="e">
        <f t="shared" si="144"/>
        <v>#N/A</v>
      </c>
      <c r="AB768" s="156">
        <f t="shared" si="146"/>
        <v>0</v>
      </c>
      <c r="AC768" s="121" t="str">
        <f t="shared" si="145"/>
        <v/>
      </c>
      <c r="AE768" s="121" t="str">
        <f t="shared" si="147"/>
        <v/>
      </c>
      <c r="AF768" s="111" t="str">
        <f t="shared" si="148"/>
        <v/>
      </c>
    </row>
    <row r="769" spans="1:32">
      <c r="A769" s="159"/>
      <c r="B769" s="160"/>
      <c r="C769" s="5"/>
      <c r="D769" s="5"/>
      <c r="E769" s="5"/>
      <c r="F769" s="5"/>
      <c r="G769" s="5"/>
      <c r="H769" s="5"/>
      <c r="I769" s="5"/>
      <c r="J769" s="5"/>
      <c r="K769" s="5"/>
      <c r="L769" s="5"/>
      <c r="M769" s="5"/>
      <c r="N769" s="5"/>
      <c r="O769" s="5"/>
      <c r="P769" s="5"/>
      <c r="Q769" s="5"/>
      <c r="R769" s="5"/>
      <c r="S769" s="5"/>
      <c r="T769" s="5"/>
      <c r="U769" s="5"/>
      <c r="V769" s="7"/>
      <c r="W769" s="7"/>
      <c r="X769" s="164" t="e">
        <f t="shared" si="143"/>
        <v>#N/A</v>
      </c>
      <c r="Y769" s="164" t="e">
        <f t="shared" si="144"/>
        <v>#N/A</v>
      </c>
      <c r="AB769" s="156">
        <f t="shared" si="146"/>
        <v>0</v>
      </c>
      <c r="AC769" s="121" t="str">
        <f t="shared" si="145"/>
        <v/>
      </c>
      <c r="AE769" s="121" t="str">
        <f t="shared" si="147"/>
        <v/>
      </c>
      <c r="AF769" s="111" t="str">
        <f t="shared" si="148"/>
        <v/>
      </c>
    </row>
    <row r="770" spans="1:32">
      <c r="A770" s="159"/>
      <c r="B770" s="160"/>
      <c r="C770" s="5"/>
      <c r="D770" s="5"/>
      <c r="E770" s="5"/>
      <c r="F770" s="5"/>
      <c r="G770" s="5"/>
      <c r="H770" s="5"/>
      <c r="I770" s="5"/>
      <c r="J770" s="5"/>
      <c r="K770" s="5"/>
      <c r="L770" s="5"/>
      <c r="M770" s="5"/>
      <c r="N770" s="5"/>
      <c r="O770" s="5"/>
      <c r="P770" s="5"/>
      <c r="Q770" s="5"/>
      <c r="R770" s="5"/>
      <c r="S770" s="5"/>
      <c r="T770" s="5"/>
      <c r="U770" s="5"/>
      <c r="V770" s="7"/>
      <c r="W770" s="7"/>
      <c r="X770" s="164" t="e">
        <f t="shared" ref="X770:X833" si="149">IF(AB770=1, A770,NA())</f>
        <v>#N/A</v>
      </c>
      <c r="Y770" s="164" t="e">
        <f t="shared" ref="Y770:Y833" si="150">IF(AB770=1,B770-($H$7+$I$7*X770),NA())</f>
        <v>#N/A</v>
      </c>
      <c r="AB770" s="156">
        <f t="shared" si="146"/>
        <v>0</v>
      </c>
      <c r="AC770" s="121" t="str">
        <f t="shared" ref="AC770:AC833" si="151">IF(ISBLANK(A770), "", Y770^2)</f>
        <v/>
      </c>
      <c r="AE770" s="121" t="str">
        <f t="shared" si="147"/>
        <v/>
      </c>
      <c r="AF770" s="111" t="str">
        <f t="shared" si="148"/>
        <v/>
      </c>
    </row>
    <row r="771" spans="1:32">
      <c r="A771" s="159"/>
      <c r="B771" s="160"/>
      <c r="C771" s="5"/>
      <c r="D771" s="5"/>
      <c r="E771" s="5"/>
      <c r="F771" s="5"/>
      <c r="G771" s="5"/>
      <c r="H771" s="5"/>
      <c r="I771" s="5"/>
      <c r="J771" s="5"/>
      <c r="K771" s="5"/>
      <c r="L771" s="5"/>
      <c r="M771" s="5"/>
      <c r="N771" s="5"/>
      <c r="O771" s="5"/>
      <c r="P771" s="5"/>
      <c r="Q771" s="5"/>
      <c r="R771" s="5"/>
      <c r="S771" s="5"/>
      <c r="T771" s="5"/>
      <c r="U771" s="5"/>
      <c r="V771" s="7"/>
      <c r="W771" s="7"/>
      <c r="X771" s="164" t="e">
        <f t="shared" si="149"/>
        <v>#N/A</v>
      </c>
      <c r="Y771" s="164" t="e">
        <f t="shared" si="150"/>
        <v>#N/A</v>
      </c>
      <c r="AB771" s="156">
        <f t="shared" ref="AB771:AB834" si="152">IF(ISBLANK(A771),0,1)</f>
        <v>0</v>
      </c>
      <c r="AC771" s="121" t="str">
        <f t="shared" si="151"/>
        <v/>
      </c>
      <c r="AE771" s="121" t="str">
        <f t="shared" ref="AE771:AE834" si="153">IF(AB771=1,(A771-$AA$2)^2, "")</f>
        <v/>
      </c>
      <c r="AF771" s="111" t="str">
        <f t="shared" si="148"/>
        <v/>
      </c>
    </row>
    <row r="772" spans="1:32">
      <c r="A772" s="159"/>
      <c r="B772" s="160"/>
      <c r="C772" s="5"/>
      <c r="D772" s="5"/>
      <c r="E772" s="5"/>
      <c r="F772" s="5"/>
      <c r="G772" s="5"/>
      <c r="H772" s="5"/>
      <c r="I772" s="5"/>
      <c r="J772" s="5"/>
      <c r="K772" s="5"/>
      <c r="L772" s="5"/>
      <c r="M772" s="5"/>
      <c r="N772" s="5"/>
      <c r="O772" s="5"/>
      <c r="P772" s="5"/>
      <c r="Q772" s="5"/>
      <c r="R772" s="5"/>
      <c r="S772" s="5"/>
      <c r="T772" s="5"/>
      <c r="U772" s="5"/>
      <c r="V772" s="7"/>
      <c r="W772" s="7"/>
      <c r="X772" s="164" t="e">
        <f t="shared" si="149"/>
        <v>#N/A</v>
      </c>
      <c r="Y772" s="164" t="e">
        <f t="shared" si="150"/>
        <v>#N/A</v>
      </c>
      <c r="AB772" s="156">
        <f t="shared" si="152"/>
        <v>0</v>
      </c>
      <c r="AC772" s="121" t="str">
        <f t="shared" si="151"/>
        <v/>
      </c>
      <c r="AE772" s="121" t="str">
        <f t="shared" si="153"/>
        <v/>
      </c>
      <c r="AF772" s="111" t="str">
        <f t="shared" ref="AF772:AF835" si="154">IFERROR(Y771, "")</f>
        <v/>
      </c>
    </row>
    <row r="773" spans="1:32">
      <c r="A773" s="159"/>
      <c r="B773" s="160"/>
      <c r="C773" s="5"/>
      <c r="D773" s="5"/>
      <c r="E773" s="5"/>
      <c r="F773" s="5"/>
      <c r="G773" s="5"/>
      <c r="H773" s="5"/>
      <c r="I773" s="5"/>
      <c r="J773" s="5"/>
      <c r="K773" s="5"/>
      <c r="L773" s="5"/>
      <c r="M773" s="5"/>
      <c r="N773" s="5"/>
      <c r="O773" s="5"/>
      <c r="P773" s="5"/>
      <c r="Q773" s="5"/>
      <c r="R773" s="5"/>
      <c r="S773" s="5"/>
      <c r="T773" s="5"/>
      <c r="U773" s="5"/>
      <c r="V773" s="7"/>
      <c r="W773" s="7"/>
      <c r="X773" s="164" t="e">
        <f t="shared" si="149"/>
        <v>#N/A</v>
      </c>
      <c r="Y773" s="164" t="e">
        <f t="shared" si="150"/>
        <v>#N/A</v>
      </c>
      <c r="AB773" s="156">
        <f t="shared" si="152"/>
        <v>0</v>
      </c>
      <c r="AC773" s="121" t="str">
        <f t="shared" si="151"/>
        <v/>
      </c>
      <c r="AE773" s="121" t="str">
        <f t="shared" si="153"/>
        <v/>
      </c>
      <c r="AF773" s="111" t="str">
        <f t="shared" si="154"/>
        <v/>
      </c>
    </row>
    <row r="774" spans="1:32">
      <c r="A774" s="159"/>
      <c r="B774" s="160"/>
      <c r="C774" s="5"/>
      <c r="D774" s="5"/>
      <c r="E774" s="5"/>
      <c r="F774" s="5"/>
      <c r="G774" s="5"/>
      <c r="H774" s="5"/>
      <c r="I774" s="5"/>
      <c r="J774" s="5"/>
      <c r="K774" s="5"/>
      <c r="L774" s="5"/>
      <c r="M774" s="5"/>
      <c r="N774" s="5"/>
      <c r="O774" s="5"/>
      <c r="P774" s="5"/>
      <c r="Q774" s="5"/>
      <c r="R774" s="5"/>
      <c r="S774" s="5"/>
      <c r="T774" s="5"/>
      <c r="U774" s="5"/>
      <c r="V774" s="7"/>
      <c r="W774" s="7"/>
      <c r="X774" s="164" t="e">
        <f t="shared" si="149"/>
        <v>#N/A</v>
      </c>
      <c r="Y774" s="164" t="e">
        <f t="shared" si="150"/>
        <v>#N/A</v>
      </c>
      <c r="AB774" s="156">
        <f t="shared" si="152"/>
        <v>0</v>
      </c>
      <c r="AC774" s="121" t="str">
        <f t="shared" si="151"/>
        <v/>
      </c>
      <c r="AE774" s="121" t="str">
        <f t="shared" si="153"/>
        <v/>
      </c>
      <c r="AF774" s="111" t="str">
        <f t="shared" si="154"/>
        <v/>
      </c>
    </row>
    <row r="775" spans="1:32">
      <c r="A775" s="159"/>
      <c r="B775" s="160"/>
      <c r="C775" s="5"/>
      <c r="D775" s="5"/>
      <c r="E775" s="5"/>
      <c r="F775" s="5"/>
      <c r="G775" s="5"/>
      <c r="H775" s="5"/>
      <c r="I775" s="5"/>
      <c r="J775" s="5"/>
      <c r="K775" s="5"/>
      <c r="L775" s="5"/>
      <c r="M775" s="5"/>
      <c r="N775" s="5"/>
      <c r="O775" s="5"/>
      <c r="P775" s="5"/>
      <c r="Q775" s="5"/>
      <c r="R775" s="5"/>
      <c r="S775" s="5"/>
      <c r="T775" s="5"/>
      <c r="U775" s="5"/>
      <c r="V775" s="7"/>
      <c r="W775" s="7"/>
      <c r="X775" s="164" t="e">
        <f t="shared" si="149"/>
        <v>#N/A</v>
      </c>
      <c r="Y775" s="164" t="e">
        <f t="shared" si="150"/>
        <v>#N/A</v>
      </c>
      <c r="AB775" s="156">
        <f t="shared" si="152"/>
        <v>0</v>
      </c>
      <c r="AC775" s="121" t="str">
        <f t="shared" si="151"/>
        <v/>
      </c>
      <c r="AE775" s="121" t="str">
        <f t="shared" si="153"/>
        <v/>
      </c>
      <c r="AF775" s="111" t="str">
        <f t="shared" si="154"/>
        <v/>
      </c>
    </row>
    <row r="776" spans="1:32">
      <c r="A776" s="159"/>
      <c r="B776" s="160"/>
      <c r="C776" s="5"/>
      <c r="D776" s="5"/>
      <c r="E776" s="5"/>
      <c r="F776" s="5"/>
      <c r="G776" s="5"/>
      <c r="H776" s="5"/>
      <c r="I776" s="5"/>
      <c r="J776" s="5"/>
      <c r="K776" s="5"/>
      <c r="L776" s="5"/>
      <c r="M776" s="5"/>
      <c r="N776" s="5"/>
      <c r="O776" s="5"/>
      <c r="P776" s="5"/>
      <c r="Q776" s="5"/>
      <c r="R776" s="5"/>
      <c r="S776" s="5"/>
      <c r="T776" s="5"/>
      <c r="U776" s="5"/>
      <c r="V776" s="7"/>
      <c r="W776" s="7"/>
      <c r="X776" s="164" t="e">
        <f t="shared" si="149"/>
        <v>#N/A</v>
      </c>
      <c r="Y776" s="164" t="e">
        <f t="shared" si="150"/>
        <v>#N/A</v>
      </c>
      <c r="AB776" s="156">
        <f t="shared" si="152"/>
        <v>0</v>
      </c>
      <c r="AC776" s="121" t="str">
        <f t="shared" si="151"/>
        <v/>
      </c>
      <c r="AE776" s="121" t="str">
        <f t="shared" si="153"/>
        <v/>
      </c>
      <c r="AF776" s="111" t="str">
        <f t="shared" si="154"/>
        <v/>
      </c>
    </row>
    <row r="777" spans="1:32">
      <c r="A777" s="159"/>
      <c r="B777" s="160"/>
      <c r="C777" s="5"/>
      <c r="D777" s="5"/>
      <c r="E777" s="5"/>
      <c r="F777" s="5"/>
      <c r="G777" s="5"/>
      <c r="H777" s="5"/>
      <c r="I777" s="5"/>
      <c r="J777" s="5"/>
      <c r="K777" s="5"/>
      <c r="L777" s="5"/>
      <c r="M777" s="5"/>
      <c r="N777" s="5"/>
      <c r="O777" s="5"/>
      <c r="P777" s="5"/>
      <c r="Q777" s="5"/>
      <c r="R777" s="5"/>
      <c r="S777" s="5"/>
      <c r="T777" s="5"/>
      <c r="U777" s="5"/>
      <c r="V777" s="7"/>
      <c r="W777" s="7"/>
      <c r="X777" s="164" t="e">
        <f t="shared" si="149"/>
        <v>#N/A</v>
      </c>
      <c r="Y777" s="164" t="e">
        <f t="shared" si="150"/>
        <v>#N/A</v>
      </c>
      <c r="AB777" s="156">
        <f t="shared" si="152"/>
        <v>0</v>
      </c>
      <c r="AC777" s="121" t="str">
        <f t="shared" si="151"/>
        <v/>
      </c>
      <c r="AE777" s="121" t="str">
        <f t="shared" si="153"/>
        <v/>
      </c>
      <c r="AF777" s="111" t="str">
        <f t="shared" si="154"/>
        <v/>
      </c>
    </row>
    <row r="778" spans="1:32">
      <c r="A778" s="159"/>
      <c r="B778" s="160"/>
      <c r="C778" s="5"/>
      <c r="D778" s="5"/>
      <c r="E778" s="5"/>
      <c r="F778" s="5"/>
      <c r="G778" s="5"/>
      <c r="H778" s="5"/>
      <c r="I778" s="5"/>
      <c r="J778" s="5"/>
      <c r="K778" s="5"/>
      <c r="L778" s="5"/>
      <c r="M778" s="5"/>
      <c r="N778" s="5"/>
      <c r="O778" s="5"/>
      <c r="P778" s="5"/>
      <c r="Q778" s="5"/>
      <c r="R778" s="5"/>
      <c r="S778" s="5"/>
      <c r="T778" s="5"/>
      <c r="U778" s="5"/>
      <c r="V778" s="7"/>
      <c r="W778" s="7"/>
      <c r="X778" s="164" t="e">
        <f t="shared" si="149"/>
        <v>#N/A</v>
      </c>
      <c r="Y778" s="164" t="e">
        <f t="shared" si="150"/>
        <v>#N/A</v>
      </c>
      <c r="AB778" s="156">
        <f t="shared" si="152"/>
        <v>0</v>
      </c>
      <c r="AC778" s="121" t="str">
        <f t="shared" si="151"/>
        <v/>
      </c>
      <c r="AE778" s="121" t="str">
        <f t="shared" si="153"/>
        <v/>
      </c>
      <c r="AF778" s="111" t="str">
        <f t="shared" si="154"/>
        <v/>
      </c>
    </row>
    <row r="779" spans="1:32">
      <c r="A779" s="159"/>
      <c r="B779" s="160"/>
      <c r="C779" s="5"/>
      <c r="D779" s="5"/>
      <c r="E779" s="5"/>
      <c r="F779" s="5"/>
      <c r="G779" s="5"/>
      <c r="H779" s="5"/>
      <c r="I779" s="5"/>
      <c r="J779" s="5"/>
      <c r="K779" s="5"/>
      <c r="L779" s="5"/>
      <c r="M779" s="5"/>
      <c r="N779" s="5"/>
      <c r="O779" s="5"/>
      <c r="P779" s="5"/>
      <c r="Q779" s="5"/>
      <c r="R779" s="5"/>
      <c r="S779" s="5"/>
      <c r="T779" s="5"/>
      <c r="U779" s="5"/>
      <c r="V779" s="7"/>
      <c r="W779" s="7"/>
      <c r="X779" s="164" t="e">
        <f t="shared" si="149"/>
        <v>#N/A</v>
      </c>
      <c r="Y779" s="164" t="e">
        <f t="shared" si="150"/>
        <v>#N/A</v>
      </c>
      <c r="AB779" s="156">
        <f t="shared" si="152"/>
        <v>0</v>
      </c>
      <c r="AC779" s="121" t="str">
        <f t="shared" si="151"/>
        <v/>
      </c>
      <c r="AE779" s="121" t="str">
        <f t="shared" si="153"/>
        <v/>
      </c>
      <c r="AF779" s="111" t="str">
        <f t="shared" si="154"/>
        <v/>
      </c>
    </row>
    <row r="780" spans="1:32">
      <c r="A780" s="159"/>
      <c r="B780" s="160"/>
      <c r="C780" s="5"/>
      <c r="D780" s="5"/>
      <c r="E780" s="5"/>
      <c r="F780" s="5"/>
      <c r="G780" s="5"/>
      <c r="H780" s="5"/>
      <c r="I780" s="5"/>
      <c r="J780" s="5"/>
      <c r="K780" s="5"/>
      <c r="L780" s="5"/>
      <c r="M780" s="5"/>
      <c r="N780" s="5"/>
      <c r="O780" s="5"/>
      <c r="P780" s="5"/>
      <c r="Q780" s="5"/>
      <c r="R780" s="5"/>
      <c r="S780" s="5"/>
      <c r="T780" s="5"/>
      <c r="U780" s="5"/>
      <c r="V780" s="7"/>
      <c r="W780" s="7"/>
      <c r="X780" s="164" t="e">
        <f t="shared" si="149"/>
        <v>#N/A</v>
      </c>
      <c r="Y780" s="164" t="e">
        <f t="shared" si="150"/>
        <v>#N/A</v>
      </c>
      <c r="AB780" s="156">
        <f t="shared" si="152"/>
        <v>0</v>
      </c>
      <c r="AC780" s="121" t="str">
        <f t="shared" si="151"/>
        <v/>
      </c>
      <c r="AE780" s="121" t="str">
        <f t="shared" si="153"/>
        <v/>
      </c>
      <c r="AF780" s="111" t="str">
        <f t="shared" si="154"/>
        <v/>
      </c>
    </row>
    <row r="781" spans="1:32">
      <c r="A781" s="159"/>
      <c r="B781" s="160"/>
      <c r="C781" s="5"/>
      <c r="D781" s="5"/>
      <c r="E781" s="5"/>
      <c r="F781" s="5"/>
      <c r="G781" s="5"/>
      <c r="H781" s="5"/>
      <c r="I781" s="5"/>
      <c r="J781" s="5"/>
      <c r="K781" s="5"/>
      <c r="L781" s="5"/>
      <c r="M781" s="5"/>
      <c r="N781" s="5"/>
      <c r="O781" s="5"/>
      <c r="P781" s="5"/>
      <c r="Q781" s="5"/>
      <c r="R781" s="5"/>
      <c r="S781" s="5"/>
      <c r="T781" s="5"/>
      <c r="U781" s="5"/>
      <c r="V781" s="7"/>
      <c r="W781" s="7"/>
      <c r="X781" s="164" t="e">
        <f t="shared" si="149"/>
        <v>#N/A</v>
      </c>
      <c r="Y781" s="164" t="e">
        <f t="shared" si="150"/>
        <v>#N/A</v>
      </c>
      <c r="AB781" s="156">
        <f t="shared" si="152"/>
        <v>0</v>
      </c>
      <c r="AC781" s="121" t="str">
        <f t="shared" si="151"/>
        <v/>
      </c>
      <c r="AE781" s="121" t="str">
        <f t="shared" si="153"/>
        <v/>
      </c>
      <c r="AF781" s="111" t="str">
        <f t="shared" si="154"/>
        <v/>
      </c>
    </row>
    <row r="782" spans="1:32">
      <c r="A782" s="159"/>
      <c r="B782" s="160"/>
      <c r="C782" s="5"/>
      <c r="D782" s="5"/>
      <c r="E782" s="5"/>
      <c r="F782" s="5"/>
      <c r="G782" s="5"/>
      <c r="H782" s="5"/>
      <c r="I782" s="5"/>
      <c r="J782" s="5"/>
      <c r="K782" s="5"/>
      <c r="L782" s="5"/>
      <c r="M782" s="5"/>
      <c r="N782" s="5"/>
      <c r="O782" s="5"/>
      <c r="P782" s="5"/>
      <c r="Q782" s="5"/>
      <c r="R782" s="5"/>
      <c r="S782" s="5"/>
      <c r="T782" s="5"/>
      <c r="U782" s="5"/>
      <c r="V782" s="7"/>
      <c r="W782" s="7"/>
      <c r="X782" s="164" t="e">
        <f t="shared" si="149"/>
        <v>#N/A</v>
      </c>
      <c r="Y782" s="164" t="e">
        <f t="shared" si="150"/>
        <v>#N/A</v>
      </c>
      <c r="AB782" s="156">
        <f t="shared" si="152"/>
        <v>0</v>
      </c>
      <c r="AC782" s="121" t="str">
        <f t="shared" si="151"/>
        <v/>
      </c>
      <c r="AE782" s="121" t="str">
        <f t="shared" si="153"/>
        <v/>
      </c>
      <c r="AF782" s="111" t="str">
        <f t="shared" si="154"/>
        <v/>
      </c>
    </row>
    <row r="783" spans="1:32">
      <c r="A783" s="159"/>
      <c r="B783" s="160"/>
      <c r="C783" s="5"/>
      <c r="D783" s="5"/>
      <c r="E783" s="5"/>
      <c r="F783" s="5"/>
      <c r="G783" s="5"/>
      <c r="H783" s="5"/>
      <c r="I783" s="5"/>
      <c r="J783" s="5"/>
      <c r="K783" s="5"/>
      <c r="L783" s="5"/>
      <c r="M783" s="5"/>
      <c r="N783" s="5"/>
      <c r="O783" s="5"/>
      <c r="P783" s="5"/>
      <c r="Q783" s="5"/>
      <c r="R783" s="5"/>
      <c r="S783" s="5"/>
      <c r="T783" s="5"/>
      <c r="U783" s="5"/>
      <c r="V783" s="7"/>
      <c r="W783" s="7"/>
      <c r="X783" s="164" t="e">
        <f t="shared" si="149"/>
        <v>#N/A</v>
      </c>
      <c r="Y783" s="164" t="e">
        <f t="shared" si="150"/>
        <v>#N/A</v>
      </c>
      <c r="AB783" s="156">
        <f t="shared" si="152"/>
        <v>0</v>
      </c>
      <c r="AC783" s="121" t="str">
        <f t="shared" si="151"/>
        <v/>
      </c>
      <c r="AE783" s="121" t="str">
        <f t="shared" si="153"/>
        <v/>
      </c>
      <c r="AF783" s="111" t="str">
        <f t="shared" si="154"/>
        <v/>
      </c>
    </row>
    <row r="784" spans="1:32">
      <c r="A784" s="159"/>
      <c r="B784" s="160"/>
      <c r="C784" s="5"/>
      <c r="D784" s="5"/>
      <c r="E784" s="5"/>
      <c r="F784" s="5"/>
      <c r="G784" s="5"/>
      <c r="H784" s="5"/>
      <c r="I784" s="5"/>
      <c r="J784" s="5"/>
      <c r="K784" s="5"/>
      <c r="L784" s="5"/>
      <c r="M784" s="5"/>
      <c r="N784" s="5"/>
      <c r="O784" s="5"/>
      <c r="P784" s="5"/>
      <c r="Q784" s="5"/>
      <c r="R784" s="5"/>
      <c r="S784" s="5"/>
      <c r="T784" s="5"/>
      <c r="U784" s="5"/>
      <c r="V784" s="7"/>
      <c r="W784" s="7"/>
      <c r="X784" s="164" t="e">
        <f t="shared" si="149"/>
        <v>#N/A</v>
      </c>
      <c r="Y784" s="164" t="e">
        <f t="shared" si="150"/>
        <v>#N/A</v>
      </c>
      <c r="AB784" s="156">
        <f t="shared" si="152"/>
        <v>0</v>
      </c>
      <c r="AC784" s="121" t="str">
        <f t="shared" si="151"/>
        <v/>
      </c>
      <c r="AE784" s="121" t="str">
        <f t="shared" si="153"/>
        <v/>
      </c>
      <c r="AF784" s="111" t="str">
        <f t="shared" si="154"/>
        <v/>
      </c>
    </row>
    <row r="785" spans="1:32">
      <c r="A785" s="159"/>
      <c r="B785" s="160"/>
      <c r="C785" s="5"/>
      <c r="D785" s="5"/>
      <c r="E785" s="5"/>
      <c r="F785" s="5"/>
      <c r="G785" s="5"/>
      <c r="H785" s="5"/>
      <c r="I785" s="5"/>
      <c r="J785" s="5"/>
      <c r="K785" s="5"/>
      <c r="L785" s="5"/>
      <c r="M785" s="5"/>
      <c r="N785" s="5"/>
      <c r="O785" s="5"/>
      <c r="P785" s="5"/>
      <c r="Q785" s="5"/>
      <c r="R785" s="5"/>
      <c r="S785" s="5"/>
      <c r="T785" s="5"/>
      <c r="U785" s="5"/>
      <c r="V785" s="7"/>
      <c r="W785" s="7"/>
      <c r="X785" s="164" t="e">
        <f t="shared" si="149"/>
        <v>#N/A</v>
      </c>
      <c r="Y785" s="164" t="e">
        <f t="shared" si="150"/>
        <v>#N/A</v>
      </c>
      <c r="AB785" s="156">
        <f t="shared" si="152"/>
        <v>0</v>
      </c>
      <c r="AC785" s="121" t="str">
        <f t="shared" si="151"/>
        <v/>
      </c>
      <c r="AE785" s="121" t="str">
        <f t="shared" si="153"/>
        <v/>
      </c>
      <c r="AF785" s="111" t="str">
        <f t="shared" si="154"/>
        <v/>
      </c>
    </row>
    <row r="786" spans="1:32">
      <c r="A786" s="159"/>
      <c r="B786" s="160"/>
      <c r="C786" s="5"/>
      <c r="D786" s="5"/>
      <c r="E786" s="5"/>
      <c r="F786" s="5"/>
      <c r="G786" s="5"/>
      <c r="H786" s="5"/>
      <c r="I786" s="5"/>
      <c r="J786" s="5"/>
      <c r="K786" s="5"/>
      <c r="L786" s="5"/>
      <c r="M786" s="5"/>
      <c r="N786" s="5"/>
      <c r="O786" s="5"/>
      <c r="P786" s="5"/>
      <c r="Q786" s="5"/>
      <c r="R786" s="5"/>
      <c r="S786" s="5"/>
      <c r="T786" s="5"/>
      <c r="U786" s="5"/>
      <c r="V786" s="7"/>
      <c r="W786" s="7"/>
      <c r="X786" s="164" t="e">
        <f t="shared" si="149"/>
        <v>#N/A</v>
      </c>
      <c r="Y786" s="164" t="e">
        <f t="shared" si="150"/>
        <v>#N/A</v>
      </c>
      <c r="AB786" s="156">
        <f t="shared" si="152"/>
        <v>0</v>
      </c>
      <c r="AC786" s="121" t="str">
        <f t="shared" si="151"/>
        <v/>
      </c>
      <c r="AE786" s="121" t="str">
        <f t="shared" si="153"/>
        <v/>
      </c>
      <c r="AF786" s="111" t="str">
        <f t="shared" si="154"/>
        <v/>
      </c>
    </row>
    <row r="787" spans="1:32">
      <c r="A787" s="159"/>
      <c r="B787" s="160"/>
      <c r="C787" s="5"/>
      <c r="D787" s="5"/>
      <c r="E787" s="5"/>
      <c r="F787" s="5"/>
      <c r="G787" s="5"/>
      <c r="H787" s="5"/>
      <c r="I787" s="5"/>
      <c r="J787" s="5"/>
      <c r="K787" s="5"/>
      <c r="L787" s="5"/>
      <c r="M787" s="5"/>
      <c r="N787" s="5"/>
      <c r="O787" s="5"/>
      <c r="P787" s="5"/>
      <c r="Q787" s="5"/>
      <c r="R787" s="5"/>
      <c r="S787" s="5"/>
      <c r="T787" s="5"/>
      <c r="U787" s="5"/>
      <c r="V787" s="7"/>
      <c r="W787" s="7"/>
      <c r="X787" s="164" t="e">
        <f t="shared" si="149"/>
        <v>#N/A</v>
      </c>
      <c r="Y787" s="164" t="e">
        <f t="shared" si="150"/>
        <v>#N/A</v>
      </c>
      <c r="AB787" s="156">
        <f t="shared" si="152"/>
        <v>0</v>
      </c>
      <c r="AC787" s="121" t="str">
        <f t="shared" si="151"/>
        <v/>
      </c>
      <c r="AE787" s="121" t="str">
        <f t="shared" si="153"/>
        <v/>
      </c>
      <c r="AF787" s="111" t="str">
        <f t="shared" si="154"/>
        <v/>
      </c>
    </row>
    <row r="788" spans="1:32">
      <c r="A788" s="159"/>
      <c r="B788" s="160"/>
      <c r="C788" s="5"/>
      <c r="D788" s="5"/>
      <c r="E788" s="5"/>
      <c r="F788" s="5"/>
      <c r="G788" s="5"/>
      <c r="H788" s="5"/>
      <c r="I788" s="5"/>
      <c r="J788" s="5"/>
      <c r="K788" s="5"/>
      <c r="L788" s="5"/>
      <c r="M788" s="5"/>
      <c r="N788" s="5"/>
      <c r="O788" s="5"/>
      <c r="P788" s="5"/>
      <c r="Q788" s="5"/>
      <c r="R788" s="5"/>
      <c r="S788" s="5"/>
      <c r="T788" s="5"/>
      <c r="U788" s="5"/>
      <c r="V788" s="7"/>
      <c r="W788" s="7"/>
      <c r="X788" s="164" t="e">
        <f t="shared" si="149"/>
        <v>#N/A</v>
      </c>
      <c r="Y788" s="164" t="e">
        <f t="shared" si="150"/>
        <v>#N/A</v>
      </c>
      <c r="AB788" s="156">
        <f t="shared" si="152"/>
        <v>0</v>
      </c>
      <c r="AC788" s="121" t="str">
        <f t="shared" si="151"/>
        <v/>
      </c>
      <c r="AE788" s="121" t="str">
        <f t="shared" si="153"/>
        <v/>
      </c>
      <c r="AF788" s="111" t="str">
        <f t="shared" si="154"/>
        <v/>
      </c>
    </row>
    <row r="789" spans="1:32">
      <c r="A789" s="159"/>
      <c r="B789" s="160"/>
      <c r="C789" s="5"/>
      <c r="D789" s="5"/>
      <c r="E789" s="5"/>
      <c r="F789" s="5"/>
      <c r="G789" s="5"/>
      <c r="H789" s="5"/>
      <c r="I789" s="5"/>
      <c r="J789" s="5"/>
      <c r="K789" s="5"/>
      <c r="L789" s="5"/>
      <c r="M789" s="5"/>
      <c r="N789" s="5"/>
      <c r="O789" s="5"/>
      <c r="P789" s="5"/>
      <c r="Q789" s="5"/>
      <c r="R789" s="5"/>
      <c r="S789" s="5"/>
      <c r="T789" s="5"/>
      <c r="U789" s="5"/>
      <c r="V789" s="7"/>
      <c r="W789" s="7"/>
      <c r="X789" s="164" t="e">
        <f t="shared" si="149"/>
        <v>#N/A</v>
      </c>
      <c r="Y789" s="164" t="e">
        <f t="shared" si="150"/>
        <v>#N/A</v>
      </c>
      <c r="AB789" s="156">
        <f t="shared" si="152"/>
        <v>0</v>
      </c>
      <c r="AC789" s="121" t="str">
        <f t="shared" si="151"/>
        <v/>
      </c>
      <c r="AE789" s="121" t="str">
        <f t="shared" si="153"/>
        <v/>
      </c>
      <c r="AF789" s="111" t="str">
        <f t="shared" si="154"/>
        <v/>
      </c>
    </row>
    <row r="790" spans="1:32">
      <c r="A790" s="159"/>
      <c r="B790" s="160"/>
      <c r="C790" s="5"/>
      <c r="D790" s="5"/>
      <c r="E790" s="5"/>
      <c r="F790" s="5"/>
      <c r="G790" s="5"/>
      <c r="H790" s="5"/>
      <c r="I790" s="5"/>
      <c r="J790" s="5"/>
      <c r="K790" s="5"/>
      <c r="L790" s="5"/>
      <c r="M790" s="5"/>
      <c r="N790" s="5"/>
      <c r="O790" s="5"/>
      <c r="P790" s="5"/>
      <c r="Q790" s="5"/>
      <c r="R790" s="5"/>
      <c r="S790" s="5"/>
      <c r="T790" s="5"/>
      <c r="U790" s="5"/>
      <c r="V790" s="7"/>
      <c r="W790" s="7"/>
      <c r="X790" s="164" t="e">
        <f t="shared" si="149"/>
        <v>#N/A</v>
      </c>
      <c r="Y790" s="164" t="e">
        <f t="shared" si="150"/>
        <v>#N/A</v>
      </c>
      <c r="AB790" s="156">
        <f t="shared" si="152"/>
        <v>0</v>
      </c>
      <c r="AC790" s="121" t="str">
        <f t="shared" si="151"/>
        <v/>
      </c>
      <c r="AE790" s="121" t="str">
        <f t="shared" si="153"/>
        <v/>
      </c>
      <c r="AF790" s="111" t="str">
        <f t="shared" si="154"/>
        <v/>
      </c>
    </row>
    <row r="791" spans="1:32">
      <c r="A791" s="159"/>
      <c r="B791" s="160"/>
      <c r="C791" s="5"/>
      <c r="D791" s="5"/>
      <c r="E791" s="5"/>
      <c r="F791" s="5"/>
      <c r="G791" s="5"/>
      <c r="H791" s="5"/>
      <c r="I791" s="5"/>
      <c r="J791" s="5"/>
      <c r="K791" s="5"/>
      <c r="L791" s="5"/>
      <c r="M791" s="5"/>
      <c r="N791" s="5"/>
      <c r="O791" s="5"/>
      <c r="P791" s="5"/>
      <c r="Q791" s="5"/>
      <c r="R791" s="5"/>
      <c r="S791" s="5"/>
      <c r="T791" s="5"/>
      <c r="U791" s="5"/>
      <c r="V791" s="7"/>
      <c r="W791" s="7"/>
      <c r="X791" s="164" t="e">
        <f t="shared" si="149"/>
        <v>#N/A</v>
      </c>
      <c r="Y791" s="164" t="e">
        <f t="shared" si="150"/>
        <v>#N/A</v>
      </c>
      <c r="AB791" s="156">
        <f t="shared" si="152"/>
        <v>0</v>
      </c>
      <c r="AC791" s="121" t="str">
        <f t="shared" si="151"/>
        <v/>
      </c>
      <c r="AE791" s="121" t="str">
        <f t="shared" si="153"/>
        <v/>
      </c>
      <c r="AF791" s="111" t="str">
        <f t="shared" si="154"/>
        <v/>
      </c>
    </row>
    <row r="792" spans="1:32">
      <c r="A792" s="159"/>
      <c r="B792" s="160"/>
      <c r="C792" s="5"/>
      <c r="D792" s="5"/>
      <c r="E792" s="5"/>
      <c r="F792" s="5"/>
      <c r="G792" s="5"/>
      <c r="H792" s="5"/>
      <c r="I792" s="5"/>
      <c r="J792" s="5"/>
      <c r="K792" s="5"/>
      <c r="L792" s="5"/>
      <c r="M792" s="5"/>
      <c r="N792" s="5"/>
      <c r="O792" s="5"/>
      <c r="P792" s="5"/>
      <c r="Q792" s="5"/>
      <c r="R792" s="5"/>
      <c r="S792" s="5"/>
      <c r="T792" s="5"/>
      <c r="U792" s="5"/>
      <c r="V792" s="7"/>
      <c r="W792" s="7"/>
      <c r="X792" s="164" t="e">
        <f t="shared" si="149"/>
        <v>#N/A</v>
      </c>
      <c r="Y792" s="164" t="e">
        <f t="shared" si="150"/>
        <v>#N/A</v>
      </c>
      <c r="AB792" s="156">
        <f t="shared" si="152"/>
        <v>0</v>
      </c>
      <c r="AC792" s="121" t="str">
        <f t="shared" si="151"/>
        <v/>
      </c>
      <c r="AE792" s="121" t="str">
        <f t="shared" si="153"/>
        <v/>
      </c>
      <c r="AF792" s="111" t="str">
        <f t="shared" si="154"/>
        <v/>
      </c>
    </row>
    <row r="793" spans="1:32">
      <c r="A793" s="159"/>
      <c r="B793" s="160"/>
      <c r="C793" s="5"/>
      <c r="D793" s="5"/>
      <c r="E793" s="5"/>
      <c r="F793" s="5"/>
      <c r="G793" s="5"/>
      <c r="H793" s="5"/>
      <c r="I793" s="5"/>
      <c r="J793" s="5"/>
      <c r="K793" s="5"/>
      <c r="L793" s="5"/>
      <c r="M793" s="5"/>
      <c r="N793" s="5"/>
      <c r="O793" s="5"/>
      <c r="P793" s="5"/>
      <c r="Q793" s="5"/>
      <c r="R793" s="5"/>
      <c r="S793" s="5"/>
      <c r="T793" s="5"/>
      <c r="U793" s="5"/>
      <c r="V793" s="7"/>
      <c r="W793" s="7"/>
      <c r="X793" s="164" t="e">
        <f t="shared" si="149"/>
        <v>#N/A</v>
      </c>
      <c r="Y793" s="164" t="e">
        <f t="shared" si="150"/>
        <v>#N/A</v>
      </c>
      <c r="AB793" s="156">
        <f t="shared" si="152"/>
        <v>0</v>
      </c>
      <c r="AC793" s="121" t="str">
        <f t="shared" si="151"/>
        <v/>
      </c>
      <c r="AE793" s="121" t="str">
        <f t="shared" si="153"/>
        <v/>
      </c>
      <c r="AF793" s="111" t="str">
        <f t="shared" si="154"/>
        <v/>
      </c>
    </row>
    <row r="794" spans="1:32">
      <c r="A794" s="159"/>
      <c r="B794" s="160"/>
      <c r="C794" s="5"/>
      <c r="D794" s="5"/>
      <c r="E794" s="5"/>
      <c r="F794" s="5"/>
      <c r="G794" s="5"/>
      <c r="H794" s="5"/>
      <c r="I794" s="5"/>
      <c r="J794" s="5"/>
      <c r="K794" s="5"/>
      <c r="L794" s="5"/>
      <c r="M794" s="5"/>
      <c r="N794" s="5"/>
      <c r="O794" s="5"/>
      <c r="P794" s="5"/>
      <c r="Q794" s="5"/>
      <c r="R794" s="5"/>
      <c r="S794" s="5"/>
      <c r="T794" s="5"/>
      <c r="U794" s="5"/>
      <c r="V794" s="7"/>
      <c r="W794" s="7"/>
      <c r="X794" s="164" t="e">
        <f t="shared" si="149"/>
        <v>#N/A</v>
      </c>
      <c r="Y794" s="164" t="e">
        <f t="shared" si="150"/>
        <v>#N/A</v>
      </c>
      <c r="AB794" s="156">
        <f t="shared" si="152"/>
        <v>0</v>
      </c>
      <c r="AC794" s="121" t="str">
        <f t="shared" si="151"/>
        <v/>
      </c>
      <c r="AE794" s="121" t="str">
        <f t="shared" si="153"/>
        <v/>
      </c>
      <c r="AF794" s="111" t="str">
        <f t="shared" si="154"/>
        <v/>
      </c>
    </row>
    <row r="795" spans="1:32">
      <c r="A795" s="159"/>
      <c r="B795" s="160"/>
      <c r="C795" s="5"/>
      <c r="D795" s="5"/>
      <c r="E795" s="5"/>
      <c r="F795" s="5"/>
      <c r="G795" s="5"/>
      <c r="H795" s="5"/>
      <c r="I795" s="5"/>
      <c r="J795" s="5"/>
      <c r="K795" s="5"/>
      <c r="L795" s="5"/>
      <c r="M795" s="5"/>
      <c r="N795" s="5"/>
      <c r="O795" s="5"/>
      <c r="P795" s="5"/>
      <c r="Q795" s="5"/>
      <c r="R795" s="5"/>
      <c r="S795" s="5"/>
      <c r="T795" s="5"/>
      <c r="U795" s="5"/>
      <c r="V795" s="7"/>
      <c r="W795" s="7"/>
      <c r="X795" s="164" t="e">
        <f t="shared" si="149"/>
        <v>#N/A</v>
      </c>
      <c r="Y795" s="164" t="e">
        <f t="shared" si="150"/>
        <v>#N/A</v>
      </c>
      <c r="AB795" s="156">
        <f t="shared" si="152"/>
        <v>0</v>
      </c>
      <c r="AC795" s="121" t="str">
        <f t="shared" si="151"/>
        <v/>
      </c>
      <c r="AE795" s="121" t="str">
        <f t="shared" si="153"/>
        <v/>
      </c>
      <c r="AF795" s="111" t="str">
        <f t="shared" si="154"/>
        <v/>
      </c>
    </row>
    <row r="796" spans="1:32">
      <c r="A796" s="159"/>
      <c r="B796" s="160"/>
      <c r="C796" s="5"/>
      <c r="D796" s="5"/>
      <c r="E796" s="5"/>
      <c r="F796" s="5"/>
      <c r="G796" s="5"/>
      <c r="H796" s="5"/>
      <c r="I796" s="5"/>
      <c r="J796" s="5"/>
      <c r="K796" s="5"/>
      <c r="L796" s="5"/>
      <c r="M796" s="5"/>
      <c r="N796" s="5"/>
      <c r="O796" s="5"/>
      <c r="P796" s="5"/>
      <c r="Q796" s="5"/>
      <c r="R796" s="5"/>
      <c r="S796" s="5"/>
      <c r="T796" s="5"/>
      <c r="U796" s="5"/>
      <c r="V796" s="7"/>
      <c r="W796" s="7"/>
      <c r="X796" s="164" t="e">
        <f t="shared" si="149"/>
        <v>#N/A</v>
      </c>
      <c r="Y796" s="164" t="e">
        <f t="shared" si="150"/>
        <v>#N/A</v>
      </c>
      <c r="AB796" s="156">
        <f t="shared" si="152"/>
        <v>0</v>
      </c>
      <c r="AC796" s="121" t="str">
        <f t="shared" si="151"/>
        <v/>
      </c>
      <c r="AE796" s="121" t="str">
        <f t="shared" si="153"/>
        <v/>
      </c>
      <c r="AF796" s="111" t="str">
        <f t="shared" si="154"/>
        <v/>
      </c>
    </row>
    <row r="797" spans="1:32">
      <c r="A797" s="159"/>
      <c r="B797" s="160"/>
      <c r="C797" s="5"/>
      <c r="D797" s="5"/>
      <c r="E797" s="5"/>
      <c r="F797" s="5"/>
      <c r="G797" s="5"/>
      <c r="H797" s="5"/>
      <c r="I797" s="5"/>
      <c r="J797" s="5"/>
      <c r="K797" s="5"/>
      <c r="L797" s="5"/>
      <c r="M797" s="5"/>
      <c r="N797" s="5"/>
      <c r="O797" s="5"/>
      <c r="P797" s="5"/>
      <c r="Q797" s="5"/>
      <c r="R797" s="5"/>
      <c r="S797" s="5"/>
      <c r="T797" s="5"/>
      <c r="U797" s="5"/>
      <c r="V797" s="7"/>
      <c r="W797" s="7"/>
      <c r="X797" s="164" t="e">
        <f t="shared" si="149"/>
        <v>#N/A</v>
      </c>
      <c r="Y797" s="164" t="e">
        <f t="shared" si="150"/>
        <v>#N/A</v>
      </c>
      <c r="AB797" s="156">
        <f t="shared" si="152"/>
        <v>0</v>
      </c>
      <c r="AC797" s="121" t="str">
        <f t="shared" si="151"/>
        <v/>
      </c>
      <c r="AE797" s="121" t="str">
        <f t="shared" si="153"/>
        <v/>
      </c>
      <c r="AF797" s="111" t="str">
        <f t="shared" si="154"/>
        <v/>
      </c>
    </row>
    <row r="798" spans="1:32">
      <c r="A798" s="159"/>
      <c r="B798" s="160"/>
      <c r="C798" s="5"/>
      <c r="D798" s="5"/>
      <c r="E798" s="5"/>
      <c r="F798" s="5"/>
      <c r="G798" s="5"/>
      <c r="H798" s="5"/>
      <c r="I798" s="5"/>
      <c r="J798" s="5"/>
      <c r="K798" s="5"/>
      <c r="L798" s="5"/>
      <c r="M798" s="5"/>
      <c r="N798" s="5"/>
      <c r="O798" s="5"/>
      <c r="P798" s="5"/>
      <c r="Q798" s="5"/>
      <c r="R798" s="5"/>
      <c r="S798" s="5"/>
      <c r="T798" s="5"/>
      <c r="U798" s="5"/>
      <c r="V798" s="7"/>
      <c r="W798" s="7"/>
      <c r="X798" s="164" t="e">
        <f t="shared" si="149"/>
        <v>#N/A</v>
      </c>
      <c r="Y798" s="164" t="e">
        <f t="shared" si="150"/>
        <v>#N/A</v>
      </c>
      <c r="AB798" s="156">
        <f t="shared" si="152"/>
        <v>0</v>
      </c>
      <c r="AC798" s="121" t="str">
        <f t="shared" si="151"/>
        <v/>
      </c>
      <c r="AE798" s="121" t="str">
        <f t="shared" si="153"/>
        <v/>
      </c>
      <c r="AF798" s="111" t="str">
        <f t="shared" si="154"/>
        <v/>
      </c>
    </row>
    <row r="799" spans="1:32">
      <c r="A799" s="159"/>
      <c r="B799" s="160"/>
      <c r="C799" s="5"/>
      <c r="D799" s="5"/>
      <c r="E799" s="5"/>
      <c r="F799" s="5"/>
      <c r="G799" s="5"/>
      <c r="H799" s="5"/>
      <c r="I799" s="5"/>
      <c r="J799" s="5"/>
      <c r="K799" s="5"/>
      <c r="L799" s="5"/>
      <c r="M799" s="5"/>
      <c r="N799" s="5"/>
      <c r="O799" s="5"/>
      <c r="P799" s="5"/>
      <c r="Q799" s="5"/>
      <c r="R799" s="5"/>
      <c r="S799" s="5"/>
      <c r="T799" s="5"/>
      <c r="U799" s="5"/>
      <c r="V799" s="7"/>
      <c r="W799" s="7"/>
      <c r="X799" s="164" t="e">
        <f t="shared" si="149"/>
        <v>#N/A</v>
      </c>
      <c r="Y799" s="164" t="e">
        <f t="shared" si="150"/>
        <v>#N/A</v>
      </c>
      <c r="AB799" s="156">
        <f t="shared" si="152"/>
        <v>0</v>
      </c>
      <c r="AC799" s="121" t="str">
        <f t="shared" si="151"/>
        <v/>
      </c>
      <c r="AE799" s="121" t="str">
        <f t="shared" si="153"/>
        <v/>
      </c>
      <c r="AF799" s="111" t="str">
        <f t="shared" si="154"/>
        <v/>
      </c>
    </row>
    <row r="800" spans="1:32">
      <c r="A800" s="159"/>
      <c r="B800" s="160"/>
      <c r="C800" s="5"/>
      <c r="D800" s="5"/>
      <c r="E800" s="5"/>
      <c r="F800" s="5"/>
      <c r="G800" s="5"/>
      <c r="H800" s="5"/>
      <c r="I800" s="5"/>
      <c r="J800" s="5"/>
      <c r="K800" s="5"/>
      <c r="L800" s="5"/>
      <c r="M800" s="5"/>
      <c r="N800" s="5"/>
      <c r="O800" s="5"/>
      <c r="P800" s="5"/>
      <c r="Q800" s="5"/>
      <c r="R800" s="5"/>
      <c r="S800" s="5"/>
      <c r="T800" s="5"/>
      <c r="U800" s="5"/>
      <c r="V800" s="7"/>
      <c r="W800" s="7"/>
      <c r="X800" s="164" t="e">
        <f t="shared" si="149"/>
        <v>#N/A</v>
      </c>
      <c r="Y800" s="164" t="e">
        <f t="shared" si="150"/>
        <v>#N/A</v>
      </c>
      <c r="AB800" s="156">
        <f t="shared" si="152"/>
        <v>0</v>
      </c>
      <c r="AC800" s="121" t="str">
        <f t="shared" si="151"/>
        <v/>
      </c>
      <c r="AE800" s="121" t="str">
        <f t="shared" si="153"/>
        <v/>
      </c>
      <c r="AF800" s="111" t="str">
        <f t="shared" si="154"/>
        <v/>
      </c>
    </row>
    <row r="801" spans="1:32">
      <c r="A801" s="159"/>
      <c r="B801" s="160"/>
      <c r="C801" s="5"/>
      <c r="D801" s="5"/>
      <c r="E801" s="5"/>
      <c r="F801" s="5"/>
      <c r="G801" s="5"/>
      <c r="H801" s="5"/>
      <c r="I801" s="5"/>
      <c r="J801" s="5"/>
      <c r="K801" s="5"/>
      <c r="L801" s="5"/>
      <c r="M801" s="5"/>
      <c r="N801" s="5"/>
      <c r="O801" s="5"/>
      <c r="P801" s="5"/>
      <c r="Q801" s="5"/>
      <c r="R801" s="5"/>
      <c r="S801" s="5"/>
      <c r="T801" s="5"/>
      <c r="U801" s="5"/>
      <c r="V801" s="7"/>
      <c r="W801" s="7"/>
      <c r="X801" s="164" t="e">
        <f t="shared" si="149"/>
        <v>#N/A</v>
      </c>
      <c r="Y801" s="164" t="e">
        <f t="shared" si="150"/>
        <v>#N/A</v>
      </c>
      <c r="AB801" s="156">
        <f t="shared" si="152"/>
        <v>0</v>
      </c>
      <c r="AC801" s="121" t="str">
        <f t="shared" si="151"/>
        <v/>
      </c>
      <c r="AE801" s="121" t="str">
        <f t="shared" si="153"/>
        <v/>
      </c>
      <c r="AF801" s="111" t="str">
        <f t="shared" si="154"/>
        <v/>
      </c>
    </row>
    <row r="802" spans="1:32">
      <c r="A802" s="159"/>
      <c r="B802" s="160"/>
      <c r="C802" s="5"/>
      <c r="D802" s="5"/>
      <c r="E802" s="5"/>
      <c r="F802" s="5"/>
      <c r="G802" s="5"/>
      <c r="H802" s="5"/>
      <c r="I802" s="5"/>
      <c r="J802" s="5"/>
      <c r="K802" s="5"/>
      <c r="L802" s="5"/>
      <c r="M802" s="5"/>
      <c r="N802" s="5"/>
      <c r="O802" s="5"/>
      <c r="P802" s="5"/>
      <c r="Q802" s="5"/>
      <c r="R802" s="5"/>
      <c r="S802" s="5"/>
      <c r="T802" s="5"/>
      <c r="U802" s="5"/>
      <c r="V802" s="7"/>
      <c r="W802" s="7"/>
      <c r="X802" s="164" t="e">
        <f t="shared" si="149"/>
        <v>#N/A</v>
      </c>
      <c r="Y802" s="164" t="e">
        <f t="shared" si="150"/>
        <v>#N/A</v>
      </c>
      <c r="AB802" s="156">
        <f t="shared" si="152"/>
        <v>0</v>
      </c>
      <c r="AC802" s="121" t="str">
        <f t="shared" si="151"/>
        <v/>
      </c>
      <c r="AE802" s="121" t="str">
        <f t="shared" si="153"/>
        <v/>
      </c>
      <c r="AF802" s="111" t="str">
        <f t="shared" si="154"/>
        <v/>
      </c>
    </row>
    <row r="803" spans="1:32">
      <c r="A803" s="159"/>
      <c r="B803" s="160"/>
      <c r="C803" s="5"/>
      <c r="D803" s="5"/>
      <c r="E803" s="5"/>
      <c r="F803" s="5"/>
      <c r="G803" s="5"/>
      <c r="H803" s="5"/>
      <c r="I803" s="5"/>
      <c r="J803" s="5"/>
      <c r="K803" s="5"/>
      <c r="L803" s="5"/>
      <c r="M803" s="5"/>
      <c r="N803" s="5"/>
      <c r="O803" s="5"/>
      <c r="P803" s="5"/>
      <c r="Q803" s="5"/>
      <c r="R803" s="5"/>
      <c r="S803" s="5"/>
      <c r="T803" s="5"/>
      <c r="U803" s="5"/>
      <c r="V803" s="7"/>
      <c r="W803" s="7"/>
      <c r="X803" s="164" t="e">
        <f t="shared" si="149"/>
        <v>#N/A</v>
      </c>
      <c r="Y803" s="164" t="e">
        <f t="shared" si="150"/>
        <v>#N/A</v>
      </c>
      <c r="AB803" s="156">
        <f t="shared" si="152"/>
        <v>0</v>
      </c>
      <c r="AC803" s="121" t="str">
        <f t="shared" si="151"/>
        <v/>
      </c>
      <c r="AE803" s="121" t="str">
        <f t="shared" si="153"/>
        <v/>
      </c>
      <c r="AF803" s="111" t="str">
        <f t="shared" si="154"/>
        <v/>
      </c>
    </row>
    <row r="804" spans="1:32">
      <c r="A804" s="159"/>
      <c r="B804" s="160"/>
      <c r="C804" s="5"/>
      <c r="D804" s="5"/>
      <c r="E804" s="5"/>
      <c r="F804" s="5"/>
      <c r="G804" s="5"/>
      <c r="H804" s="5"/>
      <c r="I804" s="5"/>
      <c r="J804" s="5"/>
      <c r="K804" s="5"/>
      <c r="L804" s="5"/>
      <c r="M804" s="5"/>
      <c r="N804" s="5"/>
      <c r="O804" s="5"/>
      <c r="P804" s="5"/>
      <c r="Q804" s="5"/>
      <c r="R804" s="5"/>
      <c r="S804" s="5"/>
      <c r="T804" s="5"/>
      <c r="U804" s="5"/>
      <c r="V804" s="7"/>
      <c r="W804" s="7"/>
      <c r="X804" s="164" t="e">
        <f t="shared" si="149"/>
        <v>#N/A</v>
      </c>
      <c r="Y804" s="164" t="e">
        <f t="shared" si="150"/>
        <v>#N/A</v>
      </c>
      <c r="AB804" s="156">
        <f t="shared" si="152"/>
        <v>0</v>
      </c>
      <c r="AC804" s="121" t="str">
        <f t="shared" si="151"/>
        <v/>
      </c>
      <c r="AE804" s="121" t="str">
        <f t="shared" si="153"/>
        <v/>
      </c>
      <c r="AF804" s="111" t="str">
        <f t="shared" si="154"/>
        <v/>
      </c>
    </row>
    <row r="805" spans="1:32">
      <c r="A805" s="159"/>
      <c r="B805" s="160"/>
      <c r="C805" s="5"/>
      <c r="D805" s="5"/>
      <c r="E805" s="5"/>
      <c r="F805" s="5"/>
      <c r="G805" s="5"/>
      <c r="H805" s="5"/>
      <c r="I805" s="5"/>
      <c r="J805" s="5"/>
      <c r="K805" s="5"/>
      <c r="L805" s="5"/>
      <c r="M805" s="5"/>
      <c r="N805" s="5"/>
      <c r="O805" s="5"/>
      <c r="P805" s="5"/>
      <c r="Q805" s="5"/>
      <c r="R805" s="5"/>
      <c r="S805" s="5"/>
      <c r="T805" s="5"/>
      <c r="U805" s="5"/>
      <c r="V805" s="7"/>
      <c r="W805" s="7"/>
      <c r="X805" s="164" t="e">
        <f t="shared" si="149"/>
        <v>#N/A</v>
      </c>
      <c r="Y805" s="164" t="e">
        <f t="shared" si="150"/>
        <v>#N/A</v>
      </c>
      <c r="AB805" s="156">
        <f t="shared" si="152"/>
        <v>0</v>
      </c>
      <c r="AC805" s="121" t="str">
        <f t="shared" si="151"/>
        <v/>
      </c>
      <c r="AE805" s="121" t="str">
        <f t="shared" si="153"/>
        <v/>
      </c>
      <c r="AF805" s="111" t="str">
        <f t="shared" si="154"/>
        <v/>
      </c>
    </row>
    <row r="806" spans="1:32">
      <c r="A806" s="159"/>
      <c r="B806" s="160"/>
      <c r="C806" s="5"/>
      <c r="D806" s="5"/>
      <c r="E806" s="5"/>
      <c r="F806" s="5"/>
      <c r="G806" s="5"/>
      <c r="H806" s="5"/>
      <c r="I806" s="5"/>
      <c r="J806" s="5"/>
      <c r="K806" s="5"/>
      <c r="L806" s="5"/>
      <c r="M806" s="5"/>
      <c r="N806" s="5"/>
      <c r="O806" s="5"/>
      <c r="P806" s="5"/>
      <c r="Q806" s="5"/>
      <c r="R806" s="5"/>
      <c r="S806" s="5"/>
      <c r="T806" s="5"/>
      <c r="U806" s="5"/>
      <c r="V806" s="7"/>
      <c r="W806" s="7"/>
      <c r="X806" s="164" t="e">
        <f t="shared" si="149"/>
        <v>#N/A</v>
      </c>
      <c r="Y806" s="164" t="e">
        <f t="shared" si="150"/>
        <v>#N/A</v>
      </c>
      <c r="AB806" s="156">
        <f t="shared" si="152"/>
        <v>0</v>
      </c>
      <c r="AC806" s="121" t="str">
        <f t="shared" si="151"/>
        <v/>
      </c>
      <c r="AE806" s="121" t="str">
        <f t="shared" si="153"/>
        <v/>
      </c>
      <c r="AF806" s="111" t="str">
        <f t="shared" si="154"/>
        <v/>
      </c>
    </row>
    <row r="807" spans="1:32">
      <c r="A807" s="159"/>
      <c r="B807" s="160"/>
      <c r="C807" s="5"/>
      <c r="D807" s="5"/>
      <c r="E807" s="5"/>
      <c r="F807" s="5"/>
      <c r="G807" s="5"/>
      <c r="H807" s="5"/>
      <c r="I807" s="5"/>
      <c r="J807" s="5"/>
      <c r="K807" s="5"/>
      <c r="L807" s="5"/>
      <c r="M807" s="5"/>
      <c r="N807" s="5"/>
      <c r="O807" s="5"/>
      <c r="P807" s="5"/>
      <c r="Q807" s="5"/>
      <c r="R807" s="5"/>
      <c r="S807" s="5"/>
      <c r="T807" s="5"/>
      <c r="U807" s="5"/>
      <c r="V807" s="7"/>
      <c r="W807" s="7"/>
      <c r="X807" s="164" t="e">
        <f t="shared" si="149"/>
        <v>#N/A</v>
      </c>
      <c r="Y807" s="164" t="e">
        <f t="shared" si="150"/>
        <v>#N/A</v>
      </c>
      <c r="AB807" s="156">
        <f t="shared" si="152"/>
        <v>0</v>
      </c>
      <c r="AC807" s="121" t="str">
        <f t="shared" si="151"/>
        <v/>
      </c>
      <c r="AE807" s="121" t="str">
        <f t="shared" si="153"/>
        <v/>
      </c>
      <c r="AF807" s="111" t="str">
        <f t="shared" si="154"/>
        <v/>
      </c>
    </row>
    <row r="808" spans="1:32">
      <c r="A808" s="159"/>
      <c r="B808" s="160"/>
      <c r="C808" s="5"/>
      <c r="D808" s="5"/>
      <c r="E808" s="5"/>
      <c r="F808" s="5"/>
      <c r="G808" s="5"/>
      <c r="H808" s="5"/>
      <c r="I808" s="5"/>
      <c r="J808" s="5"/>
      <c r="K808" s="5"/>
      <c r="L808" s="5"/>
      <c r="M808" s="5"/>
      <c r="N808" s="5"/>
      <c r="O808" s="5"/>
      <c r="P808" s="5"/>
      <c r="Q808" s="5"/>
      <c r="R808" s="5"/>
      <c r="S808" s="5"/>
      <c r="T808" s="5"/>
      <c r="U808" s="5"/>
      <c r="V808" s="7"/>
      <c r="W808" s="7"/>
      <c r="X808" s="164" t="e">
        <f t="shared" si="149"/>
        <v>#N/A</v>
      </c>
      <c r="Y808" s="164" t="e">
        <f t="shared" si="150"/>
        <v>#N/A</v>
      </c>
      <c r="AB808" s="156">
        <f t="shared" si="152"/>
        <v>0</v>
      </c>
      <c r="AC808" s="121" t="str">
        <f t="shared" si="151"/>
        <v/>
      </c>
      <c r="AE808" s="121" t="str">
        <f t="shared" si="153"/>
        <v/>
      </c>
      <c r="AF808" s="111" t="str">
        <f t="shared" si="154"/>
        <v/>
      </c>
    </row>
    <row r="809" spans="1:32">
      <c r="A809" s="159"/>
      <c r="B809" s="160"/>
      <c r="C809" s="5"/>
      <c r="D809" s="5"/>
      <c r="E809" s="5"/>
      <c r="F809" s="5"/>
      <c r="G809" s="5"/>
      <c r="H809" s="5"/>
      <c r="I809" s="5"/>
      <c r="J809" s="5"/>
      <c r="K809" s="5"/>
      <c r="L809" s="5"/>
      <c r="M809" s="5"/>
      <c r="N809" s="5"/>
      <c r="O809" s="5"/>
      <c r="P809" s="5"/>
      <c r="Q809" s="5"/>
      <c r="R809" s="5"/>
      <c r="S809" s="5"/>
      <c r="T809" s="5"/>
      <c r="U809" s="5"/>
      <c r="V809" s="7"/>
      <c r="W809" s="7"/>
      <c r="X809" s="164" t="e">
        <f t="shared" si="149"/>
        <v>#N/A</v>
      </c>
      <c r="Y809" s="164" t="e">
        <f t="shared" si="150"/>
        <v>#N/A</v>
      </c>
      <c r="AB809" s="156">
        <f t="shared" si="152"/>
        <v>0</v>
      </c>
      <c r="AC809" s="121" t="str">
        <f t="shared" si="151"/>
        <v/>
      </c>
      <c r="AE809" s="121" t="str">
        <f t="shared" si="153"/>
        <v/>
      </c>
      <c r="AF809" s="111" t="str">
        <f t="shared" si="154"/>
        <v/>
      </c>
    </row>
    <row r="810" spans="1:32">
      <c r="A810" s="159"/>
      <c r="B810" s="160"/>
      <c r="C810" s="5"/>
      <c r="D810" s="5"/>
      <c r="E810" s="5"/>
      <c r="F810" s="5"/>
      <c r="G810" s="5"/>
      <c r="H810" s="5"/>
      <c r="I810" s="5"/>
      <c r="J810" s="5"/>
      <c r="K810" s="5"/>
      <c r="L810" s="5"/>
      <c r="M810" s="5"/>
      <c r="N810" s="5"/>
      <c r="O810" s="5"/>
      <c r="P810" s="5"/>
      <c r="Q810" s="5"/>
      <c r="R810" s="5"/>
      <c r="S810" s="5"/>
      <c r="T810" s="5"/>
      <c r="U810" s="5"/>
      <c r="V810" s="7"/>
      <c r="W810" s="7"/>
      <c r="X810" s="164" t="e">
        <f t="shared" si="149"/>
        <v>#N/A</v>
      </c>
      <c r="Y810" s="164" t="e">
        <f t="shared" si="150"/>
        <v>#N/A</v>
      </c>
      <c r="AB810" s="156">
        <f t="shared" si="152"/>
        <v>0</v>
      </c>
      <c r="AC810" s="121" t="str">
        <f t="shared" si="151"/>
        <v/>
      </c>
      <c r="AE810" s="121" t="str">
        <f t="shared" si="153"/>
        <v/>
      </c>
      <c r="AF810" s="111" t="str">
        <f t="shared" si="154"/>
        <v/>
      </c>
    </row>
    <row r="811" spans="1:32">
      <c r="A811" s="159"/>
      <c r="B811" s="160"/>
      <c r="C811" s="5"/>
      <c r="D811" s="5"/>
      <c r="E811" s="5"/>
      <c r="F811" s="5"/>
      <c r="G811" s="5"/>
      <c r="H811" s="5"/>
      <c r="I811" s="5"/>
      <c r="J811" s="5"/>
      <c r="K811" s="5"/>
      <c r="L811" s="5"/>
      <c r="M811" s="5"/>
      <c r="N811" s="5"/>
      <c r="O811" s="5"/>
      <c r="P811" s="5"/>
      <c r="Q811" s="5"/>
      <c r="R811" s="5"/>
      <c r="S811" s="5"/>
      <c r="T811" s="5"/>
      <c r="U811" s="5"/>
      <c r="V811" s="7"/>
      <c r="W811" s="7"/>
      <c r="X811" s="164" t="e">
        <f t="shared" si="149"/>
        <v>#N/A</v>
      </c>
      <c r="Y811" s="164" t="e">
        <f t="shared" si="150"/>
        <v>#N/A</v>
      </c>
      <c r="AB811" s="156">
        <f t="shared" si="152"/>
        <v>0</v>
      </c>
      <c r="AC811" s="121" t="str">
        <f t="shared" si="151"/>
        <v/>
      </c>
      <c r="AE811" s="121" t="str">
        <f t="shared" si="153"/>
        <v/>
      </c>
      <c r="AF811" s="111" t="str">
        <f t="shared" si="154"/>
        <v/>
      </c>
    </row>
    <row r="812" spans="1:32">
      <c r="A812" s="159"/>
      <c r="B812" s="160"/>
      <c r="C812" s="5"/>
      <c r="D812" s="5"/>
      <c r="E812" s="5"/>
      <c r="F812" s="5"/>
      <c r="G812" s="5"/>
      <c r="H812" s="5"/>
      <c r="I812" s="5"/>
      <c r="J812" s="5"/>
      <c r="K812" s="5"/>
      <c r="L812" s="5"/>
      <c r="M812" s="5"/>
      <c r="N812" s="5"/>
      <c r="O812" s="5"/>
      <c r="P812" s="5"/>
      <c r="Q812" s="5"/>
      <c r="R812" s="5"/>
      <c r="S812" s="5"/>
      <c r="T812" s="5"/>
      <c r="U812" s="5"/>
      <c r="V812" s="7"/>
      <c r="W812" s="7"/>
      <c r="X812" s="164" t="e">
        <f t="shared" si="149"/>
        <v>#N/A</v>
      </c>
      <c r="Y812" s="164" t="e">
        <f t="shared" si="150"/>
        <v>#N/A</v>
      </c>
      <c r="AB812" s="156">
        <f t="shared" si="152"/>
        <v>0</v>
      </c>
      <c r="AC812" s="121" t="str">
        <f t="shared" si="151"/>
        <v/>
      </c>
      <c r="AE812" s="121" t="str">
        <f t="shared" si="153"/>
        <v/>
      </c>
      <c r="AF812" s="111" t="str">
        <f t="shared" si="154"/>
        <v/>
      </c>
    </row>
    <row r="813" spans="1:32">
      <c r="A813" s="159"/>
      <c r="B813" s="160"/>
      <c r="C813" s="5"/>
      <c r="D813" s="5"/>
      <c r="E813" s="5"/>
      <c r="F813" s="5"/>
      <c r="G813" s="5"/>
      <c r="H813" s="5"/>
      <c r="I813" s="5"/>
      <c r="J813" s="5"/>
      <c r="K813" s="5"/>
      <c r="L813" s="5"/>
      <c r="M813" s="5"/>
      <c r="N813" s="5"/>
      <c r="O813" s="5"/>
      <c r="P813" s="5"/>
      <c r="Q813" s="5"/>
      <c r="R813" s="5"/>
      <c r="S813" s="5"/>
      <c r="T813" s="5"/>
      <c r="U813" s="5"/>
      <c r="V813" s="7"/>
      <c r="W813" s="7"/>
      <c r="X813" s="164" t="e">
        <f t="shared" si="149"/>
        <v>#N/A</v>
      </c>
      <c r="Y813" s="164" t="e">
        <f t="shared" si="150"/>
        <v>#N/A</v>
      </c>
      <c r="AB813" s="156">
        <f t="shared" si="152"/>
        <v>0</v>
      </c>
      <c r="AC813" s="121" t="str">
        <f t="shared" si="151"/>
        <v/>
      </c>
      <c r="AE813" s="121" t="str">
        <f t="shared" si="153"/>
        <v/>
      </c>
      <c r="AF813" s="111" t="str">
        <f t="shared" si="154"/>
        <v/>
      </c>
    </row>
    <row r="814" spans="1:32">
      <c r="A814" s="159"/>
      <c r="B814" s="160"/>
      <c r="C814" s="5"/>
      <c r="D814" s="5"/>
      <c r="E814" s="5"/>
      <c r="F814" s="5"/>
      <c r="G814" s="5"/>
      <c r="H814" s="5"/>
      <c r="I814" s="5"/>
      <c r="J814" s="5"/>
      <c r="K814" s="5"/>
      <c r="L814" s="5"/>
      <c r="M814" s="5"/>
      <c r="N814" s="5"/>
      <c r="O814" s="5"/>
      <c r="P814" s="5"/>
      <c r="Q814" s="5"/>
      <c r="R814" s="5"/>
      <c r="S814" s="5"/>
      <c r="T814" s="5"/>
      <c r="U814" s="5"/>
      <c r="V814" s="7"/>
      <c r="W814" s="7"/>
      <c r="X814" s="164" t="e">
        <f t="shared" si="149"/>
        <v>#N/A</v>
      </c>
      <c r="Y814" s="164" t="e">
        <f t="shared" si="150"/>
        <v>#N/A</v>
      </c>
      <c r="AB814" s="156">
        <f t="shared" si="152"/>
        <v>0</v>
      </c>
      <c r="AC814" s="121" t="str">
        <f t="shared" si="151"/>
        <v/>
      </c>
      <c r="AE814" s="121" t="str">
        <f t="shared" si="153"/>
        <v/>
      </c>
      <c r="AF814" s="111" t="str">
        <f t="shared" si="154"/>
        <v/>
      </c>
    </row>
    <row r="815" spans="1:32">
      <c r="A815" s="159"/>
      <c r="B815" s="160"/>
      <c r="C815" s="5"/>
      <c r="D815" s="5"/>
      <c r="E815" s="5"/>
      <c r="F815" s="5"/>
      <c r="G815" s="5"/>
      <c r="H815" s="5"/>
      <c r="I815" s="5"/>
      <c r="J815" s="5"/>
      <c r="K815" s="5"/>
      <c r="L815" s="5"/>
      <c r="M815" s="5"/>
      <c r="N815" s="5"/>
      <c r="O815" s="5"/>
      <c r="P815" s="5"/>
      <c r="Q815" s="5"/>
      <c r="R815" s="5"/>
      <c r="S815" s="5"/>
      <c r="T815" s="5"/>
      <c r="U815" s="5"/>
      <c r="V815" s="7"/>
      <c r="W815" s="7"/>
      <c r="X815" s="164" t="e">
        <f t="shared" si="149"/>
        <v>#N/A</v>
      </c>
      <c r="Y815" s="164" t="e">
        <f t="shared" si="150"/>
        <v>#N/A</v>
      </c>
      <c r="AB815" s="156">
        <f t="shared" si="152"/>
        <v>0</v>
      </c>
      <c r="AC815" s="121" t="str">
        <f t="shared" si="151"/>
        <v/>
      </c>
      <c r="AE815" s="121" t="str">
        <f t="shared" si="153"/>
        <v/>
      </c>
      <c r="AF815" s="111" t="str">
        <f t="shared" si="154"/>
        <v/>
      </c>
    </row>
    <row r="816" spans="1:32">
      <c r="A816" s="159"/>
      <c r="B816" s="160"/>
      <c r="C816" s="5"/>
      <c r="D816" s="5"/>
      <c r="E816" s="5"/>
      <c r="F816" s="5"/>
      <c r="G816" s="5"/>
      <c r="H816" s="5"/>
      <c r="I816" s="5"/>
      <c r="J816" s="5"/>
      <c r="K816" s="5"/>
      <c r="L816" s="5"/>
      <c r="M816" s="5"/>
      <c r="N816" s="5"/>
      <c r="O816" s="5"/>
      <c r="P816" s="5"/>
      <c r="Q816" s="5"/>
      <c r="R816" s="5"/>
      <c r="S816" s="5"/>
      <c r="T816" s="5"/>
      <c r="U816" s="5"/>
      <c r="V816" s="7"/>
      <c r="W816" s="7"/>
      <c r="X816" s="164" t="e">
        <f t="shared" si="149"/>
        <v>#N/A</v>
      </c>
      <c r="Y816" s="164" t="e">
        <f t="shared" si="150"/>
        <v>#N/A</v>
      </c>
      <c r="AB816" s="156">
        <f t="shared" si="152"/>
        <v>0</v>
      </c>
      <c r="AC816" s="121" t="str">
        <f t="shared" si="151"/>
        <v/>
      </c>
      <c r="AE816" s="121" t="str">
        <f t="shared" si="153"/>
        <v/>
      </c>
      <c r="AF816" s="111" t="str">
        <f t="shared" si="154"/>
        <v/>
      </c>
    </row>
    <row r="817" spans="1:32">
      <c r="A817" s="159"/>
      <c r="B817" s="160"/>
      <c r="C817" s="5"/>
      <c r="D817" s="5"/>
      <c r="E817" s="5"/>
      <c r="F817" s="5"/>
      <c r="G817" s="5"/>
      <c r="H817" s="5"/>
      <c r="I817" s="5"/>
      <c r="J817" s="5"/>
      <c r="K817" s="5"/>
      <c r="L817" s="5"/>
      <c r="M817" s="5"/>
      <c r="N817" s="5"/>
      <c r="O817" s="5"/>
      <c r="P817" s="5"/>
      <c r="Q817" s="5"/>
      <c r="R817" s="5"/>
      <c r="S817" s="5"/>
      <c r="T817" s="5"/>
      <c r="U817" s="5"/>
      <c r="V817" s="7"/>
      <c r="W817" s="7"/>
      <c r="X817" s="164" t="e">
        <f t="shared" si="149"/>
        <v>#N/A</v>
      </c>
      <c r="Y817" s="164" t="e">
        <f t="shared" si="150"/>
        <v>#N/A</v>
      </c>
      <c r="AB817" s="156">
        <f t="shared" si="152"/>
        <v>0</v>
      </c>
      <c r="AC817" s="121" t="str">
        <f t="shared" si="151"/>
        <v/>
      </c>
      <c r="AE817" s="121" t="str">
        <f t="shared" si="153"/>
        <v/>
      </c>
      <c r="AF817" s="111" t="str">
        <f t="shared" si="154"/>
        <v/>
      </c>
    </row>
    <row r="818" spans="1:32">
      <c r="A818" s="159"/>
      <c r="B818" s="160"/>
      <c r="C818" s="5"/>
      <c r="D818" s="5"/>
      <c r="E818" s="5"/>
      <c r="F818" s="5"/>
      <c r="G818" s="5"/>
      <c r="H818" s="5"/>
      <c r="I818" s="5"/>
      <c r="J818" s="5"/>
      <c r="K818" s="5"/>
      <c r="L818" s="5"/>
      <c r="M818" s="5"/>
      <c r="N818" s="5"/>
      <c r="O818" s="5"/>
      <c r="P818" s="5"/>
      <c r="Q818" s="5"/>
      <c r="R818" s="5"/>
      <c r="S818" s="5"/>
      <c r="T818" s="5"/>
      <c r="U818" s="5"/>
      <c r="V818" s="7"/>
      <c r="W818" s="7"/>
      <c r="X818" s="164" t="e">
        <f t="shared" si="149"/>
        <v>#N/A</v>
      </c>
      <c r="Y818" s="164" t="e">
        <f t="shared" si="150"/>
        <v>#N/A</v>
      </c>
      <c r="AB818" s="156">
        <f t="shared" si="152"/>
        <v>0</v>
      </c>
      <c r="AC818" s="121" t="str">
        <f t="shared" si="151"/>
        <v/>
      </c>
      <c r="AE818" s="121" t="str">
        <f t="shared" si="153"/>
        <v/>
      </c>
      <c r="AF818" s="111" t="str">
        <f t="shared" si="154"/>
        <v/>
      </c>
    </row>
    <row r="819" spans="1:32">
      <c r="A819" s="159"/>
      <c r="B819" s="160"/>
      <c r="C819" s="5"/>
      <c r="D819" s="5"/>
      <c r="E819" s="5"/>
      <c r="F819" s="5"/>
      <c r="G819" s="5"/>
      <c r="H819" s="5"/>
      <c r="I819" s="5"/>
      <c r="J819" s="5"/>
      <c r="K819" s="5"/>
      <c r="L819" s="5"/>
      <c r="M819" s="5"/>
      <c r="N819" s="5"/>
      <c r="O819" s="5"/>
      <c r="P819" s="5"/>
      <c r="Q819" s="5"/>
      <c r="R819" s="5"/>
      <c r="S819" s="5"/>
      <c r="T819" s="5"/>
      <c r="U819" s="5"/>
      <c r="V819" s="7"/>
      <c r="W819" s="7"/>
      <c r="X819" s="164" t="e">
        <f t="shared" si="149"/>
        <v>#N/A</v>
      </c>
      <c r="Y819" s="164" t="e">
        <f t="shared" si="150"/>
        <v>#N/A</v>
      </c>
      <c r="AB819" s="156">
        <f t="shared" si="152"/>
        <v>0</v>
      </c>
      <c r="AC819" s="121" t="str">
        <f t="shared" si="151"/>
        <v/>
      </c>
      <c r="AE819" s="121" t="str">
        <f t="shared" si="153"/>
        <v/>
      </c>
      <c r="AF819" s="111" t="str">
        <f t="shared" si="154"/>
        <v/>
      </c>
    </row>
    <row r="820" spans="1:32">
      <c r="A820" s="159"/>
      <c r="B820" s="160"/>
      <c r="C820" s="5"/>
      <c r="D820" s="5"/>
      <c r="E820" s="5"/>
      <c r="F820" s="5"/>
      <c r="G820" s="5"/>
      <c r="H820" s="5"/>
      <c r="I820" s="5"/>
      <c r="J820" s="5"/>
      <c r="K820" s="5"/>
      <c r="L820" s="5"/>
      <c r="M820" s="5"/>
      <c r="N820" s="5"/>
      <c r="O820" s="5"/>
      <c r="P820" s="5"/>
      <c r="Q820" s="5"/>
      <c r="R820" s="5"/>
      <c r="S820" s="5"/>
      <c r="T820" s="5"/>
      <c r="U820" s="5"/>
      <c r="V820" s="7"/>
      <c r="W820" s="7"/>
      <c r="X820" s="164" t="e">
        <f t="shared" si="149"/>
        <v>#N/A</v>
      </c>
      <c r="Y820" s="164" t="e">
        <f t="shared" si="150"/>
        <v>#N/A</v>
      </c>
      <c r="AB820" s="156">
        <f t="shared" si="152"/>
        <v>0</v>
      </c>
      <c r="AC820" s="121" t="str">
        <f t="shared" si="151"/>
        <v/>
      </c>
      <c r="AE820" s="121" t="str">
        <f t="shared" si="153"/>
        <v/>
      </c>
      <c r="AF820" s="111" t="str">
        <f t="shared" si="154"/>
        <v/>
      </c>
    </row>
    <row r="821" spans="1:32">
      <c r="A821" s="159"/>
      <c r="B821" s="160"/>
      <c r="C821" s="5"/>
      <c r="D821" s="5"/>
      <c r="E821" s="5"/>
      <c r="F821" s="5"/>
      <c r="G821" s="5"/>
      <c r="H821" s="5"/>
      <c r="I821" s="5"/>
      <c r="J821" s="5"/>
      <c r="K821" s="5"/>
      <c r="L821" s="5"/>
      <c r="M821" s="5"/>
      <c r="N821" s="5"/>
      <c r="O821" s="5"/>
      <c r="P821" s="5"/>
      <c r="Q821" s="5"/>
      <c r="R821" s="5"/>
      <c r="S821" s="5"/>
      <c r="T821" s="5"/>
      <c r="U821" s="5"/>
      <c r="V821" s="7"/>
      <c r="W821" s="7"/>
      <c r="X821" s="164" t="e">
        <f t="shared" si="149"/>
        <v>#N/A</v>
      </c>
      <c r="Y821" s="164" t="e">
        <f t="shared" si="150"/>
        <v>#N/A</v>
      </c>
      <c r="AB821" s="156">
        <f t="shared" si="152"/>
        <v>0</v>
      </c>
      <c r="AC821" s="121" t="str">
        <f t="shared" si="151"/>
        <v/>
      </c>
      <c r="AE821" s="121" t="str">
        <f t="shared" si="153"/>
        <v/>
      </c>
      <c r="AF821" s="111" t="str">
        <f t="shared" si="154"/>
        <v/>
      </c>
    </row>
    <row r="822" spans="1:32">
      <c r="A822" s="159"/>
      <c r="B822" s="160"/>
      <c r="C822" s="5"/>
      <c r="D822" s="5"/>
      <c r="E822" s="5"/>
      <c r="F822" s="5"/>
      <c r="G822" s="5"/>
      <c r="H822" s="5"/>
      <c r="I822" s="5"/>
      <c r="J822" s="5"/>
      <c r="K822" s="5"/>
      <c r="L822" s="5"/>
      <c r="M822" s="5"/>
      <c r="N822" s="5"/>
      <c r="O822" s="5"/>
      <c r="P822" s="5"/>
      <c r="Q822" s="5"/>
      <c r="R822" s="5"/>
      <c r="S822" s="5"/>
      <c r="T822" s="5"/>
      <c r="U822" s="5"/>
      <c r="V822" s="7"/>
      <c r="W822" s="7"/>
      <c r="X822" s="164" t="e">
        <f t="shared" si="149"/>
        <v>#N/A</v>
      </c>
      <c r="Y822" s="164" t="e">
        <f t="shared" si="150"/>
        <v>#N/A</v>
      </c>
      <c r="AB822" s="156">
        <f t="shared" si="152"/>
        <v>0</v>
      </c>
      <c r="AC822" s="121" t="str">
        <f t="shared" si="151"/>
        <v/>
      </c>
      <c r="AE822" s="121" t="str">
        <f t="shared" si="153"/>
        <v/>
      </c>
      <c r="AF822" s="111" t="str">
        <f t="shared" si="154"/>
        <v/>
      </c>
    </row>
    <row r="823" spans="1:32">
      <c r="A823" s="159"/>
      <c r="B823" s="160"/>
      <c r="C823" s="5"/>
      <c r="D823" s="5"/>
      <c r="E823" s="5"/>
      <c r="F823" s="5"/>
      <c r="G823" s="5"/>
      <c r="H823" s="5"/>
      <c r="I823" s="5"/>
      <c r="J823" s="5"/>
      <c r="K823" s="5"/>
      <c r="L823" s="5"/>
      <c r="M823" s="5"/>
      <c r="N823" s="5"/>
      <c r="O823" s="5"/>
      <c r="P823" s="5"/>
      <c r="Q823" s="5"/>
      <c r="R823" s="5"/>
      <c r="S823" s="5"/>
      <c r="T823" s="5"/>
      <c r="U823" s="5"/>
      <c r="V823" s="7"/>
      <c r="W823" s="7"/>
      <c r="X823" s="164" t="e">
        <f t="shared" si="149"/>
        <v>#N/A</v>
      </c>
      <c r="Y823" s="164" t="e">
        <f t="shared" si="150"/>
        <v>#N/A</v>
      </c>
      <c r="AB823" s="156">
        <f t="shared" si="152"/>
        <v>0</v>
      </c>
      <c r="AC823" s="121" t="str">
        <f t="shared" si="151"/>
        <v/>
      </c>
      <c r="AE823" s="121" t="str">
        <f t="shared" si="153"/>
        <v/>
      </c>
      <c r="AF823" s="111" t="str">
        <f t="shared" si="154"/>
        <v/>
      </c>
    </row>
    <row r="824" spans="1:32">
      <c r="A824" s="159"/>
      <c r="B824" s="160"/>
      <c r="C824" s="5"/>
      <c r="D824" s="5"/>
      <c r="E824" s="5"/>
      <c r="F824" s="5"/>
      <c r="G824" s="5"/>
      <c r="H824" s="5"/>
      <c r="I824" s="5"/>
      <c r="J824" s="5"/>
      <c r="K824" s="5"/>
      <c r="L824" s="5"/>
      <c r="M824" s="5"/>
      <c r="N824" s="5"/>
      <c r="O824" s="5"/>
      <c r="P824" s="5"/>
      <c r="Q824" s="5"/>
      <c r="R824" s="5"/>
      <c r="S824" s="5"/>
      <c r="T824" s="5"/>
      <c r="U824" s="5"/>
      <c r="V824" s="7"/>
      <c r="W824" s="7"/>
      <c r="X824" s="164" t="e">
        <f t="shared" si="149"/>
        <v>#N/A</v>
      </c>
      <c r="Y824" s="164" t="e">
        <f t="shared" si="150"/>
        <v>#N/A</v>
      </c>
      <c r="AB824" s="156">
        <f t="shared" si="152"/>
        <v>0</v>
      </c>
      <c r="AC824" s="121" t="str">
        <f t="shared" si="151"/>
        <v/>
      </c>
      <c r="AE824" s="121" t="str">
        <f t="shared" si="153"/>
        <v/>
      </c>
      <c r="AF824" s="111" t="str">
        <f t="shared" si="154"/>
        <v/>
      </c>
    </row>
    <row r="825" spans="1:32">
      <c r="A825" s="159"/>
      <c r="B825" s="160"/>
      <c r="C825" s="5"/>
      <c r="D825" s="5"/>
      <c r="E825" s="5"/>
      <c r="F825" s="5"/>
      <c r="G825" s="5"/>
      <c r="H825" s="5"/>
      <c r="I825" s="5"/>
      <c r="J825" s="5"/>
      <c r="K825" s="5"/>
      <c r="L825" s="5"/>
      <c r="M825" s="5"/>
      <c r="N825" s="5"/>
      <c r="O825" s="5"/>
      <c r="P825" s="5"/>
      <c r="Q825" s="5"/>
      <c r="R825" s="5"/>
      <c r="S825" s="5"/>
      <c r="T825" s="5"/>
      <c r="U825" s="5"/>
      <c r="V825" s="7"/>
      <c r="W825" s="7"/>
      <c r="X825" s="164" t="e">
        <f t="shared" si="149"/>
        <v>#N/A</v>
      </c>
      <c r="Y825" s="164" t="e">
        <f t="shared" si="150"/>
        <v>#N/A</v>
      </c>
      <c r="AB825" s="156">
        <f t="shared" si="152"/>
        <v>0</v>
      </c>
      <c r="AC825" s="121" t="str">
        <f t="shared" si="151"/>
        <v/>
      </c>
      <c r="AE825" s="121" t="str">
        <f t="shared" si="153"/>
        <v/>
      </c>
      <c r="AF825" s="111" t="str">
        <f t="shared" si="154"/>
        <v/>
      </c>
    </row>
    <row r="826" spans="1:32">
      <c r="A826" s="159"/>
      <c r="B826" s="160"/>
      <c r="C826" s="5"/>
      <c r="D826" s="5"/>
      <c r="E826" s="5"/>
      <c r="F826" s="5"/>
      <c r="G826" s="5"/>
      <c r="H826" s="5"/>
      <c r="I826" s="5"/>
      <c r="J826" s="5"/>
      <c r="K826" s="5"/>
      <c r="L826" s="5"/>
      <c r="M826" s="5"/>
      <c r="N826" s="5"/>
      <c r="O826" s="5"/>
      <c r="P826" s="5"/>
      <c r="Q826" s="5"/>
      <c r="R826" s="5"/>
      <c r="S826" s="5"/>
      <c r="T826" s="5"/>
      <c r="U826" s="5"/>
      <c r="V826" s="7"/>
      <c r="W826" s="7"/>
      <c r="X826" s="164" t="e">
        <f t="shared" si="149"/>
        <v>#N/A</v>
      </c>
      <c r="Y826" s="164" t="e">
        <f t="shared" si="150"/>
        <v>#N/A</v>
      </c>
      <c r="AB826" s="156">
        <f t="shared" si="152"/>
        <v>0</v>
      </c>
      <c r="AC826" s="121" t="str">
        <f t="shared" si="151"/>
        <v/>
      </c>
      <c r="AE826" s="121" t="str">
        <f t="shared" si="153"/>
        <v/>
      </c>
      <c r="AF826" s="111" t="str">
        <f t="shared" si="154"/>
        <v/>
      </c>
    </row>
    <row r="827" spans="1:32">
      <c r="A827" s="159"/>
      <c r="B827" s="160"/>
      <c r="C827" s="5"/>
      <c r="D827" s="5"/>
      <c r="E827" s="5"/>
      <c r="F827" s="5"/>
      <c r="G827" s="5"/>
      <c r="H827" s="5"/>
      <c r="I827" s="5"/>
      <c r="J827" s="5"/>
      <c r="K827" s="5"/>
      <c r="L827" s="5"/>
      <c r="M827" s="5"/>
      <c r="N827" s="5"/>
      <c r="O827" s="5"/>
      <c r="P827" s="5"/>
      <c r="Q827" s="5"/>
      <c r="R827" s="5"/>
      <c r="S827" s="5"/>
      <c r="T827" s="5"/>
      <c r="U827" s="5"/>
      <c r="V827" s="7"/>
      <c r="W827" s="7"/>
      <c r="X827" s="164" t="e">
        <f t="shared" si="149"/>
        <v>#N/A</v>
      </c>
      <c r="Y827" s="164" t="e">
        <f t="shared" si="150"/>
        <v>#N/A</v>
      </c>
      <c r="AB827" s="156">
        <f t="shared" si="152"/>
        <v>0</v>
      </c>
      <c r="AC827" s="121" t="str">
        <f t="shared" si="151"/>
        <v/>
      </c>
      <c r="AE827" s="121" t="str">
        <f t="shared" si="153"/>
        <v/>
      </c>
      <c r="AF827" s="111" t="str">
        <f t="shared" si="154"/>
        <v/>
      </c>
    </row>
    <row r="828" spans="1:32">
      <c r="A828" s="159"/>
      <c r="B828" s="160"/>
      <c r="C828" s="5"/>
      <c r="D828" s="5"/>
      <c r="E828" s="5"/>
      <c r="F828" s="5"/>
      <c r="G828" s="5"/>
      <c r="H828" s="5"/>
      <c r="I828" s="5"/>
      <c r="J828" s="5"/>
      <c r="K828" s="5"/>
      <c r="L828" s="5"/>
      <c r="M828" s="5"/>
      <c r="N828" s="5"/>
      <c r="O828" s="5"/>
      <c r="P828" s="5"/>
      <c r="Q828" s="5"/>
      <c r="R828" s="5"/>
      <c r="S828" s="5"/>
      <c r="T828" s="5"/>
      <c r="U828" s="5"/>
      <c r="V828" s="7"/>
      <c r="W828" s="7"/>
      <c r="X828" s="164" t="e">
        <f t="shared" si="149"/>
        <v>#N/A</v>
      </c>
      <c r="Y828" s="164" t="e">
        <f t="shared" si="150"/>
        <v>#N/A</v>
      </c>
      <c r="AB828" s="156">
        <f t="shared" si="152"/>
        <v>0</v>
      </c>
      <c r="AC828" s="121" t="str">
        <f t="shared" si="151"/>
        <v/>
      </c>
      <c r="AE828" s="121" t="str">
        <f t="shared" si="153"/>
        <v/>
      </c>
      <c r="AF828" s="111" t="str">
        <f t="shared" si="154"/>
        <v/>
      </c>
    </row>
    <row r="829" spans="1:32">
      <c r="A829" s="159"/>
      <c r="B829" s="160"/>
      <c r="C829" s="5"/>
      <c r="D829" s="5"/>
      <c r="E829" s="5"/>
      <c r="F829" s="5"/>
      <c r="G829" s="5"/>
      <c r="H829" s="5"/>
      <c r="I829" s="5"/>
      <c r="J829" s="5"/>
      <c r="K829" s="5"/>
      <c r="L829" s="5"/>
      <c r="M829" s="5"/>
      <c r="N829" s="5"/>
      <c r="O829" s="5"/>
      <c r="P829" s="5"/>
      <c r="Q829" s="5"/>
      <c r="R829" s="5"/>
      <c r="S829" s="5"/>
      <c r="T829" s="5"/>
      <c r="U829" s="5"/>
      <c r="V829" s="7"/>
      <c r="W829" s="7"/>
      <c r="X829" s="164" t="e">
        <f t="shared" si="149"/>
        <v>#N/A</v>
      </c>
      <c r="Y829" s="164" t="e">
        <f t="shared" si="150"/>
        <v>#N/A</v>
      </c>
      <c r="AB829" s="156">
        <f t="shared" si="152"/>
        <v>0</v>
      </c>
      <c r="AC829" s="121" t="str">
        <f t="shared" si="151"/>
        <v/>
      </c>
      <c r="AE829" s="121" t="str">
        <f t="shared" si="153"/>
        <v/>
      </c>
      <c r="AF829" s="111" t="str">
        <f t="shared" si="154"/>
        <v/>
      </c>
    </row>
    <row r="830" spans="1:32">
      <c r="A830" s="159"/>
      <c r="B830" s="160"/>
      <c r="C830" s="5"/>
      <c r="D830" s="5"/>
      <c r="E830" s="5"/>
      <c r="F830" s="5"/>
      <c r="G830" s="5"/>
      <c r="H830" s="5"/>
      <c r="I830" s="5"/>
      <c r="J830" s="5"/>
      <c r="K830" s="5"/>
      <c r="L830" s="5"/>
      <c r="M830" s="5"/>
      <c r="N830" s="5"/>
      <c r="O830" s="5"/>
      <c r="P830" s="5"/>
      <c r="Q830" s="5"/>
      <c r="R830" s="5"/>
      <c r="S830" s="5"/>
      <c r="T830" s="5"/>
      <c r="U830" s="5"/>
      <c r="V830" s="7"/>
      <c r="W830" s="7"/>
      <c r="X830" s="164" t="e">
        <f t="shared" si="149"/>
        <v>#N/A</v>
      </c>
      <c r="Y830" s="164" t="e">
        <f t="shared" si="150"/>
        <v>#N/A</v>
      </c>
      <c r="AB830" s="156">
        <f t="shared" si="152"/>
        <v>0</v>
      </c>
      <c r="AC830" s="121" t="str">
        <f t="shared" si="151"/>
        <v/>
      </c>
      <c r="AE830" s="121" t="str">
        <f t="shared" si="153"/>
        <v/>
      </c>
      <c r="AF830" s="111" t="str">
        <f t="shared" si="154"/>
        <v/>
      </c>
    </row>
    <row r="831" spans="1:32">
      <c r="A831" s="159"/>
      <c r="B831" s="160"/>
      <c r="C831" s="5"/>
      <c r="D831" s="5"/>
      <c r="E831" s="5"/>
      <c r="F831" s="5"/>
      <c r="G831" s="5"/>
      <c r="H831" s="5"/>
      <c r="I831" s="5"/>
      <c r="J831" s="5"/>
      <c r="K831" s="5"/>
      <c r="L831" s="5"/>
      <c r="M831" s="5"/>
      <c r="N831" s="5"/>
      <c r="O831" s="5"/>
      <c r="P831" s="5"/>
      <c r="Q831" s="5"/>
      <c r="R831" s="5"/>
      <c r="S831" s="5"/>
      <c r="T831" s="5"/>
      <c r="U831" s="5"/>
      <c r="V831" s="7"/>
      <c r="W831" s="7"/>
      <c r="X831" s="164" t="e">
        <f t="shared" si="149"/>
        <v>#N/A</v>
      </c>
      <c r="Y831" s="164" t="e">
        <f t="shared" si="150"/>
        <v>#N/A</v>
      </c>
      <c r="AB831" s="156">
        <f t="shared" si="152"/>
        <v>0</v>
      </c>
      <c r="AC831" s="121" t="str">
        <f t="shared" si="151"/>
        <v/>
      </c>
      <c r="AE831" s="121" t="str">
        <f t="shared" si="153"/>
        <v/>
      </c>
      <c r="AF831" s="111" t="str">
        <f t="shared" si="154"/>
        <v/>
      </c>
    </row>
    <row r="832" spans="1:32">
      <c r="A832" s="159"/>
      <c r="B832" s="160"/>
      <c r="C832" s="5"/>
      <c r="D832" s="5"/>
      <c r="E832" s="5"/>
      <c r="F832" s="5"/>
      <c r="G832" s="5"/>
      <c r="H832" s="5"/>
      <c r="I832" s="5"/>
      <c r="J832" s="5"/>
      <c r="K832" s="5"/>
      <c r="L832" s="5"/>
      <c r="M832" s="5"/>
      <c r="N832" s="5"/>
      <c r="O832" s="5"/>
      <c r="P832" s="5"/>
      <c r="Q832" s="5"/>
      <c r="R832" s="5"/>
      <c r="S832" s="5"/>
      <c r="T832" s="5"/>
      <c r="U832" s="5"/>
      <c r="V832" s="7"/>
      <c r="W832" s="7"/>
      <c r="X832" s="164" t="e">
        <f t="shared" si="149"/>
        <v>#N/A</v>
      </c>
      <c r="Y832" s="164" t="e">
        <f t="shared" si="150"/>
        <v>#N/A</v>
      </c>
      <c r="AB832" s="156">
        <f t="shared" si="152"/>
        <v>0</v>
      </c>
      <c r="AC832" s="121" t="str">
        <f t="shared" si="151"/>
        <v/>
      </c>
      <c r="AE832" s="121" t="str">
        <f t="shared" si="153"/>
        <v/>
      </c>
      <c r="AF832" s="111" t="str">
        <f t="shared" si="154"/>
        <v/>
      </c>
    </row>
    <row r="833" spans="1:32">
      <c r="A833" s="159"/>
      <c r="B833" s="160"/>
      <c r="C833" s="5"/>
      <c r="D833" s="5"/>
      <c r="E833" s="5"/>
      <c r="F833" s="5"/>
      <c r="G833" s="5"/>
      <c r="H833" s="5"/>
      <c r="I833" s="5"/>
      <c r="J833" s="5"/>
      <c r="K833" s="5"/>
      <c r="L833" s="5"/>
      <c r="M833" s="5"/>
      <c r="N833" s="5"/>
      <c r="O833" s="5"/>
      <c r="P833" s="5"/>
      <c r="Q833" s="5"/>
      <c r="R833" s="5"/>
      <c r="S833" s="5"/>
      <c r="T833" s="5"/>
      <c r="U833" s="5"/>
      <c r="V833" s="7"/>
      <c r="W833" s="7"/>
      <c r="X833" s="164" t="e">
        <f t="shared" si="149"/>
        <v>#N/A</v>
      </c>
      <c r="Y833" s="164" t="e">
        <f t="shared" si="150"/>
        <v>#N/A</v>
      </c>
      <c r="AB833" s="156">
        <f t="shared" si="152"/>
        <v>0</v>
      </c>
      <c r="AC833" s="121" t="str">
        <f t="shared" si="151"/>
        <v/>
      </c>
      <c r="AE833" s="121" t="str">
        <f t="shared" si="153"/>
        <v/>
      </c>
      <c r="AF833" s="111" t="str">
        <f t="shared" si="154"/>
        <v/>
      </c>
    </row>
    <row r="834" spans="1:32">
      <c r="A834" s="159"/>
      <c r="B834" s="160"/>
      <c r="C834" s="5"/>
      <c r="D834" s="5"/>
      <c r="E834" s="5"/>
      <c r="F834" s="5"/>
      <c r="G834" s="5"/>
      <c r="H834" s="5"/>
      <c r="I834" s="5"/>
      <c r="J834" s="5"/>
      <c r="K834" s="5"/>
      <c r="L834" s="5"/>
      <c r="M834" s="5"/>
      <c r="N834" s="5"/>
      <c r="O834" s="5"/>
      <c r="P834" s="5"/>
      <c r="Q834" s="5"/>
      <c r="R834" s="5"/>
      <c r="S834" s="5"/>
      <c r="T834" s="5"/>
      <c r="U834" s="5"/>
      <c r="V834" s="7"/>
      <c r="W834" s="7"/>
      <c r="X834" s="164" t="e">
        <f t="shared" ref="X834:X897" si="155">IF(AB834=1, A834,NA())</f>
        <v>#N/A</v>
      </c>
      <c r="Y834" s="164" t="e">
        <f t="shared" ref="Y834:Y897" si="156">IF(AB834=1,B834-($H$7+$I$7*X834),NA())</f>
        <v>#N/A</v>
      </c>
      <c r="AB834" s="156">
        <f t="shared" si="152"/>
        <v>0</v>
      </c>
      <c r="AC834" s="121" t="str">
        <f t="shared" ref="AC834:AC897" si="157">IF(ISBLANK(A834), "", Y834^2)</f>
        <v/>
      </c>
      <c r="AE834" s="121" t="str">
        <f t="shared" si="153"/>
        <v/>
      </c>
      <c r="AF834" s="111" t="str">
        <f t="shared" si="154"/>
        <v/>
      </c>
    </row>
    <row r="835" spans="1:32">
      <c r="A835" s="159"/>
      <c r="B835" s="160"/>
      <c r="C835" s="5"/>
      <c r="D835" s="5"/>
      <c r="E835" s="5"/>
      <c r="F835" s="5"/>
      <c r="G835" s="5"/>
      <c r="H835" s="5"/>
      <c r="I835" s="5"/>
      <c r="J835" s="5"/>
      <c r="K835" s="5"/>
      <c r="L835" s="5"/>
      <c r="M835" s="5"/>
      <c r="N835" s="5"/>
      <c r="O835" s="5"/>
      <c r="P835" s="5"/>
      <c r="Q835" s="5"/>
      <c r="R835" s="5"/>
      <c r="S835" s="5"/>
      <c r="T835" s="5"/>
      <c r="U835" s="5"/>
      <c r="V835" s="7"/>
      <c r="W835" s="7"/>
      <c r="X835" s="164" t="e">
        <f t="shared" si="155"/>
        <v>#N/A</v>
      </c>
      <c r="Y835" s="164" t="e">
        <f t="shared" si="156"/>
        <v>#N/A</v>
      </c>
      <c r="AB835" s="156">
        <f t="shared" ref="AB835:AB898" si="158">IF(ISBLANK(A835),0,1)</f>
        <v>0</v>
      </c>
      <c r="AC835" s="121" t="str">
        <f t="shared" si="157"/>
        <v/>
      </c>
      <c r="AE835" s="121" t="str">
        <f t="shared" ref="AE835:AE898" si="159">IF(AB835=1,(A835-$AA$2)^2, "")</f>
        <v/>
      </c>
      <c r="AF835" s="111" t="str">
        <f t="shared" si="154"/>
        <v/>
      </c>
    </row>
    <row r="836" spans="1:32">
      <c r="A836" s="159"/>
      <c r="B836" s="160"/>
      <c r="C836" s="5"/>
      <c r="D836" s="5"/>
      <c r="E836" s="5"/>
      <c r="F836" s="5"/>
      <c r="G836" s="5"/>
      <c r="H836" s="5"/>
      <c r="I836" s="5"/>
      <c r="J836" s="5"/>
      <c r="K836" s="5"/>
      <c r="L836" s="5"/>
      <c r="M836" s="5"/>
      <c r="N836" s="5"/>
      <c r="O836" s="5"/>
      <c r="P836" s="5"/>
      <c r="Q836" s="5"/>
      <c r="R836" s="5"/>
      <c r="S836" s="5"/>
      <c r="T836" s="5"/>
      <c r="U836" s="5"/>
      <c r="V836" s="7"/>
      <c r="W836" s="7"/>
      <c r="X836" s="164" t="e">
        <f t="shared" si="155"/>
        <v>#N/A</v>
      </c>
      <c r="Y836" s="164" t="e">
        <f t="shared" si="156"/>
        <v>#N/A</v>
      </c>
      <c r="AB836" s="156">
        <f t="shared" si="158"/>
        <v>0</v>
      </c>
      <c r="AC836" s="121" t="str">
        <f t="shared" si="157"/>
        <v/>
      </c>
      <c r="AE836" s="121" t="str">
        <f t="shared" si="159"/>
        <v/>
      </c>
      <c r="AF836" s="111" t="str">
        <f t="shared" ref="AF836:AF899" si="160">IFERROR(Y835, "")</f>
        <v/>
      </c>
    </row>
    <row r="837" spans="1:32">
      <c r="A837" s="159"/>
      <c r="B837" s="160"/>
      <c r="C837" s="5"/>
      <c r="D837" s="5"/>
      <c r="E837" s="5"/>
      <c r="F837" s="5"/>
      <c r="G837" s="5"/>
      <c r="H837" s="5"/>
      <c r="I837" s="5"/>
      <c r="J837" s="5"/>
      <c r="K837" s="5"/>
      <c r="L837" s="5"/>
      <c r="M837" s="5"/>
      <c r="N837" s="5"/>
      <c r="O837" s="5"/>
      <c r="P837" s="5"/>
      <c r="Q837" s="5"/>
      <c r="R837" s="5"/>
      <c r="S837" s="5"/>
      <c r="T837" s="5"/>
      <c r="U837" s="5"/>
      <c r="V837" s="7"/>
      <c r="W837" s="7"/>
      <c r="X837" s="164" t="e">
        <f t="shared" si="155"/>
        <v>#N/A</v>
      </c>
      <c r="Y837" s="164" t="e">
        <f t="shared" si="156"/>
        <v>#N/A</v>
      </c>
      <c r="AB837" s="156">
        <f t="shared" si="158"/>
        <v>0</v>
      </c>
      <c r="AC837" s="121" t="str">
        <f t="shared" si="157"/>
        <v/>
      </c>
      <c r="AE837" s="121" t="str">
        <f t="shared" si="159"/>
        <v/>
      </c>
      <c r="AF837" s="111" t="str">
        <f t="shared" si="160"/>
        <v/>
      </c>
    </row>
    <row r="838" spans="1:32">
      <c r="A838" s="159"/>
      <c r="B838" s="160"/>
      <c r="C838" s="5"/>
      <c r="D838" s="5"/>
      <c r="E838" s="5"/>
      <c r="F838" s="5"/>
      <c r="G838" s="5"/>
      <c r="H838" s="5"/>
      <c r="I838" s="5"/>
      <c r="J838" s="5"/>
      <c r="K838" s="5"/>
      <c r="L838" s="5"/>
      <c r="M838" s="5"/>
      <c r="N838" s="5"/>
      <c r="O838" s="5"/>
      <c r="P838" s="5"/>
      <c r="Q838" s="5"/>
      <c r="R838" s="5"/>
      <c r="S838" s="5"/>
      <c r="T838" s="5"/>
      <c r="U838" s="5"/>
      <c r="V838" s="7"/>
      <c r="W838" s="7"/>
      <c r="X838" s="164" t="e">
        <f t="shared" si="155"/>
        <v>#N/A</v>
      </c>
      <c r="Y838" s="164" t="e">
        <f t="shared" si="156"/>
        <v>#N/A</v>
      </c>
      <c r="AB838" s="156">
        <f t="shared" si="158"/>
        <v>0</v>
      </c>
      <c r="AC838" s="121" t="str">
        <f t="shared" si="157"/>
        <v/>
      </c>
      <c r="AE838" s="121" t="str">
        <f t="shared" si="159"/>
        <v/>
      </c>
      <c r="AF838" s="111" t="str">
        <f t="shared" si="160"/>
        <v/>
      </c>
    </row>
    <row r="839" spans="1:32">
      <c r="A839" s="159"/>
      <c r="B839" s="160"/>
      <c r="C839" s="5"/>
      <c r="D839" s="5"/>
      <c r="E839" s="5"/>
      <c r="F839" s="5"/>
      <c r="G839" s="5"/>
      <c r="H839" s="5"/>
      <c r="I839" s="5"/>
      <c r="J839" s="5"/>
      <c r="K839" s="5"/>
      <c r="L839" s="5"/>
      <c r="M839" s="5"/>
      <c r="N839" s="5"/>
      <c r="O839" s="5"/>
      <c r="P839" s="5"/>
      <c r="Q839" s="5"/>
      <c r="R839" s="5"/>
      <c r="S839" s="5"/>
      <c r="T839" s="5"/>
      <c r="U839" s="5"/>
      <c r="V839" s="7"/>
      <c r="W839" s="7"/>
      <c r="X839" s="164" t="e">
        <f t="shared" si="155"/>
        <v>#N/A</v>
      </c>
      <c r="Y839" s="164" t="e">
        <f t="shared" si="156"/>
        <v>#N/A</v>
      </c>
      <c r="AB839" s="156">
        <f t="shared" si="158"/>
        <v>0</v>
      </c>
      <c r="AC839" s="121" t="str">
        <f t="shared" si="157"/>
        <v/>
      </c>
      <c r="AE839" s="121" t="str">
        <f t="shared" si="159"/>
        <v/>
      </c>
      <c r="AF839" s="111" t="str">
        <f t="shared" si="160"/>
        <v/>
      </c>
    </row>
    <row r="840" spans="1:32">
      <c r="A840" s="159"/>
      <c r="B840" s="160"/>
      <c r="C840" s="5"/>
      <c r="D840" s="5"/>
      <c r="E840" s="5"/>
      <c r="F840" s="5"/>
      <c r="G840" s="5"/>
      <c r="H840" s="5"/>
      <c r="I840" s="5"/>
      <c r="J840" s="5"/>
      <c r="K840" s="5"/>
      <c r="L840" s="5"/>
      <c r="M840" s="5"/>
      <c r="N840" s="5"/>
      <c r="O840" s="5"/>
      <c r="P840" s="5"/>
      <c r="Q840" s="5"/>
      <c r="R840" s="5"/>
      <c r="S840" s="5"/>
      <c r="T840" s="5"/>
      <c r="U840" s="5"/>
      <c r="V840" s="7"/>
      <c r="W840" s="7"/>
      <c r="X840" s="164" t="e">
        <f t="shared" si="155"/>
        <v>#N/A</v>
      </c>
      <c r="Y840" s="164" t="e">
        <f t="shared" si="156"/>
        <v>#N/A</v>
      </c>
      <c r="AB840" s="156">
        <f t="shared" si="158"/>
        <v>0</v>
      </c>
      <c r="AC840" s="121" t="str">
        <f t="shared" si="157"/>
        <v/>
      </c>
      <c r="AE840" s="121" t="str">
        <f t="shared" si="159"/>
        <v/>
      </c>
      <c r="AF840" s="111" t="str">
        <f t="shared" si="160"/>
        <v/>
      </c>
    </row>
    <row r="841" spans="1:32">
      <c r="A841" s="159"/>
      <c r="B841" s="160"/>
      <c r="C841" s="5"/>
      <c r="D841" s="5"/>
      <c r="E841" s="5"/>
      <c r="F841" s="5"/>
      <c r="G841" s="5"/>
      <c r="H841" s="5"/>
      <c r="I841" s="5"/>
      <c r="J841" s="5"/>
      <c r="K841" s="5"/>
      <c r="L841" s="5"/>
      <c r="M841" s="5"/>
      <c r="N841" s="5"/>
      <c r="O841" s="5"/>
      <c r="P841" s="5"/>
      <c r="Q841" s="5"/>
      <c r="R841" s="5"/>
      <c r="S841" s="5"/>
      <c r="T841" s="5"/>
      <c r="U841" s="5"/>
      <c r="V841" s="7"/>
      <c r="W841" s="7"/>
      <c r="X841" s="164" t="e">
        <f t="shared" si="155"/>
        <v>#N/A</v>
      </c>
      <c r="Y841" s="164" t="e">
        <f t="shared" si="156"/>
        <v>#N/A</v>
      </c>
      <c r="AB841" s="156">
        <f t="shared" si="158"/>
        <v>0</v>
      </c>
      <c r="AC841" s="121" t="str">
        <f t="shared" si="157"/>
        <v/>
      </c>
      <c r="AE841" s="121" t="str">
        <f t="shared" si="159"/>
        <v/>
      </c>
      <c r="AF841" s="111" t="str">
        <f t="shared" si="160"/>
        <v/>
      </c>
    </row>
    <row r="842" spans="1:32">
      <c r="A842" s="159"/>
      <c r="B842" s="160"/>
      <c r="C842" s="5"/>
      <c r="D842" s="5"/>
      <c r="E842" s="5"/>
      <c r="F842" s="5"/>
      <c r="G842" s="5"/>
      <c r="H842" s="5"/>
      <c r="I842" s="5"/>
      <c r="J842" s="5"/>
      <c r="K842" s="5"/>
      <c r="L842" s="5"/>
      <c r="M842" s="5"/>
      <c r="N842" s="5"/>
      <c r="O842" s="5"/>
      <c r="P842" s="5"/>
      <c r="Q842" s="5"/>
      <c r="R842" s="5"/>
      <c r="S842" s="5"/>
      <c r="T842" s="5"/>
      <c r="U842" s="5"/>
      <c r="V842" s="7"/>
      <c r="W842" s="7"/>
      <c r="X842" s="164" t="e">
        <f t="shared" si="155"/>
        <v>#N/A</v>
      </c>
      <c r="Y842" s="164" t="e">
        <f t="shared" si="156"/>
        <v>#N/A</v>
      </c>
      <c r="AB842" s="156">
        <f t="shared" si="158"/>
        <v>0</v>
      </c>
      <c r="AC842" s="121" t="str">
        <f t="shared" si="157"/>
        <v/>
      </c>
      <c r="AE842" s="121" t="str">
        <f t="shared" si="159"/>
        <v/>
      </c>
      <c r="AF842" s="111" t="str">
        <f t="shared" si="160"/>
        <v/>
      </c>
    </row>
    <row r="843" spans="1:32">
      <c r="A843" s="159"/>
      <c r="B843" s="160"/>
      <c r="C843" s="5"/>
      <c r="D843" s="5"/>
      <c r="E843" s="5"/>
      <c r="F843" s="5"/>
      <c r="G843" s="5"/>
      <c r="H843" s="5"/>
      <c r="I843" s="5"/>
      <c r="J843" s="5"/>
      <c r="K843" s="5"/>
      <c r="L843" s="5"/>
      <c r="M843" s="5"/>
      <c r="N843" s="5"/>
      <c r="O843" s="5"/>
      <c r="P843" s="5"/>
      <c r="Q843" s="5"/>
      <c r="R843" s="5"/>
      <c r="S843" s="5"/>
      <c r="T843" s="5"/>
      <c r="U843" s="5"/>
      <c r="V843" s="7"/>
      <c r="W843" s="7"/>
      <c r="X843" s="164" t="e">
        <f t="shared" si="155"/>
        <v>#N/A</v>
      </c>
      <c r="Y843" s="164" t="e">
        <f t="shared" si="156"/>
        <v>#N/A</v>
      </c>
      <c r="AB843" s="156">
        <f t="shared" si="158"/>
        <v>0</v>
      </c>
      <c r="AC843" s="121" t="str">
        <f t="shared" si="157"/>
        <v/>
      </c>
      <c r="AE843" s="121" t="str">
        <f t="shared" si="159"/>
        <v/>
      </c>
      <c r="AF843" s="111" t="str">
        <f t="shared" si="160"/>
        <v/>
      </c>
    </row>
    <row r="844" spans="1:32">
      <c r="A844" s="159"/>
      <c r="B844" s="160"/>
      <c r="C844" s="5"/>
      <c r="D844" s="5"/>
      <c r="E844" s="5"/>
      <c r="F844" s="5"/>
      <c r="G844" s="5"/>
      <c r="H844" s="5"/>
      <c r="I844" s="5"/>
      <c r="J844" s="5"/>
      <c r="K844" s="5"/>
      <c r="L844" s="5"/>
      <c r="M844" s="5"/>
      <c r="N844" s="5"/>
      <c r="O844" s="5"/>
      <c r="P844" s="5"/>
      <c r="Q844" s="5"/>
      <c r="R844" s="5"/>
      <c r="S844" s="5"/>
      <c r="T844" s="5"/>
      <c r="U844" s="5"/>
      <c r="V844" s="7"/>
      <c r="W844" s="7"/>
      <c r="X844" s="164" t="e">
        <f t="shared" si="155"/>
        <v>#N/A</v>
      </c>
      <c r="Y844" s="164" t="e">
        <f t="shared" si="156"/>
        <v>#N/A</v>
      </c>
      <c r="AB844" s="156">
        <f t="shared" si="158"/>
        <v>0</v>
      </c>
      <c r="AC844" s="121" t="str">
        <f t="shared" si="157"/>
        <v/>
      </c>
      <c r="AE844" s="121" t="str">
        <f t="shared" si="159"/>
        <v/>
      </c>
      <c r="AF844" s="111" t="str">
        <f t="shared" si="160"/>
        <v/>
      </c>
    </row>
    <row r="845" spans="1:32">
      <c r="A845" s="159"/>
      <c r="B845" s="160"/>
      <c r="C845" s="5"/>
      <c r="D845" s="5"/>
      <c r="E845" s="5"/>
      <c r="F845" s="5"/>
      <c r="G845" s="5"/>
      <c r="H845" s="5"/>
      <c r="I845" s="5"/>
      <c r="J845" s="5"/>
      <c r="K845" s="5"/>
      <c r="L845" s="5"/>
      <c r="M845" s="5"/>
      <c r="N845" s="5"/>
      <c r="O845" s="5"/>
      <c r="P845" s="5"/>
      <c r="Q845" s="5"/>
      <c r="R845" s="5"/>
      <c r="S845" s="5"/>
      <c r="T845" s="5"/>
      <c r="U845" s="5"/>
      <c r="V845" s="7"/>
      <c r="W845" s="7"/>
      <c r="X845" s="164" t="e">
        <f t="shared" si="155"/>
        <v>#N/A</v>
      </c>
      <c r="Y845" s="164" t="e">
        <f t="shared" si="156"/>
        <v>#N/A</v>
      </c>
      <c r="AB845" s="156">
        <f t="shared" si="158"/>
        <v>0</v>
      </c>
      <c r="AC845" s="121" t="str">
        <f t="shared" si="157"/>
        <v/>
      </c>
      <c r="AE845" s="121" t="str">
        <f t="shared" si="159"/>
        <v/>
      </c>
      <c r="AF845" s="111" t="str">
        <f t="shared" si="160"/>
        <v/>
      </c>
    </row>
    <row r="846" spans="1:32">
      <c r="A846" s="159"/>
      <c r="B846" s="160"/>
      <c r="C846" s="5"/>
      <c r="D846" s="5"/>
      <c r="E846" s="5"/>
      <c r="F846" s="5"/>
      <c r="G846" s="5"/>
      <c r="H846" s="5"/>
      <c r="I846" s="5"/>
      <c r="J846" s="5"/>
      <c r="K846" s="5"/>
      <c r="L846" s="5"/>
      <c r="M846" s="5"/>
      <c r="N846" s="5"/>
      <c r="O846" s="5"/>
      <c r="P846" s="5"/>
      <c r="Q846" s="5"/>
      <c r="R846" s="5"/>
      <c r="S846" s="5"/>
      <c r="T846" s="5"/>
      <c r="U846" s="5"/>
      <c r="V846" s="7"/>
      <c r="W846" s="7"/>
      <c r="X846" s="164" t="e">
        <f t="shared" si="155"/>
        <v>#N/A</v>
      </c>
      <c r="Y846" s="164" t="e">
        <f t="shared" si="156"/>
        <v>#N/A</v>
      </c>
      <c r="AB846" s="156">
        <f t="shared" si="158"/>
        <v>0</v>
      </c>
      <c r="AC846" s="121" t="str">
        <f t="shared" si="157"/>
        <v/>
      </c>
      <c r="AE846" s="121" t="str">
        <f t="shared" si="159"/>
        <v/>
      </c>
      <c r="AF846" s="111" t="str">
        <f t="shared" si="160"/>
        <v/>
      </c>
    </row>
    <row r="847" spans="1:32">
      <c r="A847" s="159"/>
      <c r="B847" s="160"/>
      <c r="C847" s="5"/>
      <c r="D847" s="5"/>
      <c r="E847" s="5"/>
      <c r="F847" s="5"/>
      <c r="G847" s="5"/>
      <c r="H847" s="5"/>
      <c r="I847" s="5"/>
      <c r="J847" s="5"/>
      <c r="K847" s="5"/>
      <c r="L847" s="5"/>
      <c r="M847" s="5"/>
      <c r="N847" s="5"/>
      <c r="O847" s="5"/>
      <c r="P847" s="5"/>
      <c r="Q847" s="5"/>
      <c r="R847" s="5"/>
      <c r="S847" s="5"/>
      <c r="T847" s="5"/>
      <c r="U847" s="5"/>
      <c r="V847" s="7"/>
      <c r="W847" s="7"/>
      <c r="X847" s="164" t="e">
        <f t="shared" si="155"/>
        <v>#N/A</v>
      </c>
      <c r="Y847" s="164" t="e">
        <f t="shared" si="156"/>
        <v>#N/A</v>
      </c>
      <c r="AB847" s="156">
        <f t="shared" si="158"/>
        <v>0</v>
      </c>
      <c r="AC847" s="121" t="str">
        <f t="shared" si="157"/>
        <v/>
      </c>
      <c r="AE847" s="121" t="str">
        <f t="shared" si="159"/>
        <v/>
      </c>
      <c r="AF847" s="111" t="str">
        <f t="shared" si="160"/>
        <v/>
      </c>
    </row>
    <row r="848" spans="1:32">
      <c r="A848" s="159"/>
      <c r="B848" s="160"/>
      <c r="C848" s="5"/>
      <c r="D848" s="5"/>
      <c r="E848" s="5"/>
      <c r="F848" s="5"/>
      <c r="G848" s="5"/>
      <c r="H848" s="5"/>
      <c r="I848" s="5"/>
      <c r="J848" s="5"/>
      <c r="K848" s="5"/>
      <c r="L848" s="5"/>
      <c r="M848" s="5"/>
      <c r="N848" s="5"/>
      <c r="O848" s="5"/>
      <c r="P848" s="5"/>
      <c r="Q848" s="5"/>
      <c r="R848" s="5"/>
      <c r="S848" s="5"/>
      <c r="T848" s="5"/>
      <c r="U848" s="5"/>
      <c r="V848" s="7"/>
      <c r="W848" s="7"/>
      <c r="X848" s="164" t="e">
        <f t="shared" si="155"/>
        <v>#N/A</v>
      </c>
      <c r="Y848" s="164" t="e">
        <f t="shared" si="156"/>
        <v>#N/A</v>
      </c>
      <c r="AB848" s="156">
        <f t="shared" si="158"/>
        <v>0</v>
      </c>
      <c r="AC848" s="121" t="str">
        <f t="shared" si="157"/>
        <v/>
      </c>
      <c r="AE848" s="121" t="str">
        <f t="shared" si="159"/>
        <v/>
      </c>
      <c r="AF848" s="111" t="str">
        <f t="shared" si="160"/>
        <v/>
      </c>
    </row>
    <row r="849" spans="1:32">
      <c r="A849" s="159"/>
      <c r="B849" s="160"/>
      <c r="C849" s="5"/>
      <c r="D849" s="5"/>
      <c r="E849" s="5"/>
      <c r="F849" s="5"/>
      <c r="G849" s="5"/>
      <c r="H849" s="5"/>
      <c r="I849" s="5"/>
      <c r="J849" s="5"/>
      <c r="K849" s="5"/>
      <c r="L849" s="5"/>
      <c r="M849" s="5"/>
      <c r="N849" s="5"/>
      <c r="O849" s="5"/>
      <c r="P849" s="5"/>
      <c r="Q849" s="5"/>
      <c r="R849" s="5"/>
      <c r="S849" s="5"/>
      <c r="T849" s="5"/>
      <c r="U849" s="5"/>
      <c r="V849" s="7"/>
      <c r="W849" s="7"/>
      <c r="X849" s="164" t="e">
        <f t="shared" si="155"/>
        <v>#N/A</v>
      </c>
      <c r="Y849" s="164" t="e">
        <f t="shared" si="156"/>
        <v>#N/A</v>
      </c>
      <c r="AB849" s="156">
        <f t="shared" si="158"/>
        <v>0</v>
      </c>
      <c r="AC849" s="121" t="str">
        <f t="shared" si="157"/>
        <v/>
      </c>
      <c r="AE849" s="121" t="str">
        <f t="shared" si="159"/>
        <v/>
      </c>
      <c r="AF849" s="111" t="str">
        <f t="shared" si="160"/>
        <v/>
      </c>
    </row>
    <row r="850" spans="1:32">
      <c r="A850" s="159"/>
      <c r="B850" s="160"/>
      <c r="C850" s="5"/>
      <c r="D850" s="5"/>
      <c r="E850" s="5"/>
      <c r="F850" s="5"/>
      <c r="G850" s="5"/>
      <c r="H850" s="5"/>
      <c r="I850" s="5"/>
      <c r="J850" s="5"/>
      <c r="K850" s="5"/>
      <c r="L850" s="5"/>
      <c r="M850" s="5"/>
      <c r="N850" s="5"/>
      <c r="O850" s="5"/>
      <c r="P850" s="5"/>
      <c r="Q850" s="5"/>
      <c r="R850" s="5"/>
      <c r="S850" s="5"/>
      <c r="T850" s="5"/>
      <c r="U850" s="5"/>
      <c r="V850" s="7"/>
      <c r="W850" s="7"/>
      <c r="X850" s="164" t="e">
        <f t="shared" si="155"/>
        <v>#N/A</v>
      </c>
      <c r="Y850" s="164" t="e">
        <f t="shared" si="156"/>
        <v>#N/A</v>
      </c>
      <c r="AB850" s="156">
        <f t="shared" si="158"/>
        <v>0</v>
      </c>
      <c r="AC850" s="121" t="str">
        <f t="shared" si="157"/>
        <v/>
      </c>
      <c r="AE850" s="121" t="str">
        <f t="shared" si="159"/>
        <v/>
      </c>
      <c r="AF850" s="111" t="str">
        <f t="shared" si="160"/>
        <v/>
      </c>
    </row>
    <row r="851" spans="1:32">
      <c r="A851" s="159"/>
      <c r="B851" s="160"/>
      <c r="C851" s="5"/>
      <c r="D851" s="5"/>
      <c r="E851" s="5"/>
      <c r="F851" s="5"/>
      <c r="G851" s="5"/>
      <c r="H851" s="5"/>
      <c r="I851" s="5"/>
      <c r="J851" s="5"/>
      <c r="K851" s="5"/>
      <c r="L851" s="5"/>
      <c r="M851" s="5"/>
      <c r="N851" s="5"/>
      <c r="O851" s="5"/>
      <c r="P851" s="5"/>
      <c r="Q851" s="5"/>
      <c r="R851" s="5"/>
      <c r="S851" s="5"/>
      <c r="T851" s="5"/>
      <c r="U851" s="5"/>
      <c r="V851" s="7"/>
      <c r="W851" s="7"/>
      <c r="X851" s="164" t="e">
        <f t="shared" si="155"/>
        <v>#N/A</v>
      </c>
      <c r="Y851" s="164" t="e">
        <f t="shared" si="156"/>
        <v>#N/A</v>
      </c>
      <c r="AB851" s="156">
        <f t="shared" si="158"/>
        <v>0</v>
      </c>
      <c r="AC851" s="121" t="str">
        <f t="shared" si="157"/>
        <v/>
      </c>
      <c r="AE851" s="121" t="str">
        <f t="shared" si="159"/>
        <v/>
      </c>
      <c r="AF851" s="111" t="str">
        <f t="shared" si="160"/>
        <v/>
      </c>
    </row>
    <row r="852" spans="1:32">
      <c r="A852" s="159"/>
      <c r="B852" s="160"/>
      <c r="C852" s="5"/>
      <c r="D852" s="5"/>
      <c r="E852" s="5"/>
      <c r="F852" s="5"/>
      <c r="G852" s="5"/>
      <c r="H852" s="5"/>
      <c r="I852" s="5"/>
      <c r="J852" s="5"/>
      <c r="K852" s="5"/>
      <c r="L852" s="5"/>
      <c r="M852" s="5"/>
      <c r="N852" s="5"/>
      <c r="O852" s="5"/>
      <c r="P852" s="5"/>
      <c r="Q852" s="5"/>
      <c r="R852" s="5"/>
      <c r="S852" s="5"/>
      <c r="T852" s="5"/>
      <c r="U852" s="5"/>
      <c r="V852" s="7"/>
      <c r="W852" s="7"/>
      <c r="X852" s="164" t="e">
        <f t="shared" si="155"/>
        <v>#N/A</v>
      </c>
      <c r="Y852" s="164" t="e">
        <f t="shared" si="156"/>
        <v>#N/A</v>
      </c>
      <c r="AB852" s="156">
        <f t="shared" si="158"/>
        <v>0</v>
      </c>
      <c r="AC852" s="121" t="str">
        <f t="shared" si="157"/>
        <v/>
      </c>
      <c r="AE852" s="121" t="str">
        <f t="shared" si="159"/>
        <v/>
      </c>
      <c r="AF852" s="111" t="str">
        <f t="shared" si="160"/>
        <v/>
      </c>
    </row>
    <row r="853" spans="1:32">
      <c r="A853" s="159"/>
      <c r="B853" s="160"/>
      <c r="C853" s="5"/>
      <c r="D853" s="5"/>
      <c r="E853" s="5"/>
      <c r="F853" s="5"/>
      <c r="G853" s="5"/>
      <c r="H853" s="5"/>
      <c r="I853" s="5"/>
      <c r="J853" s="5"/>
      <c r="K853" s="5"/>
      <c r="L853" s="5"/>
      <c r="M853" s="5"/>
      <c r="N853" s="5"/>
      <c r="O853" s="5"/>
      <c r="P853" s="5"/>
      <c r="Q853" s="5"/>
      <c r="R853" s="5"/>
      <c r="S853" s="5"/>
      <c r="T853" s="5"/>
      <c r="U853" s="5"/>
      <c r="V853" s="7"/>
      <c r="W853" s="7"/>
      <c r="X853" s="164" t="e">
        <f t="shared" si="155"/>
        <v>#N/A</v>
      </c>
      <c r="Y853" s="164" t="e">
        <f t="shared" si="156"/>
        <v>#N/A</v>
      </c>
      <c r="AB853" s="156">
        <f t="shared" si="158"/>
        <v>0</v>
      </c>
      <c r="AC853" s="121" t="str">
        <f t="shared" si="157"/>
        <v/>
      </c>
      <c r="AE853" s="121" t="str">
        <f t="shared" si="159"/>
        <v/>
      </c>
      <c r="AF853" s="111" t="str">
        <f t="shared" si="160"/>
        <v/>
      </c>
    </row>
    <row r="854" spans="1:32">
      <c r="A854" s="159"/>
      <c r="B854" s="160"/>
      <c r="C854" s="5"/>
      <c r="D854" s="5"/>
      <c r="E854" s="5"/>
      <c r="F854" s="5"/>
      <c r="G854" s="5"/>
      <c r="H854" s="5"/>
      <c r="I854" s="5"/>
      <c r="J854" s="5"/>
      <c r="K854" s="5"/>
      <c r="L854" s="5"/>
      <c r="M854" s="5"/>
      <c r="N854" s="5"/>
      <c r="O854" s="5"/>
      <c r="P854" s="5"/>
      <c r="Q854" s="5"/>
      <c r="R854" s="5"/>
      <c r="S854" s="5"/>
      <c r="T854" s="5"/>
      <c r="U854" s="5"/>
      <c r="V854" s="7"/>
      <c r="W854" s="7"/>
      <c r="X854" s="164" t="e">
        <f t="shared" si="155"/>
        <v>#N/A</v>
      </c>
      <c r="Y854" s="164" t="e">
        <f t="shared" si="156"/>
        <v>#N/A</v>
      </c>
      <c r="AB854" s="156">
        <f t="shared" si="158"/>
        <v>0</v>
      </c>
      <c r="AC854" s="121" t="str">
        <f t="shared" si="157"/>
        <v/>
      </c>
      <c r="AE854" s="121" t="str">
        <f t="shared" si="159"/>
        <v/>
      </c>
      <c r="AF854" s="111" t="str">
        <f t="shared" si="160"/>
        <v/>
      </c>
    </row>
    <row r="855" spans="1:32">
      <c r="A855" s="159"/>
      <c r="B855" s="160"/>
      <c r="C855" s="5"/>
      <c r="D855" s="5"/>
      <c r="E855" s="5"/>
      <c r="F855" s="5"/>
      <c r="G855" s="5"/>
      <c r="H855" s="5"/>
      <c r="I855" s="5"/>
      <c r="J855" s="5"/>
      <c r="K855" s="5"/>
      <c r="L855" s="5"/>
      <c r="M855" s="5"/>
      <c r="N855" s="5"/>
      <c r="O855" s="5"/>
      <c r="P855" s="5"/>
      <c r="Q855" s="5"/>
      <c r="R855" s="5"/>
      <c r="S855" s="5"/>
      <c r="T855" s="5"/>
      <c r="U855" s="5"/>
      <c r="V855" s="7"/>
      <c r="W855" s="7"/>
      <c r="X855" s="164" t="e">
        <f t="shared" si="155"/>
        <v>#N/A</v>
      </c>
      <c r="Y855" s="164" t="e">
        <f t="shared" si="156"/>
        <v>#N/A</v>
      </c>
      <c r="AB855" s="156">
        <f t="shared" si="158"/>
        <v>0</v>
      </c>
      <c r="AC855" s="121" t="str">
        <f t="shared" si="157"/>
        <v/>
      </c>
      <c r="AE855" s="121" t="str">
        <f t="shared" si="159"/>
        <v/>
      </c>
      <c r="AF855" s="111" t="str">
        <f t="shared" si="160"/>
        <v/>
      </c>
    </row>
    <row r="856" spans="1:32">
      <c r="A856" s="159"/>
      <c r="B856" s="160"/>
      <c r="C856" s="5"/>
      <c r="D856" s="5"/>
      <c r="E856" s="5"/>
      <c r="F856" s="5"/>
      <c r="G856" s="5"/>
      <c r="H856" s="5"/>
      <c r="I856" s="5"/>
      <c r="J856" s="5"/>
      <c r="K856" s="5"/>
      <c r="L856" s="5"/>
      <c r="M856" s="5"/>
      <c r="N856" s="5"/>
      <c r="O856" s="5"/>
      <c r="P856" s="5"/>
      <c r="Q856" s="5"/>
      <c r="R856" s="5"/>
      <c r="S856" s="5"/>
      <c r="T856" s="5"/>
      <c r="U856" s="5"/>
      <c r="V856" s="7"/>
      <c r="W856" s="7"/>
      <c r="X856" s="164" t="e">
        <f t="shared" si="155"/>
        <v>#N/A</v>
      </c>
      <c r="Y856" s="164" t="e">
        <f t="shared" si="156"/>
        <v>#N/A</v>
      </c>
      <c r="AB856" s="156">
        <f t="shared" si="158"/>
        <v>0</v>
      </c>
      <c r="AC856" s="121" t="str">
        <f t="shared" si="157"/>
        <v/>
      </c>
      <c r="AE856" s="121" t="str">
        <f t="shared" si="159"/>
        <v/>
      </c>
      <c r="AF856" s="111" t="str">
        <f t="shared" si="160"/>
        <v/>
      </c>
    </row>
    <row r="857" spans="1:32">
      <c r="A857" s="159"/>
      <c r="B857" s="160"/>
      <c r="C857" s="5"/>
      <c r="D857" s="5"/>
      <c r="E857" s="5"/>
      <c r="F857" s="5"/>
      <c r="G857" s="5"/>
      <c r="H857" s="5"/>
      <c r="I857" s="5"/>
      <c r="J857" s="5"/>
      <c r="K857" s="5"/>
      <c r="L857" s="5"/>
      <c r="M857" s="5"/>
      <c r="N857" s="5"/>
      <c r="O857" s="5"/>
      <c r="P857" s="5"/>
      <c r="Q857" s="5"/>
      <c r="R857" s="5"/>
      <c r="S857" s="5"/>
      <c r="T857" s="5"/>
      <c r="U857" s="5"/>
      <c r="V857" s="7"/>
      <c r="W857" s="7"/>
      <c r="X857" s="164" t="e">
        <f t="shared" si="155"/>
        <v>#N/A</v>
      </c>
      <c r="Y857" s="164" t="e">
        <f t="shared" si="156"/>
        <v>#N/A</v>
      </c>
      <c r="AB857" s="156">
        <f t="shared" si="158"/>
        <v>0</v>
      </c>
      <c r="AC857" s="121" t="str">
        <f t="shared" si="157"/>
        <v/>
      </c>
      <c r="AE857" s="121" t="str">
        <f t="shared" si="159"/>
        <v/>
      </c>
      <c r="AF857" s="111" t="str">
        <f t="shared" si="160"/>
        <v/>
      </c>
    </row>
    <row r="858" spans="1:32">
      <c r="A858" s="159"/>
      <c r="B858" s="160"/>
      <c r="C858" s="5"/>
      <c r="D858" s="5"/>
      <c r="E858" s="5"/>
      <c r="F858" s="5"/>
      <c r="G858" s="5"/>
      <c r="H858" s="5"/>
      <c r="I858" s="5"/>
      <c r="J858" s="5"/>
      <c r="K858" s="5"/>
      <c r="L858" s="5"/>
      <c r="M858" s="5"/>
      <c r="N858" s="5"/>
      <c r="O858" s="5"/>
      <c r="P858" s="5"/>
      <c r="Q858" s="5"/>
      <c r="R858" s="5"/>
      <c r="S858" s="5"/>
      <c r="T858" s="5"/>
      <c r="U858" s="5"/>
      <c r="V858" s="7"/>
      <c r="W858" s="7"/>
      <c r="X858" s="164" t="e">
        <f t="shared" si="155"/>
        <v>#N/A</v>
      </c>
      <c r="Y858" s="164" t="e">
        <f t="shared" si="156"/>
        <v>#N/A</v>
      </c>
      <c r="AB858" s="156">
        <f t="shared" si="158"/>
        <v>0</v>
      </c>
      <c r="AC858" s="121" t="str">
        <f t="shared" si="157"/>
        <v/>
      </c>
      <c r="AE858" s="121" t="str">
        <f t="shared" si="159"/>
        <v/>
      </c>
      <c r="AF858" s="111" t="str">
        <f t="shared" si="160"/>
        <v/>
      </c>
    </row>
    <row r="859" spans="1:32">
      <c r="A859" s="159"/>
      <c r="B859" s="160"/>
      <c r="C859" s="5"/>
      <c r="D859" s="5"/>
      <c r="E859" s="5"/>
      <c r="F859" s="5"/>
      <c r="G859" s="5"/>
      <c r="H859" s="5"/>
      <c r="I859" s="5"/>
      <c r="J859" s="5"/>
      <c r="K859" s="5"/>
      <c r="L859" s="5"/>
      <c r="M859" s="5"/>
      <c r="N859" s="5"/>
      <c r="O859" s="5"/>
      <c r="P859" s="5"/>
      <c r="Q859" s="5"/>
      <c r="R859" s="5"/>
      <c r="S859" s="5"/>
      <c r="T859" s="5"/>
      <c r="U859" s="5"/>
      <c r="V859" s="7"/>
      <c r="W859" s="7"/>
      <c r="X859" s="164" t="e">
        <f t="shared" si="155"/>
        <v>#N/A</v>
      </c>
      <c r="Y859" s="164" t="e">
        <f t="shared" si="156"/>
        <v>#N/A</v>
      </c>
      <c r="AB859" s="156">
        <f t="shared" si="158"/>
        <v>0</v>
      </c>
      <c r="AC859" s="121" t="str">
        <f t="shared" si="157"/>
        <v/>
      </c>
      <c r="AE859" s="121" t="str">
        <f t="shared" si="159"/>
        <v/>
      </c>
      <c r="AF859" s="111" t="str">
        <f t="shared" si="160"/>
        <v/>
      </c>
    </row>
    <row r="860" spans="1:32">
      <c r="A860" s="159"/>
      <c r="B860" s="160"/>
      <c r="C860" s="5"/>
      <c r="D860" s="5"/>
      <c r="E860" s="5"/>
      <c r="F860" s="5"/>
      <c r="G860" s="5"/>
      <c r="H860" s="5"/>
      <c r="I860" s="5"/>
      <c r="J860" s="5"/>
      <c r="K860" s="5"/>
      <c r="L860" s="5"/>
      <c r="M860" s="5"/>
      <c r="N860" s="5"/>
      <c r="O860" s="5"/>
      <c r="P860" s="5"/>
      <c r="Q860" s="5"/>
      <c r="R860" s="5"/>
      <c r="S860" s="5"/>
      <c r="T860" s="5"/>
      <c r="U860" s="5"/>
      <c r="V860" s="7"/>
      <c r="W860" s="7"/>
      <c r="X860" s="164" t="e">
        <f t="shared" si="155"/>
        <v>#N/A</v>
      </c>
      <c r="Y860" s="164" t="e">
        <f t="shared" si="156"/>
        <v>#N/A</v>
      </c>
      <c r="AB860" s="156">
        <f t="shared" si="158"/>
        <v>0</v>
      </c>
      <c r="AC860" s="121" t="str">
        <f t="shared" si="157"/>
        <v/>
      </c>
      <c r="AE860" s="121" t="str">
        <f t="shared" si="159"/>
        <v/>
      </c>
      <c r="AF860" s="111" t="str">
        <f t="shared" si="160"/>
        <v/>
      </c>
    </row>
    <row r="861" spans="1:32">
      <c r="A861" s="159"/>
      <c r="B861" s="160"/>
      <c r="C861" s="5"/>
      <c r="D861" s="5"/>
      <c r="E861" s="5"/>
      <c r="F861" s="5"/>
      <c r="G861" s="5"/>
      <c r="H861" s="5"/>
      <c r="I861" s="5"/>
      <c r="J861" s="5"/>
      <c r="K861" s="5"/>
      <c r="L861" s="5"/>
      <c r="M861" s="5"/>
      <c r="N861" s="5"/>
      <c r="O861" s="5"/>
      <c r="P861" s="5"/>
      <c r="Q861" s="5"/>
      <c r="R861" s="5"/>
      <c r="S861" s="5"/>
      <c r="T861" s="5"/>
      <c r="U861" s="5"/>
      <c r="V861" s="7"/>
      <c r="W861" s="7"/>
      <c r="X861" s="164" t="e">
        <f t="shared" si="155"/>
        <v>#N/A</v>
      </c>
      <c r="Y861" s="164" t="e">
        <f t="shared" si="156"/>
        <v>#N/A</v>
      </c>
      <c r="AB861" s="156">
        <f t="shared" si="158"/>
        <v>0</v>
      </c>
      <c r="AC861" s="121" t="str">
        <f t="shared" si="157"/>
        <v/>
      </c>
      <c r="AE861" s="121" t="str">
        <f t="shared" si="159"/>
        <v/>
      </c>
      <c r="AF861" s="111" t="str">
        <f t="shared" si="160"/>
        <v/>
      </c>
    </row>
    <row r="862" spans="1:32">
      <c r="A862" s="159"/>
      <c r="B862" s="160"/>
      <c r="C862" s="5"/>
      <c r="D862" s="5"/>
      <c r="E862" s="5"/>
      <c r="F862" s="5"/>
      <c r="G862" s="5"/>
      <c r="H862" s="5"/>
      <c r="I862" s="5"/>
      <c r="J862" s="5"/>
      <c r="K862" s="5"/>
      <c r="L862" s="5"/>
      <c r="M862" s="5"/>
      <c r="N862" s="5"/>
      <c r="O862" s="5"/>
      <c r="P862" s="5"/>
      <c r="Q862" s="5"/>
      <c r="R862" s="5"/>
      <c r="S862" s="5"/>
      <c r="T862" s="5"/>
      <c r="U862" s="5"/>
      <c r="V862" s="7"/>
      <c r="W862" s="7"/>
      <c r="X862" s="164" t="e">
        <f t="shared" si="155"/>
        <v>#N/A</v>
      </c>
      <c r="Y862" s="164" t="e">
        <f t="shared" si="156"/>
        <v>#N/A</v>
      </c>
      <c r="AB862" s="156">
        <f t="shared" si="158"/>
        <v>0</v>
      </c>
      <c r="AC862" s="121" t="str">
        <f t="shared" si="157"/>
        <v/>
      </c>
      <c r="AE862" s="121" t="str">
        <f t="shared" si="159"/>
        <v/>
      </c>
      <c r="AF862" s="111" t="str">
        <f t="shared" si="160"/>
        <v/>
      </c>
    </row>
    <row r="863" spans="1:32">
      <c r="A863" s="159"/>
      <c r="B863" s="160"/>
      <c r="C863" s="5"/>
      <c r="D863" s="5"/>
      <c r="E863" s="5"/>
      <c r="F863" s="5"/>
      <c r="G863" s="5"/>
      <c r="H863" s="5"/>
      <c r="I863" s="5"/>
      <c r="J863" s="5"/>
      <c r="K863" s="5"/>
      <c r="L863" s="5"/>
      <c r="M863" s="5"/>
      <c r="N863" s="5"/>
      <c r="O863" s="5"/>
      <c r="P863" s="5"/>
      <c r="Q863" s="5"/>
      <c r="R863" s="5"/>
      <c r="S863" s="5"/>
      <c r="T863" s="5"/>
      <c r="U863" s="5"/>
      <c r="V863" s="7"/>
      <c r="W863" s="7"/>
      <c r="X863" s="164" t="e">
        <f t="shared" si="155"/>
        <v>#N/A</v>
      </c>
      <c r="Y863" s="164" t="e">
        <f t="shared" si="156"/>
        <v>#N/A</v>
      </c>
      <c r="AB863" s="156">
        <f t="shared" si="158"/>
        <v>0</v>
      </c>
      <c r="AC863" s="121" t="str">
        <f t="shared" si="157"/>
        <v/>
      </c>
      <c r="AE863" s="121" t="str">
        <f t="shared" si="159"/>
        <v/>
      </c>
      <c r="AF863" s="111" t="str">
        <f t="shared" si="160"/>
        <v/>
      </c>
    </row>
    <row r="864" spans="1:32">
      <c r="A864" s="159"/>
      <c r="B864" s="160"/>
      <c r="C864" s="5"/>
      <c r="D864" s="5"/>
      <c r="E864" s="5"/>
      <c r="F864" s="5"/>
      <c r="G864" s="5"/>
      <c r="H864" s="5"/>
      <c r="I864" s="5"/>
      <c r="J864" s="5"/>
      <c r="K864" s="5"/>
      <c r="L864" s="5"/>
      <c r="M864" s="5"/>
      <c r="N864" s="5"/>
      <c r="O864" s="5"/>
      <c r="P864" s="5"/>
      <c r="Q864" s="5"/>
      <c r="R864" s="5"/>
      <c r="S864" s="5"/>
      <c r="T864" s="5"/>
      <c r="U864" s="5"/>
      <c r="V864" s="7"/>
      <c r="W864" s="7"/>
      <c r="X864" s="164" t="e">
        <f t="shared" si="155"/>
        <v>#N/A</v>
      </c>
      <c r="Y864" s="164" t="e">
        <f t="shared" si="156"/>
        <v>#N/A</v>
      </c>
      <c r="AB864" s="156">
        <f t="shared" si="158"/>
        <v>0</v>
      </c>
      <c r="AC864" s="121" t="str">
        <f t="shared" si="157"/>
        <v/>
      </c>
      <c r="AE864" s="121" t="str">
        <f t="shared" si="159"/>
        <v/>
      </c>
      <c r="AF864" s="111" t="str">
        <f t="shared" si="160"/>
        <v/>
      </c>
    </row>
    <row r="865" spans="1:32">
      <c r="A865" s="159"/>
      <c r="B865" s="160"/>
      <c r="C865" s="5"/>
      <c r="D865" s="5"/>
      <c r="E865" s="5"/>
      <c r="F865" s="5"/>
      <c r="G865" s="5"/>
      <c r="H865" s="5"/>
      <c r="I865" s="5"/>
      <c r="J865" s="5"/>
      <c r="K865" s="5"/>
      <c r="L865" s="5"/>
      <c r="M865" s="5"/>
      <c r="N865" s="5"/>
      <c r="O865" s="5"/>
      <c r="P865" s="5"/>
      <c r="Q865" s="5"/>
      <c r="R865" s="5"/>
      <c r="S865" s="5"/>
      <c r="T865" s="5"/>
      <c r="U865" s="5"/>
      <c r="V865" s="7"/>
      <c r="W865" s="7"/>
      <c r="X865" s="164" t="e">
        <f t="shared" si="155"/>
        <v>#N/A</v>
      </c>
      <c r="Y865" s="164" t="e">
        <f t="shared" si="156"/>
        <v>#N/A</v>
      </c>
      <c r="AB865" s="156">
        <f t="shared" si="158"/>
        <v>0</v>
      </c>
      <c r="AC865" s="121" t="str">
        <f t="shared" si="157"/>
        <v/>
      </c>
      <c r="AE865" s="121" t="str">
        <f t="shared" si="159"/>
        <v/>
      </c>
      <c r="AF865" s="111" t="str">
        <f t="shared" si="160"/>
        <v/>
      </c>
    </row>
    <row r="866" spans="1:32">
      <c r="A866" s="159"/>
      <c r="B866" s="160"/>
      <c r="C866" s="5"/>
      <c r="D866" s="5"/>
      <c r="E866" s="5"/>
      <c r="F866" s="5"/>
      <c r="G866" s="5"/>
      <c r="H866" s="5"/>
      <c r="I866" s="5"/>
      <c r="J866" s="5"/>
      <c r="K866" s="5"/>
      <c r="L866" s="5"/>
      <c r="M866" s="5"/>
      <c r="N866" s="5"/>
      <c r="O866" s="5"/>
      <c r="P866" s="5"/>
      <c r="Q866" s="5"/>
      <c r="R866" s="5"/>
      <c r="S866" s="5"/>
      <c r="T866" s="5"/>
      <c r="U866" s="5"/>
      <c r="V866" s="7"/>
      <c r="W866" s="7"/>
      <c r="X866" s="164" t="e">
        <f t="shared" si="155"/>
        <v>#N/A</v>
      </c>
      <c r="Y866" s="164" t="e">
        <f t="shared" si="156"/>
        <v>#N/A</v>
      </c>
      <c r="AB866" s="156">
        <f t="shared" si="158"/>
        <v>0</v>
      </c>
      <c r="AC866" s="121" t="str">
        <f t="shared" si="157"/>
        <v/>
      </c>
      <c r="AE866" s="121" t="str">
        <f t="shared" si="159"/>
        <v/>
      </c>
      <c r="AF866" s="111" t="str">
        <f t="shared" si="160"/>
        <v/>
      </c>
    </row>
    <row r="867" spans="1:32">
      <c r="A867" s="159"/>
      <c r="B867" s="160"/>
      <c r="C867" s="5"/>
      <c r="D867" s="5"/>
      <c r="E867" s="5"/>
      <c r="F867" s="5"/>
      <c r="G867" s="5"/>
      <c r="H867" s="5"/>
      <c r="I867" s="5"/>
      <c r="J867" s="5"/>
      <c r="K867" s="5"/>
      <c r="L867" s="5"/>
      <c r="M867" s="5"/>
      <c r="N867" s="5"/>
      <c r="O867" s="5"/>
      <c r="P867" s="5"/>
      <c r="Q867" s="5"/>
      <c r="R867" s="5"/>
      <c r="S867" s="5"/>
      <c r="T867" s="5"/>
      <c r="U867" s="5"/>
      <c r="V867" s="7"/>
      <c r="W867" s="7"/>
      <c r="X867" s="164" t="e">
        <f t="shared" si="155"/>
        <v>#N/A</v>
      </c>
      <c r="Y867" s="164" t="e">
        <f t="shared" si="156"/>
        <v>#N/A</v>
      </c>
      <c r="AB867" s="156">
        <f t="shared" si="158"/>
        <v>0</v>
      </c>
      <c r="AC867" s="121" t="str">
        <f t="shared" si="157"/>
        <v/>
      </c>
      <c r="AE867" s="121" t="str">
        <f t="shared" si="159"/>
        <v/>
      </c>
      <c r="AF867" s="111" t="str">
        <f t="shared" si="160"/>
        <v/>
      </c>
    </row>
    <row r="868" spans="1:32">
      <c r="A868" s="159"/>
      <c r="B868" s="160"/>
      <c r="C868" s="5"/>
      <c r="D868" s="5"/>
      <c r="E868" s="5"/>
      <c r="F868" s="5"/>
      <c r="G868" s="5"/>
      <c r="H868" s="5"/>
      <c r="I868" s="5"/>
      <c r="J868" s="5"/>
      <c r="K868" s="5"/>
      <c r="L868" s="5"/>
      <c r="M868" s="5"/>
      <c r="N868" s="5"/>
      <c r="O868" s="5"/>
      <c r="P868" s="5"/>
      <c r="Q868" s="5"/>
      <c r="R868" s="5"/>
      <c r="S868" s="5"/>
      <c r="T868" s="5"/>
      <c r="U868" s="5"/>
      <c r="V868" s="7"/>
      <c r="W868" s="7"/>
      <c r="X868" s="164" t="e">
        <f t="shared" si="155"/>
        <v>#N/A</v>
      </c>
      <c r="Y868" s="164" t="e">
        <f t="shared" si="156"/>
        <v>#N/A</v>
      </c>
      <c r="AB868" s="156">
        <f t="shared" si="158"/>
        <v>0</v>
      </c>
      <c r="AC868" s="121" t="str">
        <f t="shared" si="157"/>
        <v/>
      </c>
      <c r="AE868" s="121" t="str">
        <f t="shared" si="159"/>
        <v/>
      </c>
      <c r="AF868" s="111" t="str">
        <f t="shared" si="160"/>
        <v/>
      </c>
    </row>
    <row r="869" spans="1:32">
      <c r="A869" s="159"/>
      <c r="B869" s="160"/>
      <c r="C869" s="5"/>
      <c r="D869" s="5"/>
      <c r="E869" s="5"/>
      <c r="F869" s="5"/>
      <c r="G869" s="5"/>
      <c r="H869" s="5"/>
      <c r="I869" s="5"/>
      <c r="J869" s="5"/>
      <c r="K869" s="5"/>
      <c r="L869" s="5"/>
      <c r="M869" s="5"/>
      <c r="N869" s="5"/>
      <c r="O869" s="5"/>
      <c r="P869" s="5"/>
      <c r="Q869" s="5"/>
      <c r="R869" s="5"/>
      <c r="S869" s="5"/>
      <c r="T869" s="5"/>
      <c r="U869" s="5"/>
      <c r="V869" s="7"/>
      <c r="W869" s="7"/>
      <c r="X869" s="164" t="e">
        <f t="shared" si="155"/>
        <v>#N/A</v>
      </c>
      <c r="Y869" s="164" t="e">
        <f t="shared" si="156"/>
        <v>#N/A</v>
      </c>
      <c r="AB869" s="156">
        <f t="shared" si="158"/>
        <v>0</v>
      </c>
      <c r="AC869" s="121" t="str">
        <f t="shared" si="157"/>
        <v/>
      </c>
      <c r="AE869" s="121" t="str">
        <f t="shared" si="159"/>
        <v/>
      </c>
      <c r="AF869" s="111" t="str">
        <f t="shared" si="160"/>
        <v/>
      </c>
    </row>
    <row r="870" spans="1:32">
      <c r="A870" s="159"/>
      <c r="B870" s="160"/>
      <c r="C870" s="5"/>
      <c r="D870" s="5"/>
      <c r="E870" s="5"/>
      <c r="F870" s="5"/>
      <c r="G870" s="5"/>
      <c r="H870" s="5"/>
      <c r="I870" s="5"/>
      <c r="J870" s="5"/>
      <c r="K870" s="5"/>
      <c r="L870" s="5"/>
      <c r="M870" s="5"/>
      <c r="N870" s="5"/>
      <c r="O870" s="5"/>
      <c r="P870" s="5"/>
      <c r="Q870" s="5"/>
      <c r="R870" s="5"/>
      <c r="S870" s="5"/>
      <c r="T870" s="5"/>
      <c r="U870" s="5"/>
      <c r="V870" s="7"/>
      <c r="W870" s="7"/>
      <c r="X870" s="164" t="e">
        <f t="shared" si="155"/>
        <v>#N/A</v>
      </c>
      <c r="Y870" s="164" t="e">
        <f t="shared" si="156"/>
        <v>#N/A</v>
      </c>
      <c r="AB870" s="156">
        <f t="shared" si="158"/>
        <v>0</v>
      </c>
      <c r="AC870" s="121" t="str">
        <f t="shared" si="157"/>
        <v/>
      </c>
      <c r="AE870" s="121" t="str">
        <f t="shared" si="159"/>
        <v/>
      </c>
      <c r="AF870" s="111" t="str">
        <f t="shared" si="160"/>
        <v/>
      </c>
    </row>
    <row r="871" spans="1:32">
      <c r="A871" s="159"/>
      <c r="B871" s="160"/>
      <c r="C871" s="5"/>
      <c r="D871" s="5"/>
      <c r="E871" s="5"/>
      <c r="F871" s="5"/>
      <c r="G871" s="5"/>
      <c r="H871" s="5"/>
      <c r="I871" s="5"/>
      <c r="J871" s="5"/>
      <c r="K871" s="5"/>
      <c r="L871" s="5"/>
      <c r="M871" s="5"/>
      <c r="N871" s="5"/>
      <c r="O871" s="5"/>
      <c r="P871" s="5"/>
      <c r="Q871" s="5"/>
      <c r="R871" s="5"/>
      <c r="S871" s="5"/>
      <c r="T871" s="5"/>
      <c r="U871" s="5"/>
      <c r="V871" s="7"/>
      <c r="W871" s="7"/>
      <c r="X871" s="164" t="e">
        <f t="shared" si="155"/>
        <v>#N/A</v>
      </c>
      <c r="Y871" s="164" t="e">
        <f t="shared" si="156"/>
        <v>#N/A</v>
      </c>
      <c r="AB871" s="156">
        <f t="shared" si="158"/>
        <v>0</v>
      </c>
      <c r="AC871" s="121" t="str">
        <f t="shared" si="157"/>
        <v/>
      </c>
      <c r="AE871" s="121" t="str">
        <f t="shared" si="159"/>
        <v/>
      </c>
      <c r="AF871" s="111" t="str">
        <f t="shared" si="160"/>
        <v/>
      </c>
    </row>
    <row r="872" spans="1:32">
      <c r="A872" s="159"/>
      <c r="B872" s="160"/>
      <c r="C872" s="5"/>
      <c r="D872" s="5"/>
      <c r="E872" s="5"/>
      <c r="F872" s="5"/>
      <c r="G872" s="5"/>
      <c r="H872" s="5"/>
      <c r="I872" s="5"/>
      <c r="J872" s="5"/>
      <c r="K872" s="5"/>
      <c r="L872" s="5"/>
      <c r="M872" s="5"/>
      <c r="N872" s="5"/>
      <c r="O872" s="5"/>
      <c r="P872" s="5"/>
      <c r="Q872" s="5"/>
      <c r="R872" s="5"/>
      <c r="S872" s="5"/>
      <c r="T872" s="5"/>
      <c r="U872" s="5"/>
      <c r="V872" s="7"/>
      <c r="W872" s="7"/>
      <c r="X872" s="164" t="e">
        <f t="shared" si="155"/>
        <v>#N/A</v>
      </c>
      <c r="Y872" s="164" t="e">
        <f t="shared" si="156"/>
        <v>#N/A</v>
      </c>
      <c r="AB872" s="156">
        <f t="shared" si="158"/>
        <v>0</v>
      </c>
      <c r="AC872" s="121" t="str">
        <f t="shared" si="157"/>
        <v/>
      </c>
      <c r="AE872" s="121" t="str">
        <f t="shared" si="159"/>
        <v/>
      </c>
      <c r="AF872" s="111" t="str">
        <f t="shared" si="160"/>
        <v/>
      </c>
    </row>
    <row r="873" spans="1:32">
      <c r="A873" s="159"/>
      <c r="B873" s="160"/>
      <c r="C873" s="5"/>
      <c r="D873" s="5"/>
      <c r="E873" s="5"/>
      <c r="F873" s="5"/>
      <c r="G873" s="5"/>
      <c r="H873" s="5"/>
      <c r="I873" s="5"/>
      <c r="J873" s="5"/>
      <c r="K873" s="5"/>
      <c r="L873" s="5"/>
      <c r="M873" s="5"/>
      <c r="N873" s="5"/>
      <c r="O873" s="5"/>
      <c r="P873" s="5"/>
      <c r="Q873" s="5"/>
      <c r="R873" s="5"/>
      <c r="S873" s="5"/>
      <c r="T873" s="5"/>
      <c r="U873" s="5"/>
      <c r="V873" s="7"/>
      <c r="W873" s="7"/>
      <c r="X873" s="164" t="e">
        <f t="shared" si="155"/>
        <v>#N/A</v>
      </c>
      <c r="Y873" s="164" t="e">
        <f t="shared" si="156"/>
        <v>#N/A</v>
      </c>
      <c r="AB873" s="156">
        <f t="shared" si="158"/>
        <v>0</v>
      </c>
      <c r="AC873" s="121" t="str">
        <f t="shared" si="157"/>
        <v/>
      </c>
      <c r="AE873" s="121" t="str">
        <f t="shared" si="159"/>
        <v/>
      </c>
      <c r="AF873" s="111" t="str">
        <f t="shared" si="160"/>
        <v/>
      </c>
    </row>
    <row r="874" spans="1:32">
      <c r="A874" s="159"/>
      <c r="B874" s="160"/>
      <c r="C874" s="5"/>
      <c r="D874" s="5"/>
      <c r="E874" s="5"/>
      <c r="F874" s="5"/>
      <c r="G874" s="5"/>
      <c r="H874" s="5"/>
      <c r="I874" s="5"/>
      <c r="J874" s="5"/>
      <c r="K874" s="5"/>
      <c r="L874" s="5"/>
      <c r="M874" s="5"/>
      <c r="N874" s="5"/>
      <c r="O874" s="5"/>
      <c r="P874" s="5"/>
      <c r="Q874" s="5"/>
      <c r="R874" s="5"/>
      <c r="S874" s="5"/>
      <c r="T874" s="5"/>
      <c r="U874" s="5"/>
      <c r="V874" s="7"/>
      <c r="W874" s="7"/>
      <c r="X874" s="164" t="e">
        <f t="shared" si="155"/>
        <v>#N/A</v>
      </c>
      <c r="Y874" s="164" t="e">
        <f t="shared" si="156"/>
        <v>#N/A</v>
      </c>
      <c r="AB874" s="156">
        <f t="shared" si="158"/>
        <v>0</v>
      </c>
      <c r="AC874" s="121" t="str">
        <f t="shared" si="157"/>
        <v/>
      </c>
      <c r="AE874" s="121" t="str">
        <f t="shared" si="159"/>
        <v/>
      </c>
      <c r="AF874" s="111" t="str">
        <f t="shared" si="160"/>
        <v/>
      </c>
    </row>
    <row r="875" spans="1:32">
      <c r="A875" s="159"/>
      <c r="B875" s="160"/>
      <c r="C875" s="5"/>
      <c r="D875" s="5"/>
      <c r="E875" s="5"/>
      <c r="F875" s="5"/>
      <c r="G875" s="5"/>
      <c r="H875" s="5"/>
      <c r="I875" s="5"/>
      <c r="J875" s="5"/>
      <c r="K875" s="5"/>
      <c r="L875" s="5"/>
      <c r="M875" s="5"/>
      <c r="N875" s="5"/>
      <c r="O875" s="5"/>
      <c r="P875" s="5"/>
      <c r="Q875" s="5"/>
      <c r="R875" s="5"/>
      <c r="S875" s="5"/>
      <c r="T875" s="5"/>
      <c r="U875" s="5"/>
      <c r="V875" s="7"/>
      <c r="W875" s="7"/>
      <c r="X875" s="164" t="e">
        <f t="shared" si="155"/>
        <v>#N/A</v>
      </c>
      <c r="Y875" s="164" t="e">
        <f t="shared" si="156"/>
        <v>#N/A</v>
      </c>
      <c r="AB875" s="156">
        <f t="shared" si="158"/>
        <v>0</v>
      </c>
      <c r="AC875" s="121" t="str">
        <f t="shared" si="157"/>
        <v/>
      </c>
      <c r="AE875" s="121" t="str">
        <f t="shared" si="159"/>
        <v/>
      </c>
      <c r="AF875" s="111" t="str">
        <f t="shared" si="160"/>
        <v/>
      </c>
    </row>
    <row r="876" spans="1:32">
      <c r="A876" s="159"/>
      <c r="B876" s="160"/>
      <c r="C876" s="5"/>
      <c r="D876" s="5"/>
      <c r="E876" s="5"/>
      <c r="F876" s="5"/>
      <c r="G876" s="5"/>
      <c r="H876" s="5"/>
      <c r="I876" s="5"/>
      <c r="J876" s="5"/>
      <c r="K876" s="5"/>
      <c r="L876" s="5"/>
      <c r="M876" s="5"/>
      <c r="N876" s="5"/>
      <c r="O876" s="5"/>
      <c r="P876" s="5"/>
      <c r="Q876" s="5"/>
      <c r="R876" s="5"/>
      <c r="S876" s="5"/>
      <c r="T876" s="5"/>
      <c r="U876" s="5"/>
      <c r="V876" s="7"/>
      <c r="W876" s="7"/>
      <c r="X876" s="164" t="e">
        <f t="shared" si="155"/>
        <v>#N/A</v>
      </c>
      <c r="Y876" s="164" t="e">
        <f t="shared" si="156"/>
        <v>#N/A</v>
      </c>
      <c r="AB876" s="156">
        <f t="shared" si="158"/>
        <v>0</v>
      </c>
      <c r="AC876" s="121" t="str">
        <f t="shared" si="157"/>
        <v/>
      </c>
      <c r="AE876" s="121" t="str">
        <f t="shared" si="159"/>
        <v/>
      </c>
      <c r="AF876" s="111" t="str">
        <f t="shared" si="160"/>
        <v/>
      </c>
    </row>
    <row r="877" spans="1:32">
      <c r="A877" s="159"/>
      <c r="B877" s="160"/>
      <c r="C877" s="5"/>
      <c r="D877" s="5"/>
      <c r="E877" s="5"/>
      <c r="F877" s="5"/>
      <c r="G877" s="5"/>
      <c r="H877" s="5"/>
      <c r="I877" s="5"/>
      <c r="J877" s="5"/>
      <c r="K877" s="5"/>
      <c r="L877" s="5"/>
      <c r="M877" s="5"/>
      <c r="N877" s="5"/>
      <c r="O877" s="5"/>
      <c r="P877" s="5"/>
      <c r="Q877" s="5"/>
      <c r="R877" s="5"/>
      <c r="S877" s="5"/>
      <c r="T877" s="5"/>
      <c r="U877" s="5"/>
      <c r="V877" s="7"/>
      <c r="W877" s="7"/>
      <c r="X877" s="164" t="e">
        <f t="shared" si="155"/>
        <v>#N/A</v>
      </c>
      <c r="Y877" s="164" t="e">
        <f t="shared" si="156"/>
        <v>#N/A</v>
      </c>
      <c r="AB877" s="156">
        <f t="shared" si="158"/>
        <v>0</v>
      </c>
      <c r="AC877" s="121" t="str">
        <f t="shared" si="157"/>
        <v/>
      </c>
      <c r="AE877" s="121" t="str">
        <f t="shared" si="159"/>
        <v/>
      </c>
      <c r="AF877" s="111" t="str">
        <f t="shared" si="160"/>
        <v/>
      </c>
    </row>
    <row r="878" spans="1:32">
      <c r="A878" s="159"/>
      <c r="B878" s="160"/>
      <c r="C878" s="5"/>
      <c r="D878" s="5"/>
      <c r="E878" s="5"/>
      <c r="F878" s="5"/>
      <c r="G878" s="5"/>
      <c r="H878" s="5"/>
      <c r="I878" s="5"/>
      <c r="J878" s="5"/>
      <c r="K878" s="5"/>
      <c r="L878" s="5"/>
      <c r="M878" s="5"/>
      <c r="N878" s="5"/>
      <c r="O878" s="5"/>
      <c r="P878" s="5"/>
      <c r="Q878" s="5"/>
      <c r="R878" s="5"/>
      <c r="S878" s="5"/>
      <c r="T878" s="5"/>
      <c r="U878" s="5"/>
      <c r="V878" s="7"/>
      <c r="W878" s="7"/>
      <c r="X878" s="164" t="e">
        <f t="shared" si="155"/>
        <v>#N/A</v>
      </c>
      <c r="Y878" s="164" t="e">
        <f t="shared" si="156"/>
        <v>#N/A</v>
      </c>
      <c r="AB878" s="156">
        <f t="shared" si="158"/>
        <v>0</v>
      </c>
      <c r="AC878" s="121" t="str">
        <f t="shared" si="157"/>
        <v/>
      </c>
      <c r="AE878" s="121" t="str">
        <f t="shared" si="159"/>
        <v/>
      </c>
      <c r="AF878" s="111" t="str">
        <f t="shared" si="160"/>
        <v/>
      </c>
    </row>
    <row r="879" spans="1:32">
      <c r="A879" s="159"/>
      <c r="B879" s="160"/>
      <c r="C879" s="5"/>
      <c r="D879" s="5"/>
      <c r="E879" s="5"/>
      <c r="F879" s="5"/>
      <c r="G879" s="5"/>
      <c r="H879" s="5"/>
      <c r="I879" s="5"/>
      <c r="J879" s="5"/>
      <c r="K879" s="5"/>
      <c r="L879" s="5"/>
      <c r="M879" s="5"/>
      <c r="N879" s="5"/>
      <c r="O879" s="5"/>
      <c r="P879" s="5"/>
      <c r="Q879" s="5"/>
      <c r="R879" s="5"/>
      <c r="S879" s="5"/>
      <c r="T879" s="5"/>
      <c r="U879" s="5"/>
      <c r="V879" s="7"/>
      <c r="W879" s="7"/>
      <c r="X879" s="164" t="e">
        <f t="shared" si="155"/>
        <v>#N/A</v>
      </c>
      <c r="Y879" s="164" t="e">
        <f t="shared" si="156"/>
        <v>#N/A</v>
      </c>
      <c r="AB879" s="156">
        <f t="shared" si="158"/>
        <v>0</v>
      </c>
      <c r="AC879" s="121" t="str">
        <f t="shared" si="157"/>
        <v/>
      </c>
      <c r="AE879" s="121" t="str">
        <f t="shared" si="159"/>
        <v/>
      </c>
      <c r="AF879" s="111" t="str">
        <f t="shared" si="160"/>
        <v/>
      </c>
    </row>
    <row r="880" spans="1:32">
      <c r="A880" s="159"/>
      <c r="B880" s="160"/>
      <c r="C880" s="5"/>
      <c r="D880" s="5"/>
      <c r="E880" s="5"/>
      <c r="F880" s="5"/>
      <c r="G880" s="5"/>
      <c r="H880" s="5"/>
      <c r="I880" s="5"/>
      <c r="J880" s="5"/>
      <c r="K880" s="5"/>
      <c r="L880" s="5"/>
      <c r="M880" s="5"/>
      <c r="N880" s="5"/>
      <c r="O880" s="5"/>
      <c r="P880" s="5"/>
      <c r="Q880" s="5"/>
      <c r="R880" s="5"/>
      <c r="S880" s="5"/>
      <c r="T880" s="5"/>
      <c r="U880" s="5"/>
      <c r="V880" s="7"/>
      <c r="W880" s="7"/>
      <c r="X880" s="164" t="e">
        <f t="shared" si="155"/>
        <v>#N/A</v>
      </c>
      <c r="Y880" s="164" t="e">
        <f t="shared" si="156"/>
        <v>#N/A</v>
      </c>
      <c r="AB880" s="156">
        <f t="shared" si="158"/>
        <v>0</v>
      </c>
      <c r="AC880" s="121" t="str">
        <f t="shared" si="157"/>
        <v/>
      </c>
      <c r="AE880" s="121" t="str">
        <f t="shared" si="159"/>
        <v/>
      </c>
      <c r="AF880" s="111" t="str">
        <f t="shared" si="160"/>
        <v/>
      </c>
    </row>
    <row r="881" spans="1:32">
      <c r="A881" s="159"/>
      <c r="B881" s="160"/>
      <c r="C881" s="5"/>
      <c r="D881" s="5"/>
      <c r="E881" s="5"/>
      <c r="F881" s="5"/>
      <c r="G881" s="5"/>
      <c r="H881" s="5"/>
      <c r="I881" s="5"/>
      <c r="J881" s="5"/>
      <c r="K881" s="5"/>
      <c r="L881" s="5"/>
      <c r="M881" s="5"/>
      <c r="N881" s="5"/>
      <c r="O881" s="5"/>
      <c r="P881" s="5"/>
      <c r="Q881" s="5"/>
      <c r="R881" s="5"/>
      <c r="S881" s="5"/>
      <c r="T881" s="5"/>
      <c r="U881" s="5"/>
      <c r="V881" s="7"/>
      <c r="W881" s="7"/>
      <c r="X881" s="164" t="e">
        <f t="shared" si="155"/>
        <v>#N/A</v>
      </c>
      <c r="Y881" s="164" t="e">
        <f t="shared" si="156"/>
        <v>#N/A</v>
      </c>
      <c r="AB881" s="156">
        <f t="shared" si="158"/>
        <v>0</v>
      </c>
      <c r="AC881" s="121" t="str">
        <f t="shared" si="157"/>
        <v/>
      </c>
      <c r="AE881" s="121" t="str">
        <f t="shared" si="159"/>
        <v/>
      </c>
      <c r="AF881" s="111" t="str">
        <f t="shared" si="160"/>
        <v/>
      </c>
    </row>
    <row r="882" spans="1:32">
      <c r="A882" s="159"/>
      <c r="B882" s="160"/>
      <c r="C882" s="5"/>
      <c r="D882" s="5"/>
      <c r="E882" s="5"/>
      <c r="F882" s="5"/>
      <c r="G882" s="5"/>
      <c r="H882" s="5"/>
      <c r="I882" s="5"/>
      <c r="J882" s="5"/>
      <c r="K882" s="5"/>
      <c r="L882" s="5"/>
      <c r="M882" s="5"/>
      <c r="N882" s="5"/>
      <c r="O882" s="5"/>
      <c r="P882" s="5"/>
      <c r="Q882" s="5"/>
      <c r="R882" s="5"/>
      <c r="S882" s="5"/>
      <c r="T882" s="5"/>
      <c r="U882" s="5"/>
      <c r="V882" s="7"/>
      <c r="W882" s="7"/>
      <c r="X882" s="164" t="e">
        <f t="shared" si="155"/>
        <v>#N/A</v>
      </c>
      <c r="Y882" s="164" t="e">
        <f t="shared" si="156"/>
        <v>#N/A</v>
      </c>
      <c r="AB882" s="156">
        <f t="shared" si="158"/>
        <v>0</v>
      </c>
      <c r="AC882" s="121" t="str">
        <f t="shared" si="157"/>
        <v/>
      </c>
      <c r="AE882" s="121" t="str">
        <f t="shared" si="159"/>
        <v/>
      </c>
      <c r="AF882" s="111" t="str">
        <f t="shared" si="160"/>
        <v/>
      </c>
    </row>
    <row r="883" spans="1:32">
      <c r="A883" s="159"/>
      <c r="B883" s="160"/>
      <c r="C883" s="5"/>
      <c r="D883" s="5"/>
      <c r="E883" s="5"/>
      <c r="F883" s="5"/>
      <c r="G883" s="5"/>
      <c r="H883" s="5"/>
      <c r="I883" s="5"/>
      <c r="J883" s="5"/>
      <c r="K883" s="5"/>
      <c r="L883" s="5"/>
      <c r="M883" s="5"/>
      <c r="N883" s="5"/>
      <c r="O883" s="5"/>
      <c r="P883" s="5"/>
      <c r="Q883" s="5"/>
      <c r="R883" s="5"/>
      <c r="S883" s="5"/>
      <c r="T883" s="5"/>
      <c r="U883" s="5"/>
      <c r="V883" s="7"/>
      <c r="W883" s="7"/>
      <c r="X883" s="164" t="e">
        <f t="shared" si="155"/>
        <v>#N/A</v>
      </c>
      <c r="Y883" s="164" t="e">
        <f t="shared" si="156"/>
        <v>#N/A</v>
      </c>
      <c r="AB883" s="156">
        <f t="shared" si="158"/>
        <v>0</v>
      </c>
      <c r="AC883" s="121" t="str">
        <f t="shared" si="157"/>
        <v/>
      </c>
      <c r="AE883" s="121" t="str">
        <f t="shared" si="159"/>
        <v/>
      </c>
      <c r="AF883" s="111" t="str">
        <f t="shared" si="160"/>
        <v/>
      </c>
    </row>
    <row r="884" spans="1:32">
      <c r="A884" s="159"/>
      <c r="B884" s="160"/>
      <c r="C884" s="5"/>
      <c r="D884" s="5"/>
      <c r="E884" s="5"/>
      <c r="F884" s="5"/>
      <c r="G884" s="5"/>
      <c r="H884" s="5"/>
      <c r="I884" s="5"/>
      <c r="J884" s="5"/>
      <c r="K884" s="5"/>
      <c r="L884" s="5"/>
      <c r="M884" s="5"/>
      <c r="N884" s="5"/>
      <c r="O884" s="5"/>
      <c r="P884" s="5"/>
      <c r="Q884" s="5"/>
      <c r="R884" s="5"/>
      <c r="S884" s="5"/>
      <c r="T884" s="5"/>
      <c r="U884" s="5"/>
      <c r="V884" s="7"/>
      <c r="W884" s="7"/>
      <c r="X884" s="164" t="e">
        <f t="shared" si="155"/>
        <v>#N/A</v>
      </c>
      <c r="Y884" s="164" t="e">
        <f t="shared" si="156"/>
        <v>#N/A</v>
      </c>
      <c r="AB884" s="156">
        <f t="shared" si="158"/>
        <v>0</v>
      </c>
      <c r="AC884" s="121" t="str">
        <f t="shared" si="157"/>
        <v/>
      </c>
      <c r="AE884" s="121" t="str">
        <f t="shared" si="159"/>
        <v/>
      </c>
      <c r="AF884" s="111" t="str">
        <f t="shared" si="160"/>
        <v/>
      </c>
    </row>
    <row r="885" spans="1:32">
      <c r="A885" s="159"/>
      <c r="B885" s="160"/>
      <c r="C885" s="5"/>
      <c r="D885" s="5"/>
      <c r="E885" s="5"/>
      <c r="F885" s="5"/>
      <c r="G885" s="5"/>
      <c r="H885" s="5"/>
      <c r="I885" s="5"/>
      <c r="J885" s="5"/>
      <c r="K885" s="5"/>
      <c r="L885" s="5"/>
      <c r="M885" s="5"/>
      <c r="N885" s="5"/>
      <c r="O885" s="5"/>
      <c r="P885" s="5"/>
      <c r="Q885" s="5"/>
      <c r="R885" s="5"/>
      <c r="S885" s="5"/>
      <c r="T885" s="5"/>
      <c r="U885" s="5"/>
      <c r="V885" s="7"/>
      <c r="W885" s="7"/>
      <c r="X885" s="164" t="e">
        <f t="shared" si="155"/>
        <v>#N/A</v>
      </c>
      <c r="Y885" s="164" t="e">
        <f t="shared" si="156"/>
        <v>#N/A</v>
      </c>
      <c r="AB885" s="156">
        <f t="shared" si="158"/>
        <v>0</v>
      </c>
      <c r="AC885" s="121" t="str">
        <f t="shared" si="157"/>
        <v/>
      </c>
      <c r="AE885" s="121" t="str">
        <f t="shared" si="159"/>
        <v/>
      </c>
      <c r="AF885" s="111" t="str">
        <f t="shared" si="160"/>
        <v/>
      </c>
    </row>
    <row r="886" spans="1:32">
      <c r="A886" s="159"/>
      <c r="B886" s="160"/>
      <c r="C886" s="5"/>
      <c r="D886" s="5"/>
      <c r="E886" s="5"/>
      <c r="F886" s="5"/>
      <c r="G886" s="5"/>
      <c r="H886" s="5"/>
      <c r="I886" s="5"/>
      <c r="J886" s="5"/>
      <c r="K886" s="5"/>
      <c r="L886" s="5"/>
      <c r="M886" s="5"/>
      <c r="N886" s="5"/>
      <c r="O886" s="5"/>
      <c r="P886" s="5"/>
      <c r="Q886" s="5"/>
      <c r="R886" s="5"/>
      <c r="S886" s="5"/>
      <c r="T886" s="5"/>
      <c r="U886" s="5"/>
      <c r="V886" s="7"/>
      <c r="W886" s="7"/>
      <c r="X886" s="164" t="e">
        <f t="shared" si="155"/>
        <v>#N/A</v>
      </c>
      <c r="Y886" s="164" t="e">
        <f t="shared" si="156"/>
        <v>#N/A</v>
      </c>
      <c r="AB886" s="156">
        <f t="shared" si="158"/>
        <v>0</v>
      </c>
      <c r="AC886" s="121" t="str">
        <f t="shared" si="157"/>
        <v/>
      </c>
      <c r="AE886" s="121" t="str">
        <f t="shared" si="159"/>
        <v/>
      </c>
      <c r="AF886" s="111" t="str">
        <f t="shared" si="160"/>
        <v/>
      </c>
    </row>
    <row r="887" spans="1:32">
      <c r="A887" s="159"/>
      <c r="B887" s="160"/>
      <c r="C887" s="5"/>
      <c r="D887" s="5"/>
      <c r="E887" s="5"/>
      <c r="F887" s="5"/>
      <c r="G887" s="5"/>
      <c r="H887" s="5"/>
      <c r="I887" s="5"/>
      <c r="J887" s="5"/>
      <c r="K887" s="5"/>
      <c r="L887" s="5"/>
      <c r="M887" s="5"/>
      <c r="N887" s="5"/>
      <c r="O887" s="5"/>
      <c r="P887" s="5"/>
      <c r="Q887" s="5"/>
      <c r="R887" s="5"/>
      <c r="S887" s="5"/>
      <c r="T887" s="5"/>
      <c r="U887" s="5"/>
      <c r="V887" s="7"/>
      <c r="W887" s="7"/>
      <c r="X887" s="164" t="e">
        <f t="shared" si="155"/>
        <v>#N/A</v>
      </c>
      <c r="Y887" s="164" t="e">
        <f t="shared" si="156"/>
        <v>#N/A</v>
      </c>
      <c r="AB887" s="156">
        <f t="shared" si="158"/>
        <v>0</v>
      </c>
      <c r="AC887" s="121" t="str">
        <f t="shared" si="157"/>
        <v/>
      </c>
      <c r="AE887" s="121" t="str">
        <f t="shared" si="159"/>
        <v/>
      </c>
      <c r="AF887" s="111" t="str">
        <f t="shared" si="160"/>
        <v/>
      </c>
    </row>
    <row r="888" spans="1:32">
      <c r="A888" s="159"/>
      <c r="B888" s="160"/>
      <c r="C888" s="5"/>
      <c r="D888" s="5"/>
      <c r="E888" s="5"/>
      <c r="F888" s="5"/>
      <c r="G888" s="5"/>
      <c r="H888" s="5"/>
      <c r="I888" s="5"/>
      <c r="J888" s="5"/>
      <c r="K888" s="5"/>
      <c r="L888" s="5"/>
      <c r="M888" s="5"/>
      <c r="N888" s="5"/>
      <c r="O888" s="5"/>
      <c r="P888" s="5"/>
      <c r="Q888" s="5"/>
      <c r="R888" s="5"/>
      <c r="S888" s="5"/>
      <c r="T888" s="5"/>
      <c r="U888" s="5"/>
      <c r="V888" s="7"/>
      <c r="W888" s="7"/>
      <c r="X888" s="164" t="e">
        <f t="shared" si="155"/>
        <v>#N/A</v>
      </c>
      <c r="Y888" s="164" t="e">
        <f t="shared" si="156"/>
        <v>#N/A</v>
      </c>
      <c r="AB888" s="156">
        <f t="shared" si="158"/>
        <v>0</v>
      </c>
      <c r="AC888" s="121" t="str">
        <f t="shared" si="157"/>
        <v/>
      </c>
      <c r="AE888" s="121" t="str">
        <f t="shared" si="159"/>
        <v/>
      </c>
      <c r="AF888" s="111" t="str">
        <f t="shared" si="160"/>
        <v/>
      </c>
    </row>
    <row r="889" spans="1:32">
      <c r="A889" s="159"/>
      <c r="B889" s="160"/>
      <c r="C889" s="5"/>
      <c r="D889" s="5"/>
      <c r="E889" s="5"/>
      <c r="F889" s="5"/>
      <c r="G889" s="5"/>
      <c r="H889" s="5"/>
      <c r="I889" s="5"/>
      <c r="J889" s="5"/>
      <c r="K889" s="5"/>
      <c r="L889" s="5"/>
      <c r="M889" s="5"/>
      <c r="N889" s="5"/>
      <c r="O889" s="5"/>
      <c r="P889" s="5"/>
      <c r="Q889" s="5"/>
      <c r="R889" s="5"/>
      <c r="S889" s="5"/>
      <c r="T889" s="5"/>
      <c r="U889" s="5"/>
      <c r="V889" s="7"/>
      <c r="W889" s="7"/>
      <c r="X889" s="164" t="e">
        <f t="shared" si="155"/>
        <v>#N/A</v>
      </c>
      <c r="Y889" s="164" t="e">
        <f t="shared" si="156"/>
        <v>#N/A</v>
      </c>
      <c r="AB889" s="156">
        <f t="shared" si="158"/>
        <v>0</v>
      </c>
      <c r="AC889" s="121" t="str">
        <f t="shared" si="157"/>
        <v/>
      </c>
      <c r="AE889" s="121" t="str">
        <f t="shared" si="159"/>
        <v/>
      </c>
      <c r="AF889" s="111" t="str">
        <f t="shared" si="160"/>
        <v/>
      </c>
    </row>
    <row r="890" spans="1:32">
      <c r="A890" s="159"/>
      <c r="B890" s="160"/>
      <c r="C890" s="5"/>
      <c r="D890" s="5"/>
      <c r="E890" s="5"/>
      <c r="F890" s="5"/>
      <c r="G890" s="5"/>
      <c r="H890" s="5"/>
      <c r="I890" s="5"/>
      <c r="J890" s="5"/>
      <c r="K890" s="5"/>
      <c r="L890" s="5"/>
      <c r="M890" s="5"/>
      <c r="N890" s="5"/>
      <c r="O890" s="5"/>
      <c r="P890" s="5"/>
      <c r="Q890" s="5"/>
      <c r="R890" s="5"/>
      <c r="S890" s="5"/>
      <c r="T890" s="5"/>
      <c r="U890" s="5"/>
      <c r="V890" s="7"/>
      <c r="W890" s="7"/>
      <c r="X890" s="164" t="e">
        <f t="shared" si="155"/>
        <v>#N/A</v>
      </c>
      <c r="Y890" s="164" t="e">
        <f t="shared" si="156"/>
        <v>#N/A</v>
      </c>
      <c r="AB890" s="156">
        <f t="shared" si="158"/>
        <v>0</v>
      </c>
      <c r="AC890" s="121" t="str">
        <f t="shared" si="157"/>
        <v/>
      </c>
      <c r="AE890" s="121" t="str">
        <f t="shared" si="159"/>
        <v/>
      </c>
      <c r="AF890" s="111" t="str">
        <f t="shared" si="160"/>
        <v/>
      </c>
    </row>
    <row r="891" spans="1:32">
      <c r="A891" s="159"/>
      <c r="B891" s="160"/>
      <c r="C891" s="5"/>
      <c r="D891" s="5"/>
      <c r="E891" s="5"/>
      <c r="F891" s="5"/>
      <c r="G891" s="5"/>
      <c r="H891" s="5"/>
      <c r="I891" s="5"/>
      <c r="J891" s="5"/>
      <c r="K891" s="5"/>
      <c r="L891" s="5"/>
      <c r="M891" s="5"/>
      <c r="N891" s="5"/>
      <c r="O891" s="5"/>
      <c r="P891" s="5"/>
      <c r="Q891" s="5"/>
      <c r="R891" s="5"/>
      <c r="S891" s="5"/>
      <c r="T891" s="5"/>
      <c r="U891" s="5"/>
      <c r="V891" s="7"/>
      <c r="W891" s="7"/>
      <c r="X891" s="164" t="e">
        <f t="shared" si="155"/>
        <v>#N/A</v>
      </c>
      <c r="Y891" s="164" t="e">
        <f t="shared" si="156"/>
        <v>#N/A</v>
      </c>
      <c r="AB891" s="156">
        <f t="shared" si="158"/>
        <v>0</v>
      </c>
      <c r="AC891" s="121" t="str">
        <f t="shared" si="157"/>
        <v/>
      </c>
      <c r="AE891" s="121" t="str">
        <f t="shared" si="159"/>
        <v/>
      </c>
      <c r="AF891" s="111" t="str">
        <f t="shared" si="160"/>
        <v/>
      </c>
    </row>
    <row r="892" spans="1:32">
      <c r="A892" s="159"/>
      <c r="B892" s="160"/>
      <c r="C892" s="5"/>
      <c r="D892" s="5"/>
      <c r="E892" s="5"/>
      <c r="F892" s="5"/>
      <c r="G892" s="5"/>
      <c r="H892" s="5"/>
      <c r="I892" s="5"/>
      <c r="J892" s="5"/>
      <c r="K892" s="5"/>
      <c r="L892" s="5"/>
      <c r="M892" s="5"/>
      <c r="N892" s="5"/>
      <c r="O892" s="5"/>
      <c r="P892" s="5"/>
      <c r="Q892" s="5"/>
      <c r="R892" s="5"/>
      <c r="S892" s="5"/>
      <c r="T892" s="5"/>
      <c r="U892" s="5"/>
      <c r="V892" s="7"/>
      <c r="W892" s="7"/>
      <c r="X892" s="164" t="e">
        <f t="shared" si="155"/>
        <v>#N/A</v>
      </c>
      <c r="Y892" s="164" t="e">
        <f t="shared" si="156"/>
        <v>#N/A</v>
      </c>
      <c r="AB892" s="156">
        <f t="shared" si="158"/>
        <v>0</v>
      </c>
      <c r="AC892" s="121" t="str">
        <f t="shared" si="157"/>
        <v/>
      </c>
      <c r="AE892" s="121" t="str">
        <f t="shared" si="159"/>
        <v/>
      </c>
      <c r="AF892" s="111" t="str">
        <f t="shared" si="160"/>
        <v/>
      </c>
    </row>
    <row r="893" spans="1:32">
      <c r="A893" s="159"/>
      <c r="B893" s="160"/>
      <c r="C893" s="5"/>
      <c r="D893" s="5"/>
      <c r="E893" s="5"/>
      <c r="F893" s="5"/>
      <c r="G893" s="5"/>
      <c r="H893" s="5"/>
      <c r="I893" s="5"/>
      <c r="J893" s="5"/>
      <c r="K893" s="5"/>
      <c r="L893" s="5"/>
      <c r="M893" s="5"/>
      <c r="N893" s="5"/>
      <c r="O893" s="5"/>
      <c r="P893" s="5"/>
      <c r="Q893" s="5"/>
      <c r="R893" s="5"/>
      <c r="S893" s="5"/>
      <c r="T893" s="5"/>
      <c r="U893" s="5"/>
      <c r="V893" s="7"/>
      <c r="W893" s="7"/>
      <c r="X893" s="164" t="e">
        <f t="shared" si="155"/>
        <v>#N/A</v>
      </c>
      <c r="Y893" s="164" t="e">
        <f t="shared" si="156"/>
        <v>#N/A</v>
      </c>
      <c r="AB893" s="156">
        <f t="shared" si="158"/>
        <v>0</v>
      </c>
      <c r="AC893" s="121" t="str">
        <f t="shared" si="157"/>
        <v/>
      </c>
      <c r="AE893" s="121" t="str">
        <f t="shared" si="159"/>
        <v/>
      </c>
      <c r="AF893" s="111" t="str">
        <f t="shared" si="160"/>
        <v/>
      </c>
    </row>
    <row r="894" spans="1:32">
      <c r="A894" s="159"/>
      <c r="B894" s="160"/>
      <c r="C894" s="5"/>
      <c r="D894" s="5"/>
      <c r="E894" s="5"/>
      <c r="F894" s="5"/>
      <c r="G894" s="5"/>
      <c r="H894" s="5"/>
      <c r="I894" s="5"/>
      <c r="J894" s="5"/>
      <c r="K894" s="5"/>
      <c r="L894" s="5"/>
      <c r="M894" s="5"/>
      <c r="N894" s="5"/>
      <c r="O894" s="5"/>
      <c r="P894" s="5"/>
      <c r="Q894" s="5"/>
      <c r="R894" s="5"/>
      <c r="S894" s="5"/>
      <c r="T894" s="5"/>
      <c r="U894" s="5"/>
      <c r="V894" s="7"/>
      <c r="W894" s="7"/>
      <c r="X894" s="164" t="e">
        <f t="shared" si="155"/>
        <v>#N/A</v>
      </c>
      <c r="Y894" s="164" t="e">
        <f t="shared" si="156"/>
        <v>#N/A</v>
      </c>
      <c r="AB894" s="156">
        <f t="shared" si="158"/>
        <v>0</v>
      </c>
      <c r="AC894" s="121" t="str">
        <f t="shared" si="157"/>
        <v/>
      </c>
      <c r="AE894" s="121" t="str">
        <f t="shared" si="159"/>
        <v/>
      </c>
      <c r="AF894" s="111" t="str">
        <f t="shared" si="160"/>
        <v/>
      </c>
    </row>
    <row r="895" spans="1:32">
      <c r="A895" s="159"/>
      <c r="B895" s="160"/>
      <c r="C895" s="5"/>
      <c r="D895" s="5"/>
      <c r="E895" s="5"/>
      <c r="F895" s="5"/>
      <c r="G895" s="5"/>
      <c r="H895" s="5"/>
      <c r="I895" s="5"/>
      <c r="J895" s="5"/>
      <c r="K895" s="5"/>
      <c r="L895" s="5"/>
      <c r="M895" s="5"/>
      <c r="N895" s="5"/>
      <c r="O895" s="5"/>
      <c r="P895" s="5"/>
      <c r="Q895" s="5"/>
      <c r="R895" s="5"/>
      <c r="S895" s="5"/>
      <c r="T895" s="5"/>
      <c r="U895" s="5"/>
      <c r="V895" s="7"/>
      <c r="W895" s="7"/>
      <c r="X895" s="164" t="e">
        <f t="shared" si="155"/>
        <v>#N/A</v>
      </c>
      <c r="Y895" s="164" t="e">
        <f t="shared" si="156"/>
        <v>#N/A</v>
      </c>
      <c r="AB895" s="156">
        <f t="shared" si="158"/>
        <v>0</v>
      </c>
      <c r="AC895" s="121" t="str">
        <f t="shared" si="157"/>
        <v/>
      </c>
      <c r="AE895" s="121" t="str">
        <f t="shared" si="159"/>
        <v/>
      </c>
      <c r="AF895" s="111" t="str">
        <f t="shared" si="160"/>
        <v/>
      </c>
    </row>
    <row r="896" spans="1:32">
      <c r="A896" s="159"/>
      <c r="B896" s="160"/>
      <c r="C896" s="5"/>
      <c r="D896" s="5"/>
      <c r="E896" s="5"/>
      <c r="F896" s="5"/>
      <c r="G896" s="5"/>
      <c r="H896" s="5"/>
      <c r="I896" s="5"/>
      <c r="J896" s="5"/>
      <c r="K896" s="5"/>
      <c r="L896" s="5"/>
      <c r="M896" s="5"/>
      <c r="N896" s="5"/>
      <c r="O896" s="5"/>
      <c r="P896" s="5"/>
      <c r="Q896" s="5"/>
      <c r="R896" s="5"/>
      <c r="S896" s="5"/>
      <c r="T896" s="5"/>
      <c r="U896" s="5"/>
      <c r="V896" s="7"/>
      <c r="W896" s="7"/>
      <c r="X896" s="164" t="e">
        <f t="shared" si="155"/>
        <v>#N/A</v>
      </c>
      <c r="Y896" s="164" t="e">
        <f t="shared" si="156"/>
        <v>#N/A</v>
      </c>
      <c r="AB896" s="156">
        <f t="shared" si="158"/>
        <v>0</v>
      </c>
      <c r="AC896" s="121" t="str">
        <f t="shared" si="157"/>
        <v/>
      </c>
      <c r="AE896" s="121" t="str">
        <f t="shared" si="159"/>
        <v/>
      </c>
      <c r="AF896" s="111" t="str">
        <f t="shared" si="160"/>
        <v/>
      </c>
    </row>
    <row r="897" spans="1:32">
      <c r="A897" s="159"/>
      <c r="B897" s="160"/>
      <c r="C897" s="5"/>
      <c r="D897" s="5"/>
      <c r="E897" s="5"/>
      <c r="F897" s="5"/>
      <c r="G897" s="5"/>
      <c r="H897" s="5"/>
      <c r="I897" s="5"/>
      <c r="J897" s="5"/>
      <c r="K897" s="5"/>
      <c r="L897" s="5"/>
      <c r="M897" s="5"/>
      <c r="N897" s="5"/>
      <c r="O897" s="5"/>
      <c r="P897" s="5"/>
      <c r="Q897" s="5"/>
      <c r="R897" s="5"/>
      <c r="S897" s="5"/>
      <c r="T897" s="5"/>
      <c r="U897" s="5"/>
      <c r="V897" s="7"/>
      <c r="W897" s="7"/>
      <c r="X897" s="164" t="e">
        <f t="shared" si="155"/>
        <v>#N/A</v>
      </c>
      <c r="Y897" s="164" t="e">
        <f t="shared" si="156"/>
        <v>#N/A</v>
      </c>
      <c r="AB897" s="156">
        <f t="shared" si="158"/>
        <v>0</v>
      </c>
      <c r="AC897" s="121" t="str">
        <f t="shared" si="157"/>
        <v/>
      </c>
      <c r="AE897" s="121" t="str">
        <f t="shared" si="159"/>
        <v/>
      </c>
      <c r="AF897" s="111" t="str">
        <f t="shared" si="160"/>
        <v/>
      </c>
    </row>
    <row r="898" spans="1:32">
      <c r="A898" s="159"/>
      <c r="B898" s="160"/>
      <c r="C898" s="5"/>
      <c r="D898" s="5"/>
      <c r="E898" s="5"/>
      <c r="F898" s="5"/>
      <c r="G898" s="5"/>
      <c r="H898" s="5"/>
      <c r="I898" s="5"/>
      <c r="J898" s="5"/>
      <c r="K898" s="5"/>
      <c r="L898" s="5"/>
      <c r="M898" s="5"/>
      <c r="N898" s="5"/>
      <c r="O898" s="5"/>
      <c r="P898" s="5"/>
      <c r="Q898" s="5"/>
      <c r="R898" s="5"/>
      <c r="S898" s="5"/>
      <c r="T898" s="5"/>
      <c r="U898" s="5"/>
      <c r="V898" s="7"/>
      <c r="W898" s="7"/>
      <c r="X898" s="164" t="e">
        <f t="shared" ref="X898:X961" si="161">IF(AB898=1, A898,NA())</f>
        <v>#N/A</v>
      </c>
      <c r="Y898" s="164" t="e">
        <f t="shared" ref="Y898:Y961" si="162">IF(AB898=1,B898-($H$7+$I$7*X898),NA())</f>
        <v>#N/A</v>
      </c>
      <c r="AB898" s="156">
        <f t="shared" si="158"/>
        <v>0</v>
      </c>
      <c r="AC898" s="121" t="str">
        <f t="shared" ref="AC898:AC961" si="163">IF(ISBLANK(A898), "", Y898^2)</f>
        <v/>
      </c>
      <c r="AE898" s="121" t="str">
        <f t="shared" si="159"/>
        <v/>
      </c>
      <c r="AF898" s="111" t="str">
        <f t="shared" si="160"/>
        <v/>
      </c>
    </row>
    <row r="899" spans="1:32">
      <c r="A899" s="159"/>
      <c r="B899" s="160"/>
      <c r="C899" s="5"/>
      <c r="D899" s="5"/>
      <c r="E899" s="5"/>
      <c r="F899" s="5"/>
      <c r="G899" s="5"/>
      <c r="H899" s="5"/>
      <c r="I899" s="5"/>
      <c r="J899" s="5"/>
      <c r="K899" s="5"/>
      <c r="L899" s="5"/>
      <c r="M899" s="5"/>
      <c r="N899" s="5"/>
      <c r="O899" s="5"/>
      <c r="P899" s="5"/>
      <c r="Q899" s="5"/>
      <c r="R899" s="5"/>
      <c r="S899" s="5"/>
      <c r="T899" s="5"/>
      <c r="U899" s="5"/>
      <c r="V899" s="7"/>
      <c r="W899" s="7"/>
      <c r="X899" s="164" t="e">
        <f t="shared" si="161"/>
        <v>#N/A</v>
      </c>
      <c r="Y899" s="164" t="e">
        <f t="shared" si="162"/>
        <v>#N/A</v>
      </c>
      <c r="AB899" s="156">
        <f t="shared" ref="AB899:AB962" si="164">IF(ISBLANK(A899),0,1)</f>
        <v>0</v>
      </c>
      <c r="AC899" s="121" t="str">
        <f t="shared" si="163"/>
        <v/>
      </c>
      <c r="AE899" s="121" t="str">
        <f t="shared" ref="AE899:AE962" si="165">IF(AB899=1,(A899-$AA$2)^2, "")</f>
        <v/>
      </c>
      <c r="AF899" s="111" t="str">
        <f t="shared" si="160"/>
        <v/>
      </c>
    </row>
    <row r="900" spans="1:32">
      <c r="A900" s="159"/>
      <c r="B900" s="160"/>
      <c r="C900" s="5"/>
      <c r="D900" s="5"/>
      <c r="E900" s="5"/>
      <c r="F900" s="5"/>
      <c r="G900" s="5"/>
      <c r="H900" s="5"/>
      <c r="I900" s="5"/>
      <c r="J900" s="5"/>
      <c r="K900" s="5"/>
      <c r="L900" s="5"/>
      <c r="M900" s="5"/>
      <c r="N900" s="5"/>
      <c r="O900" s="5"/>
      <c r="P900" s="5"/>
      <c r="Q900" s="5"/>
      <c r="R900" s="5"/>
      <c r="S900" s="5"/>
      <c r="T900" s="5"/>
      <c r="U900" s="5"/>
      <c r="V900" s="7"/>
      <c r="W900" s="7"/>
      <c r="X900" s="164" t="e">
        <f t="shared" si="161"/>
        <v>#N/A</v>
      </c>
      <c r="Y900" s="164" t="e">
        <f t="shared" si="162"/>
        <v>#N/A</v>
      </c>
      <c r="AB900" s="156">
        <f t="shared" si="164"/>
        <v>0</v>
      </c>
      <c r="AC900" s="121" t="str">
        <f t="shared" si="163"/>
        <v/>
      </c>
      <c r="AE900" s="121" t="str">
        <f t="shared" si="165"/>
        <v/>
      </c>
      <c r="AF900" s="111" t="str">
        <f t="shared" ref="AF900:AF963" si="166">IFERROR(Y899, "")</f>
        <v/>
      </c>
    </row>
    <row r="901" spans="1:32">
      <c r="A901" s="159"/>
      <c r="B901" s="160"/>
      <c r="C901" s="5"/>
      <c r="D901" s="5"/>
      <c r="E901" s="5"/>
      <c r="F901" s="5"/>
      <c r="G901" s="5"/>
      <c r="H901" s="5"/>
      <c r="I901" s="5"/>
      <c r="J901" s="5"/>
      <c r="K901" s="5"/>
      <c r="L901" s="5"/>
      <c r="M901" s="5"/>
      <c r="N901" s="5"/>
      <c r="O901" s="5"/>
      <c r="P901" s="5"/>
      <c r="Q901" s="5"/>
      <c r="R901" s="5"/>
      <c r="S901" s="5"/>
      <c r="T901" s="5"/>
      <c r="U901" s="5"/>
      <c r="V901" s="7"/>
      <c r="W901" s="7"/>
      <c r="X901" s="164" t="e">
        <f t="shared" si="161"/>
        <v>#N/A</v>
      </c>
      <c r="Y901" s="164" t="e">
        <f t="shared" si="162"/>
        <v>#N/A</v>
      </c>
      <c r="AB901" s="156">
        <f t="shared" si="164"/>
        <v>0</v>
      </c>
      <c r="AC901" s="121" t="str">
        <f t="shared" si="163"/>
        <v/>
      </c>
      <c r="AE901" s="121" t="str">
        <f t="shared" si="165"/>
        <v/>
      </c>
      <c r="AF901" s="111" t="str">
        <f t="shared" si="166"/>
        <v/>
      </c>
    </row>
    <row r="902" spans="1:32">
      <c r="A902" s="159"/>
      <c r="B902" s="160"/>
      <c r="C902" s="5"/>
      <c r="D902" s="5"/>
      <c r="E902" s="5"/>
      <c r="F902" s="5"/>
      <c r="G902" s="5"/>
      <c r="H902" s="5"/>
      <c r="I902" s="5"/>
      <c r="J902" s="5"/>
      <c r="K902" s="5"/>
      <c r="L902" s="5"/>
      <c r="M902" s="5"/>
      <c r="N902" s="5"/>
      <c r="O902" s="5"/>
      <c r="P902" s="5"/>
      <c r="Q902" s="5"/>
      <c r="R902" s="5"/>
      <c r="S902" s="5"/>
      <c r="T902" s="5"/>
      <c r="U902" s="5"/>
      <c r="V902" s="7"/>
      <c r="W902" s="7"/>
      <c r="X902" s="164" t="e">
        <f t="shared" si="161"/>
        <v>#N/A</v>
      </c>
      <c r="Y902" s="164" t="e">
        <f t="shared" si="162"/>
        <v>#N/A</v>
      </c>
      <c r="AB902" s="156">
        <f t="shared" si="164"/>
        <v>0</v>
      </c>
      <c r="AC902" s="121" t="str">
        <f t="shared" si="163"/>
        <v/>
      </c>
      <c r="AE902" s="121" t="str">
        <f t="shared" si="165"/>
        <v/>
      </c>
      <c r="AF902" s="111" t="str">
        <f t="shared" si="166"/>
        <v/>
      </c>
    </row>
    <row r="903" spans="1:32">
      <c r="A903" s="159"/>
      <c r="B903" s="160"/>
      <c r="C903" s="5"/>
      <c r="D903" s="5"/>
      <c r="E903" s="5"/>
      <c r="F903" s="5"/>
      <c r="G903" s="5"/>
      <c r="H903" s="5"/>
      <c r="I903" s="5"/>
      <c r="J903" s="5"/>
      <c r="K903" s="5"/>
      <c r="L903" s="5"/>
      <c r="M903" s="5"/>
      <c r="N903" s="5"/>
      <c r="O903" s="5"/>
      <c r="P903" s="5"/>
      <c r="Q903" s="5"/>
      <c r="R903" s="5"/>
      <c r="S903" s="5"/>
      <c r="T903" s="5"/>
      <c r="U903" s="5"/>
      <c r="V903" s="7"/>
      <c r="W903" s="7"/>
      <c r="X903" s="164" t="e">
        <f t="shared" si="161"/>
        <v>#N/A</v>
      </c>
      <c r="Y903" s="164" t="e">
        <f t="shared" si="162"/>
        <v>#N/A</v>
      </c>
      <c r="AB903" s="156">
        <f t="shared" si="164"/>
        <v>0</v>
      </c>
      <c r="AC903" s="121" t="str">
        <f t="shared" si="163"/>
        <v/>
      </c>
      <c r="AE903" s="121" t="str">
        <f t="shared" si="165"/>
        <v/>
      </c>
      <c r="AF903" s="111" t="str">
        <f t="shared" si="166"/>
        <v/>
      </c>
    </row>
    <row r="904" spans="1:32">
      <c r="A904" s="159"/>
      <c r="B904" s="160"/>
      <c r="C904" s="5"/>
      <c r="D904" s="5"/>
      <c r="E904" s="5"/>
      <c r="F904" s="5"/>
      <c r="G904" s="5"/>
      <c r="H904" s="5"/>
      <c r="I904" s="5"/>
      <c r="J904" s="5"/>
      <c r="K904" s="5"/>
      <c r="L904" s="5"/>
      <c r="M904" s="5"/>
      <c r="N904" s="5"/>
      <c r="O904" s="5"/>
      <c r="P904" s="5"/>
      <c r="Q904" s="5"/>
      <c r="R904" s="5"/>
      <c r="S904" s="5"/>
      <c r="T904" s="5"/>
      <c r="U904" s="5"/>
      <c r="V904" s="7"/>
      <c r="W904" s="7"/>
      <c r="X904" s="164" t="e">
        <f t="shared" si="161"/>
        <v>#N/A</v>
      </c>
      <c r="Y904" s="164" t="e">
        <f t="shared" si="162"/>
        <v>#N/A</v>
      </c>
      <c r="AB904" s="156">
        <f t="shared" si="164"/>
        <v>0</v>
      </c>
      <c r="AC904" s="121" t="str">
        <f t="shared" si="163"/>
        <v/>
      </c>
      <c r="AE904" s="121" t="str">
        <f t="shared" si="165"/>
        <v/>
      </c>
      <c r="AF904" s="111" t="str">
        <f t="shared" si="166"/>
        <v/>
      </c>
    </row>
    <row r="905" spans="1:32">
      <c r="A905" s="159"/>
      <c r="B905" s="160"/>
      <c r="C905" s="5"/>
      <c r="D905" s="5"/>
      <c r="E905" s="5"/>
      <c r="F905" s="5"/>
      <c r="G905" s="5"/>
      <c r="H905" s="5"/>
      <c r="I905" s="5"/>
      <c r="J905" s="5"/>
      <c r="K905" s="5"/>
      <c r="L905" s="5"/>
      <c r="M905" s="5"/>
      <c r="N905" s="5"/>
      <c r="O905" s="5"/>
      <c r="P905" s="5"/>
      <c r="Q905" s="5"/>
      <c r="R905" s="5"/>
      <c r="S905" s="5"/>
      <c r="T905" s="5"/>
      <c r="U905" s="5"/>
      <c r="V905" s="7"/>
      <c r="W905" s="7"/>
      <c r="X905" s="164" t="e">
        <f t="shared" si="161"/>
        <v>#N/A</v>
      </c>
      <c r="Y905" s="164" t="e">
        <f t="shared" si="162"/>
        <v>#N/A</v>
      </c>
      <c r="AB905" s="156">
        <f t="shared" si="164"/>
        <v>0</v>
      </c>
      <c r="AC905" s="121" t="str">
        <f t="shared" si="163"/>
        <v/>
      </c>
      <c r="AE905" s="121" t="str">
        <f t="shared" si="165"/>
        <v/>
      </c>
      <c r="AF905" s="111" t="str">
        <f t="shared" si="166"/>
        <v/>
      </c>
    </row>
    <row r="906" spans="1:32">
      <c r="A906" s="159"/>
      <c r="B906" s="160"/>
      <c r="C906" s="5"/>
      <c r="D906" s="5"/>
      <c r="E906" s="5"/>
      <c r="F906" s="5"/>
      <c r="G906" s="5"/>
      <c r="H906" s="5"/>
      <c r="I906" s="5"/>
      <c r="J906" s="5"/>
      <c r="K906" s="5"/>
      <c r="L906" s="5"/>
      <c r="M906" s="5"/>
      <c r="N906" s="5"/>
      <c r="O906" s="5"/>
      <c r="P906" s="5"/>
      <c r="Q906" s="5"/>
      <c r="R906" s="5"/>
      <c r="S906" s="5"/>
      <c r="T906" s="5"/>
      <c r="U906" s="5"/>
      <c r="V906" s="7"/>
      <c r="W906" s="7"/>
      <c r="X906" s="164" t="e">
        <f t="shared" si="161"/>
        <v>#N/A</v>
      </c>
      <c r="Y906" s="164" t="e">
        <f t="shared" si="162"/>
        <v>#N/A</v>
      </c>
      <c r="AB906" s="156">
        <f t="shared" si="164"/>
        <v>0</v>
      </c>
      <c r="AC906" s="121" t="str">
        <f t="shared" si="163"/>
        <v/>
      </c>
      <c r="AE906" s="121" t="str">
        <f t="shared" si="165"/>
        <v/>
      </c>
      <c r="AF906" s="111" t="str">
        <f t="shared" si="166"/>
        <v/>
      </c>
    </row>
    <row r="907" spans="1:32">
      <c r="A907" s="159"/>
      <c r="B907" s="160"/>
      <c r="C907" s="5"/>
      <c r="D907" s="5"/>
      <c r="E907" s="5"/>
      <c r="F907" s="5"/>
      <c r="G907" s="5"/>
      <c r="H907" s="5"/>
      <c r="I907" s="5"/>
      <c r="J907" s="5"/>
      <c r="K907" s="5"/>
      <c r="L907" s="5"/>
      <c r="M907" s="5"/>
      <c r="N907" s="5"/>
      <c r="O907" s="5"/>
      <c r="P907" s="5"/>
      <c r="Q907" s="5"/>
      <c r="R907" s="5"/>
      <c r="S907" s="5"/>
      <c r="T907" s="5"/>
      <c r="U907" s="5"/>
      <c r="V907" s="7"/>
      <c r="W907" s="7"/>
      <c r="X907" s="164" t="e">
        <f t="shared" si="161"/>
        <v>#N/A</v>
      </c>
      <c r="Y907" s="164" t="e">
        <f t="shared" si="162"/>
        <v>#N/A</v>
      </c>
      <c r="AB907" s="156">
        <f t="shared" si="164"/>
        <v>0</v>
      </c>
      <c r="AC907" s="121" t="str">
        <f t="shared" si="163"/>
        <v/>
      </c>
      <c r="AE907" s="121" t="str">
        <f t="shared" si="165"/>
        <v/>
      </c>
      <c r="AF907" s="111" t="str">
        <f t="shared" si="166"/>
        <v/>
      </c>
    </row>
    <row r="908" spans="1:32">
      <c r="A908" s="159"/>
      <c r="B908" s="160"/>
      <c r="C908" s="5"/>
      <c r="D908" s="5"/>
      <c r="E908" s="5"/>
      <c r="F908" s="5"/>
      <c r="G908" s="5"/>
      <c r="H908" s="5"/>
      <c r="I908" s="5"/>
      <c r="J908" s="5"/>
      <c r="K908" s="5"/>
      <c r="L908" s="5"/>
      <c r="M908" s="5"/>
      <c r="N908" s="5"/>
      <c r="O908" s="5"/>
      <c r="P908" s="5"/>
      <c r="Q908" s="5"/>
      <c r="R908" s="5"/>
      <c r="S908" s="5"/>
      <c r="T908" s="5"/>
      <c r="U908" s="5"/>
      <c r="V908" s="7"/>
      <c r="W908" s="7"/>
      <c r="X908" s="164" t="e">
        <f t="shared" si="161"/>
        <v>#N/A</v>
      </c>
      <c r="Y908" s="164" t="e">
        <f t="shared" si="162"/>
        <v>#N/A</v>
      </c>
      <c r="AB908" s="156">
        <f t="shared" si="164"/>
        <v>0</v>
      </c>
      <c r="AC908" s="121" t="str">
        <f t="shared" si="163"/>
        <v/>
      </c>
      <c r="AE908" s="121" t="str">
        <f t="shared" si="165"/>
        <v/>
      </c>
      <c r="AF908" s="111" t="str">
        <f t="shared" si="166"/>
        <v/>
      </c>
    </row>
    <row r="909" spans="1:32">
      <c r="A909" s="159"/>
      <c r="B909" s="160"/>
      <c r="C909" s="5"/>
      <c r="D909" s="5"/>
      <c r="E909" s="5"/>
      <c r="F909" s="5"/>
      <c r="G909" s="5"/>
      <c r="H909" s="5"/>
      <c r="I909" s="5"/>
      <c r="J909" s="5"/>
      <c r="K909" s="5"/>
      <c r="L909" s="5"/>
      <c r="M909" s="5"/>
      <c r="N909" s="5"/>
      <c r="O909" s="5"/>
      <c r="P909" s="5"/>
      <c r="Q909" s="5"/>
      <c r="R909" s="5"/>
      <c r="S909" s="5"/>
      <c r="T909" s="5"/>
      <c r="U909" s="5"/>
      <c r="V909" s="7"/>
      <c r="W909" s="7"/>
      <c r="X909" s="164" t="e">
        <f t="shared" si="161"/>
        <v>#N/A</v>
      </c>
      <c r="Y909" s="164" t="e">
        <f t="shared" si="162"/>
        <v>#N/A</v>
      </c>
      <c r="AB909" s="156">
        <f t="shared" si="164"/>
        <v>0</v>
      </c>
      <c r="AC909" s="121" t="str">
        <f t="shared" si="163"/>
        <v/>
      </c>
      <c r="AE909" s="121" t="str">
        <f t="shared" si="165"/>
        <v/>
      </c>
      <c r="AF909" s="111" t="str">
        <f t="shared" si="166"/>
        <v/>
      </c>
    </row>
    <row r="910" spans="1:32">
      <c r="A910" s="159"/>
      <c r="B910" s="160"/>
      <c r="C910" s="5"/>
      <c r="D910" s="5"/>
      <c r="E910" s="5"/>
      <c r="F910" s="5"/>
      <c r="G910" s="5"/>
      <c r="H910" s="5"/>
      <c r="I910" s="5"/>
      <c r="J910" s="5"/>
      <c r="K910" s="5"/>
      <c r="L910" s="5"/>
      <c r="M910" s="5"/>
      <c r="N910" s="5"/>
      <c r="O910" s="5"/>
      <c r="P910" s="5"/>
      <c r="Q910" s="5"/>
      <c r="R910" s="5"/>
      <c r="S910" s="5"/>
      <c r="T910" s="5"/>
      <c r="U910" s="5"/>
      <c r="V910" s="7"/>
      <c r="W910" s="7"/>
      <c r="X910" s="164" t="e">
        <f t="shared" si="161"/>
        <v>#N/A</v>
      </c>
      <c r="Y910" s="164" t="e">
        <f t="shared" si="162"/>
        <v>#N/A</v>
      </c>
      <c r="AB910" s="156">
        <f t="shared" si="164"/>
        <v>0</v>
      </c>
      <c r="AC910" s="121" t="str">
        <f t="shared" si="163"/>
        <v/>
      </c>
      <c r="AE910" s="121" t="str">
        <f t="shared" si="165"/>
        <v/>
      </c>
      <c r="AF910" s="111" t="str">
        <f t="shared" si="166"/>
        <v/>
      </c>
    </row>
    <row r="911" spans="1:32">
      <c r="A911" s="159"/>
      <c r="B911" s="160"/>
      <c r="C911" s="5"/>
      <c r="D911" s="5"/>
      <c r="E911" s="5"/>
      <c r="F911" s="5"/>
      <c r="G911" s="5"/>
      <c r="H911" s="5"/>
      <c r="I911" s="5"/>
      <c r="J911" s="5"/>
      <c r="K911" s="5"/>
      <c r="L911" s="5"/>
      <c r="M911" s="5"/>
      <c r="N911" s="5"/>
      <c r="O911" s="5"/>
      <c r="P911" s="5"/>
      <c r="Q911" s="5"/>
      <c r="R911" s="5"/>
      <c r="S911" s="5"/>
      <c r="T911" s="5"/>
      <c r="U911" s="5"/>
      <c r="V911" s="7"/>
      <c r="W911" s="7"/>
      <c r="X911" s="164" t="e">
        <f t="shared" si="161"/>
        <v>#N/A</v>
      </c>
      <c r="Y911" s="164" t="e">
        <f t="shared" si="162"/>
        <v>#N/A</v>
      </c>
      <c r="AB911" s="156">
        <f t="shared" si="164"/>
        <v>0</v>
      </c>
      <c r="AC911" s="121" t="str">
        <f t="shared" si="163"/>
        <v/>
      </c>
      <c r="AE911" s="121" t="str">
        <f t="shared" si="165"/>
        <v/>
      </c>
      <c r="AF911" s="111" t="str">
        <f t="shared" si="166"/>
        <v/>
      </c>
    </row>
    <row r="912" spans="1:32">
      <c r="A912" s="159"/>
      <c r="B912" s="160"/>
      <c r="C912" s="5"/>
      <c r="D912" s="5"/>
      <c r="E912" s="5"/>
      <c r="F912" s="5"/>
      <c r="G912" s="5"/>
      <c r="H912" s="5"/>
      <c r="I912" s="5"/>
      <c r="J912" s="5"/>
      <c r="K912" s="5"/>
      <c r="L912" s="5"/>
      <c r="M912" s="5"/>
      <c r="N912" s="5"/>
      <c r="O912" s="5"/>
      <c r="P912" s="5"/>
      <c r="Q912" s="5"/>
      <c r="R912" s="5"/>
      <c r="S912" s="5"/>
      <c r="T912" s="5"/>
      <c r="U912" s="5"/>
      <c r="V912" s="7"/>
      <c r="W912" s="7"/>
      <c r="X912" s="164" t="e">
        <f t="shared" si="161"/>
        <v>#N/A</v>
      </c>
      <c r="Y912" s="164" t="e">
        <f t="shared" si="162"/>
        <v>#N/A</v>
      </c>
      <c r="AB912" s="156">
        <f t="shared" si="164"/>
        <v>0</v>
      </c>
      <c r="AC912" s="121" t="str">
        <f t="shared" si="163"/>
        <v/>
      </c>
      <c r="AE912" s="121" t="str">
        <f t="shared" si="165"/>
        <v/>
      </c>
      <c r="AF912" s="111" t="str">
        <f t="shared" si="166"/>
        <v/>
      </c>
    </row>
    <row r="913" spans="1:32">
      <c r="A913" s="159"/>
      <c r="B913" s="160"/>
      <c r="C913" s="5"/>
      <c r="D913" s="5"/>
      <c r="E913" s="5"/>
      <c r="F913" s="5"/>
      <c r="G913" s="5"/>
      <c r="H913" s="5"/>
      <c r="I913" s="5"/>
      <c r="J913" s="5"/>
      <c r="K913" s="5"/>
      <c r="L913" s="5"/>
      <c r="M913" s="5"/>
      <c r="N913" s="5"/>
      <c r="O913" s="5"/>
      <c r="P913" s="5"/>
      <c r="Q913" s="5"/>
      <c r="R913" s="5"/>
      <c r="S913" s="5"/>
      <c r="T913" s="5"/>
      <c r="U913" s="5"/>
      <c r="V913" s="7"/>
      <c r="W913" s="7"/>
      <c r="X913" s="164" t="e">
        <f t="shared" si="161"/>
        <v>#N/A</v>
      </c>
      <c r="Y913" s="164" t="e">
        <f t="shared" si="162"/>
        <v>#N/A</v>
      </c>
      <c r="AB913" s="156">
        <f t="shared" si="164"/>
        <v>0</v>
      </c>
      <c r="AC913" s="121" t="str">
        <f t="shared" si="163"/>
        <v/>
      </c>
      <c r="AE913" s="121" t="str">
        <f t="shared" si="165"/>
        <v/>
      </c>
      <c r="AF913" s="111" t="str">
        <f t="shared" si="166"/>
        <v/>
      </c>
    </row>
    <row r="914" spans="1:32">
      <c r="A914" s="159"/>
      <c r="B914" s="160"/>
      <c r="C914" s="5"/>
      <c r="D914" s="5"/>
      <c r="E914" s="5"/>
      <c r="F914" s="5"/>
      <c r="G914" s="5"/>
      <c r="H914" s="5"/>
      <c r="I914" s="5"/>
      <c r="J914" s="5"/>
      <c r="K914" s="5"/>
      <c r="L914" s="5"/>
      <c r="M914" s="5"/>
      <c r="N914" s="5"/>
      <c r="O914" s="5"/>
      <c r="P914" s="5"/>
      <c r="Q914" s="5"/>
      <c r="R914" s="5"/>
      <c r="S914" s="5"/>
      <c r="T914" s="5"/>
      <c r="U914" s="5"/>
      <c r="V914" s="7"/>
      <c r="W914" s="7"/>
      <c r="X914" s="164" t="e">
        <f t="shared" si="161"/>
        <v>#N/A</v>
      </c>
      <c r="Y914" s="164" t="e">
        <f t="shared" si="162"/>
        <v>#N/A</v>
      </c>
      <c r="AB914" s="156">
        <f t="shared" si="164"/>
        <v>0</v>
      </c>
      <c r="AC914" s="121" t="str">
        <f t="shared" si="163"/>
        <v/>
      </c>
      <c r="AE914" s="121" t="str">
        <f t="shared" si="165"/>
        <v/>
      </c>
      <c r="AF914" s="111" t="str">
        <f t="shared" si="166"/>
        <v/>
      </c>
    </row>
    <row r="915" spans="1:32">
      <c r="A915" s="159"/>
      <c r="B915" s="160"/>
      <c r="C915" s="5"/>
      <c r="D915" s="5"/>
      <c r="E915" s="5"/>
      <c r="F915" s="5"/>
      <c r="G915" s="5"/>
      <c r="H915" s="5"/>
      <c r="I915" s="5"/>
      <c r="J915" s="5"/>
      <c r="K915" s="5"/>
      <c r="L915" s="5"/>
      <c r="M915" s="5"/>
      <c r="N915" s="5"/>
      <c r="O915" s="5"/>
      <c r="P915" s="5"/>
      <c r="Q915" s="5"/>
      <c r="R915" s="5"/>
      <c r="S915" s="5"/>
      <c r="T915" s="5"/>
      <c r="U915" s="5"/>
      <c r="V915" s="7"/>
      <c r="W915" s="7"/>
      <c r="X915" s="164" t="e">
        <f t="shared" si="161"/>
        <v>#N/A</v>
      </c>
      <c r="Y915" s="164" t="e">
        <f t="shared" si="162"/>
        <v>#N/A</v>
      </c>
      <c r="AB915" s="156">
        <f t="shared" si="164"/>
        <v>0</v>
      </c>
      <c r="AC915" s="121" t="str">
        <f t="shared" si="163"/>
        <v/>
      </c>
      <c r="AE915" s="121" t="str">
        <f t="shared" si="165"/>
        <v/>
      </c>
      <c r="AF915" s="111" t="str">
        <f t="shared" si="166"/>
        <v/>
      </c>
    </row>
    <row r="916" spans="1:32">
      <c r="A916" s="159"/>
      <c r="B916" s="160"/>
      <c r="C916" s="5"/>
      <c r="D916" s="5"/>
      <c r="E916" s="5"/>
      <c r="F916" s="5"/>
      <c r="G916" s="5"/>
      <c r="H916" s="5"/>
      <c r="I916" s="5"/>
      <c r="J916" s="5"/>
      <c r="K916" s="5"/>
      <c r="L916" s="5"/>
      <c r="M916" s="5"/>
      <c r="N916" s="5"/>
      <c r="O916" s="5"/>
      <c r="P916" s="5"/>
      <c r="Q916" s="5"/>
      <c r="R916" s="5"/>
      <c r="S916" s="5"/>
      <c r="T916" s="5"/>
      <c r="U916" s="5"/>
      <c r="V916" s="7"/>
      <c r="W916" s="7"/>
      <c r="X916" s="164" t="e">
        <f t="shared" si="161"/>
        <v>#N/A</v>
      </c>
      <c r="Y916" s="164" t="e">
        <f t="shared" si="162"/>
        <v>#N/A</v>
      </c>
      <c r="AB916" s="156">
        <f t="shared" si="164"/>
        <v>0</v>
      </c>
      <c r="AC916" s="121" t="str">
        <f t="shared" si="163"/>
        <v/>
      </c>
      <c r="AE916" s="121" t="str">
        <f t="shared" si="165"/>
        <v/>
      </c>
      <c r="AF916" s="111" t="str">
        <f t="shared" si="166"/>
        <v/>
      </c>
    </row>
    <row r="917" spans="1:32">
      <c r="A917" s="159"/>
      <c r="B917" s="160"/>
      <c r="C917" s="5"/>
      <c r="D917" s="5"/>
      <c r="E917" s="5"/>
      <c r="F917" s="5"/>
      <c r="G917" s="5"/>
      <c r="H917" s="5"/>
      <c r="I917" s="5"/>
      <c r="J917" s="5"/>
      <c r="K917" s="5"/>
      <c r="L917" s="5"/>
      <c r="M917" s="5"/>
      <c r="N917" s="5"/>
      <c r="O917" s="5"/>
      <c r="P917" s="5"/>
      <c r="Q917" s="5"/>
      <c r="R917" s="5"/>
      <c r="S917" s="5"/>
      <c r="T917" s="5"/>
      <c r="U917" s="5"/>
      <c r="V917" s="7"/>
      <c r="W917" s="7"/>
      <c r="X917" s="164" t="e">
        <f t="shared" si="161"/>
        <v>#N/A</v>
      </c>
      <c r="Y917" s="164" t="e">
        <f t="shared" si="162"/>
        <v>#N/A</v>
      </c>
      <c r="AB917" s="156">
        <f t="shared" si="164"/>
        <v>0</v>
      </c>
      <c r="AC917" s="121" t="str">
        <f t="shared" si="163"/>
        <v/>
      </c>
      <c r="AE917" s="121" t="str">
        <f t="shared" si="165"/>
        <v/>
      </c>
      <c r="AF917" s="111" t="str">
        <f t="shared" si="166"/>
        <v/>
      </c>
    </row>
    <row r="918" spans="1:32">
      <c r="A918" s="159"/>
      <c r="B918" s="160"/>
      <c r="C918" s="5"/>
      <c r="D918" s="5"/>
      <c r="E918" s="5"/>
      <c r="F918" s="5"/>
      <c r="G918" s="5"/>
      <c r="H918" s="5"/>
      <c r="I918" s="5"/>
      <c r="J918" s="5"/>
      <c r="K918" s="5"/>
      <c r="L918" s="5"/>
      <c r="M918" s="5"/>
      <c r="N918" s="5"/>
      <c r="O918" s="5"/>
      <c r="P918" s="5"/>
      <c r="Q918" s="5"/>
      <c r="R918" s="5"/>
      <c r="S918" s="5"/>
      <c r="T918" s="5"/>
      <c r="U918" s="5"/>
      <c r="V918" s="7"/>
      <c r="W918" s="7"/>
      <c r="X918" s="164" t="e">
        <f t="shared" si="161"/>
        <v>#N/A</v>
      </c>
      <c r="Y918" s="164" t="e">
        <f t="shared" si="162"/>
        <v>#N/A</v>
      </c>
      <c r="AB918" s="156">
        <f t="shared" si="164"/>
        <v>0</v>
      </c>
      <c r="AC918" s="121" t="str">
        <f t="shared" si="163"/>
        <v/>
      </c>
      <c r="AE918" s="121" t="str">
        <f t="shared" si="165"/>
        <v/>
      </c>
      <c r="AF918" s="111" t="str">
        <f t="shared" si="166"/>
        <v/>
      </c>
    </row>
    <row r="919" spans="1:32">
      <c r="A919" s="159"/>
      <c r="B919" s="160"/>
      <c r="C919" s="5"/>
      <c r="D919" s="5"/>
      <c r="E919" s="5"/>
      <c r="F919" s="5"/>
      <c r="G919" s="5"/>
      <c r="H919" s="5"/>
      <c r="I919" s="5"/>
      <c r="J919" s="5"/>
      <c r="K919" s="5"/>
      <c r="L919" s="5"/>
      <c r="M919" s="5"/>
      <c r="N919" s="5"/>
      <c r="O919" s="5"/>
      <c r="P919" s="5"/>
      <c r="Q919" s="5"/>
      <c r="R919" s="5"/>
      <c r="S919" s="5"/>
      <c r="T919" s="5"/>
      <c r="U919" s="5"/>
      <c r="V919" s="7"/>
      <c r="W919" s="7"/>
      <c r="X919" s="164" t="e">
        <f t="shared" si="161"/>
        <v>#N/A</v>
      </c>
      <c r="Y919" s="164" t="e">
        <f t="shared" si="162"/>
        <v>#N/A</v>
      </c>
      <c r="AB919" s="156">
        <f t="shared" si="164"/>
        <v>0</v>
      </c>
      <c r="AC919" s="121" t="str">
        <f t="shared" si="163"/>
        <v/>
      </c>
      <c r="AE919" s="121" t="str">
        <f t="shared" si="165"/>
        <v/>
      </c>
      <c r="AF919" s="111" t="str">
        <f t="shared" si="166"/>
        <v/>
      </c>
    </row>
    <row r="920" spans="1:32">
      <c r="A920" s="159"/>
      <c r="B920" s="160"/>
      <c r="C920" s="5"/>
      <c r="D920" s="5"/>
      <c r="E920" s="5"/>
      <c r="F920" s="5"/>
      <c r="G920" s="5"/>
      <c r="H920" s="5"/>
      <c r="I920" s="5"/>
      <c r="J920" s="5"/>
      <c r="K920" s="5"/>
      <c r="L920" s="5"/>
      <c r="M920" s="5"/>
      <c r="N920" s="5"/>
      <c r="O920" s="5"/>
      <c r="P920" s="5"/>
      <c r="Q920" s="5"/>
      <c r="R920" s="5"/>
      <c r="S920" s="5"/>
      <c r="T920" s="5"/>
      <c r="U920" s="5"/>
      <c r="V920" s="7"/>
      <c r="W920" s="7"/>
      <c r="X920" s="164" t="e">
        <f t="shared" si="161"/>
        <v>#N/A</v>
      </c>
      <c r="Y920" s="164" t="e">
        <f t="shared" si="162"/>
        <v>#N/A</v>
      </c>
      <c r="AB920" s="156">
        <f t="shared" si="164"/>
        <v>0</v>
      </c>
      <c r="AC920" s="121" t="str">
        <f t="shared" si="163"/>
        <v/>
      </c>
      <c r="AE920" s="121" t="str">
        <f t="shared" si="165"/>
        <v/>
      </c>
      <c r="AF920" s="111" t="str">
        <f t="shared" si="166"/>
        <v/>
      </c>
    </row>
    <row r="921" spans="1:32">
      <c r="A921" s="159"/>
      <c r="B921" s="160"/>
      <c r="C921" s="5"/>
      <c r="D921" s="5"/>
      <c r="E921" s="5"/>
      <c r="F921" s="5"/>
      <c r="G921" s="5"/>
      <c r="H921" s="5"/>
      <c r="I921" s="5"/>
      <c r="J921" s="5"/>
      <c r="K921" s="5"/>
      <c r="L921" s="5"/>
      <c r="M921" s="5"/>
      <c r="N921" s="5"/>
      <c r="O921" s="5"/>
      <c r="P921" s="5"/>
      <c r="Q921" s="5"/>
      <c r="R921" s="5"/>
      <c r="S921" s="5"/>
      <c r="T921" s="5"/>
      <c r="U921" s="5"/>
      <c r="V921" s="7"/>
      <c r="W921" s="7"/>
      <c r="X921" s="164" t="e">
        <f t="shared" si="161"/>
        <v>#N/A</v>
      </c>
      <c r="Y921" s="164" t="e">
        <f t="shared" si="162"/>
        <v>#N/A</v>
      </c>
      <c r="AB921" s="156">
        <f t="shared" si="164"/>
        <v>0</v>
      </c>
      <c r="AC921" s="121" t="str">
        <f t="shared" si="163"/>
        <v/>
      </c>
      <c r="AE921" s="121" t="str">
        <f t="shared" si="165"/>
        <v/>
      </c>
      <c r="AF921" s="111" t="str">
        <f t="shared" si="166"/>
        <v/>
      </c>
    </row>
    <row r="922" spans="1:32">
      <c r="A922" s="159"/>
      <c r="B922" s="160"/>
      <c r="C922" s="5"/>
      <c r="D922" s="5"/>
      <c r="E922" s="5"/>
      <c r="F922" s="5"/>
      <c r="G922" s="5"/>
      <c r="H922" s="5"/>
      <c r="I922" s="5"/>
      <c r="J922" s="5"/>
      <c r="K922" s="5"/>
      <c r="L922" s="5"/>
      <c r="M922" s="5"/>
      <c r="N922" s="5"/>
      <c r="O922" s="5"/>
      <c r="P922" s="5"/>
      <c r="Q922" s="5"/>
      <c r="R922" s="5"/>
      <c r="S922" s="5"/>
      <c r="T922" s="5"/>
      <c r="U922" s="5"/>
      <c r="V922" s="7"/>
      <c r="W922" s="7"/>
      <c r="X922" s="164" t="e">
        <f t="shared" si="161"/>
        <v>#N/A</v>
      </c>
      <c r="Y922" s="164" t="e">
        <f t="shared" si="162"/>
        <v>#N/A</v>
      </c>
      <c r="AB922" s="156">
        <f t="shared" si="164"/>
        <v>0</v>
      </c>
      <c r="AC922" s="121" t="str">
        <f t="shared" si="163"/>
        <v/>
      </c>
      <c r="AE922" s="121" t="str">
        <f t="shared" si="165"/>
        <v/>
      </c>
      <c r="AF922" s="111" t="str">
        <f t="shared" si="166"/>
        <v/>
      </c>
    </row>
    <row r="923" spans="1:32">
      <c r="A923" s="159"/>
      <c r="B923" s="160"/>
      <c r="C923" s="5"/>
      <c r="D923" s="5"/>
      <c r="E923" s="5"/>
      <c r="F923" s="5"/>
      <c r="G923" s="5"/>
      <c r="H923" s="5"/>
      <c r="I923" s="5"/>
      <c r="J923" s="5"/>
      <c r="K923" s="5"/>
      <c r="L923" s="5"/>
      <c r="M923" s="5"/>
      <c r="N923" s="5"/>
      <c r="O923" s="5"/>
      <c r="P923" s="5"/>
      <c r="Q923" s="5"/>
      <c r="R923" s="5"/>
      <c r="S923" s="5"/>
      <c r="T923" s="5"/>
      <c r="U923" s="5"/>
      <c r="V923" s="7"/>
      <c r="W923" s="7"/>
      <c r="X923" s="164" t="e">
        <f t="shared" si="161"/>
        <v>#N/A</v>
      </c>
      <c r="Y923" s="164" t="e">
        <f t="shared" si="162"/>
        <v>#N/A</v>
      </c>
      <c r="AB923" s="156">
        <f t="shared" si="164"/>
        <v>0</v>
      </c>
      <c r="AC923" s="121" t="str">
        <f t="shared" si="163"/>
        <v/>
      </c>
      <c r="AE923" s="121" t="str">
        <f t="shared" si="165"/>
        <v/>
      </c>
      <c r="AF923" s="111" t="str">
        <f t="shared" si="166"/>
        <v/>
      </c>
    </row>
    <row r="924" spans="1:32">
      <c r="A924" s="159"/>
      <c r="B924" s="160"/>
      <c r="C924" s="5"/>
      <c r="D924" s="5"/>
      <c r="E924" s="5"/>
      <c r="F924" s="5"/>
      <c r="G924" s="5"/>
      <c r="H924" s="5"/>
      <c r="I924" s="5"/>
      <c r="J924" s="5"/>
      <c r="K924" s="5"/>
      <c r="L924" s="5"/>
      <c r="M924" s="5"/>
      <c r="N924" s="5"/>
      <c r="O924" s="5"/>
      <c r="P924" s="5"/>
      <c r="Q924" s="5"/>
      <c r="R924" s="5"/>
      <c r="S924" s="5"/>
      <c r="T924" s="5"/>
      <c r="U924" s="5"/>
      <c r="V924" s="7"/>
      <c r="W924" s="7"/>
      <c r="X924" s="164" t="e">
        <f t="shared" si="161"/>
        <v>#N/A</v>
      </c>
      <c r="Y924" s="164" t="e">
        <f t="shared" si="162"/>
        <v>#N/A</v>
      </c>
      <c r="AB924" s="156">
        <f t="shared" si="164"/>
        <v>0</v>
      </c>
      <c r="AC924" s="121" t="str">
        <f t="shared" si="163"/>
        <v/>
      </c>
      <c r="AE924" s="121" t="str">
        <f t="shared" si="165"/>
        <v/>
      </c>
      <c r="AF924" s="111" t="str">
        <f t="shared" si="166"/>
        <v/>
      </c>
    </row>
    <row r="925" spans="1:32">
      <c r="A925" s="159"/>
      <c r="B925" s="160"/>
      <c r="C925" s="5"/>
      <c r="D925" s="5"/>
      <c r="E925" s="5"/>
      <c r="F925" s="5"/>
      <c r="G925" s="5"/>
      <c r="H925" s="5"/>
      <c r="I925" s="5"/>
      <c r="J925" s="5"/>
      <c r="K925" s="5"/>
      <c r="L925" s="5"/>
      <c r="M925" s="5"/>
      <c r="N925" s="5"/>
      <c r="O925" s="5"/>
      <c r="P925" s="5"/>
      <c r="Q925" s="5"/>
      <c r="R925" s="5"/>
      <c r="S925" s="5"/>
      <c r="T925" s="5"/>
      <c r="U925" s="5"/>
      <c r="V925" s="7"/>
      <c r="W925" s="7"/>
      <c r="X925" s="164" t="e">
        <f t="shared" si="161"/>
        <v>#N/A</v>
      </c>
      <c r="Y925" s="164" t="e">
        <f t="shared" si="162"/>
        <v>#N/A</v>
      </c>
      <c r="AB925" s="156">
        <f t="shared" si="164"/>
        <v>0</v>
      </c>
      <c r="AC925" s="121" t="str">
        <f t="shared" si="163"/>
        <v/>
      </c>
      <c r="AE925" s="121" t="str">
        <f t="shared" si="165"/>
        <v/>
      </c>
      <c r="AF925" s="111" t="str">
        <f t="shared" si="166"/>
        <v/>
      </c>
    </row>
    <row r="926" spans="1:32">
      <c r="A926" s="159"/>
      <c r="B926" s="160"/>
      <c r="C926" s="5"/>
      <c r="D926" s="5"/>
      <c r="E926" s="5"/>
      <c r="F926" s="5"/>
      <c r="G926" s="5"/>
      <c r="H926" s="5"/>
      <c r="I926" s="5"/>
      <c r="J926" s="5"/>
      <c r="K926" s="5"/>
      <c r="L926" s="5"/>
      <c r="M926" s="5"/>
      <c r="N926" s="5"/>
      <c r="O926" s="5"/>
      <c r="P926" s="5"/>
      <c r="Q926" s="5"/>
      <c r="R926" s="5"/>
      <c r="S926" s="5"/>
      <c r="T926" s="5"/>
      <c r="U926" s="5"/>
      <c r="V926" s="7"/>
      <c r="W926" s="7"/>
      <c r="X926" s="164" t="e">
        <f t="shared" si="161"/>
        <v>#N/A</v>
      </c>
      <c r="Y926" s="164" t="e">
        <f t="shared" si="162"/>
        <v>#N/A</v>
      </c>
      <c r="AB926" s="156">
        <f t="shared" si="164"/>
        <v>0</v>
      </c>
      <c r="AC926" s="121" t="str">
        <f t="shared" si="163"/>
        <v/>
      </c>
      <c r="AE926" s="121" t="str">
        <f t="shared" si="165"/>
        <v/>
      </c>
      <c r="AF926" s="111" t="str">
        <f t="shared" si="166"/>
        <v/>
      </c>
    </row>
    <row r="927" spans="1:32">
      <c r="A927" s="159"/>
      <c r="B927" s="160"/>
      <c r="C927" s="5"/>
      <c r="D927" s="5"/>
      <c r="E927" s="5"/>
      <c r="F927" s="5"/>
      <c r="G927" s="5"/>
      <c r="H927" s="5"/>
      <c r="I927" s="5"/>
      <c r="J927" s="5"/>
      <c r="K927" s="5"/>
      <c r="L927" s="5"/>
      <c r="M927" s="5"/>
      <c r="N927" s="5"/>
      <c r="O927" s="5"/>
      <c r="P927" s="5"/>
      <c r="Q927" s="5"/>
      <c r="R927" s="5"/>
      <c r="S927" s="5"/>
      <c r="T927" s="5"/>
      <c r="U927" s="5"/>
      <c r="V927" s="7"/>
      <c r="W927" s="7"/>
      <c r="X927" s="164" t="e">
        <f t="shared" si="161"/>
        <v>#N/A</v>
      </c>
      <c r="Y927" s="164" t="e">
        <f t="shared" si="162"/>
        <v>#N/A</v>
      </c>
      <c r="AB927" s="156">
        <f t="shared" si="164"/>
        <v>0</v>
      </c>
      <c r="AC927" s="121" t="str">
        <f t="shared" si="163"/>
        <v/>
      </c>
      <c r="AE927" s="121" t="str">
        <f t="shared" si="165"/>
        <v/>
      </c>
      <c r="AF927" s="111" t="str">
        <f t="shared" si="166"/>
        <v/>
      </c>
    </row>
    <row r="928" spans="1:32">
      <c r="A928" s="159"/>
      <c r="B928" s="160"/>
      <c r="C928" s="5"/>
      <c r="D928" s="5"/>
      <c r="E928" s="5"/>
      <c r="F928" s="5"/>
      <c r="G928" s="5"/>
      <c r="H928" s="5"/>
      <c r="I928" s="5"/>
      <c r="J928" s="5"/>
      <c r="K928" s="5"/>
      <c r="L928" s="5"/>
      <c r="M928" s="5"/>
      <c r="N928" s="5"/>
      <c r="O928" s="5"/>
      <c r="P928" s="5"/>
      <c r="Q928" s="5"/>
      <c r="R928" s="5"/>
      <c r="S928" s="5"/>
      <c r="T928" s="5"/>
      <c r="U928" s="5"/>
      <c r="V928" s="7"/>
      <c r="W928" s="7"/>
      <c r="X928" s="164" t="e">
        <f t="shared" si="161"/>
        <v>#N/A</v>
      </c>
      <c r="Y928" s="164" t="e">
        <f t="shared" si="162"/>
        <v>#N/A</v>
      </c>
      <c r="AB928" s="156">
        <f t="shared" si="164"/>
        <v>0</v>
      </c>
      <c r="AC928" s="121" t="str">
        <f t="shared" si="163"/>
        <v/>
      </c>
      <c r="AE928" s="121" t="str">
        <f t="shared" si="165"/>
        <v/>
      </c>
      <c r="AF928" s="111" t="str">
        <f t="shared" si="166"/>
        <v/>
      </c>
    </row>
    <row r="929" spans="1:32">
      <c r="A929" s="159"/>
      <c r="B929" s="160"/>
      <c r="C929" s="5"/>
      <c r="D929" s="5"/>
      <c r="E929" s="5"/>
      <c r="F929" s="5"/>
      <c r="G929" s="5"/>
      <c r="H929" s="5"/>
      <c r="I929" s="5"/>
      <c r="J929" s="5"/>
      <c r="K929" s="5"/>
      <c r="L929" s="5"/>
      <c r="M929" s="5"/>
      <c r="N929" s="5"/>
      <c r="O929" s="5"/>
      <c r="P929" s="5"/>
      <c r="Q929" s="5"/>
      <c r="R929" s="5"/>
      <c r="S929" s="5"/>
      <c r="T929" s="5"/>
      <c r="U929" s="5"/>
      <c r="V929" s="7"/>
      <c r="W929" s="7"/>
      <c r="X929" s="164" t="e">
        <f t="shared" si="161"/>
        <v>#N/A</v>
      </c>
      <c r="Y929" s="164" t="e">
        <f t="shared" si="162"/>
        <v>#N/A</v>
      </c>
      <c r="AB929" s="156">
        <f t="shared" si="164"/>
        <v>0</v>
      </c>
      <c r="AC929" s="121" t="str">
        <f t="shared" si="163"/>
        <v/>
      </c>
      <c r="AE929" s="121" t="str">
        <f t="shared" si="165"/>
        <v/>
      </c>
      <c r="AF929" s="111" t="str">
        <f t="shared" si="166"/>
        <v/>
      </c>
    </row>
    <row r="930" spans="1:32">
      <c r="A930" s="159"/>
      <c r="B930" s="160"/>
      <c r="C930" s="5"/>
      <c r="D930" s="5"/>
      <c r="E930" s="5"/>
      <c r="F930" s="5"/>
      <c r="G930" s="5"/>
      <c r="H930" s="5"/>
      <c r="I930" s="5"/>
      <c r="J930" s="5"/>
      <c r="K930" s="5"/>
      <c r="L930" s="5"/>
      <c r="M930" s="5"/>
      <c r="N930" s="5"/>
      <c r="O930" s="5"/>
      <c r="P930" s="5"/>
      <c r="Q930" s="5"/>
      <c r="R930" s="5"/>
      <c r="S930" s="5"/>
      <c r="T930" s="5"/>
      <c r="U930" s="5"/>
      <c r="V930" s="7"/>
      <c r="W930" s="7"/>
      <c r="X930" s="164" t="e">
        <f t="shared" si="161"/>
        <v>#N/A</v>
      </c>
      <c r="Y930" s="164" t="e">
        <f t="shared" si="162"/>
        <v>#N/A</v>
      </c>
      <c r="AB930" s="156">
        <f t="shared" si="164"/>
        <v>0</v>
      </c>
      <c r="AC930" s="121" t="str">
        <f t="shared" si="163"/>
        <v/>
      </c>
      <c r="AE930" s="121" t="str">
        <f t="shared" si="165"/>
        <v/>
      </c>
      <c r="AF930" s="111" t="str">
        <f t="shared" si="166"/>
        <v/>
      </c>
    </row>
    <row r="931" spans="1:32">
      <c r="A931" s="159"/>
      <c r="B931" s="160"/>
      <c r="C931" s="5"/>
      <c r="D931" s="5"/>
      <c r="E931" s="5"/>
      <c r="F931" s="5"/>
      <c r="G931" s="5"/>
      <c r="H931" s="5"/>
      <c r="I931" s="5"/>
      <c r="J931" s="5"/>
      <c r="K931" s="5"/>
      <c r="L931" s="5"/>
      <c r="M931" s="5"/>
      <c r="N931" s="5"/>
      <c r="O931" s="5"/>
      <c r="P931" s="5"/>
      <c r="Q931" s="5"/>
      <c r="R931" s="5"/>
      <c r="S931" s="5"/>
      <c r="T931" s="5"/>
      <c r="U931" s="5"/>
      <c r="V931" s="7"/>
      <c r="W931" s="7"/>
      <c r="X931" s="164" t="e">
        <f t="shared" si="161"/>
        <v>#N/A</v>
      </c>
      <c r="Y931" s="164" t="e">
        <f t="shared" si="162"/>
        <v>#N/A</v>
      </c>
      <c r="AB931" s="156">
        <f t="shared" si="164"/>
        <v>0</v>
      </c>
      <c r="AC931" s="121" t="str">
        <f t="shared" si="163"/>
        <v/>
      </c>
      <c r="AE931" s="121" t="str">
        <f t="shared" si="165"/>
        <v/>
      </c>
      <c r="AF931" s="111" t="str">
        <f t="shared" si="166"/>
        <v/>
      </c>
    </row>
    <row r="932" spans="1:32">
      <c r="A932" s="159"/>
      <c r="B932" s="160"/>
      <c r="C932" s="5"/>
      <c r="D932" s="5"/>
      <c r="E932" s="5"/>
      <c r="F932" s="5"/>
      <c r="G932" s="5"/>
      <c r="H932" s="5"/>
      <c r="I932" s="5"/>
      <c r="J932" s="5"/>
      <c r="K932" s="5"/>
      <c r="L932" s="5"/>
      <c r="M932" s="5"/>
      <c r="N932" s="5"/>
      <c r="O932" s="5"/>
      <c r="P932" s="5"/>
      <c r="Q932" s="5"/>
      <c r="R932" s="5"/>
      <c r="S932" s="5"/>
      <c r="T932" s="5"/>
      <c r="U932" s="5"/>
      <c r="V932" s="7"/>
      <c r="W932" s="7"/>
      <c r="X932" s="164" t="e">
        <f t="shared" si="161"/>
        <v>#N/A</v>
      </c>
      <c r="Y932" s="164" t="e">
        <f t="shared" si="162"/>
        <v>#N/A</v>
      </c>
      <c r="AB932" s="156">
        <f t="shared" si="164"/>
        <v>0</v>
      </c>
      <c r="AC932" s="121" t="str">
        <f t="shared" si="163"/>
        <v/>
      </c>
      <c r="AE932" s="121" t="str">
        <f t="shared" si="165"/>
        <v/>
      </c>
      <c r="AF932" s="111" t="str">
        <f t="shared" si="166"/>
        <v/>
      </c>
    </row>
    <row r="933" spans="1:32">
      <c r="A933" s="159"/>
      <c r="B933" s="160"/>
      <c r="C933" s="5"/>
      <c r="D933" s="5"/>
      <c r="E933" s="5"/>
      <c r="F933" s="5"/>
      <c r="G933" s="5"/>
      <c r="H933" s="5"/>
      <c r="I933" s="5"/>
      <c r="J933" s="5"/>
      <c r="K933" s="5"/>
      <c r="L933" s="5"/>
      <c r="M933" s="5"/>
      <c r="N933" s="5"/>
      <c r="O933" s="5"/>
      <c r="P933" s="5"/>
      <c r="Q933" s="5"/>
      <c r="R933" s="5"/>
      <c r="S933" s="5"/>
      <c r="T933" s="5"/>
      <c r="U933" s="5"/>
      <c r="V933" s="7"/>
      <c r="W933" s="7"/>
      <c r="X933" s="164" t="e">
        <f t="shared" si="161"/>
        <v>#N/A</v>
      </c>
      <c r="Y933" s="164" t="e">
        <f t="shared" si="162"/>
        <v>#N/A</v>
      </c>
      <c r="AB933" s="156">
        <f t="shared" si="164"/>
        <v>0</v>
      </c>
      <c r="AC933" s="121" t="str">
        <f t="shared" si="163"/>
        <v/>
      </c>
      <c r="AE933" s="121" t="str">
        <f t="shared" si="165"/>
        <v/>
      </c>
      <c r="AF933" s="111" t="str">
        <f t="shared" si="166"/>
        <v/>
      </c>
    </row>
    <row r="934" spans="1:32">
      <c r="A934" s="159"/>
      <c r="B934" s="160"/>
      <c r="C934" s="5"/>
      <c r="D934" s="5"/>
      <c r="E934" s="5"/>
      <c r="F934" s="5"/>
      <c r="G934" s="5"/>
      <c r="H934" s="5"/>
      <c r="I934" s="5"/>
      <c r="J934" s="5"/>
      <c r="K934" s="5"/>
      <c r="L934" s="5"/>
      <c r="M934" s="5"/>
      <c r="N934" s="5"/>
      <c r="O934" s="5"/>
      <c r="P934" s="5"/>
      <c r="Q934" s="5"/>
      <c r="R934" s="5"/>
      <c r="S934" s="5"/>
      <c r="T934" s="5"/>
      <c r="U934" s="5"/>
      <c r="V934" s="7"/>
      <c r="W934" s="7"/>
      <c r="X934" s="164" t="e">
        <f t="shared" si="161"/>
        <v>#N/A</v>
      </c>
      <c r="Y934" s="164" t="e">
        <f t="shared" si="162"/>
        <v>#N/A</v>
      </c>
      <c r="AB934" s="156">
        <f t="shared" si="164"/>
        <v>0</v>
      </c>
      <c r="AC934" s="121" t="str">
        <f t="shared" si="163"/>
        <v/>
      </c>
      <c r="AE934" s="121" t="str">
        <f t="shared" si="165"/>
        <v/>
      </c>
      <c r="AF934" s="111" t="str">
        <f t="shared" si="166"/>
        <v/>
      </c>
    </row>
    <row r="935" spans="1:32">
      <c r="A935" s="159"/>
      <c r="B935" s="160"/>
      <c r="C935" s="5"/>
      <c r="D935" s="5"/>
      <c r="E935" s="5"/>
      <c r="F935" s="5"/>
      <c r="G935" s="5"/>
      <c r="H935" s="5"/>
      <c r="I935" s="5"/>
      <c r="J935" s="5"/>
      <c r="K935" s="5"/>
      <c r="L935" s="5"/>
      <c r="M935" s="5"/>
      <c r="N935" s="5"/>
      <c r="O935" s="5"/>
      <c r="P935" s="5"/>
      <c r="Q935" s="5"/>
      <c r="R935" s="5"/>
      <c r="S935" s="5"/>
      <c r="T935" s="5"/>
      <c r="U935" s="5"/>
      <c r="V935" s="7"/>
      <c r="W935" s="7"/>
      <c r="X935" s="164" t="e">
        <f t="shared" si="161"/>
        <v>#N/A</v>
      </c>
      <c r="Y935" s="164" t="e">
        <f t="shared" si="162"/>
        <v>#N/A</v>
      </c>
      <c r="AB935" s="156">
        <f t="shared" si="164"/>
        <v>0</v>
      </c>
      <c r="AC935" s="121" t="str">
        <f t="shared" si="163"/>
        <v/>
      </c>
      <c r="AE935" s="121" t="str">
        <f t="shared" si="165"/>
        <v/>
      </c>
      <c r="AF935" s="111" t="str">
        <f t="shared" si="166"/>
        <v/>
      </c>
    </row>
    <row r="936" spans="1:32">
      <c r="A936" s="159"/>
      <c r="B936" s="160"/>
      <c r="C936" s="5"/>
      <c r="D936" s="5"/>
      <c r="E936" s="5"/>
      <c r="F936" s="5"/>
      <c r="G936" s="5"/>
      <c r="H936" s="5"/>
      <c r="I936" s="5"/>
      <c r="J936" s="5"/>
      <c r="K936" s="5"/>
      <c r="L936" s="5"/>
      <c r="M936" s="5"/>
      <c r="N936" s="5"/>
      <c r="O936" s="5"/>
      <c r="P936" s="5"/>
      <c r="Q936" s="5"/>
      <c r="R936" s="5"/>
      <c r="S936" s="5"/>
      <c r="T936" s="5"/>
      <c r="U936" s="5"/>
      <c r="V936" s="7"/>
      <c r="W936" s="7"/>
      <c r="X936" s="164" t="e">
        <f t="shared" si="161"/>
        <v>#N/A</v>
      </c>
      <c r="Y936" s="164" t="e">
        <f t="shared" si="162"/>
        <v>#N/A</v>
      </c>
      <c r="AB936" s="156">
        <f t="shared" si="164"/>
        <v>0</v>
      </c>
      <c r="AC936" s="121" t="str">
        <f t="shared" si="163"/>
        <v/>
      </c>
      <c r="AE936" s="121" t="str">
        <f t="shared" si="165"/>
        <v/>
      </c>
      <c r="AF936" s="111" t="str">
        <f t="shared" si="166"/>
        <v/>
      </c>
    </row>
    <row r="937" spans="1:32">
      <c r="A937" s="159"/>
      <c r="B937" s="160"/>
      <c r="C937" s="5"/>
      <c r="D937" s="5"/>
      <c r="E937" s="5"/>
      <c r="F937" s="5"/>
      <c r="G937" s="5"/>
      <c r="H937" s="5"/>
      <c r="I937" s="5"/>
      <c r="J937" s="5"/>
      <c r="K937" s="5"/>
      <c r="L937" s="5"/>
      <c r="M937" s="5"/>
      <c r="N937" s="5"/>
      <c r="O937" s="5"/>
      <c r="P937" s="5"/>
      <c r="Q937" s="5"/>
      <c r="R937" s="5"/>
      <c r="S937" s="5"/>
      <c r="T937" s="5"/>
      <c r="U937" s="5"/>
      <c r="V937" s="7"/>
      <c r="W937" s="7"/>
      <c r="X937" s="164" t="e">
        <f t="shared" si="161"/>
        <v>#N/A</v>
      </c>
      <c r="Y937" s="164" t="e">
        <f t="shared" si="162"/>
        <v>#N/A</v>
      </c>
      <c r="AB937" s="156">
        <f t="shared" si="164"/>
        <v>0</v>
      </c>
      <c r="AC937" s="121" t="str">
        <f t="shared" si="163"/>
        <v/>
      </c>
      <c r="AE937" s="121" t="str">
        <f t="shared" si="165"/>
        <v/>
      </c>
      <c r="AF937" s="111" t="str">
        <f t="shared" si="166"/>
        <v/>
      </c>
    </row>
    <row r="938" spans="1:32">
      <c r="A938" s="159"/>
      <c r="B938" s="160"/>
      <c r="C938" s="5"/>
      <c r="D938" s="5"/>
      <c r="E938" s="5"/>
      <c r="F938" s="5"/>
      <c r="G938" s="5"/>
      <c r="H938" s="5"/>
      <c r="I938" s="5"/>
      <c r="J938" s="5"/>
      <c r="K938" s="5"/>
      <c r="L938" s="5"/>
      <c r="M938" s="5"/>
      <c r="N938" s="5"/>
      <c r="O938" s="5"/>
      <c r="P938" s="5"/>
      <c r="Q938" s="5"/>
      <c r="R938" s="5"/>
      <c r="S938" s="5"/>
      <c r="T938" s="5"/>
      <c r="U938" s="5"/>
      <c r="V938" s="7"/>
      <c r="W938" s="7"/>
      <c r="X938" s="164" t="e">
        <f t="shared" si="161"/>
        <v>#N/A</v>
      </c>
      <c r="Y938" s="164" t="e">
        <f t="shared" si="162"/>
        <v>#N/A</v>
      </c>
      <c r="AB938" s="156">
        <f t="shared" si="164"/>
        <v>0</v>
      </c>
      <c r="AC938" s="121" t="str">
        <f t="shared" si="163"/>
        <v/>
      </c>
      <c r="AE938" s="121" t="str">
        <f t="shared" si="165"/>
        <v/>
      </c>
      <c r="AF938" s="111" t="str">
        <f t="shared" si="166"/>
        <v/>
      </c>
    </row>
    <row r="939" spans="1:32">
      <c r="A939" s="159"/>
      <c r="B939" s="160"/>
      <c r="C939" s="5"/>
      <c r="D939" s="5"/>
      <c r="E939" s="5"/>
      <c r="F939" s="5"/>
      <c r="G939" s="5"/>
      <c r="H939" s="5"/>
      <c r="I939" s="5"/>
      <c r="J939" s="5"/>
      <c r="K939" s="5"/>
      <c r="L939" s="5"/>
      <c r="M939" s="5"/>
      <c r="N939" s="5"/>
      <c r="O939" s="5"/>
      <c r="P939" s="5"/>
      <c r="Q939" s="5"/>
      <c r="R939" s="5"/>
      <c r="S939" s="5"/>
      <c r="T939" s="5"/>
      <c r="U939" s="5"/>
      <c r="V939" s="7"/>
      <c r="W939" s="7"/>
      <c r="X939" s="164" t="e">
        <f t="shared" si="161"/>
        <v>#N/A</v>
      </c>
      <c r="Y939" s="164" t="e">
        <f t="shared" si="162"/>
        <v>#N/A</v>
      </c>
      <c r="AB939" s="156">
        <f t="shared" si="164"/>
        <v>0</v>
      </c>
      <c r="AC939" s="121" t="str">
        <f t="shared" si="163"/>
        <v/>
      </c>
      <c r="AE939" s="121" t="str">
        <f t="shared" si="165"/>
        <v/>
      </c>
      <c r="AF939" s="111" t="str">
        <f t="shared" si="166"/>
        <v/>
      </c>
    </row>
    <row r="940" spans="1:32">
      <c r="A940" s="159"/>
      <c r="B940" s="160"/>
      <c r="C940" s="5"/>
      <c r="D940" s="5"/>
      <c r="E940" s="5"/>
      <c r="F940" s="5"/>
      <c r="G940" s="5"/>
      <c r="H940" s="5"/>
      <c r="I940" s="5"/>
      <c r="J940" s="5"/>
      <c r="K940" s="5"/>
      <c r="L940" s="5"/>
      <c r="M940" s="5"/>
      <c r="N940" s="5"/>
      <c r="O940" s="5"/>
      <c r="P940" s="5"/>
      <c r="Q940" s="5"/>
      <c r="R940" s="5"/>
      <c r="S940" s="5"/>
      <c r="T940" s="5"/>
      <c r="U940" s="5"/>
      <c r="V940" s="7"/>
      <c r="W940" s="7"/>
      <c r="X940" s="164" t="e">
        <f t="shared" si="161"/>
        <v>#N/A</v>
      </c>
      <c r="Y940" s="164" t="e">
        <f t="shared" si="162"/>
        <v>#N/A</v>
      </c>
      <c r="AB940" s="156">
        <f t="shared" si="164"/>
        <v>0</v>
      </c>
      <c r="AC940" s="121" t="str">
        <f t="shared" si="163"/>
        <v/>
      </c>
      <c r="AE940" s="121" t="str">
        <f t="shared" si="165"/>
        <v/>
      </c>
      <c r="AF940" s="111" t="str">
        <f t="shared" si="166"/>
        <v/>
      </c>
    </row>
    <row r="941" spans="1:32">
      <c r="A941" s="159"/>
      <c r="B941" s="160"/>
      <c r="C941" s="5"/>
      <c r="D941" s="5"/>
      <c r="E941" s="5"/>
      <c r="F941" s="5"/>
      <c r="G941" s="5"/>
      <c r="H941" s="5"/>
      <c r="I941" s="5"/>
      <c r="J941" s="5"/>
      <c r="K941" s="5"/>
      <c r="L941" s="5"/>
      <c r="M941" s="5"/>
      <c r="N941" s="5"/>
      <c r="O941" s="5"/>
      <c r="P941" s="5"/>
      <c r="Q941" s="5"/>
      <c r="R941" s="5"/>
      <c r="S941" s="5"/>
      <c r="T941" s="5"/>
      <c r="U941" s="5"/>
      <c r="V941" s="7"/>
      <c r="W941" s="7"/>
      <c r="X941" s="164" t="e">
        <f t="shared" si="161"/>
        <v>#N/A</v>
      </c>
      <c r="Y941" s="164" t="e">
        <f t="shared" si="162"/>
        <v>#N/A</v>
      </c>
      <c r="AB941" s="156">
        <f t="shared" si="164"/>
        <v>0</v>
      </c>
      <c r="AC941" s="121" t="str">
        <f t="shared" si="163"/>
        <v/>
      </c>
      <c r="AE941" s="121" t="str">
        <f t="shared" si="165"/>
        <v/>
      </c>
      <c r="AF941" s="111" t="str">
        <f t="shared" si="166"/>
        <v/>
      </c>
    </row>
    <row r="942" spans="1:32">
      <c r="A942" s="159"/>
      <c r="B942" s="160"/>
      <c r="C942" s="5"/>
      <c r="D942" s="5"/>
      <c r="E942" s="5"/>
      <c r="F942" s="5"/>
      <c r="G942" s="5"/>
      <c r="H942" s="5"/>
      <c r="I942" s="5"/>
      <c r="J942" s="5"/>
      <c r="K942" s="5"/>
      <c r="L942" s="5"/>
      <c r="M942" s="5"/>
      <c r="N942" s="5"/>
      <c r="O942" s="5"/>
      <c r="P942" s="5"/>
      <c r="Q942" s="5"/>
      <c r="R942" s="5"/>
      <c r="S942" s="5"/>
      <c r="T942" s="5"/>
      <c r="U942" s="5"/>
      <c r="V942" s="7"/>
      <c r="W942" s="7"/>
      <c r="X942" s="164" t="e">
        <f t="shared" si="161"/>
        <v>#N/A</v>
      </c>
      <c r="Y942" s="164" t="e">
        <f t="shared" si="162"/>
        <v>#N/A</v>
      </c>
      <c r="AB942" s="156">
        <f t="shared" si="164"/>
        <v>0</v>
      </c>
      <c r="AC942" s="121" t="str">
        <f t="shared" si="163"/>
        <v/>
      </c>
      <c r="AE942" s="121" t="str">
        <f t="shared" si="165"/>
        <v/>
      </c>
      <c r="AF942" s="111" t="str">
        <f t="shared" si="166"/>
        <v/>
      </c>
    </row>
    <row r="943" spans="1:32">
      <c r="A943" s="159"/>
      <c r="B943" s="160"/>
      <c r="C943" s="5"/>
      <c r="D943" s="5"/>
      <c r="E943" s="5"/>
      <c r="F943" s="5"/>
      <c r="G943" s="5"/>
      <c r="H943" s="5"/>
      <c r="I943" s="5"/>
      <c r="J943" s="5"/>
      <c r="K943" s="5"/>
      <c r="L943" s="5"/>
      <c r="M943" s="5"/>
      <c r="N943" s="5"/>
      <c r="O943" s="5"/>
      <c r="P943" s="5"/>
      <c r="Q943" s="5"/>
      <c r="R943" s="5"/>
      <c r="S943" s="5"/>
      <c r="T943" s="5"/>
      <c r="U943" s="5"/>
      <c r="V943" s="7"/>
      <c r="W943" s="7"/>
      <c r="X943" s="164" t="e">
        <f t="shared" si="161"/>
        <v>#N/A</v>
      </c>
      <c r="Y943" s="164" t="e">
        <f t="shared" si="162"/>
        <v>#N/A</v>
      </c>
      <c r="AB943" s="156">
        <f t="shared" si="164"/>
        <v>0</v>
      </c>
      <c r="AC943" s="121" t="str">
        <f t="shared" si="163"/>
        <v/>
      </c>
      <c r="AE943" s="121" t="str">
        <f t="shared" si="165"/>
        <v/>
      </c>
      <c r="AF943" s="111" t="str">
        <f t="shared" si="166"/>
        <v/>
      </c>
    </row>
    <row r="944" spans="1:32">
      <c r="A944" s="159"/>
      <c r="B944" s="160"/>
      <c r="C944" s="5"/>
      <c r="D944" s="5"/>
      <c r="E944" s="5"/>
      <c r="F944" s="5"/>
      <c r="G944" s="5"/>
      <c r="H944" s="5"/>
      <c r="I944" s="5"/>
      <c r="J944" s="5"/>
      <c r="K944" s="5"/>
      <c r="L944" s="5"/>
      <c r="M944" s="5"/>
      <c r="N944" s="5"/>
      <c r="O944" s="5"/>
      <c r="P944" s="5"/>
      <c r="Q944" s="5"/>
      <c r="R944" s="5"/>
      <c r="S944" s="5"/>
      <c r="T944" s="5"/>
      <c r="U944" s="5"/>
      <c r="V944" s="7"/>
      <c r="W944" s="7"/>
      <c r="X944" s="164" t="e">
        <f t="shared" si="161"/>
        <v>#N/A</v>
      </c>
      <c r="Y944" s="164" t="e">
        <f t="shared" si="162"/>
        <v>#N/A</v>
      </c>
      <c r="AB944" s="156">
        <f t="shared" si="164"/>
        <v>0</v>
      </c>
      <c r="AC944" s="121" t="str">
        <f t="shared" si="163"/>
        <v/>
      </c>
      <c r="AE944" s="121" t="str">
        <f t="shared" si="165"/>
        <v/>
      </c>
      <c r="AF944" s="111" t="str">
        <f t="shared" si="166"/>
        <v/>
      </c>
    </row>
    <row r="945" spans="1:32">
      <c r="A945" s="159"/>
      <c r="B945" s="160"/>
      <c r="C945" s="5"/>
      <c r="D945" s="5"/>
      <c r="E945" s="5"/>
      <c r="F945" s="5"/>
      <c r="G945" s="5"/>
      <c r="H945" s="5"/>
      <c r="I945" s="5"/>
      <c r="J945" s="5"/>
      <c r="K945" s="5"/>
      <c r="L945" s="5"/>
      <c r="M945" s="5"/>
      <c r="N945" s="5"/>
      <c r="O945" s="5"/>
      <c r="P945" s="5"/>
      <c r="Q945" s="5"/>
      <c r="R945" s="5"/>
      <c r="S945" s="5"/>
      <c r="T945" s="5"/>
      <c r="U945" s="5"/>
      <c r="V945" s="7"/>
      <c r="W945" s="7"/>
      <c r="X945" s="164" t="e">
        <f t="shared" si="161"/>
        <v>#N/A</v>
      </c>
      <c r="Y945" s="164" t="e">
        <f t="shared" si="162"/>
        <v>#N/A</v>
      </c>
      <c r="AB945" s="156">
        <f t="shared" si="164"/>
        <v>0</v>
      </c>
      <c r="AC945" s="121" t="str">
        <f t="shared" si="163"/>
        <v/>
      </c>
      <c r="AE945" s="121" t="str">
        <f t="shared" si="165"/>
        <v/>
      </c>
      <c r="AF945" s="111" t="str">
        <f t="shared" si="166"/>
        <v/>
      </c>
    </row>
    <row r="946" spans="1:32">
      <c r="A946" s="159"/>
      <c r="B946" s="160"/>
      <c r="C946" s="5"/>
      <c r="D946" s="5"/>
      <c r="E946" s="5"/>
      <c r="F946" s="5"/>
      <c r="G946" s="5"/>
      <c r="H946" s="5"/>
      <c r="I946" s="5"/>
      <c r="J946" s="5"/>
      <c r="K946" s="5"/>
      <c r="L946" s="5"/>
      <c r="M946" s="5"/>
      <c r="N946" s="5"/>
      <c r="O946" s="5"/>
      <c r="P946" s="5"/>
      <c r="Q946" s="5"/>
      <c r="R946" s="5"/>
      <c r="S946" s="5"/>
      <c r="T946" s="5"/>
      <c r="U946" s="5"/>
      <c r="V946" s="7"/>
      <c r="W946" s="7"/>
      <c r="X946" s="164" t="e">
        <f t="shared" si="161"/>
        <v>#N/A</v>
      </c>
      <c r="Y946" s="164" t="e">
        <f t="shared" si="162"/>
        <v>#N/A</v>
      </c>
      <c r="AB946" s="156">
        <f t="shared" si="164"/>
        <v>0</v>
      </c>
      <c r="AC946" s="121" t="str">
        <f t="shared" si="163"/>
        <v/>
      </c>
      <c r="AE946" s="121" t="str">
        <f t="shared" si="165"/>
        <v/>
      </c>
      <c r="AF946" s="111" t="str">
        <f t="shared" si="166"/>
        <v/>
      </c>
    </row>
    <row r="947" spans="1:32">
      <c r="A947" s="159"/>
      <c r="B947" s="160"/>
      <c r="C947" s="5"/>
      <c r="D947" s="5"/>
      <c r="E947" s="5"/>
      <c r="F947" s="5"/>
      <c r="G947" s="5"/>
      <c r="H947" s="5"/>
      <c r="I947" s="5"/>
      <c r="J947" s="5"/>
      <c r="K947" s="5"/>
      <c r="L947" s="5"/>
      <c r="M947" s="5"/>
      <c r="N947" s="5"/>
      <c r="O947" s="5"/>
      <c r="P947" s="5"/>
      <c r="Q947" s="5"/>
      <c r="R947" s="5"/>
      <c r="S947" s="5"/>
      <c r="T947" s="5"/>
      <c r="U947" s="5"/>
      <c r="V947" s="7"/>
      <c r="W947" s="7"/>
      <c r="X947" s="164" t="e">
        <f t="shared" si="161"/>
        <v>#N/A</v>
      </c>
      <c r="Y947" s="164" t="e">
        <f t="shared" si="162"/>
        <v>#N/A</v>
      </c>
      <c r="AB947" s="156">
        <f t="shared" si="164"/>
        <v>0</v>
      </c>
      <c r="AC947" s="121" t="str">
        <f t="shared" si="163"/>
        <v/>
      </c>
      <c r="AE947" s="121" t="str">
        <f t="shared" si="165"/>
        <v/>
      </c>
      <c r="AF947" s="111" t="str">
        <f t="shared" si="166"/>
        <v/>
      </c>
    </row>
    <row r="948" spans="1:32">
      <c r="A948" s="159"/>
      <c r="B948" s="160"/>
      <c r="C948" s="5"/>
      <c r="D948" s="5"/>
      <c r="E948" s="5"/>
      <c r="F948" s="5"/>
      <c r="G948" s="5"/>
      <c r="H948" s="5"/>
      <c r="I948" s="5"/>
      <c r="J948" s="5"/>
      <c r="K948" s="5"/>
      <c r="L948" s="5"/>
      <c r="M948" s="5"/>
      <c r="N948" s="5"/>
      <c r="O948" s="5"/>
      <c r="P948" s="5"/>
      <c r="Q948" s="5"/>
      <c r="R948" s="5"/>
      <c r="S948" s="5"/>
      <c r="T948" s="5"/>
      <c r="U948" s="5"/>
      <c r="V948" s="7"/>
      <c r="W948" s="7"/>
      <c r="X948" s="164" t="e">
        <f t="shared" si="161"/>
        <v>#N/A</v>
      </c>
      <c r="Y948" s="164" t="e">
        <f t="shared" si="162"/>
        <v>#N/A</v>
      </c>
      <c r="AB948" s="156">
        <f t="shared" si="164"/>
        <v>0</v>
      </c>
      <c r="AC948" s="121" t="str">
        <f t="shared" si="163"/>
        <v/>
      </c>
      <c r="AE948" s="121" t="str">
        <f t="shared" si="165"/>
        <v/>
      </c>
      <c r="AF948" s="111" t="str">
        <f t="shared" si="166"/>
        <v/>
      </c>
    </row>
    <row r="949" spans="1:32">
      <c r="A949" s="159"/>
      <c r="B949" s="160"/>
      <c r="C949" s="5"/>
      <c r="D949" s="5"/>
      <c r="E949" s="5"/>
      <c r="F949" s="5"/>
      <c r="G949" s="5"/>
      <c r="H949" s="5"/>
      <c r="I949" s="5"/>
      <c r="J949" s="5"/>
      <c r="K949" s="5"/>
      <c r="L949" s="5"/>
      <c r="M949" s="5"/>
      <c r="N949" s="5"/>
      <c r="O949" s="5"/>
      <c r="P949" s="5"/>
      <c r="Q949" s="5"/>
      <c r="R949" s="5"/>
      <c r="S949" s="5"/>
      <c r="T949" s="5"/>
      <c r="U949" s="5"/>
      <c r="V949" s="7"/>
      <c r="W949" s="7"/>
      <c r="X949" s="164" t="e">
        <f t="shared" si="161"/>
        <v>#N/A</v>
      </c>
      <c r="Y949" s="164" t="e">
        <f t="shared" si="162"/>
        <v>#N/A</v>
      </c>
      <c r="AB949" s="156">
        <f t="shared" si="164"/>
        <v>0</v>
      </c>
      <c r="AC949" s="121" t="str">
        <f t="shared" si="163"/>
        <v/>
      </c>
      <c r="AE949" s="121" t="str">
        <f t="shared" si="165"/>
        <v/>
      </c>
      <c r="AF949" s="111" t="str">
        <f t="shared" si="166"/>
        <v/>
      </c>
    </row>
    <row r="950" spans="1:32">
      <c r="A950" s="159"/>
      <c r="B950" s="160"/>
      <c r="C950" s="5"/>
      <c r="D950" s="5"/>
      <c r="E950" s="5"/>
      <c r="F950" s="5"/>
      <c r="G950" s="5"/>
      <c r="H950" s="5"/>
      <c r="I950" s="5"/>
      <c r="J950" s="5"/>
      <c r="K950" s="5"/>
      <c r="L950" s="5"/>
      <c r="M950" s="5"/>
      <c r="N950" s="5"/>
      <c r="O950" s="5"/>
      <c r="P950" s="5"/>
      <c r="Q950" s="5"/>
      <c r="R950" s="5"/>
      <c r="S950" s="5"/>
      <c r="T950" s="5"/>
      <c r="U950" s="5"/>
      <c r="V950" s="7"/>
      <c r="W950" s="7"/>
      <c r="X950" s="164" t="e">
        <f t="shared" si="161"/>
        <v>#N/A</v>
      </c>
      <c r="Y950" s="164" t="e">
        <f t="shared" si="162"/>
        <v>#N/A</v>
      </c>
      <c r="AB950" s="156">
        <f t="shared" si="164"/>
        <v>0</v>
      </c>
      <c r="AC950" s="121" t="str">
        <f t="shared" si="163"/>
        <v/>
      </c>
      <c r="AE950" s="121" t="str">
        <f t="shared" si="165"/>
        <v/>
      </c>
      <c r="AF950" s="111" t="str">
        <f t="shared" si="166"/>
        <v/>
      </c>
    </row>
    <row r="951" spans="1:32">
      <c r="A951" s="159"/>
      <c r="B951" s="160"/>
      <c r="C951" s="5"/>
      <c r="D951" s="5"/>
      <c r="E951" s="5"/>
      <c r="F951" s="5"/>
      <c r="G951" s="5"/>
      <c r="H951" s="5"/>
      <c r="I951" s="5"/>
      <c r="J951" s="5"/>
      <c r="K951" s="5"/>
      <c r="L951" s="5"/>
      <c r="M951" s="5"/>
      <c r="N951" s="5"/>
      <c r="O951" s="5"/>
      <c r="P951" s="5"/>
      <c r="Q951" s="5"/>
      <c r="R951" s="5"/>
      <c r="S951" s="5"/>
      <c r="T951" s="5"/>
      <c r="U951" s="5"/>
      <c r="V951" s="7"/>
      <c r="W951" s="7"/>
      <c r="X951" s="164" t="e">
        <f t="shared" si="161"/>
        <v>#N/A</v>
      </c>
      <c r="Y951" s="164" t="e">
        <f t="shared" si="162"/>
        <v>#N/A</v>
      </c>
      <c r="AB951" s="156">
        <f t="shared" si="164"/>
        <v>0</v>
      </c>
      <c r="AC951" s="121" t="str">
        <f t="shared" si="163"/>
        <v/>
      </c>
      <c r="AE951" s="121" t="str">
        <f t="shared" si="165"/>
        <v/>
      </c>
      <c r="AF951" s="111" t="str">
        <f t="shared" si="166"/>
        <v/>
      </c>
    </row>
    <row r="952" spans="1:32">
      <c r="A952" s="159"/>
      <c r="B952" s="160"/>
      <c r="C952" s="5"/>
      <c r="D952" s="5"/>
      <c r="E952" s="5"/>
      <c r="F952" s="5"/>
      <c r="G952" s="5"/>
      <c r="H952" s="5"/>
      <c r="I952" s="5"/>
      <c r="J952" s="5"/>
      <c r="K952" s="5"/>
      <c r="L952" s="5"/>
      <c r="M952" s="5"/>
      <c r="N952" s="5"/>
      <c r="O952" s="5"/>
      <c r="P952" s="5"/>
      <c r="Q952" s="5"/>
      <c r="R952" s="5"/>
      <c r="S952" s="5"/>
      <c r="T952" s="5"/>
      <c r="U952" s="5"/>
      <c r="V952" s="7"/>
      <c r="W952" s="7"/>
      <c r="X952" s="164" t="e">
        <f t="shared" si="161"/>
        <v>#N/A</v>
      </c>
      <c r="Y952" s="164" t="e">
        <f t="shared" si="162"/>
        <v>#N/A</v>
      </c>
      <c r="AB952" s="156">
        <f t="shared" si="164"/>
        <v>0</v>
      </c>
      <c r="AC952" s="121" t="str">
        <f t="shared" si="163"/>
        <v/>
      </c>
      <c r="AE952" s="121" t="str">
        <f t="shared" si="165"/>
        <v/>
      </c>
      <c r="AF952" s="111" t="str">
        <f t="shared" si="166"/>
        <v/>
      </c>
    </row>
    <row r="953" spans="1:32">
      <c r="A953" s="159"/>
      <c r="B953" s="160"/>
      <c r="C953" s="5"/>
      <c r="D953" s="5"/>
      <c r="E953" s="5"/>
      <c r="F953" s="5"/>
      <c r="G953" s="5"/>
      <c r="H953" s="5"/>
      <c r="I953" s="5"/>
      <c r="J953" s="5"/>
      <c r="K953" s="5"/>
      <c r="L953" s="5"/>
      <c r="M953" s="5"/>
      <c r="N953" s="5"/>
      <c r="O953" s="5"/>
      <c r="P953" s="5"/>
      <c r="Q953" s="5"/>
      <c r="R953" s="5"/>
      <c r="S953" s="5"/>
      <c r="T953" s="5"/>
      <c r="U953" s="5"/>
      <c r="V953" s="7"/>
      <c r="W953" s="7"/>
      <c r="X953" s="164" t="e">
        <f t="shared" si="161"/>
        <v>#N/A</v>
      </c>
      <c r="Y953" s="164" t="e">
        <f t="shared" si="162"/>
        <v>#N/A</v>
      </c>
      <c r="AB953" s="156">
        <f t="shared" si="164"/>
        <v>0</v>
      </c>
      <c r="AC953" s="121" t="str">
        <f t="shared" si="163"/>
        <v/>
      </c>
      <c r="AE953" s="121" t="str">
        <f t="shared" si="165"/>
        <v/>
      </c>
      <c r="AF953" s="111" t="str">
        <f t="shared" si="166"/>
        <v/>
      </c>
    </row>
    <row r="954" spans="1:32">
      <c r="A954" s="159"/>
      <c r="B954" s="160"/>
      <c r="C954" s="5"/>
      <c r="D954" s="5"/>
      <c r="E954" s="5"/>
      <c r="F954" s="5"/>
      <c r="G954" s="5"/>
      <c r="H954" s="5"/>
      <c r="I954" s="5"/>
      <c r="J954" s="5"/>
      <c r="K954" s="5"/>
      <c r="L954" s="5"/>
      <c r="M954" s="5"/>
      <c r="N954" s="5"/>
      <c r="O954" s="5"/>
      <c r="P954" s="5"/>
      <c r="Q954" s="5"/>
      <c r="R954" s="5"/>
      <c r="S954" s="5"/>
      <c r="T954" s="5"/>
      <c r="U954" s="5"/>
      <c r="V954" s="7"/>
      <c r="W954" s="7"/>
      <c r="X954" s="164" t="e">
        <f t="shared" si="161"/>
        <v>#N/A</v>
      </c>
      <c r="Y954" s="164" t="e">
        <f t="shared" si="162"/>
        <v>#N/A</v>
      </c>
      <c r="AB954" s="156">
        <f t="shared" si="164"/>
        <v>0</v>
      </c>
      <c r="AC954" s="121" t="str">
        <f t="shared" si="163"/>
        <v/>
      </c>
      <c r="AE954" s="121" t="str">
        <f t="shared" si="165"/>
        <v/>
      </c>
      <c r="AF954" s="111" t="str">
        <f t="shared" si="166"/>
        <v/>
      </c>
    </row>
    <row r="955" spans="1:32">
      <c r="A955" s="159"/>
      <c r="B955" s="160"/>
      <c r="C955" s="5"/>
      <c r="D955" s="5"/>
      <c r="E955" s="5"/>
      <c r="F955" s="5"/>
      <c r="G955" s="5"/>
      <c r="H955" s="5"/>
      <c r="I955" s="5"/>
      <c r="J955" s="5"/>
      <c r="K955" s="5"/>
      <c r="L955" s="5"/>
      <c r="M955" s="5"/>
      <c r="N955" s="5"/>
      <c r="O955" s="5"/>
      <c r="P955" s="5"/>
      <c r="Q955" s="5"/>
      <c r="R955" s="5"/>
      <c r="S955" s="5"/>
      <c r="T955" s="5"/>
      <c r="U955" s="5"/>
      <c r="V955" s="7"/>
      <c r="W955" s="7"/>
      <c r="X955" s="164" t="e">
        <f t="shared" si="161"/>
        <v>#N/A</v>
      </c>
      <c r="Y955" s="164" t="e">
        <f t="shared" si="162"/>
        <v>#N/A</v>
      </c>
      <c r="AB955" s="156">
        <f t="shared" si="164"/>
        <v>0</v>
      </c>
      <c r="AC955" s="121" t="str">
        <f t="shared" si="163"/>
        <v/>
      </c>
      <c r="AE955" s="121" t="str">
        <f t="shared" si="165"/>
        <v/>
      </c>
      <c r="AF955" s="111" t="str">
        <f t="shared" si="166"/>
        <v/>
      </c>
    </row>
    <row r="956" spans="1:32">
      <c r="A956" s="159"/>
      <c r="B956" s="160"/>
      <c r="C956" s="5"/>
      <c r="D956" s="5"/>
      <c r="E956" s="5"/>
      <c r="F956" s="5"/>
      <c r="G956" s="5"/>
      <c r="H956" s="5"/>
      <c r="I956" s="5"/>
      <c r="J956" s="5"/>
      <c r="K956" s="5"/>
      <c r="L956" s="5"/>
      <c r="M956" s="5"/>
      <c r="N956" s="5"/>
      <c r="O956" s="5"/>
      <c r="P956" s="5"/>
      <c r="Q956" s="5"/>
      <c r="R956" s="5"/>
      <c r="S956" s="5"/>
      <c r="T956" s="5"/>
      <c r="U956" s="5"/>
      <c r="V956" s="7"/>
      <c r="W956" s="7"/>
      <c r="X956" s="164" t="e">
        <f t="shared" si="161"/>
        <v>#N/A</v>
      </c>
      <c r="Y956" s="164" t="e">
        <f t="shared" si="162"/>
        <v>#N/A</v>
      </c>
      <c r="AB956" s="156">
        <f t="shared" si="164"/>
        <v>0</v>
      </c>
      <c r="AC956" s="121" t="str">
        <f t="shared" si="163"/>
        <v/>
      </c>
      <c r="AE956" s="121" t="str">
        <f t="shared" si="165"/>
        <v/>
      </c>
      <c r="AF956" s="111" t="str">
        <f t="shared" si="166"/>
        <v/>
      </c>
    </row>
    <row r="957" spans="1:32">
      <c r="A957" s="159"/>
      <c r="B957" s="160"/>
      <c r="C957" s="5"/>
      <c r="D957" s="5"/>
      <c r="E957" s="5"/>
      <c r="F957" s="5"/>
      <c r="G957" s="5"/>
      <c r="H957" s="5"/>
      <c r="I957" s="5"/>
      <c r="J957" s="5"/>
      <c r="K957" s="5"/>
      <c r="L957" s="5"/>
      <c r="M957" s="5"/>
      <c r="N957" s="5"/>
      <c r="O957" s="5"/>
      <c r="P957" s="5"/>
      <c r="Q957" s="5"/>
      <c r="R957" s="5"/>
      <c r="S957" s="5"/>
      <c r="T957" s="5"/>
      <c r="U957" s="5"/>
      <c r="V957" s="7"/>
      <c r="W957" s="7"/>
      <c r="X957" s="164" t="e">
        <f t="shared" si="161"/>
        <v>#N/A</v>
      </c>
      <c r="Y957" s="164" t="e">
        <f t="shared" si="162"/>
        <v>#N/A</v>
      </c>
      <c r="AB957" s="156">
        <f t="shared" si="164"/>
        <v>0</v>
      </c>
      <c r="AC957" s="121" t="str">
        <f t="shared" si="163"/>
        <v/>
      </c>
      <c r="AE957" s="121" t="str">
        <f t="shared" si="165"/>
        <v/>
      </c>
      <c r="AF957" s="111" t="str">
        <f t="shared" si="166"/>
        <v/>
      </c>
    </row>
    <row r="958" spans="1:32">
      <c r="A958" s="159"/>
      <c r="B958" s="160"/>
      <c r="C958" s="5"/>
      <c r="D958" s="5"/>
      <c r="E958" s="5"/>
      <c r="F958" s="5"/>
      <c r="G958" s="5"/>
      <c r="H958" s="5"/>
      <c r="I958" s="5"/>
      <c r="J958" s="5"/>
      <c r="K958" s="5"/>
      <c r="L958" s="5"/>
      <c r="M958" s="5"/>
      <c r="N958" s="5"/>
      <c r="O958" s="5"/>
      <c r="P958" s="5"/>
      <c r="Q958" s="5"/>
      <c r="R958" s="5"/>
      <c r="S958" s="5"/>
      <c r="T958" s="5"/>
      <c r="U958" s="5"/>
      <c r="V958" s="7"/>
      <c r="W958" s="7"/>
      <c r="X958" s="164" t="e">
        <f t="shared" si="161"/>
        <v>#N/A</v>
      </c>
      <c r="Y958" s="164" t="e">
        <f t="shared" si="162"/>
        <v>#N/A</v>
      </c>
      <c r="AB958" s="156">
        <f t="shared" si="164"/>
        <v>0</v>
      </c>
      <c r="AC958" s="121" t="str">
        <f t="shared" si="163"/>
        <v/>
      </c>
      <c r="AE958" s="121" t="str">
        <f t="shared" si="165"/>
        <v/>
      </c>
      <c r="AF958" s="111" t="str">
        <f t="shared" si="166"/>
        <v/>
      </c>
    </row>
    <row r="959" spans="1:32">
      <c r="A959" s="159"/>
      <c r="B959" s="160"/>
      <c r="C959" s="5"/>
      <c r="D959" s="5"/>
      <c r="E959" s="5"/>
      <c r="F959" s="5"/>
      <c r="G959" s="5"/>
      <c r="H959" s="5"/>
      <c r="I959" s="5"/>
      <c r="J959" s="5"/>
      <c r="K959" s="5"/>
      <c r="L959" s="5"/>
      <c r="M959" s="5"/>
      <c r="N959" s="5"/>
      <c r="O959" s="5"/>
      <c r="P959" s="5"/>
      <c r="Q959" s="5"/>
      <c r="R959" s="5"/>
      <c r="S959" s="5"/>
      <c r="T959" s="5"/>
      <c r="U959" s="5"/>
      <c r="V959" s="7"/>
      <c r="W959" s="7"/>
      <c r="X959" s="164" t="e">
        <f t="shared" si="161"/>
        <v>#N/A</v>
      </c>
      <c r="Y959" s="164" t="e">
        <f t="shared" si="162"/>
        <v>#N/A</v>
      </c>
      <c r="AB959" s="156">
        <f t="shared" si="164"/>
        <v>0</v>
      </c>
      <c r="AC959" s="121" t="str">
        <f t="shared" si="163"/>
        <v/>
      </c>
      <c r="AE959" s="121" t="str">
        <f t="shared" si="165"/>
        <v/>
      </c>
      <c r="AF959" s="111" t="str">
        <f t="shared" si="166"/>
        <v/>
      </c>
    </row>
    <row r="960" spans="1:32">
      <c r="A960" s="159"/>
      <c r="B960" s="160"/>
      <c r="C960" s="5"/>
      <c r="D960" s="5"/>
      <c r="E960" s="5"/>
      <c r="F960" s="5"/>
      <c r="G960" s="5"/>
      <c r="H960" s="5"/>
      <c r="I960" s="5"/>
      <c r="J960" s="5"/>
      <c r="K960" s="5"/>
      <c r="L960" s="5"/>
      <c r="M960" s="5"/>
      <c r="N960" s="5"/>
      <c r="O960" s="5"/>
      <c r="P960" s="5"/>
      <c r="Q960" s="5"/>
      <c r="R960" s="5"/>
      <c r="S960" s="5"/>
      <c r="T960" s="5"/>
      <c r="U960" s="5"/>
      <c r="V960" s="7"/>
      <c r="W960" s="7"/>
      <c r="X960" s="164" t="e">
        <f t="shared" si="161"/>
        <v>#N/A</v>
      </c>
      <c r="Y960" s="164" t="e">
        <f t="shared" si="162"/>
        <v>#N/A</v>
      </c>
      <c r="AB960" s="156">
        <f t="shared" si="164"/>
        <v>0</v>
      </c>
      <c r="AC960" s="121" t="str">
        <f t="shared" si="163"/>
        <v/>
      </c>
      <c r="AE960" s="121" t="str">
        <f t="shared" si="165"/>
        <v/>
      </c>
      <c r="AF960" s="111" t="str">
        <f t="shared" si="166"/>
        <v/>
      </c>
    </row>
    <row r="961" spans="1:32">
      <c r="A961" s="159"/>
      <c r="B961" s="160"/>
      <c r="C961" s="5"/>
      <c r="D961" s="5"/>
      <c r="E961" s="5"/>
      <c r="F961" s="5"/>
      <c r="G961" s="5"/>
      <c r="H961" s="5"/>
      <c r="I961" s="5"/>
      <c r="J961" s="5"/>
      <c r="K961" s="5"/>
      <c r="L961" s="5"/>
      <c r="M961" s="5"/>
      <c r="N961" s="5"/>
      <c r="O961" s="5"/>
      <c r="P961" s="5"/>
      <c r="Q961" s="5"/>
      <c r="R961" s="5"/>
      <c r="S961" s="5"/>
      <c r="T961" s="5"/>
      <c r="U961" s="5"/>
      <c r="V961" s="7"/>
      <c r="W961" s="7"/>
      <c r="X961" s="164" t="e">
        <f t="shared" si="161"/>
        <v>#N/A</v>
      </c>
      <c r="Y961" s="164" t="e">
        <f t="shared" si="162"/>
        <v>#N/A</v>
      </c>
      <c r="AB961" s="156">
        <f t="shared" si="164"/>
        <v>0</v>
      </c>
      <c r="AC961" s="121" t="str">
        <f t="shared" si="163"/>
        <v/>
      </c>
      <c r="AE961" s="121" t="str">
        <f t="shared" si="165"/>
        <v/>
      </c>
      <c r="AF961" s="111" t="str">
        <f t="shared" si="166"/>
        <v/>
      </c>
    </row>
    <row r="962" spans="1:32">
      <c r="A962" s="159"/>
      <c r="B962" s="160"/>
      <c r="C962" s="5"/>
      <c r="D962" s="5"/>
      <c r="E962" s="5"/>
      <c r="F962" s="5"/>
      <c r="G962" s="5"/>
      <c r="H962" s="5"/>
      <c r="I962" s="5"/>
      <c r="J962" s="5"/>
      <c r="K962" s="5"/>
      <c r="L962" s="5"/>
      <c r="M962" s="5"/>
      <c r="N962" s="5"/>
      <c r="O962" s="5"/>
      <c r="P962" s="5"/>
      <c r="Q962" s="5"/>
      <c r="R962" s="5"/>
      <c r="S962" s="5"/>
      <c r="T962" s="5"/>
      <c r="U962" s="5"/>
      <c r="V962" s="7"/>
      <c r="W962" s="7"/>
      <c r="X962" s="164" t="e">
        <f t="shared" ref="X962:X1001" si="167">IF(AB962=1, A962,NA())</f>
        <v>#N/A</v>
      </c>
      <c r="Y962" s="164" t="e">
        <f t="shared" ref="Y962:Y1001" si="168">IF(AB962=1,B962-($H$7+$I$7*X962),NA())</f>
        <v>#N/A</v>
      </c>
      <c r="AB962" s="156">
        <f t="shared" si="164"/>
        <v>0</v>
      </c>
      <c r="AC962" s="121" t="str">
        <f t="shared" ref="AC962:AC1001" si="169">IF(ISBLANK(A962), "", Y962^2)</f>
        <v/>
      </c>
      <c r="AE962" s="121" t="str">
        <f t="shared" si="165"/>
        <v/>
      </c>
      <c r="AF962" s="111" t="str">
        <f t="shared" si="166"/>
        <v/>
      </c>
    </row>
    <row r="963" spans="1:32">
      <c r="A963" s="159"/>
      <c r="B963" s="160"/>
      <c r="C963" s="5"/>
      <c r="D963" s="5"/>
      <c r="E963" s="5"/>
      <c r="F963" s="5"/>
      <c r="G963" s="5"/>
      <c r="H963" s="5"/>
      <c r="I963" s="5"/>
      <c r="J963" s="5"/>
      <c r="K963" s="5"/>
      <c r="L963" s="5"/>
      <c r="M963" s="5"/>
      <c r="N963" s="5"/>
      <c r="O963" s="5"/>
      <c r="P963" s="5"/>
      <c r="Q963" s="5"/>
      <c r="R963" s="5"/>
      <c r="S963" s="5"/>
      <c r="T963" s="5"/>
      <c r="U963" s="5"/>
      <c r="V963" s="7"/>
      <c r="W963" s="7"/>
      <c r="X963" s="164" t="e">
        <f t="shared" si="167"/>
        <v>#N/A</v>
      </c>
      <c r="Y963" s="164" t="e">
        <f t="shared" si="168"/>
        <v>#N/A</v>
      </c>
      <c r="AB963" s="156">
        <f t="shared" ref="AB963:AB1001" si="170">IF(ISBLANK(A963),0,1)</f>
        <v>0</v>
      </c>
      <c r="AC963" s="121" t="str">
        <f t="shared" si="169"/>
        <v/>
      </c>
      <c r="AE963" s="121" t="str">
        <f t="shared" ref="AE963:AE1001" si="171">IF(AB963=1,(A963-$AA$2)^2, "")</f>
        <v/>
      </c>
      <c r="AF963" s="111" t="str">
        <f t="shared" si="166"/>
        <v/>
      </c>
    </row>
    <row r="964" spans="1:32">
      <c r="A964" s="159"/>
      <c r="B964" s="160"/>
      <c r="C964" s="5"/>
      <c r="D964" s="5"/>
      <c r="E964" s="5"/>
      <c r="F964" s="5"/>
      <c r="G964" s="5"/>
      <c r="H964" s="5"/>
      <c r="I964" s="5"/>
      <c r="J964" s="5"/>
      <c r="K964" s="5"/>
      <c r="L964" s="5"/>
      <c r="M964" s="5"/>
      <c r="N964" s="5"/>
      <c r="O964" s="5"/>
      <c r="P964" s="5"/>
      <c r="Q964" s="5"/>
      <c r="R964" s="5"/>
      <c r="S964" s="5"/>
      <c r="T964" s="5"/>
      <c r="U964" s="5"/>
      <c r="V964" s="7"/>
      <c r="W964" s="7"/>
      <c r="X964" s="164" t="e">
        <f t="shared" si="167"/>
        <v>#N/A</v>
      </c>
      <c r="Y964" s="164" t="e">
        <f t="shared" si="168"/>
        <v>#N/A</v>
      </c>
      <c r="AB964" s="156">
        <f t="shared" si="170"/>
        <v>0</v>
      </c>
      <c r="AC964" s="121" t="str">
        <f t="shared" si="169"/>
        <v/>
      </c>
      <c r="AE964" s="121" t="str">
        <f t="shared" si="171"/>
        <v/>
      </c>
      <c r="AF964" s="111" t="str">
        <f t="shared" ref="AF964:AF1001" si="172">IFERROR(Y963, "")</f>
        <v/>
      </c>
    </row>
    <row r="965" spans="1:32">
      <c r="A965" s="159"/>
      <c r="B965" s="160"/>
      <c r="C965" s="5"/>
      <c r="D965" s="5"/>
      <c r="E965" s="5"/>
      <c r="F965" s="5"/>
      <c r="G965" s="5"/>
      <c r="H965" s="5"/>
      <c r="I965" s="5"/>
      <c r="J965" s="5"/>
      <c r="K965" s="5"/>
      <c r="L965" s="5"/>
      <c r="M965" s="5"/>
      <c r="N965" s="5"/>
      <c r="O965" s="5"/>
      <c r="P965" s="5"/>
      <c r="Q965" s="5"/>
      <c r="R965" s="5"/>
      <c r="S965" s="5"/>
      <c r="T965" s="5"/>
      <c r="U965" s="5"/>
      <c r="V965" s="7"/>
      <c r="W965" s="7"/>
      <c r="X965" s="164" t="e">
        <f t="shared" si="167"/>
        <v>#N/A</v>
      </c>
      <c r="Y965" s="164" t="e">
        <f t="shared" si="168"/>
        <v>#N/A</v>
      </c>
      <c r="AB965" s="156">
        <f t="shared" si="170"/>
        <v>0</v>
      </c>
      <c r="AC965" s="121" t="str">
        <f t="shared" si="169"/>
        <v/>
      </c>
      <c r="AE965" s="121" t="str">
        <f t="shared" si="171"/>
        <v/>
      </c>
      <c r="AF965" s="111" t="str">
        <f t="shared" si="172"/>
        <v/>
      </c>
    </row>
    <row r="966" spans="1:32">
      <c r="A966" s="159"/>
      <c r="B966" s="160"/>
      <c r="C966" s="5"/>
      <c r="D966" s="5"/>
      <c r="E966" s="5"/>
      <c r="F966" s="5"/>
      <c r="G966" s="5"/>
      <c r="H966" s="5"/>
      <c r="I966" s="5"/>
      <c r="J966" s="5"/>
      <c r="K966" s="5"/>
      <c r="L966" s="5"/>
      <c r="M966" s="5"/>
      <c r="N966" s="5"/>
      <c r="O966" s="5"/>
      <c r="P966" s="5"/>
      <c r="Q966" s="5"/>
      <c r="R966" s="5"/>
      <c r="S966" s="5"/>
      <c r="T966" s="5"/>
      <c r="U966" s="5"/>
      <c r="V966" s="7"/>
      <c r="W966" s="7"/>
      <c r="X966" s="164" t="e">
        <f t="shared" si="167"/>
        <v>#N/A</v>
      </c>
      <c r="Y966" s="164" t="e">
        <f t="shared" si="168"/>
        <v>#N/A</v>
      </c>
      <c r="AB966" s="156">
        <f t="shared" si="170"/>
        <v>0</v>
      </c>
      <c r="AC966" s="121" t="str">
        <f t="shared" si="169"/>
        <v/>
      </c>
      <c r="AE966" s="121" t="str">
        <f t="shared" si="171"/>
        <v/>
      </c>
      <c r="AF966" s="111" t="str">
        <f t="shared" si="172"/>
        <v/>
      </c>
    </row>
    <row r="967" spans="1:32">
      <c r="A967" s="159"/>
      <c r="B967" s="160"/>
      <c r="C967" s="5"/>
      <c r="D967" s="5"/>
      <c r="E967" s="5"/>
      <c r="F967" s="5"/>
      <c r="G967" s="5"/>
      <c r="H967" s="5"/>
      <c r="I967" s="5"/>
      <c r="J967" s="5"/>
      <c r="K967" s="5"/>
      <c r="L967" s="5"/>
      <c r="M967" s="5"/>
      <c r="N967" s="5"/>
      <c r="O967" s="5"/>
      <c r="P967" s="5"/>
      <c r="Q967" s="5"/>
      <c r="R967" s="5"/>
      <c r="S967" s="5"/>
      <c r="T967" s="5"/>
      <c r="U967" s="5"/>
      <c r="V967" s="7"/>
      <c r="W967" s="7"/>
      <c r="X967" s="164" t="e">
        <f t="shared" si="167"/>
        <v>#N/A</v>
      </c>
      <c r="Y967" s="164" t="e">
        <f t="shared" si="168"/>
        <v>#N/A</v>
      </c>
      <c r="AB967" s="156">
        <f t="shared" si="170"/>
        <v>0</v>
      </c>
      <c r="AC967" s="121" t="str">
        <f t="shared" si="169"/>
        <v/>
      </c>
      <c r="AE967" s="121" t="str">
        <f t="shared" si="171"/>
        <v/>
      </c>
      <c r="AF967" s="111" t="str">
        <f t="shared" si="172"/>
        <v/>
      </c>
    </row>
    <row r="968" spans="1:32">
      <c r="A968" s="159"/>
      <c r="B968" s="160"/>
      <c r="C968" s="5"/>
      <c r="D968" s="5"/>
      <c r="E968" s="5"/>
      <c r="F968" s="5"/>
      <c r="G968" s="5"/>
      <c r="H968" s="5"/>
      <c r="I968" s="5"/>
      <c r="J968" s="5"/>
      <c r="K968" s="5"/>
      <c r="L968" s="5"/>
      <c r="M968" s="5"/>
      <c r="N968" s="5"/>
      <c r="O968" s="5"/>
      <c r="P968" s="5"/>
      <c r="Q968" s="5"/>
      <c r="R968" s="5"/>
      <c r="S968" s="5"/>
      <c r="T968" s="5"/>
      <c r="U968" s="5"/>
      <c r="V968" s="7"/>
      <c r="W968" s="7"/>
      <c r="X968" s="164" t="e">
        <f t="shared" si="167"/>
        <v>#N/A</v>
      </c>
      <c r="Y968" s="164" t="e">
        <f t="shared" si="168"/>
        <v>#N/A</v>
      </c>
      <c r="AB968" s="156">
        <f t="shared" si="170"/>
        <v>0</v>
      </c>
      <c r="AC968" s="121" t="str">
        <f t="shared" si="169"/>
        <v/>
      </c>
      <c r="AE968" s="121" t="str">
        <f t="shared" si="171"/>
        <v/>
      </c>
      <c r="AF968" s="111" t="str">
        <f t="shared" si="172"/>
        <v/>
      </c>
    </row>
    <row r="969" spans="1:32">
      <c r="A969" s="159"/>
      <c r="B969" s="160"/>
      <c r="C969" s="5"/>
      <c r="D969" s="5"/>
      <c r="E969" s="5"/>
      <c r="F969" s="5"/>
      <c r="G969" s="5"/>
      <c r="H969" s="5"/>
      <c r="I969" s="5"/>
      <c r="J969" s="5"/>
      <c r="K969" s="5"/>
      <c r="L969" s="5"/>
      <c r="M969" s="5"/>
      <c r="N969" s="5"/>
      <c r="O969" s="5"/>
      <c r="P969" s="5"/>
      <c r="Q969" s="5"/>
      <c r="R969" s="5"/>
      <c r="S969" s="5"/>
      <c r="T969" s="5"/>
      <c r="U969" s="5"/>
      <c r="V969" s="7"/>
      <c r="W969" s="7"/>
      <c r="X969" s="164" t="e">
        <f t="shared" si="167"/>
        <v>#N/A</v>
      </c>
      <c r="Y969" s="164" t="e">
        <f t="shared" si="168"/>
        <v>#N/A</v>
      </c>
      <c r="AB969" s="156">
        <f t="shared" si="170"/>
        <v>0</v>
      </c>
      <c r="AC969" s="121" t="str">
        <f t="shared" si="169"/>
        <v/>
      </c>
      <c r="AE969" s="121" t="str">
        <f t="shared" si="171"/>
        <v/>
      </c>
      <c r="AF969" s="111" t="str">
        <f t="shared" si="172"/>
        <v/>
      </c>
    </row>
    <row r="970" spans="1:32">
      <c r="A970" s="159"/>
      <c r="B970" s="160"/>
      <c r="C970" s="5"/>
      <c r="D970" s="5"/>
      <c r="E970" s="5"/>
      <c r="F970" s="5"/>
      <c r="G970" s="5"/>
      <c r="H970" s="5"/>
      <c r="I970" s="5"/>
      <c r="J970" s="5"/>
      <c r="K970" s="5"/>
      <c r="L970" s="5"/>
      <c r="M970" s="5"/>
      <c r="N970" s="5"/>
      <c r="O970" s="5"/>
      <c r="P970" s="5"/>
      <c r="Q970" s="5"/>
      <c r="R970" s="5"/>
      <c r="S970" s="5"/>
      <c r="T970" s="5"/>
      <c r="U970" s="5"/>
      <c r="V970" s="7"/>
      <c r="W970" s="7"/>
      <c r="X970" s="164" t="e">
        <f t="shared" si="167"/>
        <v>#N/A</v>
      </c>
      <c r="Y970" s="164" t="e">
        <f t="shared" si="168"/>
        <v>#N/A</v>
      </c>
      <c r="AB970" s="156">
        <f t="shared" si="170"/>
        <v>0</v>
      </c>
      <c r="AC970" s="121" t="str">
        <f t="shared" si="169"/>
        <v/>
      </c>
      <c r="AE970" s="121" t="str">
        <f t="shared" si="171"/>
        <v/>
      </c>
      <c r="AF970" s="111" t="str">
        <f t="shared" si="172"/>
        <v/>
      </c>
    </row>
    <row r="971" spans="1:32">
      <c r="A971" s="159"/>
      <c r="B971" s="160"/>
      <c r="C971" s="5"/>
      <c r="D971" s="5"/>
      <c r="E971" s="5"/>
      <c r="F971" s="5"/>
      <c r="G971" s="5"/>
      <c r="H971" s="5"/>
      <c r="I971" s="5"/>
      <c r="J971" s="5"/>
      <c r="K971" s="5"/>
      <c r="L971" s="5"/>
      <c r="M971" s="5"/>
      <c r="N971" s="5"/>
      <c r="O971" s="5"/>
      <c r="P971" s="5"/>
      <c r="Q971" s="5"/>
      <c r="R971" s="5"/>
      <c r="S971" s="5"/>
      <c r="T971" s="5"/>
      <c r="U971" s="5"/>
      <c r="V971" s="7"/>
      <c r="W971" s="7"/>
      <c r="X971" s="164" t="e">
        <f t="shared" si="167"/>
        <v>#N/A</v>
      </c>
      <c r="Y971" s="164" t="e">
        <f t="shared" si="168"/>
        <v>#N/A</v>
      </c>
      <c r="AB971" s="156">
        <f t="shared" si="170"/>
        <v>0</v>
      </c>
      <c r="AC971" s="121" t="str">
        <f t="shared" si="169"/>
        <v/>
      </c>
      <c r="AE971" s="121" t="str">
        <f t="shared" si="171"/>
        <v/>
      </c>
      <c r="AF971" s="111" t="str">
        <f t="shared" si="172"/>
        <v/>
      </c>
    </row>
    <row r="972" spans="1:32">
      <c r="A972" s="159"/>
      <c r="B972" s="160"/>
      <c r="C972" s="5"/>
      <c r="D972" s="5"/>
      <c r="E972" s="5"/>
      <c r="F972" s="5"/>
      <c r="G972" s="5"/>
      <c r="H972" s="5"/>
      <c r="I972" s="5"/>
      <c r="J972" s="5"/>
      <c r="K972" s="5"/>
      <c r="L972" s="5"/>
      <c r="M972" s="5"/>
      <c r="N972" s="5"/>
      <c r="O972" s="5"/>
      <c r="P972" s="5"/>
      <c r="Q972" s="5"/>
      <c r="R972" s="5"/>
      <c r="S972" s="5"/>
      <c r="T972" s="5"/>
      <c r="U972" s="5"/>
      <c r="V972" s="7"/>
      <c r="W972" s="7"/>
      <c r="X972" s="164" t="e">
        <f t="shared" si="167"/>
        <v>#N/A</v>
      </c>
      <c r="Y972" s="164" t="e">
        <f t="shared" si="168"/>
        <v>#N/A</v>
      </c>
      <c r="AB972" s="156">
        <f t="shared" si="170"/>
        <v>0</v>
      </c>
      <c r="AC972" s="121" t="str">
        <f t="shared" si="169"/>
        <v/>
      </c>
      <c r="AE972" s="121" t="str">
        <f t="shared" si="171"/>
        <v/>
      </c>
      <c r="AF972" s="111" t="str">
        <f t="shared" si="172"/>
        <v/>
      </c>
    </row>
    <row r="973" spans="1:32">
      <c r="A973" s="159"/>
      <c r="B973" s="160"/>
      <c r="C973" s="5"/>
      <c r="D973" s="5"/>
      <c r="E973" s="5"/>
      <c r="F973" s="5"/>
      <c r="G973" s="5"/>
      <c r="H973" s="5"/>
      <c r="I973" s="5"/>
      <c r="J973" s="5"/>
      <c r="K973" s="5"/>
      <c r="L973" s="5"/>
      <c r="M973" s="5"/>
      <c r="N973" s="5"/>
      <c r="O973" s="5"/>
      <c r="P973" s="5"/>
      <c r="Q973" s="5"/>
      <c r="R973" s="5"/>
      <c r="S973" s="5"/>
      <c r="T973" s="5"/>
      <c r="U973" s="5"/>
      <c r="V973" s="7"/>
      <c r="W973" s="7"/>
      <c r="X973" s="164" t="e">
        <f t="shared" si="167"/>
        <v>#N/A</v>
      </c>
      <c r="Y973" s="164" t="e">
        <f t="shared" si="168"/>
        <v>#N/A</v>
      </c>
      <c r="AB973" s="156">
        <f t="shared" si="170"/>
        <v>0</v>
      </c>
      <c r="AC973" s="121" t="str">
        <f t="shared" si="169"/>
        <v/>
      </c>
      <c r="AE973" s="121" t="str">
        <f t="shared" si="171"/>
        <v/>
      </c>
      <c r="AF973" s="111" t="str">
        <f t="shared" si="172"/>
        <v/>
      </c>
    </row>
    <row r="974" spans="1:32">
      <c r="A974" s="159"/>
      <c r="B974" s="160"/>
      <c r="C974" s="5"/>
      <c r="D974" s="5"/>
      <c r="E974" s="5"/>
      <c r="F974" s="5"/>
      <c r="G974" s="5"/>
      <c r="H974" s="5"/>
      <c r="I974" s="5"/>
      <c r="J974" s="5"/>
      <c r="K974" s="5"/>
      <c r="L974" s="5"/>
      <c r="M974" s="5"/>
      <c r="N974" s="5"/>
      <c r="O974" s="5"/>
      <c r="P974" s="5"/>
      <c r="Q974" s="5"/>
      <c r="R974" s="5"/>
      <c r="S974" s="5"/>
      <c r="T974" s="5"/>
      <c r="U974" s="5"/>
      <c r="V974" s="7"/>
      <c r="W974" s="7"/>
      <c r="X974" s="164" t="e">
        <f t="shared" si="167"/>
        <v>#N/A</v>
      </c>
      <c r="Y974" s="164" t="e">
        <f t="shared" si="168"/>
        <v>#N/A</v>
      </c>
      <c r="AB974" s="156">
        <f t="shared" si="170"/>
        <v>0</v>
      </c>
      <c r="AC974" s="121" t="str">
        <f t="shared" si="169"/>
        <v/>
      </c>
      <c r="AE974" s="121" t="str">
        <f t="shared" si="171"/>
        <v/>
      </c>
      <c r="AF974" s="111" t="str">
        <f t="shared" si="172"/>
        <v/>
      </c>
    </row>
    <row r="975" spans="1:32">
      <c r="A975" s="159"/>
      <c r="B975" s="160"/>
      <c r="C975" s="5"/>
      <c r="D975" s="5"/>
      <c r="E975" s="5"/>
      <c r="F975" s="5"/>
      <c r="G975" s="5"/>
      <c r="H975" s="5"/>
      <c r="I975" s="5"/>
      <c r="J975" s="5"/>
      <c r="K975" s="5"/>
      <c r="L975" s="5"/>
      <c r="M975" s="5"/>
      <c r="N975" s="5"/>
      <c r="O975" s="5"/>
      <c r="P975" s="5"/>
      <c r="Q975" s="5"/>
      <c r="R975" s="5"/>
      <c r="S975" s="5"/>
      <c r="T975" s="5"/>
      <c r="U975" s="5"/>
      <c r="V975" s="7"/>
      <c r="W975" s="7"/>
      <c r="X975" s="164" t="e">
        <f t="shared" si="167"/>
        <v>#N/A</v>
      </c>
      <c r="Y975" s="164" t="e">
        <f t="shared" si="168"/>
        <v>#N/A</v>
      </c>
      <c r="AB975" s="156">
        <f t="shared" si="170"/>
        <v>0</v>
      </c>
      <c r="AC975" s="121" t="str">
        <f t="shared" si="169"/>
        <v/>
      </c>
      <c r="AE975" s="121" t="str">
        <f t="shared" si="171"/>
        <v/>
      </c>
      <c r="AF975" s="111" t="str">
        <f t="shared" si="172"/>
        <v/>
      </c>
    </row>
    <row r="976" spans="1:32">
      <c r="A976" s="159"/>
      <c r="B976" s="160"/>
      <c r="C976" s="5"/>
      <c r="D976" s="5"/>
      <c r="E976" s="5"/>
      <c r="F976" s="5"/>
      <c r="G976" s="5"/>
      <c r="H976" s="5"/>
      <c r="I976" s="5"/>
      <c r="J976" s="5"/>
      <c r="K976" s="5"/>
      <c r="L976" s="5"/>
      <c r="M976" s="5"/>
      <c r="N976" s="5"/>
      <c r="O976" s="5"/>
      <c r="P976" s="5"/>
      <c r="Q976" s="5"/>
      <c r="R976" s="5"/>
      <c r="S976" s="5"/>
      <c r="T976" s="5"/>
      <c r="U976" s="5"/>
      <c r="V976" s="7"/>
      <c r="W976" s="7"/>
      <c r="X976" s="164" t="e">
        <f t="shared" si="167"/>
        <v>#N/A</v>
      </c>
      <c r="Y976" s="164" t="e">
        <f t="shared" si="168"/>
        <v>#N/A</v>
      </c>
      <c r="AB976" s="156">
        <f t="shared" si="170"/>
        <v>0</v>
      </c>
      <c r="AC976" s="121" t="str">
        <f t="shared" si="169"/>
        <v/>
      </c>
      <c r="AE976" s="121" t="str">
        <f t="shared" si="171"/>
        <v/>
      </c>
      <c r="AF976" s="111" t="str">
        <f t="shared" si="172"/>
        <v/>
      </c>
    </row>
    <row r="977" spans="1:32">
      <c r="A977" s="159"/>
      <c r="B977" s="160"/>
      <c r="C977" s="5"/>
      <c r="D977" s="5"/>
      <c r="E977" s="5"/>
      <c r="F977" s="5"/>
      <c r="G977" s="5"/>
      <c r="H977" s="5"/>
      <c r="I977" s="5"/>
      <c r="J977" s="5"/>
      <c r="K977" s="5"/>
      <c r="L977" s="5"/>
      <c r="M977" s="5"/>
      <c r="N977" s="5"/>
      <c r="O977" s="5"/>
      <c r="P977" s="5"/>
      <c r="Q977" s="5"/>
      <c r="R977" s="5"/>
      <c r="S977" s="5"/>
      <c r="T977" s="5"/>
      <c r="U977" s="5"/>
      <c r="V977" s="7"/>
      <c r="W977" s="7"/>
      <c r="X977" s="164" t="e">
        <f t="shared" si="167"/>
        <v>#N/A</v>
      </c>
      <c r="Y977" s="164" t="e">
        <f t="shared" si="168"/>
        <v>#N/A</v>
      </c>
      <c r="AB977" s="156">
        <f t="shared" si="170"/>
        <v>0</v>
      </c>
      <c r="AC977" s="121" t="str">
        <f t="shared" si="169"/>
        <v/>
      </c>
      <c r="AE977" s="121" t="str">
        <f t="shared" si="171"/>
        <v/>
      </c>
      <c r="AF977" s="111" t="str">
        <f t="shared" si="172"/>
        <v/>
      </c>
    </row>
    <row r="978" spans="1:32">
      <c r="A978" s="159"/>
      <c r="B978" s="160"/>
      <c r="C978" s="5"/>
      <c r="D978" s="5"/>
      <c r="E978" s="5"/>
      <c r="F978" s="5"/>
      <c r="G978" s="5"/>
      <c r="H978" s="5"/>
      <c r="I978" s="5"/>
      <c r="J978" s="5"/>
      <c r="K978" s="5"/>
      <c r="L978" s="5"/>
      <c r="M978" s="5"/>
      <c r="N978" s="5"/>
      <c r="O978" s="5"/>
      <c r="P978" s="5"/>
      <c r="Q978" s="5"/>
      <c r="R978" s="5"/>
      <c r="S978" s="5"/>
      <c r="T978" s="5"/>
      <c r="U978" s="5"/>
      <c r="V978" s="7"/>
      <c r="W978" s="7"/>
      <c r="X978" s="164" t="e">
        <f t="shared" si="167"/>
        <v>#N/A</v>
      </c>
      <c r="Y978" s="164" t="e">
        <f t="shared" si="168"/>
        <v>#N/A</v>
      </c>
      <c r="AB978" s="156">
        <f t="shared" si="170"/>
        <v>0</v>
      </c>
      <c r="AC978" s="121" t="str">
        <f t="shared" si="169"/>
        <v/>
      </c>
      <c r="AE978" s="121" t="str">
        <f t="shared" si="171"/>
        <v/>
      </c>
      <c r="AF978" s="111" t="str">
        <f t="shared" si="172"/>
        <v/>
      </c>
    </row>
    <row r="979" spans="1:32">
      <c r="A979" s="159"/>
      <c r="B979" s="160"/>
      <c r="C979" s="5"/>
      <c r="D979" s="5"/>
      <c r="E979" s="5"/>
      <c r="F979" s="5"/>
      <c r="G979" s="5"/>
      <c r="H979" s="5"/>
      <c r="I979" s="5"/>
      <c r="J979" s="5"/>
      <c r="K979" s="5"/>
      <c r="L979" s="5"/>
      <c r="M979" s="5"/>
      <c r="N979" s="5"/>
      <c r="O979" s="5"/>
      <c r="P979" s="5"/>
      <c r="Q979" s="5"/>
      <c r="R979" s="5"/>
      <c r="S979" s="5"/>
      <c r="T979" s="5"/>
      <c r="U979" s="5"/>
      <c r="V979" s="7"/>
      <c r="W979" s="7"/>
      <c r="X979" s="164" t="e">
        <f t="shared" si="167"/>
        <v>#N/A</v>
      </c>
      <c r="Y979" s="164" t="e">
        <f t="shared" si="168"/>
        <v>#N/A</v>
      </c>
      <c r="AB979" s="156">
        <f t="shared" si="170"/>
        <v>0</v>
      </c>
      <c r="AC979" s="121" t="str">
        <f t="shared" si="169"/>
        <v/>
      </c>
      <c r="AE979" s="121" t="str">
        <f t="shared" si="171"/>
        <v/>
      </c>
      <c r="AF979" s="111" t="str">
        <f t="shared" si="172"/>
        <v/>
      </c>
    </row>
    <row r="980" spans="1:32">
      <c r="A980" s="159"/>
      <c r="B980" s="160"/>
      <c r="C980" s="5"/>
      <c r="D980" s="5"/>
      <c r="E980" s="5"/>
      <c r="F980" s="5"/>
      <c r="G980" s="5"/>
      <c r="H980" s="5"/>
      <c r="I980" s="5"/>
      <c r="J980" s="5"/>
      <c r="K980" s="5"/>
      <c r="L980" s="5"/>
      <c r="M980" s="5"/>
      <c r="N980" s="5"/>
      <c r="O980" s="5"/>
      <c r="P980" s="5"/>
      <c r="Q980" s="5"/>
      <c r="R980" s="5"/>
      <c r="S980" s="5"/>
      <c r="T980" s="5"/>
      <c r="U980" s="5"/>
      <c r="V980" s="7"/>
      <c r="W980" s="7"/>
      <c r="X980" s="164" t="e">
        <f t="shared" si="167"/>
        <v>#N/A</v>
      </c>
      <c r="Y980" s="164" t="e">
        <f t="shared" si="168"/>
        <v>#N/A</v>
      </c>
      <c r="AB980" s="156">
        <f t="shared" si="170"/>
        <v>0</v>
      </c>
      <c r="AC980" s="121" t="str">
        <f t="shared" si="169"/>
        <v/>
      </c>
      <c r="AE980" s="121" t="str">
        <f t="shared" si="171"/>
        <v/>
      </c>
      <c r="AF980" s="111" t="str">
        <f t="shared" si="172"/>
        <v/>
      </c>
    </row>
    <row r="981" spans="1:32">
      <c r="A981" s="159"/>
      <c r="B981" s="160"/>
      <c r="C981" s="5"/>
      <c r="D981" s="5"/>
      <c r="E981" s="5"/>
      <c r="F981" s="5"/>
      <c r="G981" s="5"/>
      <c r="H981" s="5"/>
      <c r="I981" s="5"/>
      <c r="J981" s="5"/>
      <c r="K981" s="5"/>
      <c r="L981" s="5"/>
      <c r="M981" s="5"/>
      <c r="N981" s="5"/>
      <c r="O981" s="5"/>
      <c r="P981" s="5"/>
      <c r="Q981" s="5"/>
      <c r="R981" s="5"/>
      <c r="S981" s="5"/>
      <c r="T981" s="5"/>
      <c r="U981" s="5"/>
      <c r="V981" s="7"/>
      <c r="W981" s="7"/>
      <c r="X981" s="164" t="e">
        <f t="shared" si="167"/>
        <v>#N/A</v>
      </c>
      <c r="Y981" s="164" t="e">
        <f t="shared" si="168"/>
        <v>#N/A</v>
      </c>
      <c r="AB981" s="156">
        <f t="shared" si="170"/>
        <v>0</v>
      </c>
      <c r="AC981" s="121" t="str">
        <f t="shared" si="169"/>
        <v/>
      </c>
      <c r="AE981" s="121" t="str">
        <f t="shared" si="171"/>
        <v/>
      </c>
      <c r="AF981" s="111" t="str">
        <f t="shared" si="172"/>
        <v/>
      </c>
    </row>
    <row r="982" spans="1:32">
      <c r="A982" s="159"/>
      <c r="B982" s="160"/>
      <c r="C982" s="5"/>
      <c r="D982" s="5"/>
      <c r="E982" s="5"/>
      <c r="F982" s="5"/>
      <c r="G982" s="5"/>
      <c r="H982" s="5"/>
      <c r="I982" s="5"/>
      <c r="J982" s="5"/>
      <c r="K982" s="5"/>
      <c r="L982" s="5"/>
      <c r="M982" s="5"/>
      <c r="N982" s="5"/>
      <c r="O982" s="5"/>
      <c r="P982" s="5"/>
      <c r="Q982" s="5"/>
      <c r="R982" s="5"/>
      <c r="S982" s="5"/>
      <c r="T982" s="5"/>
      <c r="U982" s="5"/>
      <c r="V982" s="7"/>
      <c r="W982" s="7"/>
      <c r="X982" s="164" t="e">
        <f t="shared" si="167"/>
        <v>#N/A</v>
      </c>
      <c r="Y982" s="164" t="e">
        <f t="shared" si="168"/>
        <v>#N/A</v>
      </c>
      <c r="AB982" s="156">
        <f t="shared" si="170"/>
        <v>0</v>
      </c>
      <c r="AC982" s="121" t="str">
        <f t="shared" si="169"/>
        <v/>
      </c>
      <c r="AE982" s="121" t="str">
        <f t="shared" si="171"/>
        <v/>
      </c>
      <c r="AF982" s="111" t="str">
        <f t="shared" si="172"/>
        <v/>
      </c>
    </row>
    <row r="983" spans="1:32">
      <c r="A983" s="159"/>
      <c r="B983" s="160"/>
      <c r="C983" s="5"/>
      <c r="D983" s="5"/>
      <c r="E983" s="5"/>
      <c r="F983" s="5"/>
      <c r="G983" s="5"/>
      <c r="H983" s="5"/>
      <c r="I983" s="5"/>
      <c r="J983" s="5"/>
      <c r="K983" s="5"/>
      <c r="L983" s="5"/>
      <c r="M983" s="5"/>
      <c r="N983" s="5"/>
      <c r="O983" s="5"/>
      <c r="P983" s="5"/>
      <c r="Q983" s="5"/>
      <c r="R983" s="5"/>
      <c r="S983" s="5"/>
      <c r="T983" s="5"/>
      <c r="U983" s="5"/>
      <c r="V983" s="7"/>
      <c r="W983" s="7"/>
      <c r="X983" s="164" t="e">
        <f t="shared" si="167"/>
        <v>#N/A</v>
      </c>
      <c r="Y983" s="164" t="e">
        <f t="shared" si="168"/>
        <v>#N/A</v>
      </c>
      <c r="AB983" s="156">
        <f t="shared" si="170"/>
        <v>0</v>
      </c>
      <c r="AC983" s="121" t="str">
        <f t="shared" si="169"/>
        <v/>
      </c>
      <c r="AE983" s="121" t="str">
        <f t="shared" si="171"/>
        <v/>
      </c>
      <c r="AF983" s="111" t="str">
        <f t="shared" si="172"/>
        <v/>
      </c>
    </row>
    <row r="984" spans="1:32">
      <c r="A984" s="159"/>
      <c r="B984" s="160"/>
      <c r="C984" s="5"/>
      <c r="D984" s="5"/>
      <c r="E984" s="5"/>
      <c r="F984" s="5"/>
      <c r="G984" s="5"/>
      <c r="H984" s="5"/>
      <c r="I984" s="5"/>
      <c r="J984" s="5"/>
      <c r="K984" s="5"/>
      <c r="L984" s="5"/>
      <c r="M984" s="5"/>
      <c r="N984" s="5"/>
      <c r="O984" s="5"/>
      <c r="P984" s="5"/>
      <c r="Q984" s="5"/>
      <c r="R984" s="5"/>
      <c r="S984" s="5"/>
      <c r="T984" s="5"/>
      <c r="U984" s="5"/>
      <c r="V984" s="7"/>
      <c r="W984" s="7"/>
      <c r="X984" s="164" t="e">
        <f t="shared" si="167"/>
        <v>#N/A</v>
      </c>
      <c r="Y984" s="164" t="e">
        <f t="shared" si="168"/>
        <v>#N/A</v>
      </c>
      <c r="AB984" s="156">
        <f t="shared" si="170"/>
        <v>0</v>
      </c>
      <c r="AC984" s="121" t="str">
        <f t="shared" si="169"/>
        <v/>
      </c>
      <c r="AE984" s="121" t="str">
        <f t="shared" si="171"/>
        <v/>
      </c>
      <c r="AF984" s="111" t="str">
        <f t="shared" si="172"/>
        <v/>
      </c>
    </row>
    <row r="985" spans="1:32">
      <c r="A985" s="159"/>
      <c r="B985" s="160"/>
      <c r="C985" s="5"/>
      <c r="D985" s="5"/>
      <c r="E985" s="5"/>
      <c r="F985" s="5"/>
      <c r="G985" s="5"/>
      <c r="H985" s="5"/>
      <c r="I985" s="5"/>
      <c r="J985" s="5"/>
      <c r="K985" s="5"/>
      <c r="L985" s="5"/>
      <c r="M985" s="5"/>
      <c r="N985" s="5"/>
      <c r="O985" s="5"/>
      <c r="P985" s="5"/>
      <c r="Q985" s="5"/>
      <c r="R985" s="5"/>
      <c r="S985" s="5"/>
      <c r="T985" s="5"/>
      <c r="U985" s="5"/>
      <c r="V985" s="7"/>
      <c r="W985" s="7"/>
      <c r="X985" s="164" t="e">
        <f t="shared" si="167"/>
        <v>#N/A</v>
      </c>
      <c r="Y985" s="164" t="e">
        <f t="shared" si="168"/>
        <v>#N/A</v>
      </c>
      <c r="AB985" s="156">
        <f t="shared" si="170"/>
        <v>0</v>
      </c>
      <c r="AC985" s="121" t="str">
        <f t="shared" si="169"/>
        <v/>
      </c>
      <c r="AE985" s="121" t="str">
        <f t="shared" si="171"/>
        <v/>
      </c>
      <c r="AF985" s="111" t="str">
        <f t="shared" si="172"/>
        <v/>
      </c>
    </row>
    <row r="986" spans="1:32">
      <c r="A986" s="159"/>
      <c r="B986" s="160"/>
      <c r="C986" s="5"/>
      <c r="D986" s="5"/>
      <c r="E986" s="5"/>
      <c r="F986" s="5"/>
      <c r="G986" s="5"/>
      <c r="H986" s="5"/>
      <c r="I986" s="5"/>
      <c r="J986" s="5"/>
      <c r="K986" s="5"/>
      <c r="L986" s="5"/>
      <c r="M986" s="5"/>
      <c r="N986" s="5"/>
      <c r="O986" s="5"/>
      <c r="P986" s="5"/>
      <c r="Q986" s="5"/>
      <c r="R986" s="5"/>
      <c r="S986" s="5"/>
      <c r="T986" s="5"/>
      <c r="U986" s="5"/>
      <c r="V986" s="7"/>
      <c r="W986" s="7"/>
      <c r="X986" s="164" t="e">
        <f t="shared" si="167"/>
        <v>#N/A</v>
      </c>
      <c r="Y986" s="164" t="e">
        <f t="shared" si="168"/>
        <v>#N/A</v>
      </c>
      <c r="AB986" s="156">
        <f t="shared" si="170"/>
        <v>0</v>
      </c>
      <c r="AC986" s="121" t="str">
        <f t="shared" si="169"/>
        <v/>
      </c>
      <c r="AE986" s="121" t="str">
        <f t="shared" si="171"/>
        <v/>
      </c>
      <c r="AF986" s="111" t="str">
        <f t="shared" si="172"/>
        <v/>
      </c>
    </row>
    <row r="987" spans="1:32">
      <c r="A987" s="159"/>
      <c r="B987" s="160"/>
      <c r="C987" s="5"/>
      <c r="D987" s="5"/>
      <c r="E987" s="5"/>
      <c r="F987" s="5"/>
      <c r="G987" s="5"/>
      <c r="H987" s="5"/>
      <c r="I987" s="5"/>
      <c r="J987" s="5"/>
      <c r="K987" s="5"/>
      <c r="L987" s="5"/>
      <c r="M987" s="5"/>
      <c r="N987" s="5"/>
      <c r="O987" s="5"/>
      <c r="P987" s="5"/>
      <c r="Q987" s="5"/>
      <c r="R987" s="5"/>
      <c r="S987" s="5"/>
      <c r="T987" s="5"/>
      <c r="U987" s="5"/>
      <c r="V987" s="7"/>
      <c r="W987" s="7"/>
      <c r="X987" s="164" t="e">
        <f t="shared" si="167"/>
        <v>#N/A</v>
      </c>
      <c r="Y987" s="164" t="e">
        <f t="shared" si="168"/>
        <v>#N/A</v>
      </c>
      <c r="AB987" s="156">
        <f t="shared" si="170"/>
        <v>0</v>
      </c>
      <c r="AC987" s="121" t="str">
        <f t="shared" si="169"/>
        <v/>
      </c>
      <c r="AE987" s="121" t="str">
        <f t="shared" si="171"/>
        <v/>
      </c>
      <c r="AF987" s="111" t="str">
        <f t="shared" si="172"/>
        <v/>
      </c>
    </row>
    <row r="988" spans="1:32">
      <c r="A988" s="159"/>
      <c r="B988" s="160"/>
      <c r="C988" s="5"/>
      <c r="D988" s="5"/>
      <c r="E988" s="5"/>
      <c r="F988" s="5"/>
      <c r="G988" s="5"/>
      <c r="H988" s="5"/>
      <c r="I988" s="5"/>
      <c r="J988" s="5"/>
      <c r="K988" s="5"/>
      <c r="L988" s="5"/>
      <c r="M988" s="5"/>
      <c r="N988" s="5"/>
      <c r="O988" s="5"/>
      <c r="P988" s="5"/>
      <c r="Q988" s="5"/>
      <c r="R988" s="5"/>
      <c r="S988" s="5"/>
      <c r="T988" s="5"/>
      <c r="U988" s="5"/>
      <c r="V988" s="7"/>
      <c r="W988" s="7"/>
      <c r="X988" s="164" t="e">
        <f t="shared" si="167"/>
        <v>#N/A</v>
      </c>
      <c r="Y988" s="164" t="e">
        <f t="shared" si="168"/>
        <v>#N/A</v>
      </c>
      <c r="AB988" s="156">
        <f t="shared" si="170"/>
        <v>0</v>
      </c>
      <c r="AC988" s="121" t="str">
        <f t="shared" si="169"/>
        <v/>
      </c>
      <c r="AE988" s="121" t="str">
        <f t="shared" si="171"/>
        <v/>
      </c>
      <c r="AF988" s="111" t="str">
        <f t="shared" si="172"/>
        <v/>
      </c>
    </row>
    <row r="989" spans="1:32">
      <c r="A989" s="159"/>
      <c r="B989" s="160"/>
      <c r="C989" s="5"/>
      <c r="D989" s="5"/>
      <c r="E989" s="5"/>
      <c r="F989" s="5"/>
      <c r="G989" s="5"/>
      <c r="H989" s="5"/>
      <c r="I989" s="5"/>
      <c r="J989" s="5"/>
      <c r="K989" s="5"/>
      <c r="L989" s="5"/>
      <c r="M989" s="5"/>
      <c r="N989" s="5"/>
      <c r="O989" s="5"/>
      <c r="P989" s="5"/>
      <c r="Q989" s="5"/>
      <c r="R989" s="5"/>
      <c r="S989" s="5"/>
      <c r="T989" s="5"/>
      <c r="U989" s="5"/>
      <c r="V989" s="7"/>
      <c r="W989" s="7"/>
      <c r="X989" s="164" t="e">
        <f t="shared" si="167"/>
        <v>#N/A</v>
      </c>
      <c r="Y989" s="164" t="e">
        <f t="shared" si="168"/>
        <v>#N/A</v>
      </c>
      <c r="AB989" s="156">
        <f t="shared" si="170"/>
        <v>0</v>
      </c>
      <c r="AC989" s="121" t="str">
        <f t="shared" si="169"/>
        <v/>
      </c>
      <c r="AE989" s="121" t="str">
        <f t="shared" si="171"/>
        <v/>
      </c>
      <c r="AF989" s="111" t="str">
        <f t="shared" si="172"/>
        <v/>
      </c>
    </row>
    <row r="990" spans="1:32">
      <c r="A990" s="159"/>
      <c r="B990" s="160"/>
      <c r="C990" s="5"/>
      <c r="D990" s="5"/>
      <c r="E990" s="5"/>
      <c r="F990" s="5"/>
      <c r="G990" s="5"/>
      <c r="H990" s="5"/>
      <c r="I990" s="5"/>
      <c r="J990" s="5"/>
      <c r="K990" s="5"/>
      <c r="L990" s="5"/>
      <c r="M990" s="5"/>
      <c r="N990" s="5"/>
      <c r="O990" s="5"/>
      <c r="P990" s="5"/>
      <c r="Q990" s="5"/>
      <c r="R990" s="5"/>
      <c r="S990" s="5"/>
      <c r="T990" s="5"/>
      <c r="U990" s="5"/>
      <c r="V990" s="7"/>
      <c r="W990" s="7"/>
      <c r="X990" s="164" t="e">
        <f t="shared" si="167"/>
        <v>#N/A</v>
      </c>
      <c r="Y990" s="164" t="e">
        <f t="shared" si="168"/>
        <v>#N/A</v>
      </c>
      <c r="AB990" s="156">
        <f t="shared" si="170"/>
        <v>0</v>
      </c>
      <c r="AC990" s="121" t="str">
        <f t="shared" si="169"/>
        <v/>
      </c>
      <c r="AE990" s="121" t="str">
        <f t="shared" si="171"/>
        <v/>
      </c>
      <c r="AF990" s="111" t="str">
        <f t="shared" si="172"/>
        <v/>
      </c>
    </row>
    <row r="991" spans="1:32">
      <c r="A991" s="159"/>
      <c r="B991" s="160"/>
      <c r="C991" s="5"/>
      <c r="D991" s="5"/>
      <c r="E991" s="5"/>
      <c r="F991" s="5"/>
      <c r="G991" s="5"/>
      <c r="H991" s="5"/>
      <c r="I991" s="5"/>
      <c r="J991" s="5"/>
      <c r="K991" s="5"/>
      <c r="L991" s="5"/>
      <c r="M991" s="5"/>
      <c r="N991" s="5"/>
      <c r="O991" s="5"/>
      <c r="P991" s="5"/>
      <c r="Q991" s="5"/>
      <c r="R991" s="5"/>
      <c r="S991" s="5"/>
      <c r="T991" s="5"/>
      <c r="U991" s="5"/>
      <c r="V991" s="7"/>
      <c r="W991" s="7"/>
      <c r="X991" s="164" t="e">
        <f t="shared" si="167"/>
        <v>#N/A</v>
      </c>
      <c r="Y991" s="164" t="e">
        <f t="shared" si="168"/>
        <v>#N/A</v>
      </c>
      <c r="AB991" s="156">
        <f t="shared" si="170"/>
        <v>0</v>
      </c>
      <c r="AC991" s="121" t="str">
        <f t="shared" si="169"/>
        <v/>
      </c>
      <c r="AE991" s="121" t="str">
        <f t="shared" si="171"/>
        <v/>
      </c>
      <c r="AF991" s="111" t="str">
        <f t="shared" si="172"/>
        <v/>
      </c>
    </row>
    <row r="992" spans="1:32">
      <c r="A992" s="159"/>
      <c r="B992" s="160"/>
      <c r="C992" s="5"/>
      <c r="D992" s="5"/>
      <c r="E992" s="5"/>
      <c r="F992" s="5"/>
      <c r="G992" s="5"/>
      <c r="H992" s="5"/>
      <c r="I992" s="5"/>
      <c r="J992" s="5"/>
      <c r="K992" s="5"/>
      <c r="L992" s="5"/>
      <c r="M992" s="5"/>
      <c r="N992" s="5"/>
      <c r="O992" s="5"/>
      <c r="P992" s="5"/>
      <c r="Q992" s="5"/>
      <c r="R992" s="5"/>
      <c r="S992" s="5"/>
      <c r="T992" s="5"/>
      <c r="U992" s="5"/>
      <c r="V992" s="7"/>
      <c r="W992" s="7"/>
      <c r="X992" s="164" t="e">
        <f t="shared" si="167"/>
        <v>#N/A</v>
      </c>
      <c r="Y992" s="164" t="e">
        <f t="shared" si="168"/>
        <v>#N/A</v>
      </c>
      <c r="AB992" s="156">
        <f t="shared" si="170"/>
        <v>0</v>
      </c>
      <c r="AC992" s="121" t="str">
        <f t="shared" si="169"/>
        <v/>
      </c>
      <c r="AE992" s="121" t="str">
        <f t="shared" si="171"/>
        <v/>
      </c>
      <c r="AF992" s="111" t="str">
        <f t="shared" si="172"/>
        <v/>
      </c>
    </row>
    <row r="993" spans="1:32">
      <c r="A993" s="159"/>
      <c r="B993" s="160"/>
      <c r="C993" s="5"/>
      <c r="D993" s="5"/>
      <c r="E993" s="5"/>
      <c r="F993" s="5"/>
      <c r="G993" s="5"/>
      <c r="H993" s="5"/>
      <c r="I993" s="5"/>
      <c r="J993" s="5"/>
      <c r="K993" s="5"/>
      <c r="L993" s="5"/>
      <c r="M993" s="5"/>
      <c r="N993" s="5"/>
      <c r="O993" s="5"/>
      <c r="P993" s="5"/>
      <c r="Q993" s="5"/>
      <c r="R993" s="5"/>
      <c r="S993" s="5"/>
      <c r="T993" s="5"/>
      <c r="U993" s="5"/>
      <c r="V993" s="7"/>
      <c r="W993" s="7"/>
      <c r="X993" s="164" t="e">
        <f t="shared" si="167"/>
        <v>#N/A</v>
      </c>
      <c r="Y993" s="164" t="e">
        <f t="shared" si="168"/>
        <v>#N/A</v>
      </c>
      <c r="AB993" s="156">
        <f t="shared" si="170"/>
        <v>0</v>
      </c>
      <c r="AC993" s="121" t="str">
        <f t="shared" si="169"/>
        <v/>
      </c>
      <c r="AE993" s="121" t="str">
        <f t="shared" si="171"/>
        <v/>
      </c>
      <c r="AF993" s="111" t="str">
        <f t="shared" si="172"/>
        <v/>
      </c>
    </row>
    <row r="994" spans="1:32">
      <c r="A994" s="159"/>
      <c r="B994" s="160"/>
      <c r="C994" s="5"/>
      <c r="D994" s="5"/>
      <c r="E994" s="5"/>
      <c r="F994" s="5"/>
      <c r="G994" s="5"/>
      <c r="H994" s="5"/>
      <c r="I994" s="5"/>
      <c r="J994" s="5"/>
      <c r="K994" s="5"/>
      <c r="L994" s="5"/>
      <c r="M994" s="5"/>
      <c r="N994" s="5"/>
      <c r="O994" s="5"/>
      <c r="P994" s="5"/>
      <c r="Q994" s="5"/>
      <c r="R994" s="5"/>
      <c r="S994" s="5"/>
      <c r="T994" s="5"/>
      <c r="U994" s="5"/>
      <c r="V994" s="7"/>
      <c r="W994" s="7"/>
      <c r="X994" s="164" t="e">
        <f t="shared" si="167"/>
        <v>#N/A</v>
      </c>
      <c r="Y994" s="164" t="e">
        <f t="shared" si="168"/>
        <v>#N/A</v>
      </c>
      <c r="AB994" s="156">
        <f t="shared" si="170"/>
        <v>0</v>
      </c>
      <c r="AC994" s="121" t="str">
        <f t="shared" si="169"/>
        <v/>
      </c>
      <c r="AE994" s="121" t="str">
        <f t="shared" si="171"/>
        <v/>
      </c>
      <c r="AF994" s="111" t="str">
        <f t="shared" si="172"/>
        <v/>
      </c>
    </row>
    <row r="995" spans="1:32">
      <c r="A995" s="159"/>
      <c r="B995" s="160"/>
      <c r="C995" s="5"/>
      <c r="D995" s="5"/>
      <c r="E995" s="5"/>
      <c r="F995" s="5"/>
      <c r="G995" s="5"/>
      <c r="H995" s="5"/>
      <c r="I995" s="5"/>
      <c r="J995" s="5"/>
      <c r="K995" s="5"/>
      <c r="L995" s="5"/>
      <c r="M995" s="5"/>
      <c r="N995" s="5"/>
      <c r="O995" s="5"/>
      <c r="P995" s="5"/>
      <c r="Q995" s="5"/>
      <c r="R995" s="5"/>
      <c r="S995" s="5"/>
      <c r="T995" s="5"/>
      <c r="U995" s="5"/>
      <c r="V995" s="7"/>
      <c r="W995" s="7"/>
      <c r="X995" s="164" t="e">
        <f t="shared" si="167"/>
        <v>#N/A</v>
      </c>
      <c r="Y995" s="164" t="e">
        <f t="shared" si="168"/>
        <v>#N/A</v>
      </c>
      <c r="AB995" s="156">
        <f t="shared" si="170"/>
        <v>0</v>
      </c>
      <c r="AC995" s="121" t="str">
        <f t="shared" si="169"/>
        <v/>
      </c>
      <c r="AE995" s="121" t="str">
        <f t="shared" si="171"/>
        <v/>
      </c>
      <c r="AF995" s="111" t="str">
        <f t="shared" si="172"/>
        <v/>
      </c>
    </row>
    <row r="996" spans="1:32">
      <c r="A996" s="159"/>
      <c r="B996" s="160"/>
      <c r="C996" s="5"/>
      <c r="D996" s="5"/>
      <c r="E996" s="5"/>
      <c r="F996" s="5"/>
      <c r="G996" s="5"/>
      <c r="H996" s="5"/>
      <c r="I996" s="5"/>
      <c r="J996" s="5"/>
      <c r="K996" s="5"/>
      <c r="L996" s="5"/>
      <c r="M996" s="5"/>
      <c r="N996" s="5"/>
      <c r="O996" s="5"/>
      <c r="P996" s="5"/>
      <c r="Q996" s="5"/>
      <c r="R996" s="5"/>
      <c r="S996" s="5"/>
      <c r="T996" s="5"/>
      <c r="U996" s="5"/>
      <c r="V996" s="7"/>
      <c r="W996" s="7"/>
      <c r="X996" s="164" t="e">
        <f t="shared" si="167"/>
        <v>#N/A</v>
      </c>
      <c r="Y996" s="164" t="e">
        <f t="shared" si="168"/>
        <v>#N/A</v>
      </c>
      <c r="AB996" s="156">
        <f t="shared" si="170"/>
        <v>0</v>
      </c>
      <c r="AC996" s="121" t="str">
        <f t="shared" si="169"/>
        <v/>
      </c>
      <c r="AE996" s="121" t="str">
        <f t="shared" si="171"/>
        <v/>
      </c>
      <c r="AF996" s="111" t="str">
        <f t="shared" si="172"/>
        <v/>
      </c>
    </row>
    <row r="997" spans="1:32">
      <c r="A997" s="159"/>
      <c r="B997" s="160"/>
      <c r="C997" s="5"/>
      <c r="D997" s="5"/>
      <c r="E997" s="5"/>
      <c r="F997" s="5"/>
      <c r="G997" s="5"/>
      <c r="H997" s="5"/>
      <c r="I997" s="5"/>
      <c r="J997" s="5"/>
      <c r="K997" s="5"/>
      <c r="L997" s="5"/>
      <c r="M997" s="5"/>
      <c r="N997" s="5"/>
      <c r="O997" s="5"/>
      <c r="P997" s="5"/>
      <c r="Q997" s="5"/>
      <c r="R997" s="5"/>
      <c r="S997" s="5"/>
      <c r="T997" s="5"/>
      <c r="U997" s="5"/>
      <c r="V997" s="7"/>
      <c r="W997" s="7"/>
      <c r="X997" s="164" t="e">
        <f t="shared" si="167"/>
        <v>#N/A</v>
      </c>
      <c r="Y997" s="164" t="e">
        <f t="shared" si="168"/>
        <v>#N/A</v>
      </c>
      <c r="AB997" s="156">
        <f t="shared" si="170"/>
        <v>0</v>
      </c>
      <c r="AC997" s="121" t="str">
        <f t="shared" si="169"/>
        <v/>
      </c>
      <c r="AE997" s="121" t="str">
        <f t="shared" si="171"/>
        <v/>
      </c>
      <c r="AF997" s="111" t="str">
        <f t="shared" si="172"/>
        <v/>
      </c>
    </row>
    <row r="998" spans="1:32">
      <c r="A998" s="159"/>
      <c r="B998" s="160"/>
      <c r="C998" s="5"/>
      <c r="D998" s="5"/>
      <c r="E998" s="5"/>
      <c r="F998" s="5"/>
      <c r="G998" s="5"/>
      <c r="H998" s="5"/>
      <c r="I998" s="5"/>
      <c r="J998" s="5"/>
      <c r="K998" s="5"/>
      <c r="L998" s="5"/>
      <c r="M998" s="5"/>
      <c r="N998" s="5"/>
      <c r="O998" s="5"/>
      <c r="P998" s="5"/>
      <c r="Q998" s="5"/>
      <c r="R998" s="5"/>
      <c r="S998" s="5"/>
      <c r="T998" s="5"/>
      <c r="U998" s="5"/>
      <c r="V998" s="7"/>
      <c r="W998" s="7"/>
      <c r="X998" s="164" t="e">
        <f t="shared" si="167"/>
        <v>#N/A</v>
      </c>
      <c r="Y998" s="164" t="e">
        <f t="shared" si="168"/>
        <v>#N/A</v>
      </c>
      <c r="AB998" s="156">
        <f t="shared" si="170"/>
        <v>0</v>
      </c>
      <c r="AC998" s="121" t="str">
        <f t="shared" si="169"/>
        <v/>
      </c>
      <c r="AE998" s="121" t="str">
        <f t="shared" si="171"/>
        <v/>
      </c>
      <c r="AF998" s="111" t="str">
        <f t="shared" si="172"/>
        <v/>
      </c>
    </row>
    <row r="999" spans="1:32">
      <c r="A999" s="159"/>
      <c r="B999" s="160"/>
      <c r="C999" s="5"/>
      <c r="D999" s="5"/>
      <c r="E999" s="5"/>
      <c r="F999" s="5"/>
      <c r="G999" s="5"/>
      <c r="H999" s="5"/>
      <c r="I999" s="5"/>
      <c r="J999" s="5"/>
      <c r="K999" s="5"/>
      <c r="L999" s="5"/>
      <c r="M999" s="5"/>
      <c r="N999" s="5"/>
      <c r="O999" s="5"/>
      <c r="P999" s="5"/>
      <c r="Q999" s="5"/>
      <c r="R999" s="5"/>
      <c r="S999" s="5"/>
      <c r="T999" s="5"/>
      <c r="U999" s="5"/>
      <c r="V999" s="7"/>
      <c r="W999" s="7"/>
      <c r="X999" s="164" t="e">
        <f t="shared" si="167"/>
        <v>#N/A</v>
      </c>
      <c r="Y999" s="164" t="e">
        <f t="shared" si="168"/>
        <v>#N/A</v>
      </c>
      <c r="AB999" s="156">
        <f t="shared" si="170"/>
        <v>0</v>
      </c>
      <c r="AC999" s="121" t="str">
        <f t="shared" si="169"/>
        <v/>
      </c>
      <c r="AE999" s="121" t="str">
        <f t="shared" si="171"/>
        <v/>
      </c>
      <c r="AF999" s="111" t="str">
        <f t="shared" si="172"/>
        <v/>
      </c>
    </row>
    <row r="1000" spans="1:32">
      <c r="A1000" s="159"/>
      <c r="B1000" s="160"/>
      <c r="C1000" s="5"/>
      <c r="D1000" s="5"/>
      <c r="E1000" s="5"/>
      <c r="F1000" s="5"/>
      <c r="G1000" s="5"/>
      <c r="H1000" s="5"/>
      <c r="I1000" s="5"/>
      <c r="J1000" s="5"/>
      <c r="K1000" s="5"/>
      <c r="L1000" s="5"/>
      <c r="M1000" s="5"/>
      <c r="N1000" s="5"/>
      <c r="O1000" s="5"/>
      <c r="P1000" s="5"/>
      <c r="Q1000" s="5"/>
      <c r="R1000" s="5"/>
      <c r="S1000" s="5"/>
      <c r="T1000" s="5"/>
      <c r="U1000" s="5"/>
      <c r="V1000" s="7"/>
      <c r="W1000" s="7"/>
      <c r="X1000" s="164" t="e">
        <f t="shared" si="167"/>
        <v>#N/A</v>
      </c>
      <c r="Y1000" s="164" t="e">
        <f t="shared" si="168"/>
        <v>#N/A</v>
      </c>
      <c r="AB1000" s="156">
        <f t="shared" si="170"/>
        <v>0</v>
      </c>
      <c r="AC1000" s="121" t="str">
        <f t="shared" si="169"/>
        <v/>
      </c>
      <c r="AE1000" s="121" t="str">
        <f t="shared" si="171"/>
        <v/>
      </c>
      <c r="AF1000" s="111" t="str">
        <f t="shared" si="172"/>
        <v/>
      </c>
    </row>
    <row r="1001" spans="1:32">
      <c r="A1001" s="159"/>
      <c r="B1001" s="160"/>
      <c r="C1001" s="5"/>
      <c r="D1001" s="5"/>
      <c r="E1001" s="5"/>
      <c r="F1001" s="5"/>
      <c r="G1001" s="5"/>
      <c r="H1001" s="5"/>
      <c r="I1001" s="5"/>
      <c r="J1001" s="5"/>
      <c r="K1001" s="5"/>
      <c r="L1001" s="5"/>
      <c r="M1001" s="5"/>
      <c r="N1001" s="5"/>
      <c r="O1001" s="5"/>
      <c r="P1001" s="5"/>
      <c r="Q1001" s="5"/>
      <c r="R1001" s="5"/>
      <c r="S1001" s="5"/>
      <c r="T1001" s="5"/>
      <c r="U1001" s="5"/>
      <c r="V1001" s="7"/>
      <c r="W1001" s="7"/>
      <c r="X1001" s="164" t="e">
        <f t="shared" si="167"/>
        <v>#N/A</v>
      </c>
      <c r="Y1001" s="164" t="e">
        <f t="shared" si="168"/>
        <v>#N/A</v>
      </c>
      <c r="AB1001" s="156">
        <f t="shared" si="170"/>
        <v>0</v>
      </c>
      <c r="AC1001" s="121" t="str">
        <f t="shared" si="169"/>
        <v/>
      </c>
      <c r="AE1001" s="121" t="str">
        <f t="shared" si="171"/>
        <v/>
      </c>
      <c r="AF1001" s="111" t="str">
        <f t="shared" si="172"/>
        <v/>
      </c>
    </row>
    <row r="1002" spans="1:32">
      <c r="A1002" s="161" t="s">
        <v>90</v>
      </c>
      <c r="B1002" s="161" t="s">
        <v>90</v>
      </c>
      <c r="C1002" s="27" t="s">
        <v>90</v>
      </c>
      <c r="D1002" s="27" t="s">
        <v>90</v>
      </c>
      <c r="E1002" s="27" t="s">
        <v>90</v>
      </c>
      <c r="F1002" s="27" t="s">
        <v>90</v>
      </c>
      <c r="G1002" s="28"/>
      <c r="H1002" s="28"/>
      <c r="I1002" s="28"/>
      <c r="J1002" s="28"/>
      <c r="K1002" s="28"/>
      <c r="L1002" s="28"/>
      <c r="M1002" s="28"/>
      <c r="N1002" s="28"/>
      <c r="O1002" s="28"/>
      <c r="P1002" s="28"/>
      <c r="Q1002" s="28"/>
      <c r="R1002" s="28"/>
      <c r="S1002" s="28"/>
      <c r="T1002" s="28"/>
      <c r="U1002" s="28"/>
      <c r="V1002" s="28"/>
      <c r="W1002" s="28"/>
      <c r="X1002" s="165"/>
      <c r="Y1002" s="165"/>
      <c r="AC1002" s="122"/>
      <c r="AD1002" s="122"/>
      <c r="AE1002" s="122"/>
      <c r="AF1002" s="122"/>
    </row>
  </sheetData>
  <mergeCells count="19">
    <mergeCell ref="F5:F6"/>
    <mergeCell ref="G5:G6"/>
    <mergeCell ref="H5:H6"/>
    <mergeCell ref="I5:I6"/>
    <mergeCell ref="J15:K15"/>
    <mergeCell ref="J16:J17"/>
    <mergeCell ref="K16:K17"/>
    <mergeCell ref="N4:P4"/>
    <mergeCell ref="K5:K6"/>
    <mergeCell ref="J5:J6"/>
    <mergeCell ref="S20:V20"/>
    <mergeCell ref="N13:N14"/>
    <mergeCell ref="O13:O14"/>
    <mergeCell ref="P13:Q13"/>
    <mergeCell ref="S4:V4"/>
    <mergeCell ref="N7:N8"/>
    <mergeCell ref="O7:O8"/>
    <mergeCell ref="P7:P8"/>
    <mergeCell ref="Q7:Q8"/>
  </mergeCells>
  <conditionalFormatting sqref="X2:Y1001">
    <cfRule type="containsErrors" dxfId="0" priority="3">
      <formula>ISERROR(X2)</formula>
    </cfRule>
  </conditionalFormatting>
  <dataValidations count="1">
    <dataValidation type="whole" allowBlank="1" showInputMessage="1" showErrorMessage="1" sqref="T32" xr:uid="{F9C3F12E-2875-E240-807C-943B4B30FDDE}">
      <formula1>1</formula1>
      <formula2>15</formula2>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FFD864706841F429944AA8AEC96A5F6" ma:contentTypeVersion="15" ma:contentTypeDescription="Create a new document." ma:contentTypeScope="" ma:versionID="891737474934674c41ef7f7571e0bad2">
  <xsd:schema xmlns:xsd="http://www.w3.org/2001/XMLSchema" xmlns:xs="http://www.w3.org/2001/XMLSchema" xmlns:p="http://schemas.microsoft.com/office/2006/metadata/properties" xmlns:ns3="56caf978-ed08-4319-8660-ea565c3c81d4" xmlns:ns4="1c0769b7-2dc5-4346-9277-bf71cefdc793" targetNamespace="http://schemas.microsoft.com/office/2006/metadata/properties" ma:root="true" ma:fieldsID="61db4bd95d89a763d23ec80c941d0edc" ns3:_="" ns4:_="">
    <xsd:import namespace="56caf978-ed08-4319-8660-ea565c3c81d4"/>
    <xsd:import namespace="1c0769b7-2dc5-4346-9277-bf71cefdc793"/>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caf978-ed08-4319-8660-ea565c3c81d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c0769b7-2dc5-4346-9277-bf71cefdc793" elementFormDefault="qualified">
    <xsd:import namespace="http://schemas.microsoft.com/office/2006/documentManagement/types"/>
    <xsd:import namespace="http://schemas.microsoft.com/office/infopath/2007/PartnerControls"/>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internalName="MediaServiceAutoTags" ma:readOnly="true">
      <xsd:simpleType>
        <xsd:restriction base="dms:Text"/>
      </xsd:simpleType>
    </xsd:element>
    <xsd:element name="MediaServiceOCR" ma:index="17" nillable="true" ma:displayName="MediaServiceOCR" ma:internalName="MediaServiceOCR" ma:readOnly="true">
      <xsd:simpleType>
        <xsd:restriction base="dms:Note">
          <xsd:maxLength value="255"/>
        </xsd:restriction>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5520004-9DD9-4803-9A6C-6B74106C224C}">
  <ds:schemaRefs>
    <ds:schemaRef ds:uri="http://schemas.microsoft.com/sharepoint/v3/contenttype/forms"/>
  </ds:schemaRefs>
</ds:datastoreItem>
</file>

<file path=customXml/itemProps2.xml><?xml version="1.0" encoding="utf-8"?>
<ds:datastoreItem xmlns:ds="http://schemas.openxmlformats.org/officeDocument/2006/customXml" ds:itemID="{EFFC9B99-5D5A-4155-90C9-63542AF9FDEA}">
  <ds:schemaRefs>
    <ds:schemaRef ds:uri="http://purl.org/dc/terms/"/>
    <ds:schemaRef ds:uri="http://schemas.openxmlformats.org/package/2006/metadata/core-properties"/>
    <ds:schemaRef ds:uri="http://schemas.microsoft.com/office/infopath/2007/PartnerControls"/>
    <ds:schemaRef ds:uri="http://purl.org/dc/elements/1.1/"/>
    <ds:schemaRef ds:uri="http://schemas.microsoft.com/office/2006/documentManagement/types"/>
    <ds:schemaRef ds:uri="1c0769b7-2dc5-4346-9277-bf71cefdc793"/>
    <ds:schemaRef ds:uri="http://www.w3.org/XML/1998/namespace"/>
    <ds:schemaRef ds:uri="http://purl.org/dc/dcmitype/"/>
    <ds:schemaRef ds:uri="56caf978-ed08-4319-8660-ea565c3c81d4"/>
    <ds:schemaRef ds:uri="http://schemas.microsoft.com/office/2006/metadata/properties"/>
  </ds:schemaRefs>
</ds:datastoreItem>
</file>

<file path=customXml/itemProps3.xml><?xml version="1.0" encoding="utf-8"?>
<ds:datastoreItem xmlns:ds="http://schemas.openxmlformats.org/officeDocument/2006/customXml" ds:itemID="{4091A92F-B5E6-457D-BA18-16A0C23747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caf978-ed08-4319-8660-ea565c3c81d4"/>
    <ds:schemaRef ds:uri="1c0769b7-2dc5-4346-9277-bf71cefdc7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One Sample t Test</vt:lpstr>
      <vt:lpstr>Paired Data t Test</vt:lpstr>
      <vt:lpstr>Independent Samples t Test</vt:lpstr>
      <vt:lpstr>ANOVA</vt:lpstr>
      <vt:lpstr>One Proportion</vt:lpstr>
      <vt:lpstr>Two Proportions</vt:lpstr>
      <vt:lpstr>Chi Square</vt:lpstr>
      <vt:lpstr>Linear Regression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2020-01-21T20:43:18Z</dcterms:created>
  <dcterms:modified xsi:type="dcterms:W3CDTF">2021-11-23T22:12:39Z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0x0101000FFD864706841F429944AA8AEC96A5F6</vt:lpwstr>
  </property>
</Properties>
</file>